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Ex2.xml" ContentType="application/vnd.ms-office.chartex+xml"/>
  <Override PartName="/xl/charts/style3.xml" ContentType="application/vnd.ms-office.chartstyle+xml"/>
  <Override PartName="/xl/charts/colors3.xml" ContentType="application/vnd.ms-office.chartcolorstyle+xml"/>
  <Override PartName="/xl/charts/chartEx3.xml" ContentType="application/vnd.ms-office.chartex+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4" codeName="{873B2839-AC87-7CC4-5C0F-16DCB9831742}"/>
  <workbookPr codeName="ThisWorkbook" defaultThemeVersion="166925"/>
  <mc:AlternateContent xmlns:mc="http://schemas.openxmlformats.org/markup-compatibility/2006">
    <mc:Choice Requires="x15">
      <x15ac:absPath xmlns:x15ac="http://schemas.microsoft.com/office/spreadsheetml/2010/11/ac" url="/Users/bavanzi/Dropbox/Mac (3)/Documents/GitHub/ACTL20004-ACTL90021-2024/xlfiles/"/>
    </mc:Choice>
  </mc:AlternateContent>
  <xr:revisionPtr revIDLastSave="0" documentId="13_ncr:1_{2A0401DF-AE68-9C40-AC9D-FB2935F03FDA}" xr6:coauthVersionLast="47" xr6:coauthVersionMax="47" xr10:uidLastSave="{00000000-0000-0000-0000-000000000000}"/>
  <bookViews>
    <workbookView xWindow="4340" yWindow="760" windowWidth="29040" windowHeight="15840" activeTab="2" xr2:uid="{B7D3D78A-6740-C744-9570-1357A85CE16F}"/>
  </bookViews>
  <sheets>
    <sheet name="Pokemon data" sheetId="2" r:id="rId1"/>
    <sheet name="FIFA WWC" sheetId="3" r:id="rId2"/>
    <sheet name="M6.1 - Assumed Knowledge" sheetId="1" r:id="rId3"/>
    <sheet name="M6.2 - Pivot table" sheetId="6" r:id="rId4"/>
    <sheet name="M6.2 - Pivot chart" sheetId="8" r:id="rId5"/>
    <sheet name="M6.3 - Dynamic arrays" sheetId="9" r:id="rId6"/>
    <sheet name="M6.4 - Dynamic references" sheetId="12" r:id="rId7"/>
    <sheet name="M6.5 - Dependents" sheetId="5" r:id="rId8"/>
    <sheet name="M6.6 Simulations" sheetId="13" r:id="rId9"/>
    <sheet name="M6.6 Macros and VBA" sheetId="15" r:id="rId10"/>
  </sheets>
  <definedNames>
    <definedName name="_xlchart.v1.0" hidden="1">'M6.6 Simulations'!$X$4:$X$10003</definedName>
    <definedName name="_xlchart.v1.1" hidden="1">'M6.6 Simulations'!$B$13</definedName>
    <definedName name="_xlchart.v1.2" hidden="1">'M6.6 Simulations'!$B$14:$B$10013</definedName>
    <definedName name="_xlchart.v1.3" hidden="1">'M6.6 Simulations'!$O$4:$O$10003</definedName>
    <definedName name="age">'FIFA WWC'!$E$4:$E$139</definedName>
    <definedName name="assists">'FIFA WWC'!$L$4:$L$139</definedName>
    <definedName name="assists_per_90">'FIFA WWC'!$S$4:$S$139</definedName>
    <definedName name="Attacking">'Pokemon data'!$A$2:$A$19</definedName>
    <definedName name="Bug">'Pokemon data'!$M$2:$M$19</definedName>
    <definedName name="Dark">'Pokemon data'!$Q$2:$Q$19</definedName>
    <definedName name="Dragon">'Pokemon data'!$P$2:$P$19</definedName>
    <definedName name="Electric">'Pokemon data'!$E$2:$E$19</definedName>
    <definedName name="Fairy">'Pokemon data'!$S$2:$S$19</definedName>
    <definedName name="FiFA">'FIFA WWC'!$A$3:$V$139</definedName>
    <definedName name="Fighting">'Pokemon data'!$H$2:$H$19</definedName>
    <definedName name="Fire">'Pokemon data'!$C$2:$C$19</definedName>
    <definedName name="Flying">'Pokemon data'!$K$2:$K$19</definedName>
    <definedName name="Ghost">'Pokemon data'!$O$2:$O$19</definedName>
    <definedName name="goals">'FIFA WWC'!$K$4:$K$139</definedName>
    <definedName name="goals_minus_penalty_kicks_per_90">'FIFA WWC'!$U$4:$U$139</definedName>
    <definedName name="goals_per_90">'FIFA WWC'!$R$4:$R$139</definedName>
    <definedName name="goals_plus_assists_minus_penalty_kicks_per_90">'FIFA WWC'!$V$4:$V$139</definedName>
    <definedName name="goals_plus_assists_per_90">'FIFA WWC'!$T$4:$T$139</definedName>
    <definedName name="Grass">'Pokemon data'!$F$2:$F$19</definedName>
    <definedName name="Ground">'Pokemon data'!$J$2:$J$19</definedName>
    <definedName name="Ice">'Pokemon data'!$G$2:$G$19</definedName>
    <definedName name="id">'FIFA WWC'!$A$4:$A$139</definedName>
    <definedName name="loss_ratios">'M6.3 - Dynamic arrays'!$B$188:$B$191</definedName>
    <definedName name="lossratios">'M6.3 - Dynamic arrays'!$C$31:$F$35</definedName>
    <definedName name="matches_played">'FIFA WWC'!$G$4:$G$139</definedName>
    <definedName name="min_playing_time">'FIFA WWC'!$I$4:$I$139</definedName>
    <definedName name="minutes_played_90s">'FIFA WWC'!$J$4:$J$139</definedName>
    <definedName name="monthly_profit">'M6.4 - Dynamic references'!$B$4:$C$16</definedName>
    <definedName name="months">'M6.4 - Dynamic references'!$B$5:$B$16</definedName>
    <definedName name="non_penalty_goals">'FIFA WWC'!$M$4:$M$139</definedName>
    <definedName name="Normal">'Pokemon data'!$B$2:$S$2</definedName>
    <definedName name="penalty_kicks_attempted">'FIFA WWC'!$O$4:$O$139</definedName>
    <definedName name="penalty_kicks_made">'FIFA WWC'!$N$4:$N$139</definedName>
    <definedName name="players">'FIFA WWC'!$D$4:$D$139</definedName>
    <definedName name="Poison">'Pokemon data'!$I$2:$I$19</definedName>
    <definedName name="pokemon">'Pokemon data'!$A$1:$S$19</definedName>
    <definedName name="possesion">'FIFA WWC'!$F$4:$F$139</definedName>
    <definedName name="products">'M6.3 - Dynamic arrays'!$E$197:$E$201</definedName>
    <definedName name="Psychic">'Pokemon data'!$L$2:$L$19</definedName>
    <definedName name="red_cards">'FIFA WWC'!$Q$4:$Q$139</definedName>
    <definedName name="Rock">'Pokemon data'!$N$2:$N$19</definedName>
    <definedName name="Slicer_squad">#N/A</definedName>
    <definedName name="squad">'FIFA WWC'!$B$4:$B$139</definedName>
    <definedName name="starts">'FIFA WWC'!$H$4:$H$139</definedName>
    <definedName name="Steel">'Pokemon data'!$R$2:$R$19</definedName>
    <definedName name="tblProduct">'M6.3 - Dynamic arrays'!$E$196:$E$201</definedName>
    <definedName name="Water">'Pokemon data'!$D$2:$D$19</definedName>
    <definedName name="weekly_profit">'M6.4 - Dynamic references'!$B$38:$G$42</definedName>
    <definedName name="year">'FIFA WWC'!$C$4:$C$139</definedName>
    <definedName name="yellow_cards">'FIFA WWC'!$P$4:$P$139</definedName>
  </definedNames>
  <calcPr calcId="191028"/>
  <pivotCaches>
    <pivotCache cacheId="0" r:id="rId11"/>
  </pivotCaches>
  <extLst>
    <ext xmlns:x14="http://schemas.microsoft.com/office/spreadsheetml/2009/9/main" uri="{BBE1A952-AA13-448e-AADC-164F8A28A991}">
      <x14:slicerCaches>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4" i="15" l="1" a="1"/>
  <c r="V4" i="15" s="1"/>
  <c r="M4" i="15" a="1"/>
  <c r="M4" i="15" s="1"/>
  <c r="B15" i="15" a="1"/>
  <c r="B15" i="15" s="1"/>
  <c r="B4" i="15" a="1"/>
  <c r="B4" i="15" s="1"/>
  <c r="I29" i="12"/>
  <c r="P38" i="12" a="1"/>
  <c r="P38" i="12" s="1"/>
  <c r="N205" i="9"/>
  <c r="AG8" i="13" a="1"/>
  <c r="AG8" i="13" s="1"/>
  <c r="AH8" i="13" s="1" a="1"/>
  <c r="AH8" i="13" s="1"/>
  <c r="AA24" i="13"/>
  <c r="Z24" i="13"/>
  <c r="E34" i="13"/>
  <c r="X4" i="13" a="1"/>
  <c r="X4" i="13" s="1"/>
  <c r="O4" i="13" a="1"/>
  <c r="O4" i="13" s="1"/>
  <c r="B14" i="13" a="1"/>
  <c r="B14" i="13" s="1"/>
  <c r="I5" i="13" a="1"/>
  <c r="I5" i="13" s="1"/>
  <c r="D5" i="13" a="1"/>
  <c r="D5" i="13" s="1"/>
  <c r="B5" i="13"/>
  <c r="P39" i="12" a="1"/>
  <c r="P39" i="12" s="1"/>
  <c r="F11" i="12" a="1"/>
  <c r="F11" i="12" s="1"/>
  <c r="F6" i="12" a="1"/>
  <c r="F6" i="12" s="1"/>
  <c r="R210" i="9" a="1"/>
  <c r="R210" i="9"/>
  <c r="N210" i="9"/>
  <c r="N209" i="9"/>
  <c r="H207" i="9"/>
  <c r="H206" i="9"/>
  <c r="B187" i="9" a="1"/>
  <c r="B187" i="9"/>
  <c r="B9" i="1"/>
  <c r="F176" i="9" a="1"/>
  <c r="F176" i="9" s="1"/>
  <c r="A176" i="9" a="1"/>
  <c r="A176" i="9" s="1"/>
  <c r="A12" i="9" a="1"/>
  <c r="A12" i="9" s="1"/>
  <c r="H152" i="9" a="1"/>
  <c r="H152" i="9" s="1"/>
  <c r="H37" i="9"/>
  <c r="I37" i="9" s="1" a="1"/>
  <c r="I37" i="9" s="1"/>
  <c r="H32" i="9" a="1"/>
  <c r="H32" i="9" s="1"/>
  <c r="M32" i="9" s="1" a="1"/>
  <c r="M32" i="9" s="1"/>
  <c r="K12" i="9" a="1"/>
  <c r="K12" i="9" s="1"/>
  <c r="H12" i="9" a="1"/>
  <c r="H12" i="9" s="1"/>
  <c r="E153" i="9" s="1"/>
  <c r="C15" i="9" a="1"/>
  <c r="C15" i="9" s="1"/>
  <c r="C16" i="9" a="1"/>
  <c r="C16" i="9" s="1"/>
  <c r="C17" i="9" a="1"/>
  <c r="C17" i="9" s="1"/>
  <c r="C18" i="9" a="1"/>
  <c r="C18" i="9" s="1"/>
  <c r="C19" i="9" a="1"/>
  <c r="C19" i="9" s="1"/>
  <c r="C20" i="9" a="1"/>
  <c r="C20" i="9" s="1"/>
  <c r="C14" i="9" a="1"/>
  <c r="C14" i="9" s="1"/>
  <c r="B3" i="9" a="1"/>
  <c r="B3" i="9" s="1"/>
  <c r="B7" i="9" s="1" a="1"/>
  <c r="B7" i="9" s="1"/>
  <c r="F198" i="5"/>
  <c r="E40" i="5"/>
  <c r="E46" i="5"/>
  <c r="C196" i="5"/>
  <c r="C194" i="5"/>
  <c r="C190" i="5"/>
  <c r="C188" i="5"/>
  <c r="C184" i="5"/>
  <c r="C182" i="5"/>
  <c r="C181" i="5"/>
  <c r="C179" i="5"/>
  <c r="A151" i="5"/>
  <c r="A144" i="5"/>
  <c r="A142" i="5"/>
  <c r="A141" i="5"/>
  <c r="A137" i="5"/>
  <c r="A136" i="5"/>
  <c r="F133" i="5"/>
  <c r="G133" i="5" s="1"/>
  <c r="H133" i="5" s="1"/>
  <c r="I133" i="5" s="1"/>
  <c r="J133" i="5" s="1"/>
  <c r="K133" i="5" s="1"/>
  <c r="L133" i="5" s="1"/>
  <c r="M133" i="5" s="1"/>
  <c r="N133" i="5" s="1"/>
  <c r="O133" i="5" s="1"/>
  <c r="P133" i="5" s="1"/>
  <c r="Q133" i="5" s="1"/>
  <c r="R133" i="5" s="1"/>
  <c r="E133" i="5"/>
  <c r="D133" i="5"/>
  <c r="C133" i="5"/>
  <c r="A124" i="5"/>
  <c r="A196" i="5" s="1"/>
  <c r="A123" i="5"/>
  <c r="A195" i="5" s="1"/>
  <c r="A122" i="5"/>
  <c r="A121" i="5"/>
  <c r="A193" i="5" s="1"/>
  <c r="A120" i="5"/>
  <c r="A119" i="5"/>
  <c r="A191" i="5" s="1"/>
  <c r="A118" i="5"/>
  <c r="A117" i="5"/>
  <c r="A116" i="5"/>
  <c r="A188" i="5" s="1"/>
  <c r="A115" i="5"/>
  <c r="A114" i="5"/>
  <c r="A186" i="5" s="1"/>
  <c r="A113" i="5"/>
  <c r="A185" i="5" s="1"/>
  <c r="A112" i="5"/>
  <c r="A111" i="5"/>
  <c r="A183" i="5" s="1"/>
  <c r="A110" i="5"/>
  <c r="A182" i="5" s="1"/>
  <c r="A109" i="5"/>
  <c r="A181" i="5" s="1"/>
  <c r="A108" i="5"/>
  <c r="A180" i="5" s="1"/>
  <c r="A107" i="5"/>
  <c r="A179" i="5" s="1"/>
  <c r="F104" i="5"/>
  <c r="G104" i="5" s="1"/>
  <c r="H104" i="5" s="1"/>
  <c r="I104" i="5" s="1"/>
  <c r="J104" i="5" s="1"/>
  <c r="K104" i="5" s="1"/>
  <c r="L104" i="5" s="1"/>
  <c r="M104" i="5" s="1"/>
  <c r="N104" i="5" s="1"/>
  <c r="O104" i="5" s="1"/>
  <c r="P104" i="5" s="1"/>
  <c r="Q104" i="5" s="1"/>
  <c r="R104" i="5" s="1"/>
  <c r="S104" i="5" s="1"/>
  <c r="E104" i="5"/>
  <c r="D104" i="5"/>
  <c r="C104" i="5"/>
  <c r="C100" i="5"/>
  <c r="D99" i="5"/>
  <c r="C99" i="5"/>
  <c r="E98" i="5"/>
  <c r="D98" i="5"/>
  <c r="C98" i="5"/>
  <c r="F97" i="5"/>
  <c r="E97" i="5"/>
  <c r="D97" i="5"/>
  <c r="C97" i="5"/>
  <c r="G96" i="5"/>
  <c r="F96" i="5"/>
  <c r="E96" i="5"/>
  <c r="D96" i="5"/>
  <c r="C96" i="5"/>
  <c r="H95" i="5"/>
  <c r="G95" i="5"/>
  <c r="F95" i="5"/>
  <c r="E95" i="5"/>
  <c r="D95" i="5"/>
  <c r="C95" i="5"/>
  <c r="I94" i="5"/>
  <c r="H94" i="5"/>
  <c r="G94" i="5"/>
  <c r="F94" i="5"/>
  <c r="E94" i="5"/>
  <c r="D94" i="5"/>
  <c r="C94" i="5"/>
  <c r="J93" i="5"/>
  <c r="I93" i="5"/>
  <c r="H93" i="5"/>
  <c r="G93" i="5"/>
  <c r="F93" i="5"/>
  <c r="E93" i="5"/>
  <c r="D93" i="5"/>
  <c r="C93" i="5"/>
  <c r="K92" i="5"/>
  <c r="J92" i="5"/>
  <c r="I92" i="5"/>
  <c r="H92" i="5"/>
  <c r="G92" i="5"/>
  <c r="F92" i="5"/>
  <c r="E92" i="5"/>
  <c r="D92" i="5"/>
  <c r="C92" i="5"/>
  <c r="L91" i="5"/>
  <c r="K91" i="5"/>
  <c r="J91" i="5"/>
  <c r="I91" i="5"/>
  <c r="H91" i="5"/>
  <c r="G91" i="5"/>
  <c r="F91" i="5"/>
  <c r="E91" i="5"/>
  <c r="D91" i="5"/>
  <c r="C91" i="5"/>
  <c r="M90" i="5"/>
  <c r="L90" i="5"/>
  <c r="K90" i="5"/>
  <c r="J90" i="5"/>
  <c r="I90" i="5"/>
  <c r="H90" i="5"/>
  <c r="G90" i="5"/>
  <c r="F90" i="5"/>
  <c r="E90" i="5"/>
  <c r="D90" i="5"/>
  <c r="C90" i="5"/>
  <c r="M89" i="5"/>
  <c r="N89" i="5" s="1"/>
  <c r="L89" i="5"/>
  <c r="K89" i="5"/>
  <c r="J89" i="5"/>
  <c r="I89" i="5"/>
  <c r="H89" i="5"/>
  <c r="G89" i="5"/>
  <c r="F89" i="5"/>
  <c r="E89" i="5"/>
  <c r="D89" i="5"/>
  <c r="C89" i="5"/>
  <c r="M88" i="5"/>
  <c r="N88" i="5" s="1"/>
  <c r="O88" i="5" s="1"/>
  <c r="L88" i="5"/>
  <c r="K88" i="5"/>
  <c r="J88" i="5"/>
  <c r="I88" i="5"/>
  <c r="H88" i="5"/>
  <c r="G88" i="5"/>
  <c r="F88" i="5"/>
  <c r="E88" i="5"/>
  <c r="D88" i="5"/>
  <c r="C88" i="5"/>
  <c r="O87" i="5"/>
  <c r="P87" i="5" s="1"/>
  <c r="N87" i="5"/>
  <c r="M87" i="5"/>
  <c r="L87" i="5"/>
  <c r="K87" i="5"/>
  <c r="J87" i="5"/>
  <c r="I87" i="5"/>
  <c r="H87" i="5"/>
  <c r="G87" i="5"/>
  <c r="F87" i="5"/>
  <c r="E87" i="5"/>
  <c r="D87" i="5"/>
  <c r="C87" i="5"/>
  <c r="Q86" i="5"/>
  <c r="N86" i="5"/>
  <c r="O86" i="5" s="1"/>
  <c r="P86" i="5" s="1"/>
  <c r="M86" i="5"/>
  <c r="L86" i="5"/>
  <c r="K86" i="5"/>
  <c r="J86" i="5"/>
  <c r="I86" i="5"/>
  <c r="H86" i="5"/>
  <c r="G86" i="5"/>
  <c r="F86" i="5"/>
  <c r="E86" i="5"/>
  <c r="D86" i="5"/>
  <c r="C86" i="5"/>
  <c r="P85" i="5"/>
  <c r="Q85" i="5" s="1"/>
  <c r="R85" i="5" s="1"/>
  <c r="O85" i="5"/>
  <c r="N85" i="5"/>
  <c r="M85" i="5"/>
  <c r="L85" i="5"/>
  <c r="K85" i="5"/>
  <c r="J85" i="5"/>
  <c r="I85" i="5"/>
  <c r="H85" i="5"/>
  <c r="G85" i="5"/>
  <c r="F85" i="5"/>
  <c r="E85" i="5"/>
  <c r="D85" i="5"/>
  <c r="C85" i="5"/>
  <c r="O84" i="5"/>
  <c r="P84" i="5" s="1"/>
  <c r="Q84" i="5" s="1"/>
  <c r="R84" i="5" s="1"/>
  <c r="S84" i="5" s="1"/>
  <c r="N84" i="5"/>
  <c r="M84" i="5"/>
  <c r="L84" i="5"/>
  <c r="K84" i="5"/>
  <c r="J84" i="5"/>
  <c r="I84" i="5"/>
  <c r="H84" i="5"/>
  <c r="G84" i="5"/>
  <c r="F84" i="5"/>
  <c r="E84" i="5"/>
  <c r="D84" i="5"/>
  <c r="C84" i="5"/>
  <c r="B84" i="5"/>
  <c r="P74" i="5"/>
  <c r="O74" i="5"/>
  <c r="N74" i="5"/>
  <c r="P73" i="5"/>
  <c r="C195" i="5" s="1"/>
  <c r="N73" i="5"/>
  <c r="P72" i="5"/>
  <c r="N72" i="5"/>
  <c r="O72" i="5" s="1"/>
  <c r="P71" i="5"/>
  <c r="O71" i="5" s="1"/>
  <c r="N71" i="5"/>
  <c r="P70" i="5"/>
  <c r="C192" i="5" s="1"/>
  <c r="N70" i="5"/>
  <c r="O70" i="5" s="1"/>
  <c r="P69" i="5"/>
  <c r="O69" i="5" s="1"/>
  <c r="N69" i="5"/>
  <c r="P68" i="5"/>
  <c r="N68" i="5"/>
  <c r="O68" i="5" s="1"/>
  <c r="P67" i="5"/>
  <c r="C189" i="5" s="1"/>
  <c r="N67" i="5"/>
  <c r="P66" i="5"/>
  <c r="N66" i="5"/>
  <c r="O66" i="5" s="1"/>
  <c r="P65" i="5"/>
  <c r="C187" i="5" s="1"/>
  <c r="N65" i="5"/>
  <c r="P64" i="5"/>
  <c r="C186" i="5" s="1"/>
  <c r="N64" i="5"/>
  <c r="O64" i="5" s="1"/>
  <c r="P63" i="5"/>
  <c r="C185" i="5" s="1"/>
  <c r="N63" i="5"/>
  <c r="P62" i="5"/>
  <c r="O62" i="5"/>
  <c r="N62" i="5"/>
  <c r="P61" i="5"/>
  <c r="C183" i="5" s="1"/>
  <c r="N61" i="5"/>
  <c r="P60" i="5"/>
  <c r="N60" i="5"/>
  <c r="O60" i="5" s="1"/>
  <c r="P59" i="5"/>
  <c r="O59" i="5" s="1"/>
  <c r="N59" i="5"/>
  <c r="P58" i="5"/>
  <c r="C180" i="5" s="1"/>
  <c r="N58" i="5"/>
  <c r="O58" i="5" s="1"/>
  <c r="P57" i="5"/>
  <c r="O57" i="5" s="1"/>
  <c r="N57" i="5"/>
  <c r="C33" i="5"/>
  <c r="B109" i="5" s="1"/>
  <c r="B32" i="5"/>
  <c r="B33" i="5" s="1"/>
  <c r="D31" i="5"/>
  <c r="C107" i="5" s="1"/>
  <c r="C31" i="5"/>
  <c r="B107" i="5" s="1"/>
  <c r="A31" i="5"/>
  <c r="D28" i="5"/>
  <c r="E28" i="5" s="1"/>
  <c r="F28" i="5" s="1"/>
  <c r="G28" i="5" s="1"/>
  <c r="H28" i="5" s="1"/>
  <c r="I28" i="5" s="1"/>
  <c r="J28" i="5" s="1"/>
  <c r="K28" i="5" s="1"/>
  <c r="L28" i="5" s="1"/>
  <c r="M28" i="5" s="1"/>
  <c r="N28" i="5" s="1"/>
  <c r="O28" i="5" s="1"/>
  <c r="P28" i="5" s="1"/>
  <c r="Q28" i="5" s="1"/>
  <c r="R28" i="5" s="1"/>
  <c r="S28" i="5" s="1"/>
  <c r="T28" i="5" s="1"/>
  <c r="A9" i="5"/>
  <c r="A32" i="5" s="1"/>
  <c r="D5" i="5"/>
  <c r="E5" i="5" s="1"/>
  <c r="F5" i="5" s="1"/>
  <c r="G5" i="5" s="1"/>
  <c r="H5" i="5" s="1"/>
  <c r="I5" i="5" s="1"/>
  <c r="J5" i="5" s="1"/>
  <c r="K5" i="5" s="1"/>
  <c r="L5" i="5" s="1"/>
  <c r="M5" i="5" s="1"/>
  <c r="N5" i="5" s="1"/>
  <c r="O5" i="5" s="1"/>
  <c r="P5" i="5" s="1"/>
  <c r="Q5" i="5" s="1"/>
  <c r="R5" i="5" s="1"/>
  <c r="S5" i="5" s="1"/>
  <c r="T5" i="5" s="1"/>
  <c r="I207" i="9"/>
  <c r="O3" i="13"/>
  <c r="P44" i="12"/>
  <c r="I12" i="9"/>
  <c r="J29" i="12"/>
  <c r="G176" i="9"/>
  <c r="N204" i="9"/>
  <c r="I39" i="12" a="1"/>
  <c r="M189" i="9"/>
  <c r="I31" i="9"/>
  <c r="F45" i="12"/>
  <c r="P45" i="12"/>
  <c r="D4" i="13"/>
  <c r="H6" i="12"/>
  <c r="D14" i="9" a="1"/>
  <c r="J64" i="12"/>
  <c r="L67" i="12"/>
  <c r="B152" i="9"/>
  <c r="I4" i="13"/>
  <c r="B13" i="13"/>
  <c r="L152" i="9"/>
  <c r="J37" i="9"/>
  <c r="L12" i="9"/>
  <c r="H197" i="9"/>
  <c r="J33" i="12"/>
  <c r="O210" i="9"/>
  <c r="F152" i="9"/>
  <c r="I33" i="12" a="1"/>
  <c r="D152" i="9"/>
  <c r="AG6" i="13"/>
  <c r="R209" i="9"/>
  <c r="N197" i="9"/>
  <c r="H187" i="9"/>
  <c r="I152" i="9"/>
  <c r="X3" i="13"/>
  <c r="O209" i="9"/>
  <c r="H11" i="12"/>
  <c r="I64" i="12" a="1"/>
  <c r="M31" i="9"/>
  <c r="F153" i="9"/>
  <c r="T197" i="9"/>
  <c r="I206" i="9"/>
  <c r="B176" i="9"/>
  <c r="B12" i="9"/>
  <c r="B4" i="13"/>
  <c r="L153" i="9"/>
  <c r="AG7" i="13"/>
  <c r="I38" i="12" a="1"/>
  <c r="I67" i="12" a="1"/>
  <c r="F44" i="12"/>
  <c r="I64" i="12" l="1"/>
  <c r="I67" i="12"/>
  <c r="I38" i="12"/>
  <c r="I33" i="12"/>
  <c r="I39" i="12"/>
  <c r="T198" i="9"/>
  <c r="N198" i="9"/>
  <c r="H198" i="9" a="1"/>
  <c r="H198" i="9" s="1"/>
  <c r="H188" i="9" a="1"/>
  <c r="H188" i="9" s="1"/>
  <c r="M190" i="9" a="1"/>
  <c r="M190" i="9" s="1"/>
  <c r="Z20" i="13"/>
  <c r="AA20" i="13"/>
  <c r="D31" i="13"/>
  <c r="E31" i="13"/>
  <c r="Q20" i="13"/>
  <c r="R20" i="13"/>
  <c r="T199" i="9"/>
  <c r="T200" i="9"/>
  <c r="T201" i="9"/>
  <c r="N199" i="9"/>
  <c r="N200" i="9"/>
  <c r="N201" i="9"/>
  <c r="I35" i="9" a="1"/>
  <c r="I35" i="9" s="1"/>
  <c r="I34" i="9" a="1"/>
  <c r="I34" i="9" s="1"/>
  <c r="I33" i="9" a="1"/>
  <c r="I33" i="9" s="1"/>
  <c r="I32" i="9" a="1"/>
  <c r="I32" i="9" s="1"/>
  <c r="M35" i="9" a="1"/>
  <c r="M35" i="9" s="1"/>
  <c r="M34" i="9" a="1"/>
  <c r="M34" i="9" s="1"/>
  <c r="M33" i="9" a="1"/>
  <c r="M33" i="9" s="1"/>
  <c r="A152" i="9"/>
  <c r="C152" i="9" a="1"/>
  <c r="C152" i="9" s="1"/>
  <c r="E152" i="9"/>
  <c r="K153" i="9"/>
  <c r="K152" i="9"/>
  <c r="D14" i="9"/>
  <c r="B34" i="5"/>
  <c r="E31" i="5"/>
  <c r="D107" i="5" s="1"/>
  <c r="A10" i="5"/>
  <c r="B135" i="5"/>
  <c r="D32" i="5"/>
  <c r="C108" i="5" s="1"/>
  <c r="A190" i="5"/>
  <c r="A146" i="5"/>
  <c r="A194" i="5"/>
  <c r="A150" i="5"/>
  <c r="A143" i="5"/>
  <c r="A187" i="5"/>
  <c r="C32" i="5"/>
  <c r="B108" i="5" s="1"/>
  <c r="A189" i="5"/>
  <c r="A145" i="5"/>
  <c r="A192" i="5"/>
  <c r="A148" i="5"/>
  <c r="A138" i="5"/>
  <c r="A135" i="5"/>
  <c r="A149" i="5"/>
  <c r="C191" i="5"/>
  <c r="C193" i="5"/>
  <c r="O61" i="5"/>
  <c r="O63" i="5"/>
  <c r="O65" i="5"/>
  <c r="O76" i="5" s="1"/>
  <c r="O67" i="5"/>
  <c r="O73" i="5"/>
  <c r="A147" i="5"/>
  <c r="A140" i="5"/>
  <c r="A184" i="5"/>
  <c r="A139" i="5"/>
  <c r="AK10" i="13" l="1"/>
  <c r="AL10" i="13" s="1"/>
  <c r="AK11" i="13"/>
  <c r="AL11" i="13" s="1"/>
  <c r="AK12" i="13"/>
  <c r="AL12" i="13" s="1"/>
  <c r="A33" i="5"/>
  <c r="A11" i="5"/>
  <c r="C135" i="5"/>
  <c r="B136" i="5"/>
  <c r="B35" i="5"/>
  <c r="F31" i="5"/>
  <c r="E107" i="5" s="1"/>
  <c r="C34" i="5"/>
  <c r="B110" i="5" s="1"/>
  <c r="E32" i="5"/>
  <c r="D108" i="5" s="1"/>
  <c r="C136" i="5" s="1"/>
  <c r="D33" i="5"/>
  <c r="C109" i="5" s="1"/>
  <c r="B137" i="5" l="1"/>
  <c r="A34" i="5"/>
  <c r="A12" i="5"/>
  <c r="D135" i="5"/>
  <c r="B36" i="5"/>
  <c r="E33" i="5"/>
  <c r="D109" i="5" s="1"/>
  <c r="F32" i="5"/>
  <c r="E108" i="5" s="1"/>
  <c r="D136" i="5" s="1"/>
  <c r="G31" i="5"/>
  <c r="F107" i="5" s="1"/>
  <c r="C35" i="5"/>
  <c r="B111" i="5" s="1"/>
  <c r="D34" i="5"/>
  <c r="C110" i="5" s="1"/>
  <c r="B138" i="5" s="1"/>
  <c r="A35" i="5" l="1"/>
  <c r="A13" i="5"/>
  <c r="E135" i="5"/>
  <c r="C137" i="5"/>
  <c r="C36" i="5"/>
  <c r="B112" i="5" s="1"/>
  <c r="F33" i="5"/>
  <c r="E109" i="5" s="1"/>
  <c r="G32" i="5"/>
  <c r="F108" i="5" s="1"/>
  <c r="E136" i="5" s="1"/>
  <c r="E34" i="5"/>
  <c r="D110" i="5" s="1"/>
  <c r="C138" i="5" s="1"/>
  <c r="H31" i="5"/>
  <c r="G107" i="5" s="1"/>
  <c r="B37" i="5"/>
  <c r="D35" i="5"/>
  <c r="C111" i="5" s="1"/>
  <c r="B139" i="5" s="1"/>
  <c r="D137" i="5" l="1"/>
  <c r="A36" i="5"/>
  <c r="A14" i="5"/>
  <c r="F135" i="5"/>
  <c r="B38" i="5"/>
  <c r="D36" i="5"/>
  <c r="C112" i="5" s="1"/>
  <c r="F34" i="5"/>
  <c r="E110" i="5" s="1"/>
  <c r="D138" i="5" s="1"/>
  <c r="I31" i="5"/>
  <c r="H107" i="5" s="1"/>
  <c r="E35" i="5"/>
  <c r="D111" i="5" s="1"/>
  <c r="C139" i="5" s="1"/>
  <c r="G33" i="5"/>
  <c r="F109" i="5" s="1"/>
  <c r="E137" i="5" s="1"/>
  <c r="H32" i="5"/>
  <c r="G108" i="5" s="1"/>
  <c r="F136" i="5" s="1"/>
  <c r="C37" i="5"/>
  <c r="B113" i="5" s="1"/>
  <c r="G135" i="5" l="1"/>
  <c r="A37" i="5"/>
  <c r="A15" i="5"/>
  <c r="B140" i="5"/>
  <c r="G34" i="5"/>
  <c r="F110" i="5" s="1"/>
  <c r="E138" i="5" s="1"/>
  <c r="F35" i="5"/>
  <c r="E111" i="5" s="1"/>
  <c r="D139" i="5" s="1"/>
  <c r="C38" i="5"/>
  <c r="B114" i="5" s="1"/>
  <c r="E36" i="5"/>
  <c r="D112" i="5" s="1"/>
  <c r="C140" i="5" s="1"/>
  <c r="B39" i="5"/>
  <c r="I32" i="5"/>
  <c r="H108" i="5" s="1"/>
  <c r="G136" i="5" s="1"/>
  <c r="H33" i="5"/>
  <c r="G109" i="5" s="1"/>
  <c r="J31" i="5"/>
  <c r="I107" i="5" s="1"/>
  <c r="D37" i="5"/>
  <c r="C113" i="5" s="1"/>
  <c r="B141" i="5" s="1"/>
  <c r="C39" i="5" l="1"/>
  <c r="B115" i="5" s="1"/>
  <c r="D38" i="5"/>
  <c r="C114" i="5" s="1"/>
  <c r="B142" i="5" s="1"/>
  <c r="B40" i="5"/>
  <c r="G35" i="5"/>
  <c r="F111" i="5" s="1"/>
  <c r="E37" i="5"/>
  <c r="D113" i="5" s="1"/>
  <c r="C141" i="5" s="1"/>
  <c r="I33" i="5"/>
  <c r="H109" i="5" s="1"/>
  <c r="G137" i="5" s="1"/>
  <c r="J32" i="5"/>
  <c r="I108" i="5" s="1"/>
  <c r="H136" i="5" s="1"/>
  <c r="H34" i="5"/>
  <c r="G110" i="5" s="1"/>
  <c r="F138" i="5" s="1"/>
  <c r="F36" i="5"/>
  <c r="E112" i="5" s="1"/>
  <c r="K31" i="5"/>
  <c r="J107" i="5" s="1"/>
  <c r="H135" i="5"/>
  <c r="A38" i="5"/>
  <c r="A16" i="5"/>
  <c r="F137" i="5"/>
  <c r="I135" i="5" l="1"/>
  <c r="E139" i="5"/>
  <c r="D140" i="5"/>
  <c r="D39" i="5"/>
  <c r="C115" i="5" s="1"/>
  <c r="B143" i="5" s="1"/>
  <c r="E38" i="5"/>
  <c r="D114" i="5" s="1"/>
  <c r="C142" i="5" s="1"/>
  <c r="C40" i="5"/>
  <c r="B116" i="5" s="1"/>
  <c r="B41" i="5"/>
  <c r="H35" i="5"/>
  <c r="G111" i="5" s="1"/>
  <c r="F37" i="5"/>
  <c r="E113" i="5" s="1"/>
  <c r="D141" i="5" s="1"/>
  <c r="J33" i="5"/>
  <c r="I109" i="5" s="1"/>
  <c r="K32" i="5"/>
  <c r="J108" i="5" s="1"/>
  <c r="I136" i="5" s="1"/>
  <c r="I34" i="5"/>
  <c r="H110" i="5" s="1"/>
  <c r="G138" i="5" s="1"/>
  <c r="L31" i="5"/>
  <c r="K107" i="5" s="1"/>
  <c r="G36" i="5"/>
  <c r="F112" i="5" s="1"/>
  <c r="E140" i="5" s="1"/>
  <c r="A39" i="5"/>
  <c r="A17" i="5"/>
  <c r="J135" i="5" l="1"/>
  <c r="F139" i="5"/>
  <c r="D40" i="5"/>
  <c r="C116" i="5" s="1"/>
  <c r="B144" i="5" s="1"/>
  <c r="G37" i="5"/>
  <c r="F113" i="5" s="1"/>
  <c r="B42" i="5"/>
  <c r="E39" i="5"/>
  <c r="D115" i="5" s="1"/>
  <c r="C143" i="5" s="1"/>
  <c r="H36" i="5"/>
  <c r="G112" i="5" s="1"/>
  <c r="F140" i="5" s="1"/>
  <c r="K33" i="5"/>
  <c r="J109" i="5" s="1"/>
  <c r="I137" i="5" s="1"/>
  <c r="L32" i="5"/>
  <c r="K108" i="5" s="1"/>
  <c r="J136" i="5" s="1"/>
  <c r="C41" i="5"/>
  <c r="B117" i="5" s="1"/>
  <c r="I35" i="5"/>
  <c r="H111" i="5" s="1"/>
  <c r="G139" i="5" s="1"/>
  <c r="J34" i="5"/>
  <c r="I110" i="5" s="1"/>
  <c r="H138" i="5" s="1"/>
  <c r="M31" i="5"/>
  <c r="L107" i="5" s="1"/>
  <c r="F38" i="5"/>
  <c r="E114" i="5" s="1"/>
  <c r="A40" i="5"/>
  <c r="A18" i="5"/>
  <c r="H137" i="5"/>
  <c r="D142" i="5" l="1"/>
  <c r="A41" i="5"/>
  <c r="A19" i="5"/>
  <c r="E141" i="5"/>
  <c r="K135" i="5"/>
  <c r="D41" i="5"/>
  <c r="C117" i="5" s="1"/>
  <c r="B145" i="5" s="1"/>
  <c r="D116" i="5"/>
  <c r="C144" i="5" s="1"/>
  <c r="H37" i="5"/>
  <c r="G113" i="5" s="1"/>
  <c r="F39" i="5"/>
  <c r="E115" i="5" s="1"/>
  <c r="D143" i="5" s="1"/>
  <c r="I36" i="5"/>
  <c r="H112" i="5" s="1"/>
  <c r="G140" i="5" s="1"/>
  <c r="L33" i="5"/>
  <c r="K109" i="5" s="1"/>
  <c r="J137" i="5" s="1"/>
  <c r="M32" i="5"/>
  <c r="L108" i="5" s="1"/>
  <c r="K136" i="5" s="1"/>
  <c r="K34" i="5"/>
  <c r="J110" i="5" s="1"/>
  <c r="I138" i="5" s="1"/>
  <c r="N31" i="5"/>
  <c r="M107" i="5" s="1"/>
  <c r="B43" i="5"/>
  <c r="C42" i="5"/>
  <c r="B118" i="5" s="1"/>
  <c r="G38" i="5"/>
  <c r="F114" i="5" s="1"/>
  <c r="E142" i="5" s="1"/>
  <c r="J35" i="5"/>
  <c r="I111" i="5" s="1"/>
  <c r="G160" i="1" a="1"/>
  <c r="G160" i="1" s="1"/>
  <c r="E160" i="1" a="1"/>
  <c r="E160" i="1" s="1"/>
  <c r="A160" i="1" a="1"/>
  <c r="A160" i="1" s="1"/>
  <c r="I18" i="1"/>
  <c r="G18" i="1"/>
  <c r="E18" i="1" a="1"/>
  <c r="E18" i="1" s="1"/>
  <c r="C18" i="1" a="1"/>
  <c r="C18" i="1" s="1"/>
  <c r="A18" i="1" a="1"/>
  <c r="A18" i="1" s="1"/>
  <c r="N9" i="1"/>
  <c r="J9" i="1"/>
  <c r="F9" i="1"/>
  <c r="H139" i="5" l="1"/>
  <c r="A42" i="5"/>
  <c r="A20" i="5"/>
  <c r="B44" i="5"/>
  <c r="E41" i="5"/>
  <c r="D117" i="5" s="1"/>
  <c r="C43" i="5"/>
  <c r="B119" i="5" s="1"/>
  <c r="G39" i="5"/>
  <c r="F115" i="5" s="1"/>
  <c r="J36" i="5"/>
  <c r="I112" i="5" s="1"/>
  <c r="L34" i="5"/>
  <c r="K110" i="5" s="1"/>
  <c r="H38" i="5"/>
  <c r="G114" i="5" s="1"/>
  <c r="O31" i="5"/>
  <c r="N107" i="5" s="1"/>
  <c r="D42" i="5"/>
  <c r="C118" i="5" s="1"/>
  <c r="I37" i="5"/>
  <c r="H113" i="5" s="1"/>
  <c r="F40" i="5"/>
  <c r="E116" i="5" s="1"/>
  <c r="N32" i="5"/>
  <c r="M108" i="5" s="1"/>
  <c r="K35" i="5"/>
  <c r="J111" i="5" s="1"/>
  <c r="M33" i="5"/>
  <c r="L109" i="5" s="1"/>
  <c r="L135" i="5"/>
  <c r="F141" i="5"/>
  <c r="F142" i="5" l="1"/>
  <c r="D144" i="5"/>
  <c r="L136" i="5"/>
  <c r="I139" i="5"/>
  <c r="D43" i="5"/>
  <c r="C119" i="5" s="1"/>
  <c r="B147" i="5" s="1"/>
  <c r="C44" i="5"/>
  <c r="B120" i="5" s="1"/>
  <c r="M34" i="5"/>
  <c r="L110" i="5" s="1"/>
  <c r="I38" i="5"/>
  <c r="H114" i="5" s="1"/>
  <c r="G142" i="5" s="1"/>
  <c r="B45" i="5"/>
  <c r="L35" i="5"/>
  <c r="K111" i="5" s="1"/>
  <c r="J139" i="5" s="1"/>
  <c r="H39" i="5"/>
  <c r="G115" i="5" s="1"/>
  <c r="P31" i="5"/>
  <c r="O107" i="5" s="1"/>
  <c r="E42" i="5"/>
  <c r="D118" i="5" s="1"/>
  <c r="C146" i="5" s="1"/>
  <c r="G40" i="5"/>
  <c r="F116" i="5" s="1"/>
  <c r="E144" i="5" s="1"/>
  <c r="J37" i="5"/>
  <c r="I113" i="5" s="1"/>
  <c r="H141" i="5" s="1"/>
  <c r="K36" i="5"/>
  <c r="J112" i="5" s="1"/>
  <c r="I140" i="5" s="1"/>
  <c r="N33" i="5"/>
  <c r="M109" i="5" s="1"/>
  <c r="L137" i="5" s="1"/>
  <c r="F41" i="5"/>
  <c r="E117" i="5" s="1"/>
  <c r="D145" i="5" s="1"/>
  <c r="O32" i="5"/>
  <c r="N108" i="5" s="1"/>
  <c r="M136" i="5" s="1"/>
  <c r="J138" i="5"/>
  <c r="H140" i="5"/>
  <c r="A43" i="5"/>
  <c r="A21" i="5"/>
  <c r="G141" i="5"/>
  <c r="E143" i="5"/>
  <c r="B146" i="5"/>
  <c r="K137" i="5"/>
  <c r="M135" i="5"/>
  <c r="C145" i="5"/>
  <c r="N135" i="5" l="1"/>
  <c r="F143" i="5"/>
  <c r="A44" i="5"/>
  <c r="A22" i="5"/>
  <c r="F42" i="5"/>
  <c r="E118" i="5" s="1"/>
  <c r="D146" i="5" s="1"/>
  <c r="I39" i="5"/>
  <c r="H115" i="5" s="1"/>
  <c r="J38" i="5"/>
  <c r="I114" i="5" s="1"/>
  <c r="C45" i="5"/>
  <c r="B121" i="5" s="1"/>
  <c r="M35" i="5"/>
  <c r="L111" i="5" s="1"/>
  <c r="N34" i="5"/>
  <c r="M110" i="5" s="1"/>
  <c r="H40" i="5"/>
  <c r="G116" i="5" s="1"/>
  <c r="F144" i="5" s="1"/>
  <c r="K37" i="5"/>
  <c r="J113" i="5" s="1"/>
  <c r="I141" i="5" s="1"/>
  <c r="L36" i="5"/>
  <c r="K112" i="5" s="1"/>
  <c r="D44" i="5"/>
  <c r="C120" i="5" s="1"/>
  <c r="B148" i="5" s="1"/>
  <c r="O33" i="5"/>
  <c r="N109" i="5" s="1"/>
  <c r="P32" i="5"/>
  <c r="O108" i="5" s="1"/>
  <c r="N136" i="5" s="1"/>
  <c r="B46" i="5"/>
  <c r="E43" i="5"/>
  <c r="D119" i="5" s="1"/>
  <c r="G41" i="5"/>
  <c r="F117" i="5" s="1"/>
  <c r="E145" i="5" s="1"/>
  <c r="Q31" i="5"/>
  <c r="P107" i="5" s="1"/>
  <c r="K138" i="5"/>
  <c r="O135" i="5" l="1"/>
  <c r="J140" i="5"/>
  <c r="H142" i="5"/>
  <c r="C147" i="5"/>
  <c r="G143" i="5"/>
  <c r="B47" i="5"/>
  <c r="G42" i="5"/>
  <c r="F118" i="5" s="1"/>
  <c r="J39" i="5"/>
  <c r="I115" i="5" s="1"/>
  <c r="K38" i="5"/>
  <c r="J114" i="5" s="1"/>
  <c r="I40" i="5"/>
  <c r="H116" i="5" s="1"/>
  <c r="L37" i="5"/>
  <c r="K113" i="5" s="1"/>
  <c r="D45" i="5"/>
  <c r="C121" i="5" s="1"/>
  <c r="N35" i="5"/>
  <c r="M111" i="5" s="1"/>
  <c r="H41" i="5"/>
  <c r="G117" i="5" s="1"/>
  <c r="M36" i="5"/>
  <c r="L112" i="5" s="1"/>
  <c r="E44" i="5"/>
  <c r="D120" i="5" s="1"/>
  <c r="P33" i="5"/>
  <c r="O109" i="5" s="1"/>
  <c r="Q32" i="5"/>
  <c r="P108" i="5" s="1"/>
  <c r="F43" i="5"/>
  <c r="E119" i="5" s="1"/>
  <c r="O34" i="5"/>
  <c r="N110" i="5" s="1"/>
  <c r="R31" i="5"/>
  <c r="Q107" i="5" s="1"/>
  <c r="C46" i="5"/>
  <c r="B122" i="5" s="1"/>
  <c r="L138" i="5"/>
  <c r="A45" i="5"/>
  <c r="A23" i="5"/>
  <c r="M137" i="5"/>
  <c r="K139" i="5"/>
  <c r="N137" i="5" l="1"/>
  <c r="G144" i="5"/>
  <c r="K140" i="5"/>
  <c r="M138" i="5"/>
  <c r="H143" i="5"/>
  <c r="J141" i="5"/>
  <c r="A46" i="5"/>
  <c r="A24" i="5"/>
  <c r="C148" i="5"/>
  <c r="P135" i="5"/>
  <c r="I142" i="5"/>
  <c r="F145" i="5"/>
  <c r="D147" i="5"/>
  <c r="L139" i="5"/>
  <c r="E146" i="5"/>
  <c r="O136" i="5"/>
  <c r="B149" i="5"/>
  <c r="J40" i="5"/>
  <c r="I116" i="5" s="1"/>
  <c r="M37" i="5"/>
  <c r="L113" i="5" s="1"/>
  <c r="C47" i="5"/>
  <c r="B123" i="5" s="1"/>
  <c r="L38" i="5"/>
  <c r="K114" i="5" s="1"/>
  <c r="J142" i="5" s="1"/>
  <c r="I41" i="5"/>
  <c r="H117" i="5" s="1"/>
  <c r="G145" i="5" s="1"/>
  <c r="D46" i="5"/>
  <c r="C122" i="5" s="1"/>
  <c r="G43" i="5"/>
  <c r="F119" i="5" s="1"/>
  <c r="E147" i="5" s="1"/>
  <c r="H42" i="5"/>
  <c r="G118" i="5" s="1"/>
  <c r="F146" i="5" s="1"/>
  <c r="N36" i="5"/>
  <c r="M112" i="5" s="1"/>
  <c r="Q33" i="5"/>
  <c r="P109" i="5" s="1"/>
  <c r="R32" i="5"/>
  <c r="Q108" i="5" s="1"/>
  <c r="P136" i="5" s="1"/>
  <c r="E45" i="5"/>
  <c r="D121" i="5" s="1"/>
  <c r="C149" i="5" s="1"/>
  <c r="B48" i="5"/>
  <c r="F44" i="5"/>
  <c r="E120" i="5" s="1"/>
  <c r="S31" i="5"/>
  <c r="R107" i="5" s="1"/>
  <c r="O35" i="5"/>
  <c r="N111" i="5" s="1"/>
  <c r="K39" i="5"/>
  <c r="J115" i="5" s="1"/>
  <c r="P34" i="5"/>
  <c r="O110" i="5" s="1"/>
  <c r="K157" i="5" l="1"/>
  <c r="C48" i="5"/>
  <c r="B124" i="5" s="1"/>
  <c r="F45" i="5"/>
  <c r="E121" i="5" s="1"/>
  <c r="D160" i="5" s="1"/>
  <c r="D166" i="5" s="1"/>
  <c r="G44" i="5"/>
  <c r="F120" i="5" s="1"/>
  <c r="J41" i="5"/>
  <c r="I117" i="5" s="1"/>
  <c r="H163" i="5" s="1"/>
  <c r="D122" i="5"/>
  <c r="H43" i="5"/>
  <c r="G119" i="5" s="1"/>
  <c r="I42" i="5"/>
  <c r="H118" i="5" s="1"/>
  <c r="O36" i="5"/>
  <c r="N112" i="5" s="1"/>
  <c r="R33" i="5"/>
  <c r="Q109" i="5" s="1"/>
  <c r="S32" i="5"/>
  <c r="R108" i="5" s="1"/>
  <c r="K40" i="5"/>
  <c r="J116" i="5" s="1"/>
  <c r="N37" i="5"/>
  <c r="M113" i="5" s="1"/>
  <c r="Q34" i="5"/>
  <c r="P110" i="5" s="1"/>
  <c r="T31" i="5"/>
  <c r="S107" i="5" s="1"/>
  <c r="P35" i="5"/>
  <c r="O111" i="5" s="1"/>
  <c r="N157" i="5" s="1"/>
  <c r="M38" i="5"/>
  <c r="L114" i="5" s="1"/>
  <c r="D47" i="5"/>
  <c r="C123" i="5" s="1"/>
  <c r="L39" i="5"/>
  <c r="K115" i="5" s="1"/>
  <c r="M139" i="5"/>
  <c r="M157" i="5"/>
  <c r="B150" i="5"/>
  <c r="B160" i="5"/>
  <c r="B166" i="5" s="1"/>
  <c r="C160" i="5"/>
  <c r="C166" i="5" s="1"/>
  <c r="C163" i="5"/>
  <c r="I143" i="5"/>
  <c r="I160" i="5"/>
  <c r="O137" i="5"/>
  <c r="O157" i="5"/>
  <c r="M163" i="5"/>
  <c r="M166" i="5" s="1"/>
  <c r="L140" i="5"/>
  <c r="J163" i="5"/>
  <c r="J166" i="5" s="1"/>
  <c r="H144" i="5"/>
  <c r="H160" i="5"/>
  <c r="H166" i="5" s="1"/>
  <c r="N138" i="5"/>
  <c r="A47" i="5"/>
  <c r="A25" i="5"/>
  <c r="A48" i="5" s="1"/>
  <c r="G163" i="5"/>
  <c r="Q135" i="5"/>
  <c r="Q157" i="5"/>
  <c r="Q166" i="5" s="1"/>
  <c r="D148" i="5"/>
  <c r="K141" i="5"/>
  <c r="K160" i="5"/>
  <c r="D163" i="5"/>
  <c r="P137" i="5" l="1"/>
  <c r="B184" i="5"/>
  <c r="D184" i="5" s="1"/>
  <c r="F184" i="5" s="1"/>
  <c r="I184" i="5" s="1"/>
  <c r="M140" i="5"/>
  <c r="M160" i="5"/>
  <c r="O138" i="5"/>
  <c r="P157" i="5"/>
  <c r="E148" i="5"/>
  <c r="E157" i="5"/>
  <c r="E160" i="5"/>
  <c r="E166" i="5" s="1"/>
  <c r="J143" i="5"/>
  <c r="J160" i="5"/>
  <c r="J157" i="5"/>
  <c r="L141" i="5"/>
  <c r="L163" i="5"/>
  <c r="L166" i="5" s="1"/>
  <c r="L169" i="5" s="1"/>
  <c r="L171" i="5" s="1"/>
  <c r="B186" i="5" s="1"/>
  <c r="D186" i="5" s="1"/>
  <c r="F186" i="5" s="1"/>
  <c r="I186" i="5" s="1"/>
  <c r="L160" i="5"/>
  <c r="O163" i="5"/>
  <c r="O166" i="5" s="1"/>
  <c r="P163" i="5"/>
  <c r="P166" i="5" s="1"/>
  <c r="P169" i="5" s="1"/>
  <c r="P171" i="5" s="1"/>
  <c r="B182" i="5" s="1"/>
  <c r="D182" i="5" s="1"/>
  <c r="F182" i="5" s="1"/>
  <c r="I182" i="5" s="1"/>
  <c r="B151" i="5"/>
  <c r="B157" i="5"/>
  <c r="I144" i="5"/>
  <c r="I157" i="5"/>
  <c r="I163" i="5"/>
  <c r="I166" i="5" s="1"/>
  <c r="C150" i="5"/>
  <c r="C157" i="5"/>
  <c r="N139" i="5"/>
  <c r="B179" i="5"/>
  <c r="D179" i="5" s="1"/>
  <c r="F179" i="5" s="1"/>
  <c r="R135" i="5"/>
  <c r="R157" i="5"/>
  <c r="R166" i="5" s="1"/>
  <c r="R169" i="5" s="1"/>
  <c r="R171" i="5" s="1"/>
  <c r="D149" i="5"/>
  <c r="D157" i="5"/>
  <c r="E163" i="5"/>
  <c r="G146" i="5"/>
  <c r="G157" i="5"/>
  <c r="F147" i="5"/>
  <c r="F157" i="5"/>
  <c r="F163" i="5"/>
  <c r="F160" i="5"/>
  <c r="F166" i="5" s="1"/>
  <c r="B169" i="5" s="1"/>
  <c r="B171" i="5" s="1"/>
  <c r="B196" i="5" s="1"/>
  <c r="D196" i="5" s="1"/>
  <c r="F196" i="5" s="1"/>
  <c r="I196" i="5" s="1"/>
  <c r="G160" i="5"/>
  <c r="G166" i="5" s="1"/>
  <c r="Q169" i="5"/>
  <c r="Q171" i="5" s="1"/>
  <c r="B181" i="5" s="1"/>
  <c r="D181" i="5" s="1"/>
  <c r="F181" i="5" s="1"/>
  <c r="I181" i="5" s="1"/>
  <c r="L157" i="5"/>
  <c r="B163" i="5"/>
  <c r="K142" i="5"/>
  <c r="K163" i="5"/>
  <c r="K166" i="5" s="1"/>
  <c r="J169" i="5" s="1"/>
  <c r="J171" i="5" s="1"/>
  <c r="B188" i="5" s="1"/>
  <c r="D188" i="5" s="1"/>
  <c r="F188" i="5" s="1"/>
  <c r="I188" i="5" s="1"/>
  <c r="B180" i="5"/>
  <c r="D180" i="5" s="1"/>
  <c r="F180" i="5" s="1"/>
  <c r="I180" i="5" s="1"/>
  <c r="Q136" i="5"/>
  <c r="H145" i="5"/>
  <c r="H157" i="5"/>
  <c r="N163" i="5"/>
  <c r="N166" i="5" s="1"/>
  <c r="N169" i="5" s="1"/>
  <c r="N171" i="5" s="1"/>
  <c r="I179" i="5" l="1"/>
  <c r="I169" i="5"/>
  <c r="I171" i="5" s="1"/>
  <c r="B189" i="5" s="1"/>
  <c r="D189" i="5" s="1"/>
  <c r="F189" i="5" s="1"/>
  <c r="I189" i="5" s="1"/>
  <c r="G169" i="5"/>
  <c r="G171" i="5" s="1"/>
  <c r="B191" i="5" s="1"/>
  <c r="D191" i="5" s="1"/>
  <c r="F191" i="5" s="1"/>
  <c r="I191" i="5" s="1"/>
  <c r="C169" i="5"/>
  <c r="C171" i="5" s="1"/>
  <c r="B195" i="5" s="1"/>
  <c r="D195" i="5" s="1"/>
  <c r="F195" i="5" s="1"/>
  <c r="I195" i="5" s="1"/>
  <c r="F169" i="5"/>
  <c r="F171" i="5" s="1"/>
  <c r="B192" i="5" s="1"/>
  <c r="D192" i="5" s="1"/>
  <c r="F192" i="5" s="1"/>
  <c r="I192" i="5" s="1"/>
  <c r="E169" i="5"/>
  <c r="E171" i="5" s="1"/>
  <c r="B193" i="5" s="1"/>
  <c r="D193" i="5" s="1"/>
  <c r="F193" i="5" s="1"/>
  <c r="I193" i="5" s="1"/>
  <c r="M169" i="5"/>
  <c r="M171" i="5" s="1"/>
  <c r="B185" i="5" s="1"/>
  <c r="D185" i="5" s="1"/>
  <c r="F185" i="5" s="1"/>
  <c r="I185" i="5" s="1"/>
  <c r="K169" i="5"/>
  <c r="K171" i="5" s="1"/>
  <c r="B187" i="5" s="1"/>
  <c r="D187" i="5" s="1"/>
  <c r="F187" i="5" s="1"/>
  <c r="I187" i="5" s="1"/>
  <c r="H169" i="5"/>
  <c r="H171" i="5" s="1"/>
  <c r="B190" i="5" s="1"/>
  <c r="D190" i="5" s="1"/>
  <c r="F190" i="5" s="1"/>
  <c r="I190" i="5" s="1"/>
  <c r="O169" i="5"/>
  <c r="O171" i="5" s="1"/>
  <c r="B183" i="5" s="1"/>
  <c r="D183" i="5" s="1"/>
  <c r="F183" i="5" s="1"/>
  <c r="I183" i="5" s="1"/>
  <c r="D169" i="5"/>
  <c r="D171" i="5" s="1"/>
  <c r="B194" i="5" s="1"/>
  <c r="D194" i="5" s="1"/>
  <c r="F194" i="5" s="1"/>
  <c r="I194" i="5" s="1"/>
  <c r="I198" i="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tc={F73317AD-2338-C446-8E48-6719AA927BD8}</author>
    <author>tc={AAFA770F-5E85-144B-9179-AF7F5981525F}</author>
  </authors>
  <commentList>
    <comment ref="C16" authorId="0" shapeId="0" xr:uid="{F73317AD-2338-C446-8E48-6719AA927BD8}">
      <text>
        <t>[Threaded comment]
Your version of Excel allows you to read this threaded comment; however, any edits to it will get removed if the file is opened in a newer version of Excel. Learn more: https://go.microsoft.com/fwlink/?linkid=870924
Comment:
    Note how the formula proceeds to the second condition only if the first is not verified.</t>
      </text>
    </comment>
    <comment ref="E16" authorId="1" shapeId="0" xr:uid="{AAFA770F-5E85-144B-9179-AF7F5981525F}">
      <text>
        <t>[Threaded comment]
Your version of Excel allows you to read this threaded comment; however, any edits to it will get removed if the file is opened in a newer version of Excel. Learn more: https://go.microsoft.com/fwlink/?linkid=870924
Comment:
    note how the “TRUE” condition at the end (which is always true!!) is a catch all condition (default if none of the preceding conditions are verified)</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<sst xmlns="http://schemas.openxmlformats.org/spreadsheetml/2006/main" count="578" uniqueCount="313">
  <si>
    <t>Attacking</t>
  </si>
  <si>
    <t>Normal</t>
  </si>
  <si>
    <t>Fire</t>
  </si>
  <si>
    <t>Water</t>
  </si>
  <si>
    <t>Electric</t>
  </si>
  <si>
    <t>Grass</t>
  </si>
  <si>
    <t>Ice</t>
  </si>
  <si>
    <t>Fighting</t>
  </si>
  <si>
    <t>Poison</t>
  </si>
  <si>
    <t>Ground</t>
  </si>
  <si>
    <t>Flying</t>
  </si>
  <si>
    <t>Psychic</t>
  </si>
  <si>
    <t>Bug</t>
  </si>
  <si>
    <t>Rock</t>
  </si>
  <si>
    <t>Ghost</t>
  </si>
  <si>
    <t>Dragon</t>
  </si>
  <si>
    <t>Dark</t>
  </si>
  <si>
    <t>Steel</t>
  </si>
  <si>
    <t>Fairy</t>
  </si>
  <si>
    <t>Source:</t>
  </si>
  <si>
    <t>https://github.com/zonination/pokemon-chart/blob/master/chart.csv</t>
  </si>
  <si>
    <t>FIFA Women's World Cup Stats (1991 - 2019)</t>
  </si>
  <si>
    <t>id</t>
  </si>
  <si>
    <t>squad</t>
  </si>
  <si>
    <t>year</t>
  </si>
  <si>
    <t>players</t>
  </si>
  <si>
    <t>age</t>
  </si>
  <si>
    <t>possesion</t>
  </si>
  <si>
    <t>matches_played</t>
  </si>
  <si>
    <t>starts</t>
  </si>
  <si>
    <t>min_playing_time</t>
  </si>
  <si>
    <t>minutes_played_90s</t>
  </si>
  <si>
    <t>goals</t>
  </si>
  <si>
    <t>assists</t>
  </si>
  <si>
    <t>non_penalty_goals</t>
  </si>
  <si>
    <t>penalty_kicks_made</t>
  </si>
  <si>
    <t>penalty_kicks_attempted</t>
  </si>
  <si>
    <t>yellow_cards</t>
  </si>
  <si>
    <t>red_cards</t>
  </si>
  <si>
    <t>goals_per_90</t>
  </si>
  <si>
    <t>assists_per_90</t>
  </si>
  <si>
    <t>goals_plus_assists_per_90</t>
  </si>
  <si>
    <t>goals_minus_penalty_kicks_per_90</t>
  </si>
  <si>
    <t>goals_plus_assists_minus_penalty_kicks_per_90</t>
  </si>
  <si>
    <t>Argentina</t>
  </si>
  <si>
    <t>Australia</t>
  </si>
  <si>
    <t>Brazil</t>
  </si>
  <si>
    <t>Cameroon</t>
  </si>
  <si>
    <t>Canada</t>
  </si>
  <si>
    <t>Chile</t>
  </si>
  <si>
    <t>China PR</t>
  </si>
  <si>
    <t>England</t>
  </si>
  <si>
    <t>France</t>
  </si>
  <si>
    <t>Germany</t>
  </si>
  <si>
    <t>Italy</t>
  </si>
  <si>
    <t>Jamaica</t>
  </si>
  <si>
    <t>Japan</t>
  </si>
  <si>
    <t>Korea Rep</t>
  </si>
  <si>
    <t>Netherlands</t>
  </si>
  <si>
    <t>New Zealand</t>
  </si>
  <si>
    <t>Nigeria</t>
  </si>
  <si>
    <t>Norway</t>
  </si>
  <si>
    <t>Scotland</t>
  </si>
  <si>
    <t>South Africa</t>
  </si>
  <si>
    <t>Spain</t>
  </si>
  <si>
    <t>Sweden</t>
  </si>
  <si>
    <t>Thailand</t>
  </si>
  <si>
    <t>USA</t>
  </si>
  <si>
    <t>Colombia</t>
  </si>
  <si>
    <t>Costa Rica</t>
  </si>
  <si>
    <t>C√¥te d'Ivoire</t>
  </si>
  <si>
    <t>Ecuador</t>
  </si>
  <si>
    <t>Mexico</t>
  </si>
  <si>
    <t>Switzerland</t>
  </si>
  <si>
    <t>Equ. Guinea</t>
  </si>
  <si>
    <t>Korea DPR</t>
  </si>
  <si>
    <t>Denmark</t>
  </si>
  <si>
    <t>Ghana</t>
  </si>
  <si>
    <t>Russia</t>
  </si>
  <si>
    <t>Chinese Taipei</t>
  </si>
  <si>
    <t>Absolute and mixed cell references: Chapter 7 EE19, pages 332-342</t>
  </si>
  <si>
    <t>Pull the formula in the top left corner right, and down, over the yellow area. Can you explain the differences?</t>
  </si>
  <si>
    <t>New Excel 2019 functions (IFS, MAXIFS, MINIFS): Chapter 8, pages 381-398</t>
  </si>
  <si>
    <t>Simple if:</t>
  </si>
  <si>
    <t>IFS</t>
  </si>
  <si>
    <t>MAXIFS</t>
  </si>
  <si>
    <t>MINIFS</t>
  </si>
  <si>
    <t>Paste with transpose will achieve the same as transpose:</t>
  </si>
  <si>
    <t>(All)</t>
  </si>
  <si>
    <t>Row Labels</t>
  </si>
  <si>
    <t>Sum of matches_played</t>
  </si>
  <si>
    <t>Sum of goals</t>
  </si>
  <si>
    <t>Grand Total</t>
  </si>
  <si>
    <t>Average of possesion</t>
  </si>
  <si>
    <t>Spilling</t>
  </si>
  <si>
    <t>Hello</t>
  </si>
  <si>
    <t>&lt;-  =LEN(B3:B6)</t>
  </si>
  <si>
    <t xml:space="preserve">World </t>
  </si>
  <si>
    <t>of</t>
  </si>
  <si>
    <t>Actuaries</t>
  </si>
  <si>
    <t>Think in vectors</t>
  </si>
  <si>
    <t>How often is Fire&gt;Water?</t>
  </si>
  <si>
    <t>For which type of pokemon?</t>
  </si>
  <si>
    <t>Loss ratios</t>
  </si>
  <si>
    <t>NSW</t>
  </si>
  <si>
    <t>VIC</t>
  </si>
  <si>
    <t>ACT</t>
  </si>
  <si>
    <t>Motor</t>
  </si>
  <si>
    <t>Liability</t>
  </si>
  <si>
    <t>Life</t>
  </si>
  <si>
    <t>Property</t>
  </si>
  <si>
    <t>The # sign</t>
  </si>
  <si>
    <t xml:space="preserve">Try to change to SEQUENCE(10) and compare sum differences above </t>
  </si>
  <si>
    <t>Some new formulas</t>
  </si>
  <si>
    <t>Which teams played 7 matches?</t>
  </si>
  <si>
    <t>Lookup functions</t>
  </si>
  <si>
    <t>VLOOKUP</t>
  </si>
  <si>
    <t>You can specify a lookup array and find all the corresponding values.</t>
  </si>
  <si>
    <t>Or return multiple columns as previouly shown</t>
  </si>
  <si>
    <t>You can even return multiple rows with different columns!</t>
  </si>
  <si>
    <t>We use 'Products' as the lookup array</t>
  </si>
  <si>
    <t>It must be at the first column of your table</t>
  </si>
  <si>
    <t>-&gt; returning 2nd and 4th column in first row</t>
  </si>
  <si>
    <t>and we select the 4th column to return values.</t>
  </si>
  <si>
    <t>-&gt; 1st and 3rd column in 2nd row</t>
  </si>
  <si>
    <t>-&gt; return N/A if value does not exist.</t>
  </si>
  <si>
    <t>-&gt; 4th and 2nd column in 3rd row</t>
  </si>
  <si>
    <r>
      <rPr>
        <b/>
        <sz val="12"/>
        <color rgb="FFFF0000"/>
        <rFont val="Calibri"/>
        <family val="2"/>
      </rPr>
      <t>XLOOKUP</t>
    </r>
    <r>
      <rPr>
        <sz val="12"/>
        <color rgb="FFFF0000"/>
        <rFont val="Calibri"/>
        <family val="2"/>
      </rPr>
      <t xml:space="preserve"> - We don't have to specify the column number.</t>
    </r>
  </si>
  <si>
    <t>Product</t>
  </si>
  <si>
    <t xml:space="preserve">Specifying return values if not found </t>
  </si>
  <si>
    <r>
      <t xml:space="preserve">MATCH </t>
    </r>
    <r>
      <rPr>
        <sz val="12"/>
        <color rgb="FFFF0000"/>
        <rFont val="Calibri"/>
        <family val="2"/>
        <scheme val="minor"/>
      </rPr>
      <t>- Matching the index of your lookup array</t>
    </r>
  </si>
  <si>
    <t>Combining with INDEX makes it works like a lookup function</t>
  </si>
  <si>
    <t>XLOOKUP does not require your lookup array in your data table</t>
  </si>
  <si>
    <t>However your lookup and return array need to have same length.</t>
  </si>
  <si>
    <t>Travel</t>
  </si>
  <si>
    <t>INDEX</t>
  </si>
  <si>
    <t>INDEX returns the value inside your array with specified index.</t>
  </si>
  <si>
    <t xml:space="preserve">How many goals did Argentina scored? </t>
  </si>
  <si>
    <t>Specifying search mode</t>
  </si>
  <si>
    <t>1: First to last; -1: Last to first</t>
  </si>
  <si>
    <r>
      <rPr>
        <b/>
        <sz val="12"/>
        <color rgb="FFFF0000"/>
        <rFont val="Calibri"/>
        <family val="2"/>
        <scheme val="minor"/>
      </rPr>
      <t>XMATCH</t>
    </r>
    <r>
      <rPr>
        <sz val="12"/>
        <color rgb="FFFF0000"/>
        <rFont val="Calibri"/>
        <family val="2"/>
        <scheme val="minor"/>
      </rPr>
      <t xml:space="preserve"> - allows specified search mode</t>
    </r>
  </si>
  <si>
    <t>allows lookup from the last item.</t>
  </si>
  <si>
    <t>Argentina went to world cup for multiple years.</t>
  </si>
  <si>
    <t>So there will be different number of goals if we search in different order.</t>
  </si>
  <si>
    <t>Dynamic references</t>
  </si>
  <si>
    <t>OFFSET</t>
  </si>
  <si>
    <t>Month</t>
  </si>
  <si>
    <t>Profit</t>
  </si>
  <si>
    <t>Which month?</t>
  </si>
  <si>
    <t>Jan</t>
  </si>
  <si>
    <t>Feb</t>
  </si>
  <si>
    <t>Mar</t>
  </si>
  <si>
    <t>Apr</t>
  </si>
  <si>
    <t>May</t>
  </si>
  <si>
    <t>From</t>
  </si>
  <si>
    <t>To</t>
  </si>
  <si>
    <t>Jun</t>
  </si>
  <si>
    <t>&lt;- try change this</t>
  </si>
  <si>
    <t>Jul</t>
  </si>
  <si>
    <t>You can dynamically reference a specified period!</t>
  </si>
  <si>
    <t>Aug</t>
  </si>
  <si>
    <t>Sep</t>
  </si>
  <si>
    <t>First, select the whole table to offset.</t>
  </si>
  <si>
    <t>Oct</t>
  </si>
  <si>
    <t>Move down 'F10' rows to get to the starting month.</t>
  </si>
  <si>
    <t>Nov</t>
  </si>
  <si>
    <t>You don't need to offset by columns, so 0 as the third argument.</t>
  </si>
  <si>
    <t>Dec</t>
  </si>
  <si>
    <t>Then you select the number of rows between starting and ending mont.</t>
  </si>
  <si>
    <t>And you select 2 columns, which is the original width of your table.</t>
  </si>
  <si>
    <t>ADDRESS</t>
  </si>
  <si>
    <t>find the address of the specified rows and columns</t>
  </si>
  <si>
    <t>What is the address storing the month 'Jan' inside the table?</t>
  </si>
  <si>
    <t>&lt;- We are finding the address at row 26 and column 2, which stores the text 'Jan'.</t>
  </si>
  <si>
    <t>INDIRECT</t>
  </si>
  <si>
    <t>get the value of the address specified in cell</t>
  </si>
  <si>
    <t>What does that address contain?</t>
  </si>
  <si>
    <t>Combining together...</t>
  </si>
  <si>
    <t>You can reference any part of your table!</t>
  </si>
  <si>
    <t>You can do it with OFFSET too!</t>
  </si>
  <si>
    <t xml:space="preserve">To </t>
  </si>
  <si>
    <t>From Week</t>
  </si>
  <si>
    <t>Up to Week</t>
  </si>
  <si>
    <t>&lt;-</t>
  </si>
  <si>
    <t>Change them!</t>
  </si>
  <si>
    <t>-&gt;</t>
  </si>
  <si>
    <t>Week1</t>
  </si>
  <si>
    <t>Week2</t>
  </si>
  <si>
    <t>Week3</t>
  </si>
  <si>
    <t>Week4</t>
  </si>
  <si>
    <t>Get the months-&gt;</t>
  </si>
  <si>
    <t>Get the numbers-&gt;</t>
  </si>
  <si>
    <t>The trick here is similar as INDIRECT(ADDRESS()), we dynamically select the range by adding week numbers.</t>
  </si>
  <si>
    <t>Breakdown:</t>
  </si>
  <si>
    <t>To get the months:</t>
  </si>
  <si>
    <t xml:space="preserve">MATCH(I39,A26:G26,0) </t>
  </si>
  <si>
    <t>Find which column in A26:G26 contains the starting month</t>
  </si>
  <si>
    <t>ADDRESS(38, MATCH(I39,A26:G26,0) )</t>
  </si>
  <si>
    <t>That is the address of the cell inside the table containing the starting month</t>
  </si>
  <si>
    <t>INDIRECT(ADDRESS(..,MATCH()))</t>
  </si>
  <si>
    <t>This gives you the indirect reference to the starting month.</t>
  </si>
  <si>
    <t>The second INDIRECT gives you the indirect reference for the ending month.</t>
  </si>
  <si>
    <t>Combining them will give us the specified months.</t>
  </si>
  <si>
    <t>To get the data:</t>
  </si>
  <si>
    <t>Same as above</t>
  </si>
  <si>
    <t>ADDRESS(38+K39, MATCH(I39,A26:G26,0) )</t>
  </si>
  <si>
    <t>We move down few rows (+K39) based on the starting week</t>
  </si>
  <si>
    <t>This gives you the indirect reference corresponds to the value to the starting month at the starting week.</t>
  </si>
  <si>
    <t>The second INDIRECT gives you the indirect reference for the ending month at the ending week.</t>
  </si>
  <si>
    <t>Note: We need INDIRECT(address):INDIRECT(address) to select the range between two indirect addresses.</t>
  </si>
  <si>
    <t>top left</t>
  </si>
  <si>
    <t>F55</t>
  </si>
  <si>
    <t>bottom right</t>
  </si>
  <si>
    <t>H57</t>
  </si>
  <si>
    <t>Table 3.10</t>
  </si>
  <si>
    <t>Incurred Losses</t>
  </si>
  <si>
    <t>Period</t>
  </si>
  <si>
    <t>Incurred losses to end of development year n=</t>
  </si>
  <si>
    <t>of origin</t>
  </si>
  <si>
    <t>$000</t>
  </si>
  <si>
    <t xml:space="preserve">Inflation </t>
  </si>
  <si>
    <t>Incurred losses, as of 31/12/1995, to end of development year n=</t>
  </si>
  <si>
    <t>factor</t>
  </si>
  <si>
    <t>Table 2.2</t>
  </si>
  <si>
    <t>Forecast Numbers of IBNR Claims</t>
  </si>
  <si>
    <t>Number of claims notified, actual and forecast (bold), in development year</t>
  </si>
  <si>
    <t>Number</t>
  </si>
  <si>
    <t>11 &amp; later</t>
  </si>
  <si>
    <t>to 1995</t>
  </si>
  <si>
    <t>IBNR</t>
  </si>
  <si>
    <t>Total</t>
  </si>
  <si>
    <t>Cumulative reported claim counts</t>
  </si>
  <si>
    <t>Average incurred cost per reported claim, by period of origin and for develop period j=</t>
  </si>
  <si>
    <t>Incurred loss age to age factors</t>
  </si>
  <si>
    <t>Age to age factor from development year n to n+1</t>
  </si>
  <si>
    <t>development year n=</t>
  </si>
  <si>
    <t>Weighted</t>
  </si>
  <si>
    <t>averages:</t>
  </si>
  <si>
    <t>All</t>
  </si>
  <si>
    <t>Last 6</t>
  </si>
  <si>
    <t>experience</t>
  </si>
  <si>
    <t>years</t>
  </si>
  <si>
    <t>Last 3</t>
  </si>
  <si>
    <t>Model(un-</t>
  </si>
  <si>
    <t>smoothed)</t>
  </si>
  <si>
    <t>&lt;- we could decide to set this to 1 to be conservative</t>
  </si>
  <si>
    <t>age-to-</t>
  </si>
  <si>
    <t>ultimate</t>
  </si>
  <si>
    <t>prop-to-ult</t>
  </si>
  <si>
    <t>Paid losses</t>
  </si>
  <si>
    <t>to</t>
  </si>
  <si>
    <t>Out-</t>
  </si>
  <si>
    <t>Incurred</t>
  </si>
  <si>
    <t>Incurred CL/</t>
  </si>
  <si>
    <t>Paid CL</t>
  </si>
  <si>
    <t>Separation</t>
  </si>
  <si>
    <t>Average cost</t>
  </si>
  <si>
    <t xml:space="preserve">Claim </t>
  </si>
  <si>
    <t>Ultimate</t>
  </si>
  <si>
    <t>1995</t>
  </si>
  <si>
    <t>standing</t>
  </si>
  <si>
    <t>CL</t>
  </si>
  <si>
    <t>PPCI</t>
  </si>
  <si>
    <t>unadjusted</t>
  </si>
  <si>
    <t>adjusted</t>
  </si>
  <si>
    <t>method</t>
  </si>
  <si>
    <t>per claim</t>
  </si>
  <si>
    <t>numbers</t>
  </si>
  <si>
    <t>=SUM(F179:F196)</t>
  </si>
  <si>
    <t>this formula is show as text by adding a apostrophe ' in front of it.</t>
  </si>
  <si>
    <t>Basic random functions</t>
  </si>
  <si>
    <t>Simulating different distributions (Continuous)</t>
  </si>
  <si>
    <t>Simulating Discrete RV</t>
  </si>
  <si>
    <t>Weather</t>
  </si>
  <si>
    <t>Probability</t>
  </si>
  <si>
    <t>RAND</t>
  </si>
  <si>
    <t>RANDARRAY</t>
  </si>
  <si>
    <t>Good</t>
  </si>
  <si>
    <t>OK</t>
  </si>
  <si>
    <t>Bad</t>
  </si>
  <si>
    <t>Frequency</t>
  </si>
  <si>
    <t>Empirical Probability</t>
  </si>
  <si>
    <t>Mean</t>
  </si>
  <si>
    <t>SD</t>
  </si>
  <si>
    <t>Var</t>
  </si>
  <si>
    <t>Theoretical</t>
  </si>
  <si>
    <t>Variance</t>
  </si>
  <si>
    <t>Theoretical Variance</t>
  </si>
  <si>
    <t>Record a macro</t>
  </si>
  <si>
    <t>Try running recorded_example1 here!</t>
  </si>
  <si>
    <t>Absolute and relative references in macro</t>
  </si>
  <si>
    <t>Run recorded_absolute_example.</t>
  </si>
  <si>
    <t>Undo everything, select another cell outside the table and run it again. What happens?</t>
  </si>
  <si>
    <t>(You can clear all formatting by Home -&gt; Editing -&gt; Clear -&gt; Clear all formatting)</t>
  </si>
  <si>
    <t>Now click on cell B15 and run recorded_relative example.</t>
  </si>
  <si>
    <t>Click on cell E15 and run it again. What happens?</t>
  </si>
  <si>
    <t>This example shows the difference between absolute and relative referencing in recorded macro.</t>
  </si>
  <si>
    <t>Buttons in macro</t>
  </si>
  <si>
    <t>Try clicking this button!</t>
  </si>
  <si>
    <t>And this shape!</t>
  </si>
  <si>
    <t>Editing a macro</t>
  </si>
  <si>
    <t>Click on any cell between M5:P8. Run recorded_example1_edit.</t>
  </si>
  <si>
    <t>We added new lines, where the font size of the row you selected increases.</t>
  </si>
  <si>
    <t>Added the following lines:</t>
  </si>
  <si>
    <t>Try Here</t>
  </si>
  <si>
    <t>Writing VBA: Conditioning</t>
  </si>
  <si>
    <t>Click on any values under profit and press the button.</t>
  </si>
  <si>
    <t>Here we have three situations with conditioning.</t>
  </si>
  <si>
    <t>Writing VBA: Loop</t>
  </si>
  <si>
    <t>Example: Print numbers from 1 to k, each number n times</t>
  </si>
  <si>
    <t>For Loop</t>
  </si>
  <si>
    <t>While loop version of the previous example.</t>
  </si>
  <si>
    <t>Paste special: Chapter 11, pages 518-530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</si>
</sst>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1" formatCode="_(* #,##0_);_(* \(#,##0\);_(* &quot;-&quot;_);_(@_)"/>
    <numFmt numFmtId="43" formatCode="_(* #,##0.00_);_(* \(#,##0.00\);_(* &quot;-&quot;??_);_(@_)"/>
    <numFmt numFmtId="164" formatCode="0.000"/>
    <numFmt numFmtId="165" formatCode="0.0"/>
    <numFmt numFmtId="166" formatCode="0.0%"/>
    <numFmt numFmtId="167" formatCode="_(* #,##0_);_(* \(#,##0\);_(* &quot;-&quot;??_);_(@_)"/>
  </numFmts>
  <fonts count="22" x14ac:knownFonts="1">
    <font>
      <sz val="12"/>
      <color theme="1"/>
      <name val="Calibri"/>
      <family val="2"/>
      <scheme val="minor"/>
    </font>
    <font>
      <sz val="11"/>
      <color theme="1"/>
      <name val="Calibri"/>
      <family val="2"/>
      <scheme val="minor"/>
    </font>
    <font>
      <b/>
      <sz val="12"/>
      <color theme="1"/>
      <name val="Calibri"/>
      <family val="2"/>
      <scheme val="minor"/>
    </font>
    <font>
      <b/>
      <sz val="12"/>
      <color rgb="FFFF0000"/>
      <name val="Calibri"/>
      <family val="2"/>
      <scheme val="minor"/>
    </font>
    <font>
      <u/>
      <sz val="12"/>
      <color theme="10"/>
      <name val="Calibri"/>
      <family val="2"/>
      <scheme val="minor"/>
    </font>
    <font>
      <sz val="10"/>
      <color rgb="FF000000"/>
      <name val="Arial Unicode MS"/>
      <family val="2"/>
    </font>
    <font>
      <sz val="14"/>
      <color rgb="FF3C4043"/>
      <name val="Arial"/>
      <family val="2"/>
    </font>
    <font>
      <sz val="12"/>
      <color theme="1"/>
      <name val="Calibri"/>
      <family val="2"/>
      <scheme val="minor"/>
    </font>
    <font>
      <b/>
      <sz val="12"/>
      <color rgb="FF000000"/>
      <name val="Arial"/>
      <family val="2"/>
    </font>
    <font>
      <sz val="12"/>
      <color theme="1"/>
      <name val="Arial"/>
      <family val="2"/>
    </font>
    <font>
      <sz val="12"/>
      <color rgb="FF000000"/>
      <name val="Arial"/>
      <family val="2"/>
    </font>
    <font>
      <b/>
      <sz val="12"/>
      <color theme="1"/>
      <name val="Arial"/>
      <family val="2"/>
    </font>
    <font>
      <sz val="12"/>
      <name val="Arial"/>
      <family val="2"/>
    </font>
    <font>
      <sz val="12"/>
      <color rgb="FFFF0000"/>
      <name val="Calibri"/>
      <family val="2"/>
      <scheme val="minor"/>
    </font>
    <font>
      <b/>
      <sz val="12"/>
      <color rgb="FFFF0000"/>
      <name val="Calibri"/>
      <family val="2"/>
    </font>
    <font>
      <sz val="12"/>
      <color rgb="FFFF0000"/>
      <name val="Calibri"/>
      <family val="2"/>
    </font>
    <font>
      <b/>
      <sz val="12"/>
      <color rgb="FFFF0000"/>
      <name val="Calibri"/>
      <family val="2"/>
      <scheme val="minor"/>
    </font>
    <font>
      <sz val="12"/>
      <color rgb="FFFF0000"/>
      <name val="Calibri"/>
      <family val="2"/>
      <scheme val="minor"/>
    </font>
    <font>
      <sz val="12"/>
      <color rgb="FF000000"/>
      <name val="Calibri"/>
      <family val="2"/>
      <scheme val="minor"/>
    </font>
    <font>
      <sz val="11"/>
      <color rgb="FFFF0000"/>
      <name val="Calibri"/>
      <family val="2"/>
      <scheme val="minor"/>
    </font>
    <font>
      <sz val="18"/>
      <color theme="1"/>
      <name val="Calibri"/>
      <family val="2"/>
      <scheme val="minor"/>
    </font>
    <font>
      <sz val="12"/>
      <color rgb="FF000000"/>
      <name val="Calibri"/>
      <family val="2"/>
    </font>
  </fonts>
  <fills count="6">
    <fill>
      <patternFill patternType="none"/>
    </fill>
    <fill>
      <patternFill patternType="gray125"/>
    </fill>
    <fill>
      <patternFill patternType="solid">
        <fgColor rgb="FFFFFF00"/>
        <bgColor indexed="64"/>
      </patternFill>
    </fill>
    <fill>
      <patternFill patternType="solid">
        <fgColor theme="5" tint="0.59999389629810485"/>
        <bgColor indexed="64"/>
      </patternFill>
    </fill>
    <fill>
      <patternFill patternType="solid">
        <fgColor rgb="FFFFC000"/>
        <bgColor indexed="64"/>
      </patternFill>
    </fill>
    <fill>
      <patternFill patternType="solid">
        <fgColor theme="4" tint="0.59999389629810485"/>
        <bgColor indexed="64"/>
      </patternFill>
    </fill>
  </fills>
  <borders count="31">
    <border>
      <left/>
      <right/>
      <top/>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auto="1"/>
      </bottom>
      <diagonal/>
    </border>
    <border>
      <left/>
      <right style="thin">
        <color auto="1"/>
      </right>
      <top/>
      <bottom/>
      <diagonal/>
    </border>
    <border>
      <left style="thin">
        <color indexed="64"/>
      </left>
      <right/>
      <top/>
      <bottom/>
      <diagonal/>
    </border>
    <border>
      <left/>
      <right/>
      <top style="thin">
        <color indexed="64"/>
      </top>
      <bottom style="double">
        <color indexed="64"/>
      </bottom>
      <diagonal/>
    </border>
    <border>
      <left/>
      <right/>
      <top style="thin">
        <color indexed="64"/>
      </top>
      <bottom style="thin">
        <color auto="1"/>
      </bottom>
      <diagonal/>
    </border>
    <border>
      <left style="thin">
        <color indexed="64"/>
      </left>
      <right style="thin">
        <color indexed="64"/>
      </right>
      <top style="thin">
        <color indexed="64"/>
      </top>
      <bottom style="thin">
        <color indexed="64"/>
      </bottom>
      <diagonal/>
    </border>
    <border>
      <left/>
      <right/>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s>
  <cellStyleXfs count="3">
    <xf numFmtId="0" fontId="0" fillId="0" borderId="0"/>
    <xf numFmtId="0" fontId="4" fillId="0" borderId="0" applyNumberFormat="0" applyFill="0" applyBorder="0" applyAlignment="0" applyProtection="0"/>
    <xf numFmtId="9" fontId="7" fillId="0" borderId="0" applyFont="0" applyFill="0" applyBorder="0" applyAlignment="0" applyProtection="0"/>
  </cellStyleXfs>
  <cellXfs count="119">
    <xf numFmtId="0" fontId="0" fillId="0" borderId="0" xfId="0"/>
    <xf numFmtId="0" fontId="0" fillId="0" borderId="1" xfId="0" applyBorder="1"/>
    <xf numFmtId="0" fontId="0" fillId="2" borderId="0" xfId="0" applyFill="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0" borderId="0" xfId="0" applyFont="1"/>
    <xf numFmtId="0" fontId="3" fillId="0" borderId="0" xfId="0" applyFont="1"/>
    <xf numFmtId="0" fontId="5" fillId="0" borderId="0" xfId="0" applyFont="1"/>
    <xf numFmtId="0" fontId="4" fillId="0" borderId="0" xfId="1"/>
    <xf numFmtId="0" fontId="6" fillId="0" borderId="0" xfId="0" applyFont="1"/>
    <xf numFmtId="0" fontId="8" fillId="0" borderId="0" xfId="0" applyFont="1" applyAlignment="1">
      <alignment horizontal="left"/>
    </xf>
    <xf numFmtId="0" fontId="9" fillId="0" borderId="0" xfId="0" applyFont="1"/>
    <xf numFmtId="0" fontId="10" fillId="0" borderId="0" xfId="0" applyFont="1"/>
    <xf numFmtId="0" fontId="8" fillId="0" borderId="0" xfId="0" applyFont="1" applyAlignment="1">
      <alignment horizontal="center"/>
    </xf>
    <xf numFmtId="0" fontId="11" fillId="0" borderId="0" xfId="0" applyFont="1" applyAlignment="1">
      <alignment horizontal="left"/>
    </xf>
    <xf numFmtId="0" fontId="8" fillId="0" borderId="10" xfId="0" applyFont="1" applyBorder="1"/>
    <xf numFmtId="0" fontId="11" fillId="0" borderId="0" xfId="0" applyFont="1"/>
    <xf numFmtId="0" fontId="8" fillId="0" borderId="10" xfId="0" applyFont="1" applyBorder="1" applyAlignment="1">
      <alignment horizontal="center"/>
    </xf>
    <xf numFmtId="0" fontId="11" fillId="0" borderId="10" xfId="0" applyFont="1" applyBorder="1"/>
    <xf numFmtId="0" fontId="10" fillId="0" borderId="0" xfId="0" applyFont="1" applyAlignment="1">
      <alignment horizontal="center"/>
    </xf>
    <xf numFmtId="41" fontId="10" fillId="0" borderId="0" xfId="0" applyNumberFormat="1" applyFont="1"/>
    <xf numFmtId="164" fontId="10" fillId="0" borderId="11" xfId="0" applyNumberFormat="1" applyFont="1" applyBorder="1"/>
    <xf numFmtId="0" fontId="11" fillId="0" borderId="12" xfId="0" applyFont="1" applyBorder="1"/>
    <xf numFmtId="0" fontId="11" fillId="0" borderId="0" xfId="0" applyFont="1" applyAlignment="1">
      <alignment horizontal="right"/>
    </xf>
    <xf numFmtId="0" fontId="12" fillId="0" borderId="0" xfId="0" applyFont="1"/>
    <xf numFmtId="0" fontId="9" fillId="0" borderId="12" xfId="0" applyFont="1" applyBorder="1"/>
    <xf numFmtId="165" fontId="9" fillId="0" borderId="0" xfId="0" applyNumberFormat="1" applyFont="1"/>
    <xf numFmtId="165" fontId="11" fillId="0" borderId="0" xfId="0" applyNumberFormat="1" applyFont="1"/>
    <xf numFmtId="165" fontId="9" fillId="0" borderId="12" xfId="0" applyNumberFormat="1" applyFont="1" applyBorder="1"/>
    <xf numFmtId="165" fontId="11" fillId="0" borderId="13" xfId="0" applyNumberFormat="1" applyFont="1" applyBorder="1"/>
    <xf numFmtId="0" fontId="10" fillId="0" borderId="0" xfId="0" applyFont="1" applyAlignment="1">
      <alignment horizontal="left"/>
    </xf>
    <xf numFmtId="0" fontId="10" fillId="0" borderId="10" xfId="0" applyFont="1" applyBorder="1" applyAlignment="1">
      <alignment horizontal="center"/>
    </xf>
    <xf numFmtId="0" fontId="10" fillId="0" borderId="10" xfId="0" applyFont="1" applyBorder="1" applyAlignment="1">
      <alignment horizontal="left"/>
    </xf>
    <xf numFmtId="0" fontId="10" fillId="0" borderId="10" xfId="0" applyFont="1" applyBorder="1"/>
    <xf numFmtId="164" fontId="10" fillId="0" borderId="0" xfId="0" applyNumberFormat="1" applyFont="1"/>
    <xf numFmtId="165" fontId="10" fillId="0" borderId="0" xfId="0" applyNumberFormat="1" applyFont="1"/>
    <xf numFmtId="164" fontId="10" fillId="2" borderId="0" xfId="0" applyNumberFormat="1" applyFont="1" applyFill="1"/>
    <xf numFmtId="164" fontId="10" fillId="3" borderId="0" xfId="0" applyNumberFormat="1" applyFont="1" applyFill="1"/>
    <xf numFmtId="164" fontId="10" fillId="4" borderId="0" xfId="0" applyNumberFormat="1" applyFont="1" applyFill="1"/>
    <xf numFmtId="0" fontId="9" fillId="5" borderId="0" xfId="0" applyFont="1" applyFill="1"/>
    <xf numFmtId="0" fontId="9" fillId="0" borderId="0" xfId="0" applyFont="1" applyAlignment="1">
      <alignment horizontal="center"/>
    </xf>
    <xf numFmtId="166" fontId="9" fillId="0" borderId="0" xfId="2" applyNumberFormat="1" applyFont="1"/>
    <xf numFmtId="0" fontId="8" fillId="0" borderId="14" xfId="0" applyFont="1" applyBorder="1" applyAlignment="1">
      <alignment horizontal="center"/>
    </xf>
    <xf numFmtId="0" fontId="8" fillId="0" borderId="1" xfId="0" applyFont="1" applyBorder="1" applyAlignment="1">
      <alignment horizontal="center"/>
    </xf>
    <xf numFmtId="0" fontId="8" fillId="0" borderId="0" xfId="0" applyFont="1"/>
    <xf numFmtId="41" fontId="9" fillId="0" borderId="0" xfId="0" applyNumberFormat="1" applyFont="1"/>
    <xf numFmtId="167" fontId="11" fillId="0" borderId="0" xfId="0" applyNumberFormat="1" applyFont="1"/>
    <xf numFmtId="167" fontId="9" fillId="0" borderId="0" xfId="0" applyNumberFormat="1" applyFont="1"/>
    <xf numFmtId="41" fontId="8" fillId="0" borderId="0" xfId="0" applyNumberFormat="1" applyFont="1"/>
    <xf numFmtId="9" fontId="9" fillId="0" borderId="0" xfId="2" applyFont="1"/>
    <xf numFmtId="43" fontId="9" fillId="0" borderId="0" xfId="0" applyNumberFormat="1" applyFont="1"/>
    <xf numFmtId="41" fontId="8" fillId="0" borderId="10" xfId="0" applyNumberFormat="1" applyFont="1" applyBorder="1"/>
    <xf numFmtId="41" fontId="11" fillId="0" borderId="0" xfId="0" applyNumberFormat="1" applyFont="1"/>
    <xf numFmtId="167" fontId="10" fillId="0" borderId="10" xfId="0" applyNumberFormat="1" applyFont="1" applyBorder="1"/>
    <xf numFmtId="167" fontId="8" fillId="0" borderId="10" xfId="0" applyNumberFormat="1" applyFont="1" applyBorder="1"/>
    <xf numFmtId="0" fontId="9" fillId="0" borderId="0" xfId="0" quotePrefix="1" applyFont="1"/>
    <xf numFmtId="0" fontId="0" fillId="0" borderId="0" xfId="0" pivotButton="1"/>
    <xf numFmtId="0" fontId="0" fillId="0" borderId="0" xfId="0" applyAlignment="1">
      <alignment horizontal="left"/>
    </xf>
    <xf numFmtId="0" fontId="0" fillId="0" borderId="0" xfId="0" quotePrefix="1"/>
    <xf numFmtId="0" fontId="0" fillId="0" borderId="13" xfId="0" applyBorder="1"/>
    <xf numFmtId="0" fontId="0" fillId="0" borderId="10" xfId="0" applyBorder="1"/>
    <xf numFmtId="0" fontId="13" fillId="0" borderId="0" xfId="0" applyFont="1"/>
    <xf numFmtId="164" fontId="0" fillId="0" borderId="0" xfId="0" applyNumberFormat="1"/>
    <xf numFmtId="164" fontId="0" fillId="0" borderId="6" xfId="0" applyNumberFormat="1" applyBorder="1"/>
    <xf numFmtId="164" fontId="0" fillId="0" borderId="8" xfId="0" applyNumberFormat="1" applyBorder="1"/>
    <xf numFmtId="164" fontId="0" fillId="0" borderId="9" xfId="0" applyNumberFormat="1" applyBorder="1"/>
    <xf numFmtId="0" fontId="0" fillId="0" borderId="15" xfId="0" applyBorder="1"/>
    <xf numFmtId="0" fontId="0" fillId="2" borderId="15" xfId="0" applyFill="1"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14" fillId="0" borderId="0" xfId="0" applyFont="1"/>
    <xf numFmtId="0" fontId="16" fillId="0" borderId="0" xfId="0" applyFont="1"/>
    <xf numFmtId="0" fontId="17" fillId="0" borderId="0" xfId="0" applyFont="1"/>
    <xf numFmtId="0" fontId="18" fillId="0" borderId="0" xfId="0" applyFont="1"/>
    <xf numFmtId="0" fontId="0" fillId="2" borderId="17" xfId="0" applyFill="1" applyBorder="1"/>
    <xf numFmtId="0" fontId="0" fillId="2" borderId="19" xfId="0" applyFill="1" applyBorder="1"/>
    <xf numFmtId="0" fontId="0" fillId="2" borderId="20" xfId="0" applyFill="1" applyBorder="1"/>
    <xf numFmtId="0" fontId="0" fillId="2" borderId="21" xfId="0" applyFill="1" applyBorder="1"/>
    <xf numFmtId="0" fontId="0" fillId="2" borderId="22" xfId="0" applyFill="1" applyBorder="1"/>
    <xf numFmtId="0" fontId="0" fillId="2" borderId="23" xfId="0" applyFill="1" applyBorder="1"/>
    <xf numFmtId="0" fontId="0" fillId="2" borderId="24" xfId="0" applyFill="1" applyBorder="1"/>
    <xf numFmtId="0" fontId="0" fillId="2" borderId="25" xfId="0" applyFill="1" applyBorder="1"/>
    <xf numFmtId="0" fontId="0" fillId="2" borderId="26" xfId="0" applyFill="1" applyBorder="1"/>
    <xf numFmtId="0" fontId="13" fillId="0" borderId="0" xfId="0" applyFont="1" applyAlignment="1">
      <alignment horizontal="center"/>
    </xf>
    <xf numFmtId="0" fontId="13" fillId="0" borderId="0" xfId="0" applyFont="1" applyAlignment="1">
      <alignment horizontal="right"/>
    </xf>
    <xf numFmtId="0" fontId="0" fillId="5" borderId="0" xfId="0" applyFill="1"/>
    <xf numFmtId="0" fontId="13" fillId="0" borderId="18" xfId="0" applyFont="1" applyBorder="1"/>
    <xf numFmtId="0" fontId="3" fillId="0" borderId="17" xfId="0" applyFont="1" applyBorder="1"/>
    <xf numFmtId="0" fontId="0" fillId="0" borderId="27" xfId="0" applyBorder="1"/>
    <xf numFmtId="0" fontId="0" fillId="0" borderId="28" xfId="0" applyBorder="1"/>
    <xf numFmtId="0" fontId="0" fillId="0" borderId="12" xfId="0" applyBorder="1"/>
    <xf numFmtId="0" fontId="0" fillId="0" borderId="11" xfId="0" applyBorder="1"/>
    <xf numFmtId="0" fontId="0" fillId="0" borderId="29" xfId="0" applyBorder="1"/>
    <xf numFmtId="0" fontId="0" fillId="0" borderId="30" xfId="0" applyBorder="1"/>
    <xf numFmtId="0" fontId="1" fillId="0" borderId="0" xfId="0" applyFont="1" applyAlignment="1">
      <alignment horizontal="right"/>
    </xf>
    <xf numFmtId="0" fontId="19" fillId="0" borderId="0" xfId="0" applyFont="1" applyAlignment="1">
      <alignment horizontal="right"/>
    </xf>
    <xf numFmtId="0" fontId="1" fillId="2" borderId="0" xfId="0" applyFont="1" applyFill="1" applyAlignment="1">
      <alignment horizontal="right"/>
    </xf>
    <xf numFmtId="0" fontId="19" fillId="2" borderId="0" xfId="0" applyFont="1" applyFill="1" applyAlignment="1">
      <alignment horizontal="right"/>
    </xf>
    <xf numFmtId="0" fontId="3" fillId="0" borderId="1" xfId="0" applyFont="1" applyBorder="1"/>
    <xf numFmtId="0" fontId="20" fillId="0" borderId="0" xfId="0" applyFont="1"/>
    <xf numFmtId="0" fontId="20" fillId="0" borderId="11" xfId="0" applyFont="1" applyBorder="1"/>
    <xf numFmtId="0" fontId="20" fillId="0" borderId="12" xfId="0" applyFont="1" applyBorder="1"/>
    <xf numFmtId="0" fontId="20" fillId="2" borderId="0" xfId="0" applyFont="1" applyFill="1"/>
    <xf numFmtId="0" fontId="2" fillId="0" borderId="15" xfId="0" applyFont="1" applyBorder="1"/>
  </cellXfs>
  <cellStyles count="3">
    <cellStyle name="Hyperlink" xfId="1" builtinId="8"/>
    <cellStyle name="Normal" xfId="0" builtinId="0"/>
    <cellStyle name="Per cent 2" xfId="2" xr:uid="{905027FE-9333-1A4A-81D0-E99E9246473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[Module6.xlsm]M6.2 - Pivot chart!PivotTable4</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'M6.2 - Pivot chart'!$B$3</c:f>
              <c:strCache>
                <c:ptCount val="1"/>
                <c:pt idx="0">
                  <c:v>Sum of matches_played</c:v>
                </c:pt>
              </c:strCache>
            </c:strRef>
          </c:tx>
          <c:spPr>
            <a:solidFill>
              <a:schemeClr val="accent1"/>
            </a:solidFill>
            <a:ln>
              <a:noFill/>
            </a:ln>
            <a:effectLst/>
          </c:spPr>
          <c:invertIfNegative val="0"/>
          <c:cat>
            <c:strRef>
              <c:f>'M6.2 - Pivot chart'!$A$4:$A$11</c:f>
              <c:strCache>
                <c:ptCount val="7"/>
                <c:pt idx="0">
                  <c:v>1995</c:v>
                </c:pt>
                <c:pt idx="1">
                  <c:v>1999</c:v>
                </c:pt>
                <c:pt idx="2">
                  <c:v>2003</c:v>
                </c:pt>
                <c:pt idx="3">
                  <c:v>2007</c:v>
                </c:pt>
                <c:pt idx="4">
                  <c:v>2011</c:v>
                </c:pt>
                <c:pt idx="5">
                  <c:v>2015</c:v>
                </c:pt>
                <c:pt idx="6">
                  <c:v>2019</c:v>
                </c:pt>
              </c:strCache>
            </c:strRef>
          </c:cat>
          <c:val>
            <c:numRef>
              <c:f>'M6.2 - Pivot chart'!$B$4:$B$11</c:f>
              <c:numCache>
                <c:formatCode>General</c:formatCode>
                <c:ptCount val="7"/>
                <c:pt idx="0">
                  <c:v>3</c:v>
                </c:pt>
                <c:pt idx="1">
                  <c:v>3</c:v>
                </c:pt>
                <c:pt idx="2">
                  <c:v>3</c:v>
                </c:pt>
                <c:pt idx="3">
                  <c:v>4</c:v>
                </c:pt>
                <c:pt idx="4">
                  <c:v>4</c:v>
                </c:pt>
                <c:pt idx="5">
                  <c:v>5</c:v>
                </c:pt>
                <c:pt idx="6">
                  <c:v>4</c:v>
                </c:pt>
              </c:numCache>
            </c:numRef>
          </c:val>
          <c:extLst>
            <c:ext xmlns:c16="http://schemas.microsoft.com/office/drawing/2014/chart" uri="{C3380CC4-5D6E-409C-BE32-E72D297353CC}">
              <c16:uniqueId val="{00000000-DB96-4667-A91C-18020170F659}"/>
            </c:ext>
          </c:extLst>
        </c:ser>
        <c:ser>
          <c:idx val="1"/>
          <c:order val="1"/>
          <c:tx>
            <c:strRef>
              <c:f>'M6.2 - Pivot chart'!$C$3</c:f>
              <c:strCache>
                <c:ptCount val="1"/>
                <c:pt idx="0">
                  <c:v>Sum of goals</c:v>
                </c:pt>
              </c:strCache>
            </c:strRef>
          </c:tx>
          <c:spPr>
            <a:solidFill>
              <a:schemeClr val="accent2"/>
            </a:solidFill>
            <a:ln>
              <a:noFill/>
            </a:ln>
            <a:effectLst/>
          </c:spPr>
          <c:invertIfNegative val="0"/>
          <c:cat>
            <c:strRef>
              <c:f>'M6.2 - Pivot chart'!$A$4:$A$11</c:f>
              <c:strCache>
                <c:ptCount val="7"/>
                <c:pt idx="0">
                  <c:v>1995</c:v>
                </c:pt>
                <c:pt idx="1">
                  <c:v>1999</c:v>
                </c:pt>
                <c:pt idx="2">
                  <c:v>2003</c:v>
                </c:pt>
                <c:pt idx="3">
                  <c:v>2007</c:v>
                </c:pt>
                <c:pt idx="4">
                  <c:v>2011</c:v>
                </c:pt>
                <c:pt idx="5">
                  <c:v>2015</c:v>
                </c:pt>
                <c:pt idx="6">
                  <c:v>2019</c:v>
                </c:pt>
              </c:strCache>
            </c:strRef>
          </c:cat>
          <c:val>
            <c:numRef>
              <c:f>'M6.2 - Pivot chart'!$C$4:$C$11</c:f>
              <c:numCache>
                <c:formatCode>General</c:formatCode>
                <c:ptCount val="7"/>
                <c:pt idx="0">
                  <c:v>3</c:v>
                </c:pt>
                <c:pt idx="1">
                  <c:v>3</c:v>
                </c:pt>
                <c:pt idx="2">
                  <c:v>3</c:v>
                </c:pt>
                <c:pt idx="3">
                  <c:v>9</c:v>
                </c:pt>
                <c:pt idx="4">
                  <c:v>6</c:v>
                </c:pt>
                <c:pt idx="5">
                  <c:v>5</c:v>
                </c:pt>
                <c:pt idx="6">
                  <c:v>8</c:v>
                </c:pt>
              </c:numCache>
            </c:numRef>
          </c:val>
          <c:extLst>
            <c:ext xmlns:c16="http://schemas.microsoft.com/office/drawing/2014/chart" uri="{C3380CC4-5D6E-409C-BE32-E72D297353CC}">
              <c16:uniqueId val="{00000001-DB96-4667-A91C-18020170F659}"/>
            </c:ext>
          </c:extLst>
        </c:ser>
        <c:dLbls>
          <c:showLegendKey val="0"/>
          <c:showVal val="0"/>
          <c:showCatName val="0"/>
          <c:showSerName val="0"/>
          <c:showPercent val="0"/>
          <c:showBubbleSize val="0"/>
        </c:dLbls>
        <c:gapWidth val="219"/>
        <c:axId val="408426607"/>
        <c:axId val="2039344704"/>
      </c:barChart>
      <c:lineChart>
        <c:grouping val="standard"/>
        <c:varyColors val="0"/>
        <c:ser>
          <c:idx val="2"/>
          <c:order val="2"/>
          <c:tx>
            <c:strRef>
              <c:f>'M6.2 - Pivot chart'!$D$3</c:f>
              <c:strCache>
                <c:ptCount val="1"/>
                <c:pt idx="0">
                  <c:v>Average of possesion</c:v>
                </c:pt>
              </c:strCache>
            </c:strRef>
          </c:tx>
          <c:spPr>
            <a:ln w="28575" cap="rnd">
              <a:solidFill>
                <a:schemeClr val="accent3"/>
              </a:solidFill>
              <a:round/>
            </a:ln>
            <a:effectLst/>
          </c:spPr>
          <c:marker>
            <c:symbol val="none"/>
          </c:marker>
          <c:cat>
            <c:strRef>
              <c:f>'M6.2 - Pivot chart'!$A$4:$A$11</c:f>
              <c:strCache>
                <c:ptCount val="7"/>
                <c:pt idx="0">
                  <c:v>1995</c:v>
                </c:pt>
                <c:pt idx="1">
                  <c:v>1999</c:v>
                </c:pt>
                <c:pt idx="2">
                  <c:v>2003</c:v>
                </c:pt>
                <c:pt idx="3">
                  <c:v>2007</c:v>
                </c:pt>
                <c:pt idx="4">
                  <c:v>2011</c:v>
                </c:pt>
                <c:pt idx="5">
                  <c:v>2015</c:v>
                </c:pt>
                <c:pt idx="6">
                  <c:v>2019</c:v>
                </c:pt>
              </c:strCache>
            </c:strRef>
          </c:cat>
          <c:val>
            <c:numRef>
              <c:f>'M6.2 - Pivot chart'!$D$4:$D$11</c:f>
              <c:numCache>
                <c:formatCode>General</c:formatCode>
                <c:ptCount val="7"/>
                <c:pt idx="2">
                  <c:v>49</c:v>
                </c:pt>
                <c:pt idx="3">
                  <c:v>48.3</c:v>
                </c:pt>
                <c:pt idx="4">
                  <c:v>53.5</c:v>
                </c:pt>
                <c:pt idx="5">
                  <c:v>46.2</c:v>
                </c:pt>
                <c:pt idx="6">
                  <c:v>61.3</c:v>
                </c:pt>
              </c:numCache>
            </c:numRef>
          </c:val>
          <c:smooth val="0"/>
          <c:extLst>
            <c:ext xmlns:c16="http://schemas.microsoft.com/office/drawing/2014/chart" uri="{C3380CC4-5D6E-409C-BE32-E72D297353CC}">
              <c16:uniqueId val="{00000002-DB96-4667-A91C-18020170F659}"/>
            </c:ext>
          </c:extLst>
        </c:ser>
        <c:dLbls>
          <c:showLegendKey val="0"/>
          <c:showVal val="0"/>
          <c:showCatName val="0"/>
          <c:showSerName val="0"/>
          <c:showPercent val="0"/>
          <c:showBubbleSize val="0"/>
        </c:dLbls>
        <c:marker val="1"/>
        <c:smooth val="0"/>
        <c:axId val="2091505488"/>
        <c:axId val="2091503760"/>
      </c:lineChart>
      <c:catAx>
        <c:axId val="4084266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9344704"/>
        <c:crosses val="autoZero"/>
        <c:auto val="1"/>
        <c:lblAlgn val="ctr"/>
        <c:lblOffset val="100"/>
        <c:noMultiLvlLbl val="0"/>
      </c:catAx>
      <c:valAx>
        <c:axId val="20393447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426607"/>
        <c:crosses val="autoZero"/>
        <c:crossBetween val="between"/>
      </c:valAx>
      <c:valAx>
        <c:axId val="209150376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1505488"/>
        <c:crosses val="max"/>
        <c:crossBetween val="between"/>
      </c:valAx>
      <c:catAx>
        <c:axId val="2091505488"/>
        <c:scaling>
          <c:orientation val="minMax"/>
        </c:scaling>
        <c:delete val="1"/>
        <c:axPos val="b"/>
        <c:numFmt formatCode="General" sourceLinked="1"/>
        <c:majorTickMark val="out"/>
        <c:minorTickMark val="none"/>
        <c:tickLblPos val="nextTo"/>
        <c:crossAx val="209150376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chartData>
  <cx:chart>
    <cx:title pos="t" align="ctr" overlay="0">
      <cx:tx>
        <cx:txData>
          <cx:v>Simulated U(0,1)</cx:v>
        </cx:txData>
      </cx:tx>
      <cx:txPr>
        <a:bodyPr vertOverflow="overflow" horzOverflow="overflow" wrap="square" lIns="0" tIns="0" rIns="0" bIns="0"/>
        <a:lstStyle/>
        <a:p>
          <a:pPr algn="ctr" rtl="0">
            <a:defRPr sz="1400" b="0" i="0">
              <a:solidFill>
                <a:srgbClr val="7F7F7F"/>
              </a:solidFill>
              <a:latin typeface="Calibri" panose="020F0502020204030204" pitchFamily="34" charset="0"/>
              <a:ea typeface="Calibri" panose="020F0502020204030204" pitchFamily="34" charset="0"/>
              <a:cs typeface="Calibri" panose="020F0502020204030204" pitchFamily="34" charset="0"/>
            </a:defRPr>
          </a:pPr>
          <a:r>
            <a:t>Simulated U(0,1)</a:t>
          </a:r>
        </a:p>
      </cx:txPr>
    </cx:title>
    <cx:plotArea>
      <cx:plotAreaRegion>
        <cx:series layoutId="clusteredColumn" uniqueId="{F0B8C912-EE1A-4FB5-9F75-1FD9082BA9B6}">
          <cx:tx>
            <cx:txData>
              <cx:f>_xlchart.v1.1</cx:f>
              <cx:v>=RANDARRAY(10000)</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dataLabels>
          <cx:dataId val="0"/>
          <cx:layoutPr>
            <cx:binning intervalClosed="r">
              <cx:binSize val="0.050000000000000003"/>
            </cx:binning>
          </cx:layoutPr>
        </cx:series>
      </cx:plotAreaRegion>
      <cx:axis id="0">
        <cx:catScaling gapWidth="0"/>
        <cx:tickLabels/>
        <cx:numFmt formatCode="#,##0.00" sourceLinked="0"/>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1">
        <cx:valScaling max="1000" min="0"/>
        <cx:majorGridlines/>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_xlchart.v1.3</cx:f>
      </cx:numDim>
    </cx:data>
  </cx:chartData>
  <cx:chart>
    <cx:title pos="t" align="ctr" overlay="0">
      <cx:tx>
        <cx:txData>
          <cx:v>Simulated N(0,1)</cx:v>
        </cx:txData>
      </cx:tx>
      <cx:txPr>
        <a:bodyPr vertOverflow="overflow" horzOverflow="overflow" wrap="square" lIns="0" tIns="0" rIns="0" bIns="0"/>
        <a:lstStyle/>
        <a:p>
          <a:pPr algn="ctr" rtl="0">
            <a:defRPr sz="1400" b="0" i="0">
              <a:solidFill>
                <a:srgbClr val="7F7F7F"/>
              </a:solidFill>
              <a:latin typeface="Calibri" panose="020F0502020204030204" pitchFamily="34" charset="0"/>
              <a:ea typeface="Calibri" panose="020F0502020204030204" pitchFamily="34" charset="0"/>
              <a:cs typeface="Calibri" panose="020F0502020204030204" pitchFamily="34" charset="0"/>
            </a:defRPr>
          </a:pPr>
          <a:r>
            <a:t>Simulated N(0,1)</a:t>
          </a:r>
        </a:p>
      </cx:txPr>
    </cx:title>
    <cx:plotArea>
      <cx:plotAreaRegion>
        <cx:series layoutId="clusteredColumn" uniqueId="{1692C4DA-5B04-49FA-9E9F-A2137BED9647}">
          <cx:dataId val="0"/>
          <cx:layoutPr>
            <cx:binning intervalClosed="r">
              <cx:binSize val="0.10000000000000001"/>
            </cx:binning>
          </cx:layoutPr>
        </cx:series>
      </cx:plotAreaRegion>
      <cx:axis id="0">
        <cx:catScaling gapWidth="0"/>
        <cx:tickLabels/>
        <cx:numFmt formatCode="#,##0.00" sourceLinked="0"/>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1">
        <cx:valScaling/>
        <cx:majorGridlines/>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txData>
          <cx:v>Simulated Gamma(10,5)</cx:v>
        </cx:txData>
      </cx:tx>
      <cx:txPr>
        <a:bodyPr vertOverflow="overflow" horzOverflow="overflow" wrap="square" lIns="0" tIns="0" rIns="0" bIns="0"/>
        <a:lstStyle/>
        <a:p>
          <a:pPr algn="ctr" rtl="0">
            <a:defRPr sz="1400" b="0" i="0">
              <a:solidFill>
                <a:srgbClr val="7F7F7F"/>
              </a:solidFill>
              <a:latin typeface="Calibri" panose="020F0502020204030204" pitchFamily="34" charset="0"/>
              <a:ea typeface="Calibri" panose="020F0502020204030204" pitchFamily="34" charset="0"/>
              <a:cs typeface="Calibri" panose="020F0502020204030204" pitchFamily="34" charset="0"/>
            </a:defRPr>
          </a:pPr>
          <a:r>
            <a:t>Simulated Gamma(10,5)</a:t>
          </a:r>
        </a:p>
      </cx:txPr>
    </cx:title>
    <cx:plotArea>
      <cx:plotAreaRegion>
        <cx:series layoutId="clusteredColumn" uniqueId="{8445B9F1-82DF-49F7-9362-A52051D3C46F}">
          <cx:dataId val="0"/>
          <cx:layoutPr>
            <cx:binning intervalClosed="r"/>
          </cx:layoutPr>
        </cx:series>
      </cx:plotAreaRegion>
      <cx:axis id="0">
        <cx:catScaling gapWidth="0"/>
        <cx:tickLabels/>
        <cx:numFmt formatCode="#,##0.00" sourceLinked="0"/>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1">
        <cx:valScaling/>
        <cx:majorGridlines/>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microsoft.com/office/2014/relationships/chartEx" Target="../charts/chartEx3.xml"/><Relationship Id="rId2" Type="http://schemas.microsoft.com/office/2014/relationships/chartEx" Target="../charts/chartEx2.xml"/><Relationship Id="rId1" Type="http://schemas.microsoft.com/office/2014/relationships/chartEx" Target="../charts/chartEx1.xml"/></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4.png"/><Relationship Id="rId5" Type="http://schemas.microsoft.com/office/2007/relationships/hdphoto" Target="../media/hdphoto2.wdp"/><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oneCellAnchor>
    <xdr:from>
      <xdr:col>10</xdr:col>
      <xdr:colOff>431800</xdr:colOff>
      <xdr:row>32</xdr:row>
      <xdr:rowOff>82550</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8686800" y="683895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1</xdr:col>
      <xdr:colOff>88900</xdr:colOff>
      <xdr:row>16</xdr:row>
      <xdr:rowOff>25400</xdr:rowOff>
    </xdr:from>
    <xdr:to>
      <xdr:col>2</xdr:col>
      <xdr:colOff>304800</xdr:colOff>
      <xdr:row>29</xdr:row>
      <xdr:rowOff>3172</xdr:rowOff>
    </xdr:to>
    <mc:AlternateContent xmlns:mc="http://schemas.openxmlformats.org/markup-compatibility/2006" xmlns:a14="http://schemas.microsoft.com/office/drawing/2010/main">
      <mc:Choice Requires="a14">
        <xdr:graphicFrame macro="">
          <xdr:nvGraphicFramePr>
            <xdr:cNvPr id="3" name="squad">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squad"/>
            </a:graphicData>
          </a:graphic>
        </xdr:graphicFrame>
      </mc:Choice>
      <mc:Fallback xmlns="">
        <xdr:sp macro="" textlink="">
          <xdr:nvSpPr>
            <xdr:cNvPr id="0" name=""/>
            <xdr:cNvSpPr>
              <a:spLocks noTextEdit="1"/>
            </xdr:cNvSpPr>
          </xdr:nvSpPr>
          <xdr:spPr>
            <a:xfrm>
              <a:off x="1079500" y="3276600"/>
              <a:ext cx="1828800" cy="261937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695325</xdr:colOff>
      <xdr:row>0</xdr:row>
      <xdr:rowOff>161925</xdr:rowOff>
    </xdr:from>
    <xdr:to>
      <xdr:col>18</xdr:col>
      <xdr:colOff>203200</xdr:colOff>
      <xdr:row>36</xdr:row>
      <xdr:rowOff>123825</xdr:rowOff>
    </xdr:to>
    <xdr:graphicFrame macro="">
      <xdr:nvGraphicFramePr>
        <xdr:cNvPr id="4" name="圖表 3">
          <a:extLst>
            <a:ext uri="{FF2B5EF4-FFF2-40B4-BE49-F238E27FC236}">
              <a16:creationId xmlns:a16="http://schemas.microsoft.com/office/drawing/2014/main" id="{00000000-0008-0000-0400-000004000000}"/>
            </a:ext>
            <a:ext uri="{147F2762-F138-4A5C-976F-8EAC2B608ADB}">
              <a16:predDERef xmlns:a16="http://schemas.microsoft.com/office/drawing/2014/main" pred="{391C3527-C6FA-3533-7E21-BBB72A6D53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xdr:colOff>
      <xdr:row>14</xdr:row>
      <xdr:rowOff>0</xdr:rowOff>
    </xdr:from>
    <xdr:to>
      <xdr:col>9</xdr:col>
      <xdr:colOff>466725</xdr:colOff>
      <xdr:row>27</xdr:row>
      <xdr:rowOff>142875</xdr:rowOff>
    </xdr:to>
    <mc:AlternateContent xmlns:mc="http://schemas.openxmlformats.org/markup-compatibility/2006">
      <mc:Choice xmlns:cx1="http://schemas.microsoft.com/office/drawing/2015/9/8/chartex" Requires="cx1">
        <xdr:graphicFrame macro="">
          <xdr:nvGraphicFramePr>
            <xdr:cNvPr id="3" name="圖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028825" y="2844800"/>
              <a:ext cx="4495800" cy="2784475"/>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114300</xdr:colOff>
      <xdr:row>3</xdr:row>
      <xdr:rowOff>47625</xdr:rowOff>
    </xdr:from>
    <xdr:to>
      <xdr:col>22</xdr:col>
      <xdr:colOff>276225</xdr:colOff>
      <xdr:row>16</xdr:row>
      <xdr:rowOff>190500</xdr:rowOff>
    </xdr:to>
    <mc:AlternateContent xmlns:mc="http://schemas.openxmlformats.org/markup-compatibility/2006">
      <mc:Choice xmlns:cx1="http://schemas.microsoft.com/office/drawing/2015/9/8/chartex" Requires="cx1">
        <xdr:graphicFrame macro="">
          <xdr:nvGraphicFramePr>
            <xdr:cNvPr id="4" name="圖表 3">
              <a:extLst>
                <a:ext uri="{FF2B5EF4-FFF2-40B4-BE49-F238E27FC236}">
                  <a16:creationId xmlns:a16="http://schemas.microsoft.com/office/drawing/2014/main" id="{00000000-0008-0000-0800-000004000000}"/>
                </a:ext>
                <a:ext uri="{147F2762-F138-4A5C-976F-8EAC2B608ADB}">
                  <a16:predDERef xmlns:a16="http://schemas.microsoft.com/office/drawing/2014/main" pred="{6AECB59A-E807-A6CE-27E5-50C505B5B12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0223500" y="657225"/>
              <a:ext cx="4873625" cy="2784475"/>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24</xdr:col>
      <xdr:colOff>104775</xdr:colOff>
      <xdr:row>3</xdr:row>
      <xdr:rowOff>0</xdr:rowOff>
    </xdr:from>
    <xdr:to>
      <xdr:col>30</xdr:col>
      <xdr:colOff>619125</xdr:colOff>
      <xdr:row>16</xdr:row>
      <xdr:rowOff>142875</xdr:rowOff>
    </xdr:to>
    <mc:AlternateContent xmlns:mc="http://schemas.openxmlformats.org/markup-compatibility/2006">
      <mc:Choice xmlns:cx1="http://schemas.microsoft.com/office/drawing/2015/9/8/chartex" Requires="cx1">
        <xdr:graphicFrame macro="">
          <xdr:nvGraphicFramePr>
            <xdr:cNvPr id="5" name="圖表 4">
              <a:extLst>
                <a:ext uri="{FF2B5EF4-FFF2-40B4-BE49-F238E27FC236}">
                  <a16:creationId xmlns:a16="http://schemas.microsoft.com/office/drawing/2014/main" id="{00000000-0008-0000-0800-000005000000}"/>
                </a:ext>
                <a:ext uri="{147F2762-F138-4A5C-976F-8EAC2B608ADB}">
                  <a16:predDERef xmlns:a16="http://schemas.microsoft.com/office/drawing/2014/main" pred="{E6002B3E-A065-EE2C-8D16-28124F50755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6271875" y="609600"/>
              <a:ext cx="4552950" cy="2784475"/>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304800</xdr:colOff>
          <xdr:row>2</xdr:row>
          <xdr:rowOff>63500</xdr:rowOff>
        </xdr:from>
        <xdr:to>
          <xdr:col>9</xdr:col>
          <xdr:colOff>279400</xdr:colOff>
          <xdr:row>3</xdr:row>
          <xdr:rowOff>101600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9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recorded_example1</a:t>
              </a:r>
            </a:p>
            <a:p>
              <a:pPr algn="ctr" rtl="0">
                <a:defRPr sz="1000"/>
              </a:pPr>
              <a:endParaRPr lang="en-GB" sz="12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xdr:twoCellAnchor>
    <xdr:from>
      <xdr:col>7</xdr:col>
      <xdr:colOff>209549</xdr:colOff>
      <xdr:row>5</xdr:row>
      <xdr:rowOff>66676</xdr:rowOff>
    </xdr:from>
    <xdr:to>
      <xdr:col>9</xdr:col>
      <xdr:colOff>314324</xdr:colOff>
      <xdr:row>7</xdr:row>
      <xdr:rowOff>85726</xdr:rowOff>
    </xdr:to>
    <xdr:sp macro="[0]!recorded_example1" textlink="">
      <xdr:nvSpPr>
        <xdr:cNvPr id="2" name="Cube 1">
          <a:extLst>
            <a:ext uri="{FF2B5EF4-FFF2-40B4-BE49-F238E27FC236}">
              <a16:creationId xmlns:a16="http://schemas.microsoft.com/office/drawing/2014/main" id="{00000000-0008-0000-0900-000002000000}"/>
            </a:ext>
          </a:extLst>
        </xdr:cNvPr>
        <xdr:cNvSpPr/>
      </xdr:nvSpPr>
      <xdr:spPr>
        <a:xfrm>
          <a:off x="5048249" y="1266826"/>
          <a:ext cx="1476375" cy="419100"/>
        </a:xfrm>
        <a:prstGeom prst="cub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recorded_example1</a:t>
          </a:r>
        </a:p>
      </xdr:txBody>
    </xdr:sp>
    <xdr:clientData/>
  </xdr:twoCellAnchor>
  <mc:AlternateContent xmlns:mc="http://schemas.openxmlformats.org/markup-compatibility/2006">
    <mc:Choice xmlns:a14="http://schemas.microsoft.com/office/drawing/2010/main" Requires="a14">
      <xdr:twoCellAnchor editAs="oneCell">
        <xdr:from>
          <xdr:col>14</xdr:col>
          <xdr:colOff>0</xdr:colOff>
          <xdr:row>11</xdr:row>
          <xdr:rowOff>50800</xdr:rowOff>
        </xdr:from>
        <xdr:to>
          <xdr:col>16</xdr:col>
          <xdr:colOff>406400</xdr:colOff>
          <xdr:row>12</xdr:row>
          <xdr:rowOff>101600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9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recorded_example1_edit</a:t>
              </a:r>
            </a:p>
            <a:p>
              <a:pPr algn="ctr" rtl="0">
                <a:defRPr sz="1000"/>
              </a:pPr>
              <a:endParaRPr lang="en-GB" sz="12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xdr:twoCellAnchor editAs="oneCell">
    <xdr:from>
      <xdr:col>12</xdr:col>
      <xdr:colOff>104776</xdr:colOff>
      <xdr:row>15</xdr:row>
      <xdr:rowOff>133350</xdr:rowOff>
    </xdr:from>
    <xdr:to>
      <xdr:col>18</xdr:col>
      <xdr:colOff>588753</xdr:colOff>
      <xdr:row>24</xdr:row>
      <xdr:rowOff>28575</xdr:rowOff>
    </xdr:to>
    <xdr:pic>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25000"/>
                  </a14:imgEffect>
                </a14:imgLayer>
              </a14:imgProps>
            </a:ext>
            <a:ext uri="{28A0092B-C50C-407E-A947-70E740481C1C}">
              <a14:useLocalDpi xmlns:a14="http://schemas.microsoft.com/office/drawing/2010/main" val="0"/>
            </a:ext>
          </a:extLst>
        </a:blip>
        <a:stretch>
          <a:fillRect/>
        </a:stretch>
      </xdr:blipFill>
      <xdr:spPr>
        <a:xfrm>
          <a:off x="8372476" y="3324225"/>
          <a:ext cx="4951202" cy="18859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8</xdr:col>
          <xdr:colOff>317500</xdr:colOff>
          <xdr:row>12</xdr:row>
          <xdr:rowOff>139700</xdr:rowOff>
        </xdr:from>
        <xdr:to>
          <xdr:col>10</xdr:col>
          <xdr:colOff>520700</xdr:colOff>
          <xdr:row>17</xdr:row>
          <xdr:rowOff>228600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900-00000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Click here to clear all formats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23</xdr:col>
          <xdr:colOff>228600</xdr:colOff>
          <xdr:row>14</xdr:row>
          <xdr:rowOff>177800</xdr:rowOff>
        </xdr:from>
        <xdr:to>
          <xdr:col>24</xdr:col>
          <xdr:colOff>596900</xdr:colOff>
          <xdr:row>15</xdr:row>
          <xdr:rowOff>127000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900-00000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Good Profit?</a:t>
              </a:r>
            </a:p>
          </xdr:txBody>
        </xdr:sp>
        <xdr:clientData fPrintsWithSheet="0"/>
      </xdr:twoCellAnchor>
    </mc:Choice>
    <mc:Fallback/>
  </mc:AlternateContent>
  <xdr:twoCellAnchor editAs="oneCell">
    <xdr:from>
      <xdr:col>21</xdr:col>
      <xdr:colOff>104776</xdr:colOff>
      <xdr:row>19</xdr:row>
      <xdr:rowOff>95250</xdr:rowOff>
    </xdr:from>
    <xdr:to>
      <xdr:col>25</xdr:col>
      <xdr:colOff>638176</xdr:colOff>
      <xdr:row>30</xdr:row>
      <xdr:rowOff>88476</xdr:rowOff>
    </xdr:to>
    <xdr:pic>
      <xdr:nvPicPr>
        <xdr:cNvPr id="6" name="Picture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4897101" y="4276725"/>
          <a:ext cx="3276600" cy="219350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25400</xdr:colOff>
          <xdr:row>16</xdr:row>
          <xdr:rowOff>25400</xdr:rowOff>
        </xdr:from>
        <xdr:to>
          <xdr:col>7</xdr:col>
          <xdr:colOff>596900</xdr:colOff>
          <xdr:row>16</xdr:row>
          <xdr:rowOff>266700</xdr:rowOff>
        </xdr:to>
        <xdr:sp macro="" textlink="">
          <xdr:nvSpPr>
            <xdr:cNvPr id="11269" name="Button 5" hidden="1">
              <a:extLst>
                <a:ext uri="{63B3BB69-23CF-44E3-9099-C40C66FF867C}">
                  <a14:compatExt spid="_x0000_s11269"/>
                </a:ext>
                <a:ext uri="{FF2B5EF4-FFF2-40B4-BE49-F238E27FC236}">
                  <a16:creationId xmlns:a16="http://schemas.microsoft.com/office/drawing/2014/main" id="{00000000-0008-0000-0900-000005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Relative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660400</xdr:colOff>
          <xdr:row>14</xdr:row>
          <xdr:rowOff>76200</xdr:rowOff>
        </xdr:from>
        <xdr:to>
          <xdr:col>7</xdr:col>
          <xdr:colOff>673100</xdr:colOff>
          <xdr:row>15</xdr:row>
          <xdr:rowOff>25400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900-000006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Absolute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50800</xdr:colOff>
          <xdr:row>4</xdr:row>
          <xdr:rowOff>25400</xdr:rowOff>
        </xdr:from>
        <xdr:to>
          <xdr:col>29</xdr:col>
          <xdr:colOff>520700</xdr:colOff>
          <xdr:row>4</xdr:row>
          <xdr:rowOff>266700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900-000007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Print numbers</a:t>
              </a:r>
            </a:p>
          </xdr:txBody>
        </xdr:sp>
        <xdr:clientData fPrintsWithSheet="0"/>
      </xdr:twoCellAnchor>
    </mc:Choice>
    <mc:Fallback/>
  </mc:AlternateContent>
  <xdr:twoCellAnchor editAs="oneCell">
    <xdr:from>
      <xdr:col>30</xdr:col>
      <xdr:colOff>209550</xdr:colOff>
      <xdr:row>4</xdr:row>
      <xdr:rowOff>38100</xdr:rowOff>
    </xdr:from>
    <xdr:to>
      <xdr:col>35</xdr:col>
      <xdr:colOff>495300</xdr:colOff>
      <xdr:row>14</xdr:row>
      <xdr:rowOff>104102</xdr:rowOff>
    </xdr:to>
    <xdr:pic>
      <xdr:nvPicPr>
        <xdr:cNvPr id="8" name="Pictur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4">
          <a:extLst>
            <a:ext uri="{BEBA8EAE-BF5A-486C-A8C5-ECC9F3942E4B}">
              <a14:imgProps xmlns:a14="http://schemas.microsoft.com/office/drawing/2010/main">
                <a14:imgLayer r:embed="rId5">
                  <a14:imgEffect>
                    <a14:sharpenSoften amount="25000"/>
                  </a14:imgEffect>
                </a14:imgLayer>
              </a14:imgProps>
            </a:ext>
            <a:ext uri="{28A0092B-C50C-407E-A947-70E740481C1C}">
              <a14:useLocalDpi xmlns:a14="http://schemas.microsoft.com/office/drawing/2010/main" val="0"/>
            </a:ext>
          </a:extLst>
        </a:blip>
        <a:stretch>
          <a:fillRect/>
        </a:stretch>
      </xdr:blipFill>
      <xdr:spPr>
        <a:xfrm>
          <a:off x="21174075" y="838200"/>
          <a:ext cx="3714750" cy="235200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37</xdr:col>
          <xdr:colOff>190500</xdr:colOff>
          <xdr:row>4</xdr:row>
          <xdr:rowOff>25400</xdr:rowOff>
        </xdr:from>
        <xdr:to>
          <xdr:col>39</xdr:col>
          <xdr:colOff>292100</xdr:colOff>
          <xdr:row>4</xdr:row>
          <xdr:rowOff>266700</xdr:rowOff>
        </xdr:to>
        <xdr:sp macro="" textlink="">
          <xdr:nvSpPr>
            <xdr:cNvPr id="11272" name="Button 8" hidden="1">
              <a:extLst>
                <a:ext uri="{63B3BB69-23CF-44E3-9099-C40C66FF867C}">
                  <a14:compatExt spid="_x0000_s11272"/>
                </a:ext>
                <a:ext uri="{FF2B5EF4-FFF2-40B4-BE49-F238E27FC236}">
                  <a16:creationId xmlns:a16="http://schemas.microsoft.com/office/drawing/2014/main" id="{00000000-0008-0000-0900-000008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Print numbers (While)</a:t>
              </a:r>
            </a:p>
          </xdr:txBody>
        </xdr:sp>
        <xdr:clientData fPrintsWithSheet="0"/>
      </xdr:twoCellAnchor>
    </mc:Choice>
    <mc:Fallback/>
  </mc:AlternateContent>
  <xdr:twoCellAnchor editAs="oneCell">
    <xdr:from>
      <xdr:col>39</xdr:col>
      <xdr:colOff>66675</xdr:colOff>
      <xdr:row>5</xdr:row>
      <xdr:rowOff>190500</xdr:rowOff>
    </xdr:from>
    <xdr:to>
      <xdr:col>43</xdr:col>
      <xdr:colOff>638638</xdr:colOff>
      <xdr:row>17</xdr:row>
      <xdr:rowOff>67046</xdr:rowOff>
    </xdr:to>
    <xdr:pic>
      <xdr:nvPicPr>
        <xdr:cNvPr id="10" name="Picture 9">
          <a:extLst>
            <a:ext uri="{FF2B5EF4-FFF2-40B4-BE49-F238E27FC236}">
              <a16:creationId xmlns:a16="http://schemas.microsoft.com/office/drawing/2014/main" id="{00000000-0008-0000-0900-00000A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7203400" y="1285875"/>
          <a:ext cx="3315163" cy="2657846"/>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Benjamin Avanzi" id="{41D526D4-9D67-3148-83A7-7F4FDCAD8DB6}" userId="S::b.avanzi@unimelb.edu.au::4c1a0c65-cf17-4469-a7d7-15c887ee25bb"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158.870142939813" createdVersion="8" refreshedVersion="8" minRefreshableVersion="3" recordCount="136" xr:uid="{61FC52FC-B3E2-3643-BB68-795569812EE9}">
  <cacheSource type="worksheet">
    <worksheetSource ref="A3:V139" sheet="FIFA WWC"/>
  </cacheSource>
  <cacheFields count="22">
    <cacheField name="id" numFmtId="0">
      <sharedItems containsSemiMixedTypes="0" containsString="0" containsNumber="1" containsInteger="1" minValue="1" maxValue="136"/>
    </cacheField>
    <cacheField name="squad" numFmtId="0">
      <sharedItems count="36">
        <s v="Argentina"/>
        <s v="Australia"/>
        <s v="Brazil"/>
        <s v="Cameroon"/>
        <s v="Canada"/>
        <s v="Chile"/>
        <s v="China PR"/>
        <s v="England"/>
        <s v="France"/>
        <s v="Germany"/>
        <s v="Italy"/>
        <s v="Jamaica"/>
        <s v="Japan"/>
        <s v="Korea Rep"/>
        <s v="Netherlands"/>
        <s v="New Zealand"/>
        <s v="Nigeria"/>
        <s v="Norway"/>
        <s v="Scotland"/>
        <s v="South Africa"/>
        <s v="Spain"/>
        <s v="Sweden"/>
        <s v="Thailand"/>
        <s v="USA"/>
        <s v="Colombia"/>
        <s v="Costa Rica"/>
        <s v="C√¥te d'Ivoire"/>
        <s v="Ecuador"/>
        <s v="Mexico"/>
        <s v="Switzerland"/>
        <s v="Equ. Guinea"/>
        <s v="Korea DPR"/>
        <s v="Denmark"/>
        <s v="Ghana"/>
        <s v="Russia"/>
        <s v="Chinese Taipei"/>
      </sharedItems>
    </cacheField>
    <cacheField name="year" numFmtId="0">
      <sharedItems containsSemiMixedTypes="0" containsString="0" containsNumber="1" containsInteger="1" minValue="1991" maxValue="2019" count="8">
        <n v="2019"/>
        <n v="2015"/>
        <n v="2011"/>
        <n v="2007"/>
        <n v="2003"/>
        <n v="1999"/>
        <n v="1995"/>
        <n v="1991"/>
      </sharedItems>
    </cacheField>
    <cacheField name="players" numFmtId="0">
      <sharedItems containsSemiMixedTypes="0" containsString="0" containsNumber="1" containsInteger="1" minValue="13" maxValue="23" count="11">
        <n v="18"/>
        <n v="20"/>
        <n v="16"/>
        <n v="17"/>
        <n v="22"/>
        <n v="19"/>
        <n v="21"/>
        <n v="15"/>
        <n v="23"/>
        <n v="14"/>
        <n v="13"/>
      </sharedItems>
    </cacheField>
    <cacheField name="age" numFmtId="0">
      <sharedItems containsSemiMixedTypes="0" containsString="0" containsNumber="1" minValue="18.2" maxValue="29.7"/>
    </cacheField>
    <cacheField name="possesion" numFmtId="0">
      <sharedItems containsString="0" containsBlank="1" containsNumber="1" minValue="30" maxValue="63"/>
    </cacheField>
    <cacheField name="matches_played" numFmtId="0">
      <sharedItems containsSemiMixedTypes="0" containsString="0" containsNumber="1" containsInteger="1" minValue="3" maxValue="7" count="5">
        <n v="3"/>
        <n v="4"/>
        <n v="7"/>
        <n v="5"/>
        <n v="6"/>
      </sharedItems>
    </cacheField>
    <cacheField name="starts" numFmtId="0">
      <sharedItems containsSemiMixedTypes="0" containsString="0" containsNumber="1" containsInteger="1" minValue="33" maxValue="77"/>
    </cacheField>
    <cacheField name="min_playing_time" numFmtId="0">
      <sharedItems containsSemiMixedTypes="0" containsString="0" containsNumber="1" containsInteger="1" minValue="240" maxValue="690"/>
    </cacheField>
    <cacheField name="minutes_played_90s" numFmtId="0">
      <sharedItems containsSemiMixedTypes="0" containsString="0" containsNumber="1" minValue="2.7" maxValue="7.7"/>
    </cacheField>
    <cacheField name="goals" numFmtId="0">
      <sharedItems containsSemiMixedTypes="0" containsString="0" containsNumber="1" containsInteger="1" minValue="0" maxValue="25"/>
    </cacheField>
    <cacheField name="assists" numFmtId="0">
      <sharedItems containsSemiMixedTypes="0" containsString="0" containsNumber="1" containsInteger="1" minValue="0" maxValue="17"/>
    </cacheField>
    <cacheField name="non_penalty_goals" numFmtId="0">
      <sharedItems containsSemiMixedTypes="0" containsString="0" containsNumber="1" containsInteger="1" minValue="0" maxValue="25"/>
    </cacheField>
    <cacheField name="penalty_kicks_made" numFmtId="0">
      <sharedItems containsSemiMixedTypes="0" containsString="0" containsNumber="1" containsInteger="1" minValue="0" maxValue="4"/>
    </cacheField>
    <cacheField name="penalty_kicks_attempted" numFmtId="0">
      <sharedItems containsSemiMixedTypes="0" containsString="0" containsNumber="1" containsInteger="1" minValue="0" maxValue="4"/>
    </cacheField>
    <cacheField name="yellow_cards" numFmtId="0">
      <sharedItems containsString="0" containsBlank="1" containsNumber="1" containsInteger="1" minValue="0" maxValue="8"/>
    </cacheField>
    <cacheField name="red_cards" numFmtId="0">
      <sharedItems containsString="0" containsBlank="1" containsNumber="1" containsInteger="1" minValue="0" maxValue="1"/>
    </cacheField>
    <cacheField name="goals_per_90" numFmtId="0">
      <sharedItems containsSemiMixedTypes="0" containsString="0" containsNumber="1" minValue="0" maxValue="4.6900000000000004"/>
    </cacheField>
    <cacheField name="assists_per_90" numFmtId="0">
      <sharedItems containsSemiMixedTypes="0" containsString="0" containsNumber="1" minValue="0" maxValue="2.4300000000000002"/>
    </cacheField>
    <cacheField name="goals_plus_assists_per_90" numFmtId="0">
      <sharedItems containsSemiMixedTypes="0" containsString="0" containsNumber="1" minValue="0" maxValue="6.75"/>
    </cacheField>
    <cacheField name="goals_minus_penalty_kicks_per_90" numFmtId="0">
      <sharedItems containsSemiMixedTypes="0" containsString="0" containsNumber="1" minValue="0" maxValue="4.5"/>
    </cacheField>
    <cacheField name="goals_plus_assists_minus_penalty_kicks_per_90" numFmtId="0">
      <sharedItems containsSemiMixedTypes="0" containsString="0" containsNumber="1" minValue="0" maxValue="6.56"/>
    </cacheField>
  </cacheFields>
  <extLst>
    <ext xmlns:x14="http://schemas.microsoft.com/office/spreadsheetml/2009/9/main" uri="{725AE2AE-9491-48be-B2B4-4EB974FC3084}">
      <x14:pivotCacheDefinition pivotCacheId="168059363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6">
  <r>
    <n v="1"/>
    <x v="0"/>
    <x v="0"/>
    <x v="0"/>
    <n v="26.8"/>
    <n v="34.700000000000003"/>
    <x v="0"/>
    <n v="33"/>
    <n v="270"/>
    <n v="3"/>
    <n v="2"/>
    <n v="1"/>
    <n v="1"/>
    <n v="1"/>
    <n v="1"/>
    <n v="3"/>
    <n v="0"/>
    <n v="0.67"/>
    <n v="0.33"/>
    <n v="1"/>
    <n v="0.33"/>
    <n v="0.67"/>
  </r>
  <r>
    <n v="2"/>
    <x v="1"/>
    <x v="0"/>
    <x v="0"/>
    <n v="25.4"/>
    <n v="61.3"/>
    <x v="1"/>
    <n v="44"/>
    <n v="390"/>
    <n v="4.3"/>
    <n v="8"/>
    <n v="4"/>
    <n v="8"/>
    <n v="0"/>
    <n v="1"/>
    <n v="2"/>
    <n v="0"/>
    <n v="1.85"/>
    <n v="0.92"/>
    <n v="2.77"/>
    <n v="1.85"/>
    <n v="2.77"/>
  </r>
  <r>
    <n v="3"/>
    <x v="2"/>
    <x v="0"/>
    <x v="0"/>
    <n v="29.7"/>
    <n v="51.5"/>
    <x v="1"/>
    <n v="44"/>
    <n v="390"/>
    <n v="4.3"/>
    <n v="7"/>
    <n v="3"/>
    <n v="5"/>
    <n v="2"/>
    <n v="3"/>
    <n v="7"/>
    <n v="0"/>
    <n v="1.62"/>
    <n v="0.69"/>
    <n v="2.31"/>
    <n v="1.1499999999999999"/>
    <n v="1.85"/>
  </r>
  <r>
    <n v="4"/>
    <x v="3"/>
    <x v="0"/>
    <x v="1"/>
    <n v="27.7"/>
    <n v="36"/>
    <x v="1"/>
    <n v="44"/>
    <n v="360"/>
    <n v="4"/>
    <n v="3"/>
    <n v="3"/>
    <n v="3"/>
    <n v="0"/>
    <n v="0"/>
    <n v="6"/>
    <n v="0"/>
    <n v="0.75"/>
    <n v="0.75"/>
    <n v="1.5"/>
    <n v="0.75"/>
    <n v="1.5"/>
  </r>
  <r>
    <n v="5"/>
    <x v="4"/>
    <x v="0"/>
    <x v="2"/>
    <n v="27"/>
    <n v="63"/>
    <x v="1"/>
    <n v="44"/>
    <n v="360"/>
    <n v="4"/>
    <n v="4"/>
    <n v="3"/>
    <n v="4"/>
    <n v="0"/>
    <n v="1"/>
    <n v="2"/>
    <n v="0"/>
    <n v="1"/>
    <n v="0.75"/>
    <n v="1.75"/>
    <n v="1"/>
    <n v="1.75"/>
  </r>
  <r>
    <n v="6"/>
    <x v="5"/>
    <x v="0"/>
    <x v="0"/>
    <n v="26.8"/>
    <n v="42"/>
    <x v="0"/>
    <n v="33"/>
    <n v="270"/>
    <n v="3"/>
    <n v="1"/>
    <n v="1"/>
    <n v="1"/>
    <n v="0"/>
    <n v="1"/>
    <n v="5"/>
    <n v="0"/>
    <n v="0.33"/>
    <n v="0.33"/>
    <n v="0.67"/>
    <n v="0.33"/>
    <n v="0.67"/>
  </r>
  <r>
    <n v="7"/>
    <x v="6"/>
    <x v="0"/>
    <x v="3"/>
    <n v="26.6"/>
    <n v="47"/>
    <x v="1"/>
    <n v="44"/>
    <n v="360"/>
    <n v="4"/>
    <n v="1"/>
    <n v="1"/>
    <n v="1"/>
    <n v="0"/>
    <n v="0"/>
    <n v="5"/>
    <n v="0"/>
    <n v="0.25"/>
    <n v="0.25"/>
    <n v="0.5"/>
    <n v="0.25"/>
    <n v="0.5"/>
  </r>
  <r>
    <n v="8"/>
    <x v="7"/>
    <x v="0"/>
    <x v="4"/>
    <n v="27.8"/>
    <n v="60.4"/>
    <x v="2"/>
    <n v="77"/>
    <n v="630"/>
    <n v="7"/>
    <n v="13"/>
    <n v="12"/>
    <n v="12"/>
    <n v="1"/>
    <n v="4"/>
    <n v="1"/>
    <n v="1"/>
    <n v="1.86"/>
    <n v="1.71"/>
    <n v="3.57"/>
    <n v="1.71"/>
    <n v="3.43"/>
  </r>
  <r>
    <n v="9"/>
    <x v="8"/>
    <x v="0"/>
    <x v="3"/>
    <n v="27.8"/>
    <n v="58.8"/>
    <x v="3"/>
    <n v="55"/>
    <n v="480"/>
    <n v="5.3"/>
    <n v="10"/>
    <n v="8"/>
    <n v="8"/>
    <n v="2"/>
    <n v="2"/>
    <n v="2"/>
    <n v="0"/>
    <n v="1.87"/>
    <n v="1.5"/>
    <n v="3.38"/>
    <n v="1.5"/>
    <n v="3"/>
  </r>
  <r>
    <n v="10"/>
    <x v="9"/>
    <x v="0"/>
    <x v="5"/>
    <n v="25.5"/>
    <n v="57.2"/>
    <x v="3"/>
    <n v="55"/>
    <n v="450"/>
    <n v="5"/>
    <n v="10"/>
    <n v="4"/>
    <n v="9"/>
    <n v="1"/>
    <n v="1"/>
    <n v="2"/>
    <n v="0"/>
    <n v="2"/>
    <n v="0.8"/>
    <n v="2.8"/>
    <n v="1.8"/>
    <n v="2.6"/>
  </r>
  <r>
    <n v="11"/>
    <x v="10"/>
    <x v="0"/>
    <x v="3"/>
    <n v="26.5"/>
    <n v="43.4"/>
    <x v="3"/>
    <n v="55"/>
    <n v="450"/>
    <n v="5"/>
    <n v="9"/>
    <n v="6"/>
    <n v="8"/>
    <n v="1"/>
    <n v="1"/>
    <n v="4"/>
    <n v="0"/>
    <n v="1.8"/>
    <n v="1.2"/>
    <n v="3"/>
    <n v="1.6"/>
    <n v="2.8"/>
  </r>
  <r>
    <n v="12"/>
    <x v="11"/>
    <x v="0"/>
    <x v="1"/>
    <n v="22.9"/>
    <n v="36.700000000000003"/>
    <x v="0"/>
    <n v="33"/>
    <n v="270"/>
    <n v="3"/>
    <n v="1"/>
    <n v="1"/>
    <n v="1"/>
    <n v="0"/>
    <n v="0"/>
    <n v="4"/>
    <n v="0"/>
    <n v="0.33"/>
    <n v="0.33"/>
    <n v="0.67"/>
    <n v="0.33"/>
    <n v="0.67"/>
  </r>
  <r>
    <n v="13"/>
    <x v="12"/>
    <x v="0"/>
    <x v="3"/>
    <n v="24.8"/>
    <n v="53.8"/>
    <x v="1"/>
    <n v="44"/>
    <n v="360"/>
    <n v="4"/>
    <n v="3"/>
    <n v="2"/>
    <n v="2"/>
    <n v="1"/>
    <n v="1"/>
    <n v="4"/>
    <n v="0"/>
    <n v="0.75"/>
    <n v="0.5"/>
    <n v="1.25"/>
    <n v="0.5"/>
    <n v="1"/>
  </r>
  <r>
    <n v="14"/>
    <x v="13"/>
    <x v="0"/>
    <x v="5"/>
    <n v="26.9"/>
    <n v="52"/>
    <x v="0"/>
    <n v="33"/>
    <n v="270"/>
    <n v="3"/>
    <n v="1"/>
    <n v="1"/>
    <n v="1"/>
    <n v="0"/>
    <n v="0"/>
    <n v="4"/>
    <n v="0"/>
    <n v="0.33"/>
    <n v="0.33"/>
    <n v="0.67"/>
    <n v="0.33"/>
    <n v="0.67"/>
  </r>
  <r>
    <n v="15"/>
    <x v="14"/>
    <x v="0"/>
    <x v="2"/>
    <n v="26.1"/>
    <n v="57.1"/>
    <x v="2"/>
    <n v="77"/>
    <n v="660"/>
    <n v="7.3"/>
    <n v="11"/>
    <n v="7"/>
    <n v="10"/>
    <n v="1"/>
    <n v="1"/>
    <n v="0"/>
    <n v="0"/>
    <n v="1.5"/>
    <n v="0.95"/>
    <n v="2.4500000000000002"/>
    <n v="1.36"/>
    <n v="2.3199999999999998"/>
  </r>
  <r>
    <n v="16"/>
    <x v="15"/>
    <x v="0"/>
    <x v="3"/>
    <n v="27.6"/>
    <n v="39.299999999999997"/>
    <x v="0"/>
    <n v="33"/>
    <n v="270"/>
    <n v="3"/>
    <n v="0"/>
    <n v="0"/>
    <n v="0"/>
    <n v="0"/>
    <n v="0"/>
    <n v="1"/>
    <n v="0"/>
    <n v="0"/>
    <n v="0"/>
    <n v="0"/>
    <n v="0"/>
    <n v="0"/>
  </r>
  <r>
    <n v="17"/>
    <x v="16"/>
    <x v="0"/>
    <x v="1"/>
    <n v="25.7"/>
    <n v="34.799999999999997"/>
    <x v="1"/>
    <n v="44"/>
    <n v="360"/>
    <n v="4"/>
    <n v="1"/>
    <n v="1"/>
    <n v="1"/>
    <n v="0"/>
    <n v="0"/>
    <n v="6"/>
    <n v="1"/>
    <n v="0.25"/>
    <n v="0.25"/>
    <n v="0.5"/>
    <n v="0.25"/>
    <n v="0.5"/>
  </r>
  <r>
    <n v="18"/>
    <x v="17"/>
    <x v="0"/>
    <x v="3"/>
    <n v="26.8"/>
    <n v="50.2"/>
    <x v="3"/>
    <n v="55"/>
    <n v="480"/>
    <n v="5.3"/>
    <n v="5"/>
    <n v="3"/>
    <n v="3"/>
    <n v="2"/>
    <n v="2"/>
    <n v="1"/>
    <n v="0"/>
    <n v="0.94"/>
    <n v="0.56000000000000005"/>
    <n v="1.5"/>
    <n v="0.56000000000000005"/>
    <n v="1.1299999999999999"/>
  </r>
  <r>
    <n v="19"/>
    <x v="18"/>
    <x v="0"/>
    <x v="5"/>
    <n v="26.4"/>
    <n v="47"/>
    <x v="0"/>
    <n v="33"/>
    <n v="270"/>
    <n v="3"/>
    <n v="5"/>
    <n v="3"/>
    <n v="5"/>
    <n v="0"/>
    <n v="0"/>
    <n v="6"/>
    <n v="0"/>
    <n v="1.67"/>
    <n v="1"/>
    <n v="2.67"/>
    <n v="1.67"/>
    <n v="2.67"/>
  </r>
  <r>
    <n v="20"/>
    <x v="19"/>
    <x v="0"/>
    <x v="5"/>
    <n v="27.5"/>
    <n v="38"/>
    <x v="0"/>
    <n v="33"/>
    <n v="270"/>
    <n v="3"/>
    <n v="1"/>
    <n v="1"/>
    <n v="1"/>
    <n v="0"/>
    <n v="0"/>
    <n v="7"/>
    <n v="1"/>
    <n v="0.33"/>
    <n v="0.33"/>
    <n v="0.67"/>
    <n v="0.33"/>
    <n v="0.67"/>
  </r>
  <r>
    <n v="21"/>
    <x v="20"/>
    <x v="0"/>
    <x v="5"/>
    <n v="25.2"/>
    <n v="62.5"/>
    <x v="1"/>
    <n v="44"/>
    <n v="360"/>
    <n v="4"/>
    <n v="4"/>
    <n v="2"/>
    <n v="2"/>
    <n v="2"/>
    <n v="2"/>
    <n v="1"/>
    <n v="0"/>
    <n v="1"/>
    <n v="0.5"/>
    <n v="1.5"/>
    <n v="0.5"/>
    <n v="1"/>
  </r>
  <r>
    <n v="22"/>
    <x v="21"/>
    <x v="0"/>
    <x v="1"/>
    <n v="28.5"/>
    <n v="48.4"/>
    <x v="2"/>
    <n v="77"/>
    <n v="660"/>
    <n v="7.3"/>
    <n v="12"/>
    <n v="7"/>
    <n v="11"/>
    <n v="1"/>
    <n v="1"/>
    <n v="2"/>
    <n v="0"/>
    <n v="1.64"/>
    <n v="0.95"/>
    <n v="2.59"/>
    <n v="1.5"/>
    <n v="2.4500000000000002"/>
  </r>
  <r>
    <n v="23"/>
    <x v="22"/>
    <x v="0"/>
    <x v="0"/>
    <n v="27.8"/>
    <n v="30"/>
    <x v="0"/>
    <n v="33"/>
    <n v="270"/>
    <n v="3"/>
    <n v="1"/>
    <n v="1"/>
    <n v="1"/>
    <n v="0"/>
    <n v="0"/>
    <n v="5"/>
    <n v="0"/>
    <n v="0.33"/>
    <n v="0.33"/>
    <n v="0.67"/>
    <n v="0.33"/>
    <n v="0.67"/>
  </r>
  <r>
    <n v="24"/>
    <x v="23"/>
    <x v="0"/>
    <x v="6"/>
    <n v="28.8"/>
    <n v="56"/>
    <x v="2"/>
    <n v="77"/>
    <n v="630"/>
    <n v="7"/>
    <n v="25"/>
    <n v="17"/>
    <n v="22"/>
    <n v="3"/>
    <n v="4"/>
    <n v="0"/>
    <n v="0"/>
    <n v="3.57"/>
    <n v="2.4300000000000002"/>
    <n v="6"/>
    <n v="3.14"/>
    <n v="5.57"/>
  </r>
  <r>
    <n v="25"/>
    <x v="1"/>
    <x v="1"/>
    <x v="3"/>
    <n v="23.6"/>
    <n v="46.2"/>
    <x v="3"/>
    <n v="55"/>
    <n v="450"/>
    <n v="5"/>
    <n v="5"/>
    <n v="4"/>
    <n v="5"/>
    <n v="0"/>
    <n v="0"/>
    <n v="0"/>
    <n v="0"/>
    <n v="1"/>
    <n v="0.8"/>
    <n v="1.8"/>
    <n v="1"/>
    <n v="1.8"/>
  </r>
  <r>
    <n v="26"/>
    <x v="2"/>
    <x v="1"/>
    <x v="1"/>
    <n v="27.4"/>
    <n v="59"/>
    <x v="1"/>
    <n v="44"/>
    <n v="360"/>
    <n v="4"/>
    <n v="4"/>
    <n v="1"/>
    <n v="3"/>
    <n v="1"/>
    <n v="1"/>
    <n v="1"/>
    <n v="0"/>
    <n v="1"/>
    <n v="0.25"/>
    <n v="1.25"/>
    <n v="0.75"/>
    <n v="1"/>
  </r>
  <r>
    <n v="27"/>
    <x v="3"/>
    <x v="1"/>
    <x v="3"/>
    <n v="25.1"/>
    <n v="48.8"/>
    <x v="1"/>
    <n v="44"/>
    <n v="360"/>
    <n v="4"/>
    <n v="9"/>
    <n v="5"/>
    <n v="5"/>
    <n v="4"/>
    <n v="4"/>
    <n v="6"/>
    <n v="0"/>
    <n v="2.25"/>
    <n v="1.25"/>
    <n v="3.5"/>
    <n v="1.25"/>
    <n v="2.5"/>
  </r>
  <r>
    <n v="28"/>
    <x v="4"/>
    <x v="1"/>
    <x v="0"/>
    <n v="27.2"/>
    <n v="55"/>
    <x v="3"/>
    <n v="55"/>
    <n v="450"/>
    <n v="5"/>
    <n v="4"/>
    <n v="1"/>
    <n v="3"/>
    <n v="1"/>
    <n v="1"/>
    <n v="3"/>
    <n v="0"/>
    <n v="0.8"/>
    <n v="0.2"/>
    <n v="1"/>
    <n v="0.6"/>
    <n v="0.8"/>
  </r>
  <r>
    <n v="29"/>
    <x v="6"/>
    <x v="1"/>
    <x v="0"/>
    <n v="23.6"/>
    <n v="48.6"/>
    <x v="3"/>
    <n v="55"/>
    <n v="450"/>
    <n v="5"/>
    <n v="4"/>
    <n v="2"/>
    <n v="3"/>
    <n v="1"/>
    <n v="1"/>
    <n v="2"/>
    <n v="0"/>
    <n v="0.8"/>
    <n v="0.4"/>
    <n v="1.2"/>
    <n v="0.6"/>
    <n v="1"/>
  </r>
  <r>
    <n v="30"/>
    <x v="24"/>
    <x v="1"/>
    <x v="0"/>
    <n v="24.3"/>
    <n v="44.3"/>
    <x v="1"/>
    <n v="44"/>
    <n v="360"/>
    <n v="4"/>
    <n v="4"/>
    <n v="4"/>
    <n v="4"/>
    <n v="0"/>
    <n v="0"/>
    <n v="8"/>
    <n v="0"/>
    <n v="1"/>
    <n v="1"/>
    <n v="2"/>
    <n v="1"/>
    <n v="2"/>
  </r>
  <r>
    <n v="31"/>
    <x v="25"/>
    <x v="1"/>
    <x v="7"/>
    <n v="25"/>
    <n v="42.3"/>
    <x v="0"/>
    <n v="33"/>
    <n v="270"/>
    <n v="3"/>
    <n v="3"/>
    <n v="3"/>
    <n v="3"/>
    <n v="0"/>
    <n v="0"/>
    <n v="0"/>
    <n v="0"/>
    <n v="1"/>
    <n v="1"/>
    <n v="2"/>
    <n v="1"/>
    <n v="2"/>
  </r>
  <r>
    <n v="32"/>
    <x v="26"/>
    <x v="1"/>
    <x v="5"/>
    <n v="25"/>
    <n v="45"/>
    <x v="0"/>
    <n v="33"/>
    <n v="270"/>
    <n v="3"/>
    <n v="3"/>
    <n v="0"/>
    <n v="3"/>
    <n v="0"/>
    <n v="0"/>
    <n v="8"/>
    <n v="0"/>
    <n v="1"/>
    <n v="0"/>
    <n v="1"/>
    <n v="1"/>
    <n v="1"/>
  </r>
  <r>
    <n v="33"/>
    <x v="27"/>
    <x v="1"/>
    <x v="5"/>
    <n v="23.4"/>
    <n v="38.700000000000003"/>
    <x v="0"/>
    <n v="33"/>
    <n v="270"/>
    <n v="3"/>
    <n v="1"/>
    <n v="0"/>
    <n v="0"/>
    <n v="1"/>
    <n v="1"/>
    <n v="6"/>
    <n v="1"/>
    <n v="0.33"/>
    <n v="0"/>
    <n v="0.33"/>
    <n v="0"/>
    <n v="0"/>
  </r>
  <r>
    <n v="34"/>
    <x v="7"/>
    <x v="1"/>
    <x v="4"/>
    <n v="27.6"/>
    <n v="48.1"/>
    <x v="2"/>
    <n v="77"/>
    <n v="660"/>
    <n v="7.3"/>
    <n v="10"/>
    <n v="4"/>
    <n v="7"/>
    <n v="3"/>
    <n v="3"/>
    <n v="3"/>
    <n v="0"/>
    <n v="1.36"/>
    <n v="0.55000000000000004"/>
    <n v="1.91"/>
    <n v="0.95"/>
    <n v="1.5"/>
  </r>
  <r>
    <n v="35"/>
    <x v="8"/>
    <x v="1"/>
    <x v="5"/>
    <n v="27.3"/>
    <n v="53.6"/>
    <x v="3"/>
    <n v="55"/>
    <n v="480"/>
    <n v="5.3"/>
    <n v="9"/>
    <n v="7"/>
    <n v="9"/>
    <n v="0"/>
    <n v="0"/>
    <n v="0"/>
    <n v="0"/>
    <n v="1.69"/>
    <n v="1.31"/>
    <n v="3"/>
    <n v="1.69"/>
    <n v="3"/>
  </r>
  <r>
    <n v="36"/>
    <x v="9"/>
    <x v="1"/>
    <x v="6"/>
    <n v="26.9"/>
    <n v="54.7"/>
    <x v="2"/>
    <n v="77"/>
    <n v="690"/>
    <n v="7.7"/>
    <n v="20"/>
    <n v="11"/>
    <n v="18"/>
    <n v="2"/>
    <n v="2"/>
    <n v="1"/>
    <n v="0"/>
    <n v="2.61"/>
    <n v="1.43"/>
    <n v="4.04"/>
    <n v="2.35"/>
    <n v="3.78"/>
  </r>
  <r>
    <n v="37"/>
    <x v="12"/>
    <x v="1"/>
    <x v="8"/>
    <n v="27.9"/>
    <n v="55.1"/>
    <x v="2"/>
    <n v="77"/>
    <n v="630"/>
    <n v="7"/>
    <n v="9"/>
    <n v="5"/>
    <n v="7"/>
    <n v="2"/>
    <n v="2"/>
    <n v="1"/>
    <n v="0"/>
    <n v="1.29"/>
    <n v="0.71"/>
    <n v="2"/>
    <n v="1"/>
    <n v="1.71"/>
  </r>
  <r>
    <n v="38"/>
    <x v="13"/>
    <x v="1"/>
    <x v="5"/>
    <n v="26.1"/>
    <n v="43.8"/>
    <x v="1"/>
    <n v="44"/>
    <n v="360"/>
    <n v="4"/>
    <n v="4"/>
    <n v="3"/>
    <n v="3"/>
    <n v="1"/>
    <n v="1"/>
    <n v="5"/>
    <n v="0"/>
    <n v="1"/>
    <n v="0.75"/>
    <n v="1.75"/>
    <n v="0.75"/>
    <n v="1.5"/>
  </r>
  <r>
    <n v="39"/>
    <x v="28"/>
    <x v="1"/>
    <x v="3"/>
    <n v="24.3"/>
    <n v="52.3"/>
    <x v="0"/>
    <n v="33"/>
    <n v="270"/>
    <n v="3"/>
    <n v="2"/>
    <n v="1"/>
    <n v="2"/>
    <n v="0"/>
    <n v="0"/>
    <n v="4"/>
    <n v="0"/>
    <n v="0.67"/>
    <n v="0.33"/>
    <n v="1"/>
    <n v="0.67"/>
    <n v="1"/>
  </r>
  <r>
    <n v="40"/>
    <x v="14"/>
    <x v="1"/>
    <x v="0"/>
    <n v="24.3"/>
    <n v="49"/>
    <x v="1"/>
    <n v="44"/>
    <n v="360"/>
    <n v="4"/>
    <n v="3"/>
    <n v="3"/>
    <n v="3"/>
    <n v="0"/>
    <n v="0"/>
    <n v="3"/>
    <n v="0"/>
    <n v="0.75"/>
    <n v="0.75"/>
    <n v="1.5"/>
    <n v="0.75"/>
    <n v="1.5"/>
  </r>
  <r>
    <n v="41"/>
    <x v="15"/>
    <x v="1"/>
    <x v="7"/>
    <n v="24.9"/>
    <n v="46.7"/>
    <x v="0"/>
    <n v="33"/>
    <n v="270"/>
    <n v="3"/>
    <n v="2"/>
    <n v="2"/>
    <n v="2"/>
    <n v="0"/>
    <n v="0"/>
    <n v="4"/>
    <n v="0"/>
    <n v="0.67"/>
    <n v="0.67"/>
    <n v="1.33"/>
    <n v="0.67"/>
    <n v="1.33"/>
  </r>
  <r>
    <n v="42"/>
    <x v="16"/>
    <x v="1"/>
    <x v="3"/>
    <n v="24.6"/>
    <n v="48.3"/>
    <x v="0"/>
    <n v="33"/>
    <n v="270"/>
    <n v="3"/>
    <n v="3"/>
    <n v="3"/>
    <n v="3"/>
    <n v="0"/>
    <n v="0"/>
    <n v="6"/>
    <n v="1"/>
    <n v="1"/>
    <n v="1"/>
    <n v="2"/>
    <n v="1"/>
    <n v="2"/>
  </r>
  <r>
    <n v="43"/>
    <x v="17"/>
    <x v="1"/>
    <x v="0"/>
    <n v="26.7"/>
    <n v="54.5"/>
    <x v="1"/>
    <n v="44"/>
    <n v="360"/>
    <n v="4"/>
    <n v="9"/>
    <n v="6"/>
    <n v="9"/>
    <n v="0"/>
    <n v="0"/>
    <n v="1"/>
    <n v="0"/>
    <n v="2.25"/>
    <n v="1.5"/>
    <n v="3.75"/>
    <n v="2.25"/>
    <n v="3.75"/>
  </r>
  <r>
    <n v="44"/>
    <x v="20"/>
    <x v="1"/>
    <x v="3"/>
    <n v="25.3"/>
    <n v="50.7"/>
    <x v="0"/>
    <n v="33"/>
    <n v="270"/>
    <n v="3"/>
    <n v="2"/>
    <n v="2"/>
    <n v="2"/>
    <n v="0"/>
    <n v="0"/>
    <n v="3"/>
    <n v="0"/>
    <n v="0.67"/>
    <n v="0.67"/>
    <n v="1.33"/>
    <n v="0.67"/>
    <n v="1.33"/>
  </r>
  <r>
    <n v="45"/>
    <x v="21"/>
    <x v="1"/>
    <x v="0"/>
    <n v="28.1"/>
    <n v="49.3"/>
    <x v="1"/>
    <n v="44"/>
    <n v="360"/>
    <n v="4"/>
    <n v="4"/>
    <n v="2"/>
    <n v="4"/>
    <n v="0"/>
    <n v="0"/>
    <n v="0"/>
    <n v="0"/>
    <n v="1"/>
    <n v="0.5"/>
    <n v="1.5"/>
    <n v="1"/>
    <n v="1.5"/>
  </r>
  <r>
    <n v="46"/>
    <x v="29"/>
    <x v="1"/>
    <x v="3"/>
    <n v="25"/>
    <n v="55.3"/>
    <x v="1"/>
    <n v="44"/>
    <n v="360"/>
    <n v="4"/>
    <n v="9"/>
    <n v="7"/>
    <n v="8"/>
    <n v="1"/>
    <n v="1"/>
    <n v="4"/>
    <n v="0"/>
    <n v="2.25"/>
    <n v="1.75"/>
    <n v="4"/>
    <n v="2"/>
    <n v="3.75"/>
  </r>
  <r>
    <n v="47"/>
    <x v="22"/>
    <x v="1"/>
    <x v="3"/>
    <n v="25.7"/>
    <n v="40"/>
    <x v="0"/>
    <n v="33"/>
    <n v="270"/>
    <n v="3"/>
    <n v="3"/>
    <n v="3"/>
    <n v="3"/>
    <n v="0"/>
    <n v="0"/>
    <n v="3"/>
    <n v="0"/>
    <n v="1"/>
    <n v="1"/>
    <n v="2"/>
    <n v="1"/>
    <n v="2"/>
  </r>
  <r>
    <n v="48"/>
    <x v="23"/>
    <x v="1"/>
    <x v="1"/>
    <n v="28.4"/>
    <n v="52.9"/>
    <x v="2"/>
    <n v="77"/>
    <n v="630"/>
    <n v="7"/>
    <n v="14"/>
    <n v="7"/>
    <n v="12"/>
    <n v="2"/>
    <n v="2"/>
    <n v="2"/>
    <n v="0"/>
    <n v="2"/>
    <n v="1"/>
    <n v="3"/>
    <n v="1.71"/>
    <n v="2.71"/>
  </r>
  <r>
    <n v="49"/>
    <x v="1"/>
    <x v="2"/>
    <x v="1"/>
    <n v="22.8"/>
    <n v="53.5"/>
    <x v="1"/>
    <n v="44"/>
    <n v="360"/>
    <n v="4"/>
    <n v="6"/>
    <n v="6"/>
    <n v="6"/>
    <n v="0"/>
    <n v="0"/>
    <n v="0"/>
    <n v="0"/>
    <n v="1.5"/>
    <n v="1.5"/>
    <n v="3"/>
    <n v="1.5"/>
    <n v="3"/>
  </r>
  <r>
    <n v="50"/>
    <x v="2"/>
    <x v="2"/>
    <x v="2"/>
    <n v="27"/>
    <n v="53.3"/>
    <x v="1"/>
    <n v="44"/>
    <n v="390"/>
    <n v="4.3"/>
    <n v="9"/>
    <n v="6"/>
    <n v="7"/>
    <n v="2"/>
    <n v="2"/>
    <n v="0"/>
    <n v="0"/>
    <n v="2.08"/>
    <n v="1.38"/>
    <n v="3.46"/>
    <n v="1.62"/>
    <n v="3"/>
  </r>
  <r>
    <n v="51"/>
    <x v="4"/>
    <x v="2"/>
    <x v="5"/>
    <n v="25.9"/>
    <n v="47.3"/>
    <x v="0"/>
    <n v="33"/>
    <n v="270"/>
    <n v="3"/>
    <n v="1"/>
    <n v="0"/>
    <n v="1"/>
    <n v="0"/>
    <n v="0"/>
    <n v="0"/>
    <n v="0"/>
    <n v="0.33"/>
    <n v="0"/>
    <n v="0.33"/>
    <n v="0.33"/>
    <n v="0.33"/>
  </r>
  <r>
    <n v="52"/>
    <x v="24"/>
    <x v="2"/>
    <x v="3"/>
    <n v="22.4"/>
    <n v="49.3"/>
    <x v="0"/>
    <n v="33"/>
    <n v="270"/>
    <n v="3"/>
    <n v="0"/>
    <n v="0"/>
    <n v="0"/>
    <n v="0"/>
    <n v="0"/>
    <n v="0"/>
    <n v="0"/>
    <n v="0"/>
    <n v="0"/>
    <n v="0"/>
    <n v="0"/>
    <n v="0"/>
  </r>
  <r>
    <n v="53"/>
    <x v="7"/>
    <x v="2"/>
    <x v="0"/>
    <n v="26.9"/>
    <n v="49.3"/>
    <x v="1"/>
    <n v="44"/>
    <n v="390"/>
    <n v="4.3"/>
    <n v="6"/>
    <n v="7"/>
    <n v="6"/>
    <n v="0"/>
    <n v="0"/>
    <n v="0"/>
    <n v="0"/>
    <n v="1.38"/>
    <n v="1.62"/>
    <n v="3"/>
    <n v="1.38"/>
    <n v="3"/>
  </r>
  <r>
    <n v="54"/>
    <x v="30"/>
    <x v="2"/>
    <x v="7"/>
    <n v="26.1"/>
    <n v="40.700000000000003"/>
    <x v="0"/>
    <n v="33"/>
    <n v="270"/>
    <n v="3"/>
    <n v="2"/>
    <n v="0"/>
    <n v="2"/>
    <n v="0"/>
    <n v="0"/>
    <m/>
    <m/>
    <n v="0.67"/>
    <n v="0"/>
    <n v="0.67"/>
    <n v="0.67"/>
    <n v="0.67"/>
  </r>
  <r>
    <n v="55"/>
    <x v="8"/>
    <x v="2"/>
    <x v="1"/>
    <n v="26.7"/>
    <n v="52.3"/>
    <x v="4"/>
    <n v="66"/>
    <n v="570"/>
    <n v="6.3"/>
    <n v="10"/>
    <n v="9"/>
    <n v="10"/>
    <n v="0"/>
    <n v="0"/>
    <n v="0"/>
    <n v="0"/>
    <n v="1.58"/>
    <n v="1.42"/>
    <n v="3"/>
    <n v="1.58"/>
    <n v="3"/>
  </r>
  <r>
    <n v="56"/>
    <x v="9"/>
    <x v="2"/>
    <x v="3"/>
    <n v="26.4"/>
    <n v="50"/>
    <x v="1"/>
    <n v="44"/>
    <n v="390"/>
    <n v="4.3"/>
    <n v="7"/>
    <n v="6"/>
    <n v="6"/>
    <n v="1"/>
    <n v="1"/>
    <n v="0"/>
    <n v="0"/>
    <n v="1.62"/>
    <n v="1.38"/>
    <n v="3"/>
    <n v="1.38"/>
    <n v="2.77"/>
  </r>
  <r>
    <n v="57"/>
    <x v="12"/>
    <x v="2"/>
    <x v="0"/>
    <n v="25.4"/>
    <n v="56.5"/>
    <x v="4"/>
    <n v="66"/>
    <n v="600"/>
    <n v="6.7"/>
    <n v="12"/>
    <n v="10"/>
    <n v="12"/>
    <n v="0"/>
    <n v="0"/>
    <n v="0"/>
    <n v="0"/>
    <n v="1.8"/>
    <n v="1.5"/>
    <n v="3.3"/>
    <n v="1.8"/>
    <n v="3.3"/>
  </r>
  <r>
    <n v="58"/>
    <x v="31"/>
    <x v="2"/>
    <x v="3"/>
    <n v="21.1"/>
    <n v="50.7"/>
    <x v="0"/>
    <n v="33"/>
    <n v="270"/>
    <n v="3"/>
    <n v="0"/>
    <n v="0"/>
    <n v="0"/>
    <n v="0"/>
    <n v="0"/>
    <m/>
    <m/>
    <n v="0"/>
    <n v="0"/>
    <n v="0"/>
    <n v="0"/>
    <n v="0"/>
  </r>
  <r>
    <n v="59"/>
    <x v="28"/>
    <x v="2"/>
    <x v="0"/>
    <n v="23.1"/>
    <n v="47.7"/>
    <x v="0"/>
    <n v="33"/>
    <n v="270"/>
    <n v="3"/>
    <n v="3"/>
    <n v="3"/>
    <n v="3"/>
    <n v="0"/>
    <n v="0"/>
    <n v="0"/>
    <n v="0"/>
    <n v="1"/>
    <n v="1"/>
    <n v="2"/>
    <n v="1"/>
    <n v="2"/>
  </r>
  <r>
    <n v="60"/>
    <x v="15"/>
    <x v="2"/>
    <x v="2"/>
    <n v="24.4"/>
    <n v="45.7"/>
    <x v="0"/>
    <n v="33"/>
    <n v="270"/>
    <n v="3"/>
    <n v="4"/>
    <n v="3"/>
    <n v="4"/>
    <n v="0"/>
    <n v="0"/>
    <n v="0"/>
    <n v="0"/>
    <n v="1.33"/>
    <n v="1"/>
    <n v="2.33"/>
    <n v="1.33"/>
    <n v="2.33"/>
  </r>
  <r>
    <n v="61"/>
    <x v="16"/>
    <x v="2"/>
    <x v="3"/>
    <n v="24.3"/>
    <n v="50.7"/>
    <x v="0"/>
    <n v="33"/>
    <n v="270"/>
    <n v="3"/>
    <n v="1"/>
    <n v="0"/>
    <n v="1"/>
    <n v="0"/>
    <n v="0"/>
    <n v="0"/>
    <n v="0"/>
    <n v="0.33"/>
    <n v="0"/>
    <n v="0.33"/>
    <n v="0.33"/>
    <n v="0.33"/>
  </r>
  <r>
    <n v="62"/>
    <x v="17"/>
    <x v="2"/>
    <x v="0"/>
    <n v="24.7"/>
    <n v="50.7"/>
    <x v="0"/>
    <n v="33"/>
    <n v="270"/>
    <n v="3"/>
    <n v="2"/>
    <n v="1"/>
    <n v="2"/>
    <n v="0"/>
    <n v="0"/>
    <n v="0"/>
    <n v="0"/>
    <n v="0.67"/>
    <n v="0.33"/>
    <n v="1"/>
    <n v="0.67"/>
    <n v="1"/>
  </r>
  <r>
    <n v="63"/>
    <x v="21"/>
    <x v="2"/>
    <x v="5"/>
    <n v="28.4"/>
    <n v="45.3"/>
    <x v="4"/>
    <n v="66"/>
    <n v="540"/>
    <n v="6"/>
    <n v="10"/>
    <n v="4"/>
    <n v="9"/>
    <n v="1"/>
    <n v="1"/>
    <n v="0"/>
    <n v="0"/>
    <n v="1.67"/>
    <n v="0.67"/>
    <n v="2.33"/>
    <n v="1.5"/>
    <n v="2.17"/>
  </r>
  <r>
    <n v="64"/>
    <x v="23"/>
    <x v="2"/>
    <x v="0"/>
    <n v="28.3"/>
    <n v="50.5"/>
    <x v="4"/>
    <n v="66"/>
    <n v="600"/>
    <n v="6.7"/>
    <n v="12"/>
    <n v="9"/>
    <n v="12"/>
    <n v="0"/>
    <n v="0"/>
    <n v="0"/>
    <n v="0"/>
    <n v="1.8"/>
    <n v="1.35"/>
    <n v="3.15"/>
    <n v="1.8"/>
    <n v="3.15"/>
  </r>
  <r>
    <n v="65"/>
    <x v="0"/>
    <x v="3"/>
    <x v="5"/>
    <n v="21"/>
    <n v="38.299999999999997"/>
    <x v="0"/>
    <n v="33"/>
    <n v="270"/>
    <n v="3"/>
    <n v="1"/>
    <n v="0"/>
    <n v="1"/>
    <n v="0"/>
    <n v="0"/>
    <m/>
    <m/>
    <n v="0.33"/>
    <n v="0"/>
    <n v="0.33"/>
    <n v="0.33"/>
    <n v="0.33"/>
  </r>
  <r>
    <n v="66"/>
    <x v="1"/>
    <x v="3"/>
    <x v="0"/>
    <n v="24.7"/>
    <n v="48.3"/>
    <x v="1"/>
    <n v="44"/>
    <n v="360"/>
    <n v="4"/>
    <n v="9"/>
    <n v="6"/>
    <n v="9"/>
    <n v="0"/>
    <n v="0"/>
    <m/>
    <m/>
    <n v="2.25"/>
    <n v="1.5"/>
    <n v="3.75"/>
    <n v="2.25"/>
    <n v="3.75"/>
  </r>
  <r>
    <n v="67"/>
    <x v="2"/>
    <x v="3"/>
    <x v="2"/>
    <n v="25.7"/>
    <n v="61.3"/>
    <x v="4"/>
    <n v="66"/>
    <n v="540"/>
    <n v="6"/>
    <n v="16"/>
    <n v="7"/>
    <n v="16"/>
    <n v="0"/>
    <n v="0"/>
    <m/>
    <m/>
    <n v="2.67"/>
    <n v="1.17"/>
    <n v="3.83"/>
    <n v="2.67"/>
    <n v="3.83"/>
  </r>
  <r>
    <n v="68"/>
    <x v="4"/>
    <x v="3"/>
    <x v="0"/>
    <n v="23.8"/>
    <n v="39.299999999999997"/>
    <x v="0"/>
    <n v="33"/>
    <n v="270"/>
    <n v="3"/>
    <n v="7"/>
    <n v="3"/>
    <n v="7"/>
    <n v="0"/>
    <n v="0"/>
    <m/>
    <m/>
    <n v="2.33"/>
    <n v="1"/>
    <n v="3.33"/>
    <n v="2.33"/>
    <n v="3.33"/>
  </r>
  <r>
    <n v="69"/>
    <x v="6"/>
    <x v="3"/>
    <x v="0"/>
    <n v="24.9"/>
    <n v="47.3"/>
    <x v="1"/>
    <n v="44"/>
    <n v="360"/>
    <n v="4"/>
    <n v="5"/>
    <n v="0"/>
    <n v="5"/>
    <n v="0"/>
    <n v="0"/>
    <m/>
    <m/>
    <n v="1.25"/>
    <n v="0"/>
    <n v="1.25"/>
    <n v="1.25"/>
    <n v="1.25"/>
  </r>
  <r>
    <n v="70"/>
    <x v="32"/>
    <x v="3"/>
    <x v="2"/>
    <n v="26.9"/>
    <n v="50.7"/>
    <x v="0"/>
    <n v="33"/>
    <n v="270"/>
    <n v="3"/>
    <n v="4"/>
    <n v="2"/>
    <n v="4"/>
    <n v="0"/>
    <n v="0"/>
    <m/>
    <m/>
    <n v="1.33"/>
    <n v="0.67"/>
    <n v="2"/>
    <n v="1.33"/>
    <n v="2"/>
  </r>
  <r>
    <n v="71"/>
    <x v="7"/>
    <x v="3"/>
    <x v="0"/>
    <n v="24.8"/>
    <n v="52.5"/>
    <x v="1"/>
    <n v="44"/>
    <n v="360"/>
    <n v="4"/>
    <n v="7"/>
    <n v="5"/>
    <n v="5"/>
    <n v="2"/>
    <n v="2"/>
    <m/>
    <m/>
    <n v="1.75"/>
    <n v="1.25"/>
    <n v="3"/>
    <n v="1.25"/>
    <n v="2.5"/>
  </r>
  <r>
    <n v="72"/>
    <x v="9"/>
    <x v="3"/>
    <x v="3"/>
    <n v="26.5"/>
    <n v="49.5"/>
    <x v="4"/>
    <n v="66"/>
    <n v="540"/>
    <n v="6"/>
    <n v="20"/>
    <n v="11"/>
    <n v="19"/>
    <n v="1"/>
    <n v="1"/>
    <m/>
    <m/>
    <n v="3.33"/>
    <n v="1.83"/>
    <n v="5.17"/>
    <n v="3.17"/>
    <n v="5"/>
  </r>
  <r>
    <n v="73"/>
    <x v="33"/>
    <x v="3"/>
    <x v="5"/>
    <n v="24.5"/>
    <n v="52.3"/>
    <x v="0"/>
    <n v="33"/>
    <n v="270"/>
    <n v="3"/>
    <n v="3"/>
    <n v="0"/>
    <n v="2"/>
    <n v="1"/>
    <n v="1"/>
    <m/>
    <m/>
    <n v="1"/>
    <n v="0"/>
    <n v="1"/>
    <n v="0.67"/>
    <n v="0.67"/>
  </r>
  <r>
    <n v="74"/>
    <x v="12"/>
    <x v="3"/>
    <x v="2"/>
    <n v="24.7"/>
    <n v="56"/>
    <x v="0"/>
    <n v="33"/>
    <n v="270"/>
    <n v="3"/>
    <n v="3"/>
    <n v="0"/>
    <n v="3"/>
    <n v="0"/>
    <n v="0"/>
    <m/>
    <m/>
    <n v="1"/>
    <n v="0"/>
    <n v="1"/>
    <n v="1"/>
    <n v="1"/>
  </r>
  <r>
    <n v="75"/>
    <x v="31"/>
    <x v="3"/>
    <x v="7"/>
    <n v="22.8"/>
    <n v="52.8"/>
    <x v="1"/>
    <n v="44"/>
    <n v="360"/>
    <n v="4"/>
    <n v="5"/>
    <n v="1"/>
    <n v="5"/>
    <n v="0"/>
    <n v="0"/>
    <m/>
    <m/>
    <n v="1.25"/>
    <n v="0.25"/>
    <n v="1.5"/>
    <n v="1.25"/>
    <n v="1.5"/>
  </r>
  <r>
    <n v="76"/>
    <x v="15"/>
    <x v="3"/>
    <x v="0"/>
    <n v="24.5"/>
    <n v="39.700000000000003"/>
    <x v="0"/>
    <n v="33"/>
    <n v="270"/>
    <n v="3"/>
    <n v="0"/>
    <n v="0"/>
    <n v="0"/>
    <n v="0"/>
    <n v="0"/>
    <m/>
    <m/>
    <n v="0"/>
    <n v="0"/>
    <n v="0"/>
    <n v="0"/>
    <n v="0"/>
  </r>
  <r>
    <n v="77"/>
    <x v="16"/>
    <x v="3"/>
    <x v="7"/>
    <n v="23.6"/>
    <n v="51"/>
    <x v="0"/>
    <n v="33"/>
    <n v="270"/>
    <n v="3"/>
    <n v="1"/>
    <n v="0"/>
    <n v="1"/>
    <n v="0"/>
    <n v="0"/>
    <m/>
    <m/>
    <n v="0.33"/>
    <n v="0"/>
    <n v="0.33"/>
    <n v="0.33"/>
    <n v="0.33"/>
  </r>
  <r>
    <n v="78"/>
    <x v="17"/>
    <x v="3"/>
    <x v="5"/>
    <n v="26.3"/>
    <n v="53.7"/>
    <x v="4"/>
    <n v="66"/>
    <n v="540"/>
    <n v="6"/>
    <n v="12"/>
    <n v="10"/>
    <n v="11"/>
    <n v="1"/>
    <n v="1"/>
    <m/>
    <m/>
    <n v="2"/>
    <n v="1.67"/>
    <n v="3.67"/>
    <n v="1.83"/>
    <n v="3.5"/>
  </r>
  <r>
    <n v="79"/>
    <x v="21"/>
    <x v="3"/>
    <x v="2"/>
    <n v="26.1"/>
    <n v="49.7"/>
    <x v="0"/>
    <n v="33"/>
    <n v="270"/>
    <n v="3"/>
    <n v="3"/>
    <n v="3"/>
    <n v="3"/>
    <n v="0"/>
    <n v="0"/>
    <m/>
    <m/>
    <n v="1"/>
    <n v="1"/>
    <n v="2"/>
    <n v="1"/>
    <n v="2"/>
  </r>
  <r>
    <n v="80"/>
    <x v="23"/>
    <x v="3"/>
    <x v="0"/>
    <n v="26.7"/>
    <n v="46.5"/>
    <x v="4"/>
    <n v="66"/>
    <n v="540"/>
    <n v="6"/>
    <n v="12"/>
    <n v="3"/>
    <n v="11"/>
    <n v="1"/>
    <n v="1"/>
    <m/>
    <m/>
    <n v="2"/>
    <n v="0.5"/>
    <n v="2.5"/>
    <n v="1.83"/>
    <n v="2.33"/>
  </r>
  <r>
    <n v="81"/>
    <x v="0"/>
    <x v="4"/>
    <x v="2"/>
    <n v="23"/>
    <n v="49"/>
    <x v="0"/>
    <n v="33"/>
    <n v="270"/>
    <n v="3"/>
    <n v="1"/>
    <n v="0"/>
    <n v="1"/>
    <n v="0"/>
    <n v="0"/>
    <m/>
    <m/>
    <n v="0.33"/>
    <n v="0"/>
    <n v="0.33"/>
    <n v="0.33"/>
    <n v="0.33"/>
  </r>
  <r>
    <n v="82"/>
    <x v="1"/>
    <x v="4"/>
    <x v="2"/>
    <n v="23.4"/>
    <n v="49"/>
    <x v="0"/>
    <n v="33"/>
    <n v="270"/>
    <n v="3"/>
    <n v="3"/>
    <n v="0"/>
    <n v="3"/>
    <n v="0"/>
    <n v="0"/>
    <m/>
    <m/>
    <n v="1"/>
    <n v="0"/>
    <n v="1"/>
    <n v="1"/>
    <n v="1"/>
  </r>
  <r>
    <n v="83"/>
    <x v="2"/>
    <x v="4"/>
    <x v="2"/>
    <n v="22.4"/>
    <n v="55"/>
    <x v="1"/>
    <n v="44"/>
    <n v="360"/>
    <n v="4"/>
    <n v="9"/>
    <n v="0"/>
    <n v="9"/>
    <n v="0"/>
    <n v="0"/>
    <m/>
    <m/>
    <n v="2.25"/>
    <n v="0"/>
    <n v="2.25"/>
    <n v="2.25"/>
    <n v="2.25"/>
  </r>
  <r>
    <n v="84"/>
    <x v="4"/>
    <x v="4"/>
    <x v="3"/>
    <n v="22.7"/>
    <n v="41.7"/>
    <x v="4"/>
    <n v="66"/>
    <n v="540"/>
    <n v="6"/>
    <n v="10"/>
    <n v="0"/>
    <n v="10"/>
    <n v="0"/>
    <n v="0"/>
    <m/>
    <m/>
    <n v="1.67"/>
    <n v="0"/>
    <n v="1.67"/>
    <n v="1.67"/>
    <n v="1.67"/>
  </r>
  <r>
    <n v="85"/>
    <x v="6"/>
    <x v="4"/>
    <x v="0"/>
    <n v="27"/>
    <n v="61"/>
    <x v="1"/>
    <n v="44"/>
    <n v="360"/>
    <n v="4"/>
    <n v="3"/>
    <n v="0"/>
    <n v="3"/>
    <n v="0"/>
    <n v="0"/>
    <m/>
    <m/>
    <n v="0.75"/>
    <n v="0"/>
    <n v="0.75"/>
    <n v="0.75"/>
    <n v="0.75"/>
  </r>
  <r>
    <n v="86"/>
    <x v="8"/>
    <x v="4"/>
    <x v="3"/>
    <n v="25.2"/>
    <n v="46.3"/>
    <x v="0"/>
    <n v="33"/>
    <n v="270"/>
    <n v="3"/>
    <n v="2"/>
    <n v="0"/>
    <n v="2"/>
    <n v="0"/>
    <n v="0"/>
    <m/>
    <m/>
    <n v="0.67"/>
    <n v="0"/>
    <n v="0.67"/>
    <n v="0.67"/>
    <n v="0.67"/>
  </r>
  <r>
    <n v="87"/>
    <x v="9"/>
    <x v="4"/>
    <x v="5"/>
    <n v="27"/>
    <n v="51.8"/>
    <x v="4"/>
    <n v="66"/>
    <n v="570"/>
    <n v="6.3"/>
    <n v="25"/>
    <n v="0"/>
    <n v="25"/>
    <n v="0"/>
    <n v="0"/>
    <m/>
    <m/>
    <n v="3.95"/>
    <n v="0"/>
    <n v="3.95"/>
    <n v="3.95"/>
    <n v="3.95"/>
  </r>
  <r>
    <n v="88"/>
    <x v="33"/>
    <x v="4"/>
    <x v="7"/>
    <n v="25.4"/>
    <n v="47.7"/>
    <x v="0"/>
    <n v="33"/>
    <n v="270"/>
    <n v="3"/>
    <n v="2"/>
    <n v="0"/>
    <n v="2"/>
    <n v="0"/>
    <n v="0"/>
    <m/>
    <m/>
    <n v="0.67"/>
    <n v="0"/>
    <n v="0.67"/>
    <n v="0.67"/>
    <n v="0.67"/>
  </r>
  <r>
    <n v="89"/>
    <x v="12"/>
    <x v="4"/>
    <x v="2"/>
    <n v="24.2"/>
    <n v="54.7"/>
    <x v="0"/>
    <n v="33"/>
    <n v="270"/>
    <n v="3"/>
    <n v="7"/>
    <n v="0"/>
    <n v="7"/>
    <n v="0"/>
    <n v="0"/>
    <m/>
    <m/>
    <n v="2.33"/>
    <n v="0"/>
    <n v="2.33"/>
    <n v="2.33"/>
    <n v="2.33"/>
  </r>
  <r>
    <n v="90"/>
    <x v="31"/>
    <x v="4"/>
    <x v="7"/>
    <n v="24.6"/>
    <n v="52.3"/>
    <x v="0"/>
    <n v="33"/>
    <n v="270"/>
    <n v="3"/>
    <n v="3"/>
    <n v="0"/>
    <n v="3"/>
    <n v="0"/>
    <n v="0"/>
    <m/>
    <m/>
    <n v="1"/>
    <n v="0"/>
    <n v="1"/>
    <n v="1"/>
    <n v="1"/>
  </r>
  <r>
    <n v="91"/>
    <x v="13"/>
    <x v="4"/>
    <x v="0"/>
    <n v="22.2"/>
    <n v="48.7"/>
    <x v="0"/>
    <n v="33"/>
    <n v="270"/>
    <n v="3"/>
    <n v="1"/>
    <n v="0"/>
    <n v="1"/>
    <n v="0"/>
    <n v="0"/>
    <m/>
    <m/>
    <n v="0.33"/>
    <n v="0"/>
    <n v="0.33"/>
    <n v="0.33"/>
    <n v="0.33"/>
  </r>
  <r>
    <n v="92"/>
    <x v="16"/>
    <x v="4"/>
    <x v="2"/>
    <n v="24.7"/>
    <n v="51.3"/>
    <x v="0"/>
    <n v="33"/>
    <n v="270"/>
    <n v="3"/>
    <n v="0"/>
    <n v="0"/>
    <n v="0"/>
    <n v="0"/>
    <n v="0"/>
    <m/>
    <m/>
    <n v="0"/>
    <n v="0"/>
    <n v="0"/>
    <n v="0"/>
    <n v="0"/>
  </r>
  <r>
    <n v="93"/>
    <x v="17"/>
    <x v="4"/>
    <x v="2"/>
    <n v="25.3"/>
    <n v="48"/>
    <x v="1"/>
    <n v="44"/>
    <n v="360"/>
    <n v="4"/>
    <n v="10"/>
    <n v="1"/>
    <n v="10"/>
    <n v="0"/>
    <n v="0"/>
    <m/>
    <m/>
    <n v="2.5"/>
    <n v="0.25"/>
    <n v="2.75"/>
    <n v="2.5"/>
    <n v="2.75"/>
  </r>
  <r>
    <n v="94"/>
    <x v="34"/>
    <x v="4"/>
    <x v="3"/>
    <n v="28.1"/>
    <n v="45"/>
    <x v="1"/>
    <n v="44"/>
    <n v="360"/>
    <n v="4"/>
    <n v="5"/>
    <n v="1"/>
    <n v="5"/>
    <n v="0"/>
    <n v="0"/>
    <m/>
    <m/>
    <n v="1.25"/>
    <n v="0.25"/>
    <n v="1.5"/>
    <n v="1.25"/>
    <n v="1.5"/>
  </r>
  <r>
    <n v="95"/>
    <x v="21"/>
    <x v="4"/>
    <x v="0"/>
    <n v="25.9"/>
    <n v="48.2"/>
    <x v="4"/>
    <n v="66"/>
    <n v="570"/>
    <n v="6.3"/>
    <n v="10"/>
    <n v="0"/>
    <n v="10"/>
    <n v="0"/>
    <n v="0"/>
    <m/>
    <m/>
    <n v="1.58"/>
    <n v="0"/>
    <n v="1.58"/>
    <n v="1.58"/>
    <n v="1.58"/>
  </r>
  <r>
    <n v="96"/>
    <x v="23"/>
    <x v="4"/>
    <x v="0"/>
    <n v="28.1"/>
    <n v="52.8"/>
    <x v="4"/>
    <n v="66"/>
    <n v="540"/>
    <n v="6"/>
    <n v="15"/>
    <n v="4"/>
    <n v="15"/>
    <n v="0"/>
    <n v="0"/>
    <m/>
    <m/>
    <n v="2.5"/>
    <n v="0.67"/>
    <n v="3.17"/>
    <n v="2.5"/>
    <n v="3.17"/>
  </r>
  <r>
    <n v="97"/>
    <x v="1"/>
    <x v="5"/>
    <x v="3"/>
    <n v="25"/>
    <m/>
    <x v="0"/>
    <n v="33"/>
    <n v="270"/>
    <n v="3"/>
    <n v="3"/>
    <n v="1"/>
    <n v="3"/>
    <n v="0"/>
    <n v="0"/>
    <m/>
    <m/>
    <n v="1"/>
    <n v="0.33"/>
    <n v="1.33"/>
    <n v="1"/>
    <n v="1.33"/>
  </r>
  <r>
    <n v="98"/>
    <x v="2"/>
    <x v="5"/>
    <x v="7"/>
    <n v="25"/>
    <m/>
    <x v="4"/>
    <n v="66"/>
    <n v="554"/>
    <n v="6.2"/>
    <n v="16"/>
    <n v="10"/>
    <n v="16"/>
    <n v="0"/>
    <n v="0"/>
    <m/>
    <m/>
    <n v="2.6"/>
    <n v="1.62"/>
    <n v="4.22"/>
    <n v="2.6"/>
    <n v="4.22"/>
  </r>
  <r>
    <n v="99"/>
    <x v="4"/>
    <x v="5"/>
    <x v="7"/>
    <n v="25.9"/>
    <m/>
    <x v="0"/>
    <n v="33"/>
    <n v="270"/>
    <n v="3"/>
    <n v="3"/>
    <n v="3"/>
    <n v="3"/>
    <n v="0"/>
    <n v="0"/>
    <m/>
    <m/>
    <n v="1"/>
    <n v="1"/>
    <n v="2"/>
    <n v="1"/>
    <n v="2"/>
  </r>
  <r>
    <n v="100"/>
    <x v="6"/>
    <x v="5"/>
    <x v="9"/>
    <n v="26.6"/>
    <m/>
    <x v="4"/>
    <n v="66"/>
    <n v="570"/>
    <n v="6.3"/>
    <n v="19"/>
    <n v="9"/>
    <n v="18"/>
    <n v="1"/>
    <n v="1"/>
    <m/>
    <m/>
    <n v="3"/>
    <n v="1.42"/>
    <n v="4.42"/>
    <n v="2.84"/>
    <n v="4.26"/>
  </r>
  <r>
    <n v="101"/>
    <x v="32"/>
    <x v="5"/>
    <x v="3"/>
    <n v="25.5"/>
    <m/>
    <x v="0"/>
    <n v="33"/>
    <n v="270"/>
    <n v="3"/>
    <n v="1"/>
    <n v="0"/>
    <n v="1"/>
    <n v="0"/>
    <n v="0"/>
    <m/>
    <m/>
    <n v="0.33"/>
    <n v="0"/>
    <n v="0.33"/>
    <n v="0.33"/>
    <n v="0.33"/>
  </r>
  <r>
    <n v="102"/>
    <x v="9"/>
    <x v="5"/>
    <x v="0"/>
    <n v="24.4"/>
    <m/>
    <x v="1"/>
    <n v="44"/>
    <n v="360"/>
    <n v="4"/>
    <n v="11"/>
    <n v="4"/>
    <n v="11"/>
    <n v="0"/>
    <n v="0"/>
    <m/>
    <m/>
    <n v="2.75"/>
    <n v="1"/>
    <n v="3.75"/>
    <n v="2.75"/>
    <n v="3.75"/>
  </r>
  <r>
    <n v="103"/>
    <x v="33"/>
    <x v="5"/>
    <x v="2"/>
    <n v="23.6"/>
    <m/>
    <x v="0"/>
    <n v="33"/>
    <n v="270"/>
    <n v="3"/>
    <n v="1"/>
    <n v="0"/>
    <n v="1"/>
    <n v="0"/>
    <n v="0"/>
    <m/>
    <m/>
    <n v="0.33"/>
    <n v="0"/>
    <n v="0.33"/>
    <n v="0.33"/>
    <n v="0.33"/>
  </r>
  <r>
    <n v="104"/>
    <x v="10"/>
    <x v="5"/>
    <x v="3"/>
    <n v="26.7"/>
    <m/>
    <x v="0"/>
    <n v="33"/>
    <n v="270"/>
    <n v="3"/>
    <n v="3"/>
    <n v="1"/>
    <n v="3"/>
    <n v="0"/>
    <n v="0"/>
    <m/>
    <m/>
    <n v="1"/>
    <n v="0.33"/>
    <n v="1.33"/>
    <n v="1"/>
    <n v="1.33"/>
  </r>
  <r>
    <n v="105"/>
    <x v="12"/>
    <x v="5"/>
    <x v="7"/>
    <n v="23"/>
    <m/>
    <x v="0"/>
    <n v="33"/>
    <n v="270"/>
    <n v="3"/>
    <n v="1"/>
    <n v="1"/>
    <n v="1"/>
    <n v="0"/>
    <n v="0"/>
    <m/>
    <m/>
    <n v="0.33"/>
    <n v="0.33"/>
    <n v="0.67"/>
    <n v="0.33"/>
    <n v="0.67"/>
  </r>
  <r>
    <n v="106"/>
    <x v="31"/>
    <x v="5"/>
    <x v="2"/>
    <n v="24.5"/>
    <m/>
    <x v="0"/>
    <n v="33"/>
    <n v="270"/>
    <n v="3"/>
    <n v="4"/>
    <n v="2"/>
    <n v="4"/>
    <n v="0"/>
    <n v="0"/>
    <m/>
    <m/>
    <n v="1.33"/>
    <n v="0.67"/>
    <n v="2"/>
    <n v="1.33"/>
    <n v="2"/>
  </r>
  <r>
    <n v="107"/>
    <x v="28"/>
    <x v="5"/>
    <x v="7"/>
    <n v="21.5"/>
    <m/>
    <x v="0"/>
    <n v="33"/>
    <n v="270"/>
    <n v="3"/>
    <n v="1"/>
    <n v="0"/>
    <n v="1"/>
    <n v="0"/>
    <n v="0"/>
    <m/>
    <m/>
    <n v="0.33"/>
    <n v="0"/>
    <n v="0.33"/>
    <n v="0.33"/>
    <n v="0.33"/>
  </r>
  <r>
    <n v="108"/>
    <x v="16"/>
    <x v="5"/>
    <x v="2"/>
    <n v="23.5"/>
    <m/>
    <x v="1"/>
    <n v="44"/>
    <n v="374"/>
    <n v="4.2"/>
    <n v="8"/>
    <n v="3"/>
    <n v="8"/>
    <n v="0"/>
    <n v="0"/>
    <m/>
    <m/>
    <n v="1.93"/>
    <n v="0.72"/>
    <n v="2.65"/>
    <n v="1.93"/>
    <n v="2.65"/>
  </r>
  <r>
    <n v="109"/>
    <x v="17"/>
    <x v="5"/>
    <x v="5"/>
    <n v="25.1"/>
    <m/>
    <x v="4"/>
    <n v="66"/>
    <n v="540"/>
    <n v="6"/>
    <n v="15"/>
    <n v="10"/>
    <n v="15"/>
    <n v="0"/>
    <n v="0"/>
    <m/>
    <m/>
    <n v="2.5"/>
    <n v="1.67"/>
    <n v="4.17"/>
    <n v="2.5"/>
    <n v="4.17"/>
  </r>
  <r>
    <n v="110"/>
    <x v="34"/>
    <x v="5"/>
    <x v="7"/>
    <n v="25.6"/>
    <m/>
    <x v="1"/>
    <n v="44"/>
    <n v="360"/>
    <n v="4"/>
    <n v="10"/>
    <n v="9"/>
    <n v="10"/>
    <n v="0"/>
    <n v="0"/>
    <m/>
    <m/>
    <n v="2.5"/>
    <n v="2.25"/>
    <n v="4.75"/>
    <n v="2.5"/>
    <n v="4.75"/>
  </r>
  <r>
    <n v="111"/>
    <x v="21"/>
    <x v="5"/>
    <x v="3"/>
    <n v="24.6"/>
    <m/>
    <x v="1"/>
    <n v="44"/>
    <n v="360"/>
    <n v="4"/>
    <n v="7"/>
    <n v="5"/>
    <n v="7"/>
    <n v="0"/>
    <n v="0"/>
    <m/>
    <m/>
    <n v="1.75"/>
    <n v="1.25"/>
    <n v="3"/>
    <n v="1.75"/>
    <n v="3"/>
  </r>
  <r>
    <n v="112"/>
    <x v="23"/>
    <x v="5"/>
    <x v="0"/>
    <n v="27.4"/>
    <m/>
    <x v="4"/>
    <n v="66"/>
    <n v="570"/>
    <n v="6.3"/>
    <n v="17"/>
    <n v="15"/>
    <n v="16"/>
    <n v="1"/>
    <n v="1"/>
    <m/>
    <m/>
    <n v="2.68"/>
    <n v="2.37"/>
    <n v="5.05"/>
    <n v="2.5299999999999998"/>
    <n v="4.8899999999999997"/>
  </r>
  <r>
    <n v="113"/>
    <x v="1"/>
    <x v="6"/>
    <x v="3"/>
    <n v="25"/>
    <m/>
    <x v="0"/>
    <n v="33"/>
    <n v="270"/>
    <n v="3"/>
    <n v="3"/>
    <n v="0"/>
    <n v="3"/>
    <n v="0"/>
    <n v="0"/>
    <m/>
    <m/>
    <n v="1"/>
    <n v="0"/>
    <n v="1"/>
    <n v="1"/>
    <n v="1"/>
  </r>
  <r>
    <n v="114"/>
    <x v="2"/>
    <x v="6"/>
    <x v="2"/>
    <n v="27.9"/>
    <m/>
    <x v="0"/>
    <n v="33"/>
    <n v="270"/>
    <n v="3"/>
    <n v="3"/>
    <n v="1"/>
    <n v="3"/>
    <n v="0"/>
    <n v="0"/>
    <m/>
    <m/>
    <n v="1"/>
    <n v="0.33"/>
    <n v="1.33"/>
    <n v="1"/>
    <n v="1.33"/>
  </r>
  <r>
    <n v="115"/>
    <x v="4"/>
    <x v="6"/>
    <x v="7"/>
    <n v="26.2"/>
    <m/>
    <x v="0"/>
    <n v="33"/>
    <n v="270"/>
    <n v="3"/>
    <n v="5"/>
    <n v="0"/>
    <n v="5"/>
    <n v="0"/>
    <n v="0"/>
    <m/>
    <m/>
    <n v="1.67"/>
    <n v="0"/>
    <n v="1.67"/>
    <n v="1.67"/>
    <n v="1.67"/>
  </r>
  <r>
    <n v="116"/>
    <x v="6"/>
    <x v="6"/>
    <x v="2"/>
    <n v="24.3"/>
    <m/>
    <x v="4"/>
    <n v="66"/>
    <n v="570"/>
    <n v="6.3"/>
    <n v="11"/>
    <n v="0"/>
    <n v="11"/>
    <n v="0"/>
    <n v="0"/>
    <m/>
    <m/>
    <n v="1.74"/>
    <n v="0"/>
    <n v="1.74"/>
    <n v="1.74"/>
    <n v="1.74"/>
  </r>
  <r>
    <n v="117"/>
    <x v="32"/>
    <x v="6"/>
    <x v="3"/>
    <n v="21.3"/>
    <m/>
    <x v="1"/>
    <n v="44"/>
    <n v="360"/>
    <n v="4"/>
    <n v="7"/>
    <n v="0"/>
    <n v="7"/>
    <n v="0"/>
    <n v="0"/>
    <m/>
    <m/>
    <n v="1.75"/>
    <n v="0"/>
    <n v="1.75"/>
    <n v="1.75"/>
    <n v="1.75"/>
  </r>
  <r>
    <n v="118"/>
    <x v="7"/>
    <x v="6"/>
    <x v="2"/>
    <n v="27.8"/>
    <m/>
    <x v="1"/>
    <n v="44"/>
    <n v="360"/>
    <n v="4"/>
    <n v="6"/>
    <n v="0"/>
    <n v="6"/>
    <n v="0"/>
    <n v="0"/>
    <m/>
    <m/>
    <n v="1.5"/>
    <n v="0"/>
    <n v="1.5"/>
    <n v="1.5"/>
    <n v="1.5"/>
  </r>
  <r>
    <n v="119"/>
    <x v="9"/>
    <x v="6"/>
    <x v="3"/>
    <n v="25.3"/>
    <m/>
    <x v="4"/>
    <n v="66"/>
    <n v="540"/>
    <n v="6"/>
    <n v="13"/>
    <n v="0"/>
    <n v="13"/>
    <n v="0"/>
    <n v="0"/>
    <m/>
    <m/>
    <n v="2.17"/>
    <n v="0"/>
    <n v="2.17"/>
    <n v="2.17"/>
    <n v="2.17"/>
  </r>
  <r>
    <n v="120"/>
    <x v="12"/>
    <x v="6"/>
    <x v="9"/>
    <n v="22.6"/>
    <m/>
    <x v="1"/>
    <n v="44"/>
    <n v="360"/>
    <n v="4"/>
    <n v="2"/>
    <n v="0"/>
    <n v="2"/>
    <n v="0"/>
    <n v="0"/>
    <m/>
    <m/>
    <n v="0.5"/>
    <n v="0"/>
    <n v="0.5"/>
    <n v="0.5"/>
    <n v="0.5"/>
  </r>
  <r>
    <n v="121"/>
    <x v="16"/>
    <x v="6"/>
    <x v="2"/>
    <n v="20.6"/>
    <m/>
    <x v="0"/>
    <n v="33"/>
    <n v="270"/>
    <n v="3"/>
    <n v="5"/>
    <n v="0"/>
    <n v="5"/>
    <n v="0"/>
    <n v="0"/>
    <m/>
    <m/>
    <n v="1.67"/>
    <n v="0"/>
    <n v="1.67"/>
    <n v="1.67"/>
    <n v="1.67"/>
  </r>
  <r>
    <n v="122"/>
    <x v="17"/>
    <x v="6"/>
    <x v="3"/>
    <n v="24.6"/>
    <m/>
    <x v="4"/>
    <n v="66"/>
    <n v="540"/>
    <n v="6"/>
    <n v="23"/>
    <n v="0"/>
    <n v="23"/>
    <n v="0"/>
    <n v="0"/>
    <m/>
    <m/>
    <n v="3.83"/>
    <n v="0"/>
    <n v="3.83"/>
    <n v="3.83"/>
    <n v="3.83"/>
  </r>
  <r>
    <n v="123"/>
    <x v="21"/>
    <x v="6"/>
    <x v="0"/>
    <n v="27.5"/>
    <m/>
    <x v="1"/>
    <n v="44"/>
    <n v="390"/>
    <n v="4.3"/>
    <n v="6"/>
    <n v="0"/>
    <n v="6"/>
    <n v="0"/>
    <n v="0"/>
    <m/>
    <m/>
    <n v="1.38"/>
    <n v="0"/>
    <n v="1.38"/>
    <n v="1.38"/>
    <n v="1.38"/>
  </r>
  <r>
    <n v="124"/>
    <x v="23"/>
    <x v="6"/>
    <x v="0"/>
    <n v="24.1"/>
    <m/>
    <x v="4"/>
    <n v="66"/>
    <n v="540"/>
    <n v="6"/>
    <n v="15"/>
    <n v="4"/>
    <n v="15"/>
    <n v="0"/>
    <n v="0"/>
    <m/>
    <m/>
    <n v="2.5"/>
    <n v="0.67"/>
    <n v="3.17"/>
    <n v="2.5"/>
    <n v="3.17"/>
  </r>
  <r>
    <n v="125"/>
    <x v="2"/>
    <x v="7"/>
    <x v="3"/>
    <n v="25.7"/>
    <m/>
    <x v="0"/>
    <n v="33"/>
    <n v="240"/>
    <n v="2.7"/>
    <n v="1"/>
    <n v="0"/>
    <n v="1"/>
    <n v="0"/>
    <n v="0"/>
    <m/>
    <m/>
    <n v="0.37"/>
    <n v="0"/>
    <n v="0.37"/>
    <n v="0.37"/>
    <n v="0.37"/>
  </r>
  <r>
    <n v="126"/>
    <x v="6"/>
    <x v="7"/>
    <x v="7"/>
    <n v="22.1"/>
    <m/>
    <x v="1"/>
    <n v="44"/>
    <n v="320"/>
    <n v="3.6"/>
    <n v="10"/>
    <n v="3"/>
    <n v="10"/>
    <n v="0"/>
    <n v="0"/>
    <m/>
    <m/>
    <n v="2.81"/>
    <n v="0.84"/>
    <n v="3.66"/>
    <n v="2.81"/>
    <n v="3.66"/>
  </r>
  <r>
    <n v="127"/>
    <x v="35"/>
    <x v="7"/>
    <x v="2"/>
    <n v="21.2"/>
    <m/>
    <x v="1"/>
    <n v="44"/>
    <n v="320"/>
    <n v="3.6"/>
    <n v="2"/>
    <n v="1"/>
    <n v="2"/>
    <n v="0"/>
    <n v="0"/>
    <m/>
    <m/>
    <n v="0.56000000000000005"/>
    <n v="0.28000000000000003"/>
    <n v="0.84"/>
    <n v="0.56000000000000005"/>
    <n v="0.84"/>
  </r>
  <r>
    <n v="128"/>
    <x v="32"/>
    <x v="7"/>
    <x v="7"/>
    <n v="23.8"/>
    <m/>
    <x v="1"/>
    <n v="44"/>
    <n v="340"/>
    <n v="3.8"/>
    <n v="7"/>
    <n v="5"/>
    <n v="5"/>
    <n v="2"/>
    <n v="2"/>
    <m/>
    <m/>
    <n v="1.85"/>
    <n v="1.32"/>
    <n v="3.18"/>
    <n v="1.32"/>
    <n v="2.65"/>
  </r>
  <r>
    <n v="129"/>
    <x v="9"/>
    <x v="7"/>
    <x v="0"/>
    <n v="23.8"/>
    <m/>
    <x v="4"/>
    <n v="66"/>
    <n v="500"/>
    <n v="5.6"/>
    <n v="13"/>
    <n v="9"/>
    <n v="12"/>
    <n v="1"/>
    <n v="1"/>
    <m/>
    <m/>
    <n v="2.34"/>
    <n v="1.62"/>
    <n v="3.96"/>
    <n v="2.16"/>
    <n v="3.78"/>
  </r>
  <r>
    <n v="130"/>
    <x v="10"/>
    <x v="7"/>
    <x v="3"/>
    <n v="24.2"/>
    <m/>
    <x v="1"/>
    <n v="44"/>
    <n v="340"/>
    <n v="3.8"/>
    <n v="8"/>
    <n v="5"/>
    <n v="8"/>
    <n v="0"/>
    <n v="0"/>
    <m/>
    <m/>
    <n v="2.12"/>
    <n v="1.32"/>
    <n v="3.44"/>
    <n v="2.12"/>
    <n v="3.44"/>
  </r>
  <r>
    <n v="131"/>
    <x v="12"/>
    <x v="7"/>
    <x v="10"/>
    <n v="24.3"/>
    <m/>
    <x v="0"/>
    <n v="33"/>
    <n v="240"/>
    <n v="2.7"/>
    <n v="0"/>
    <n v="0"/>
    <n v="0"/>
    <n v="0"/>
    <n v="0"/>
    <m/>
    <m/>
    <n v="0"/>
    <n v="0"/>
    <n v="0"/>
    <n v="0"/>
    <n v="0"/>
  </r>
  <r>
    <n v="132"/>
    <x v="15"/>
    <x v="7"/>
    <x v="7"/>
    <n v="25.5"/>
    <m/>
    <x v="0"/>
    <n v="33"/>
    <n v="240"/>
    <n v="2.7"/>
    <n v="1"/>
    <n v="1"/>
    <n v="1"/>
    <n v="0"/>
    <n v="0"/>
    <m/>
    <m/>
    <n v="0.37"/>
    <n v="0.37"/>
    <n v="0.75"/>
    <n v="0.37"/>
    <n v="0.75"/>
  </r>
  <r>
    <n v="133"/>
    <x v="16"/>
    <x v="7"/>
    <x v="3"/>
    <n v="18.2"/>
    <m/>
    <x v="0"/>
    <n v="33"/>
    <n v="240"/>
    <n v="2.7"/>
    <n v="0"/>
    <n v="0"/>
    <n v="0"/>
    <n v="0"/>
    <n v="0"/>
    <m/>
    <m/>
    <n v="0"/>
    <n v="0"/>
    <n v="0"/>
    <n v="0"/>
    <n v="0"/>
  </r>
  <r>
    <n v="134"/>
    <x v="17"/>
    <x v="7"/>
    <x v="7"/>
    <n v="24.1"/>
    <m/>
    <x v="4"/>
    <n v="66"/>
    <n v="500"/>
    <n v="5.6"/>
    <n v="13"/>
    <n v="6"/>
    <n v="12"/>
    <n v="1"/>
    <n v="1"/>
    <m/>
    <m/>
    <n v="2.34"/>
    <n v="1.08"/>
    <n v="3.42"/>
    <n v="2.16"/>
    <n v="3.24"/>
  </r>
  <r>
    <n v="135"/>
    <x v="21"/>
    <x v="7"/>
    <x v="0"/>
    <n v="25.4"/>
    <m/>
    <x v="4"/>
    <n v="66"/>
    <n v="480"/>
    <n v="5.3"/>
    <n v="17"/>
    <n v="11"/>
    <n v="16"/>
    <n v="1"/>
    <n v="1"/>
    <m/>
    <m/>
    <n v="3.19"/>
    <n v="2.06"/>
    <n v="5.25"/>
    <n v="3"/>
    <n v="5.0599999999999996"/>
  </r>
  <r>
    <n v="136"/>
    <x v="23"/>
    <x v="7"/>
    <x v="2"/>
    <n v="23"/>
    <m/>
    <x v="4"/>
    <n v="66"/>
    <n v="480"/>
    <n v="5.3"/>
    <n v="25"/>
    <n v="11"/>
    <n v="24"/>
    <n v="1"/>
    <n v="1"/>
    <m/>
    <m/>
    <n v="4.6900000000000004"/>
    <n v="2.06"/>
    <n v="6.75"/>
    <n v="4.5"/>
    <n v="6.5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C5C0B95-95B2-0B43-AAB5-55D34F086EBC}"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40" firstHeaderRow="0" firstDataRow="1" firstDataCol="1" rowPageCount="1" colPageCount="1"/>
  <pivotFields count="22">
    <pivotField showAll="0"/>
    <pivotField axis="axisRow" showAll="0">
      <items count="37">
        <item x="0"/>
        <item x="1"/>
        <item x="2"/>
        <item x="26"/>
        <item x="3"/>
        <item x="4"/>
        <item x="5"/>
        <item x="6"/>
        <item x="35"/>
        <item x="24"/>
        <item x="25"/>
        <item x="32"/>
        <item x="27"/>
        <item x="7"/>
        <item x="30"/>
        <item x="8"/>
        <item x="9"/>
        <item x="33"/>
        <item x="10"/>
        <item x="11"/>
        <item x="12"/>
        <item x="31"/>
        <item x="13"/>
        <item x="28"/>
        <item x="14"/>
        <item x="15"/>
        <item x="16"/>
        <item x="17"/>
        <item x="34"/>
        <item x="18"/>
        <item x="19"/>
        <item x="20"/>
        <item x="21"/>
        <item x="29"/>
        <item x="22"/>
        <item x="23"/>
        <item t="default"/>
      </items>
    </pivotField>
    <pivotField axis="axisPage" showAll="0">
      <items count="9">
        <item x="7"/>
        <item x="6"/>
        <item x="5"/>
        <item x="4"/>
        <item x="3"/>
        <item x="2"/>
        <item x="1"/>
        <item x="0"/>
        <item t="default"/>
      </items>
    </pivotField>
    <pivotField showAll="0"/>
    <pivotField showAll="0"/>
    <pivotField showAll="0"/>
    <pivotField dataField="1"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3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t="grand">
      <x/>
    </i>
  </rowItems>
  <colFields count="1">
    <field x="-2"/>
  </colFields>
  <colItems count="2">
    <i>
      <x/>
    </i>
    <i i="1">
      <x v="1"/>
    </i>
  </colItems>
  <pageFields count="1">
    <pageField fld="2" hier="-1"/>
  </pageFields>
  <dataFields count="2">
    <dataField name="Sum of matches_played" fld="6" baseField="0" baseItem="0"/>
    <dataField name="Sum of goals"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4287B85-2685-1048-B561-3F05CD3B0AA0}"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D11" firstHeaderRow="0" firstDataRow="1" firstDataCol="1" rowPageCount="1" colPageCount="1"/>
  <pivotFields count="22">
    <pivotField showAll="0"/>
    <pivotField axis="axisPage" multipleItemSelectionAllowed="1" showAll="0">
      <items count="37">
        <item h="1" x="0"/>
        <item x="1"/>
        <item h="1" x="2"/>
        <item h="1" x="26"/>
        <item h="1" x="3"/>
        <item h="1" x="4"/>
        <item h="1" x="5"/>
        <item h="1" x="6"/>
        <item h="1" x="35"/>
        <item h="1" x="24"/>
        <item h="1" x="25"/>
        <item h="1" x="32"/>
        <item h="1" x="27"/>
        <item h="1" x="7"/>
        <item h="1" x="30"/>
        <item h="1" x="8"/>
        <item h="1" x="9"/>
        <item h="1" x="33"/>
        <item h="1" x="10"/>
        <item h="1" x="11"/>
        <item h="1" x="12"/>
        <item h="1" x="31"/>
        <item h="1" x="13"/>
        <item h="1" x="28"/>
        <item h="1" x="14"/>
        <item h="1" x="15"/>
        <item h="1" x="16"/>
        <item h="1" x="17"/>
        <item h="1" x="34"/>
        <item h="1" x="18"/>
        <item h="1" x="19"/>
        <item h="1" x="20"/>
        <item h="1" x="21"/>
        <item h="1" x="29"/>
        <item h="1" x="22"/>
        <item h="1" x="23"/>
        <item t="default"/>
      </items>
    </pivotField>
    <pivotField axis="axisRow" showAll="0">
      <items count="9">
        <item x="7"/>
        <item x="6"/>
        <item x="5"/>
        <item x="4"/>
        <item x="3"/>
        <item x="2"/>
        <item x="1"/>
        <item x="0"/>
        <item t="default"/>
      </items>
    </pivotField>
    <pivotField showAll="0"/>
    <pivotField showAll="0"/>
    <pivotField dataField="1" showAll="0"/>
    <pivotField dataField="1" showAll="0">
      <items count="6">
        <item x="0"/>
        <item x="1"/>
        <item x="3"/>
        <item x="4"/>
        <item x="2"/>
        <item t="default"/>
      </items>
    </pivotField>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8">
    <i>
      <x v="1"/>
    </i>
    <i>
      <x v="2"/>
    </i>
    <i>
      <x v="3"/>
    </i>
    <i>
      <x v="4"/>
    </i>
    <i>
      <x v="5"/>
    </i>
    <i>
      <x v="6"/>
    </i>
    <i>
      <x v="7"/>
    </i>
    <i t="grand">
      <x/>
    </i>
  </rowItems>
  <colFields count="1">
    <field x="-2"/>
  </colFields>
  <colItems count="3">
    <i>
      <x/>
    </i>
    <i i="1">
      <x v="1"/>
    </i>
    <i i="2">
      <x v="2"/>
    </i>
  </colItems>
  <pageFields count="1">
    <pageField fld="1" hier="-1"/>
  </pageFields>
  <dataFields count="3">
    <dataField name="Sum of matches_played" fld="6" baseField="0" baseItem="0"/>
    <dataField name="Sum of goals" fld="10" baseField="0" baseItem="0"/>
    <dataField name="Average of possesion" fld="5" subtotal="average" baseField="0" baseItem="0"/>
  </dataFields>
  <chartFormats count="15">
    <chartFormat chart="0" format="1"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1" format="5" series="1">
      <pivotArea type="data" outline="0" fieldPosition="0">
        <references count="1">
          <reference field="4294967294" count="1" selected="0">
            <x v="0"/>
          </reference>
        </references>
      </pivotArea>
    </chartFormat>
    <chartFormat chart="1" format="6" series="1">
      <pivotArea type="data" outline="0" fieldPosition="0">
        <references count="1">
          <reference field="4294967294" count="1" selected="0">
            <x v="1"/>
          </reference>
        </references>
      </pivotArea>
    </chartFormat>
    <chartFormat chart="1" format="7" series="1">
      <pivotArea type="data" outline="0" fieldPosition="0">
        <references count="1">
          <reference field="4294967294" count="1" selected="0">
            <x v="2"/>
          </reference>
        </references>
      </pivotArea>
    </chartFormat>
    <chartFormat chart="2" format="8" series="1">
      <pivotArea type="data" outline="0" fieldPosition="0">
        <references count="1">
          <reference field="4294967294" count="1" selected="0">
            <x v="0"/>
          </reference>
        </references>
      </pivotArea>
    </chartFormat>
    <chartFormat chart="2" format="9" series="1">
      <pivotArea type="data" outline="0" fieldPosition="0">
        <references count="1">
          <reference field="4294967294" count="1" selected="0">
            <x v="1"/>
          </reference>
        </references>
      </pivotArea>
    </chartFormat>
    <chartFormat chart="2" format="10" series="1">
      <pivotArea type="data" outline="0" fieldPosition="0">
        <references count="1">
          <reference field="4294967294" count="1" selected="0">
            <x v="2"/>
          </reference>
        </references>
      </pivotArea>
    </chartFormat>
    <chartFormat chart="3" format="11" series="1">
      <pivotArea type="data" outline="0" fieldPosition="0">
        <references count="1">
          <reference field="4294967294" count="1" selected="0">
            <x v="0"/>
          </reference>
        </references>
      </pivotArea>
    </chartFormat>
    <chartFormat chart="3" format="12" series="1">
      <pivotArea type="data" outline="0" fieldPosition="0">
        <references count="1">
          <reference field="4294967294" count="1" selected="0">
            <x v="1"/>
          </reference>
        </references>
      </pivotArea>
    </chartFormat>
    <chartFormat chart="3" format="13" series="1">
      <pivotArea type="data" outline="0" fieldPosition="0">
        <references count="1">
          <reference field="4294967294" count="1" selected="0">
            <x v="2"/>
          </reference>
        </references>
      </pivotArea>
    </chartFormat>
    <chartFormat chart="4" format="14" series="1">
      <pivotArea type="data" outline="0" fieldPosition="0">
        <references count="1">
          <reference field="4294967294" count="1" selected="0">
            <x v="0"/>
          </reference>
        </references>
      </pivotArea>
    </chartFormat>
    <chartFormat chart="4" format="15" series="1">
      <pivotArea type="data" outline="0" fieldPosition="0">
        <references count="1">
          <reference field="4294967294" count="1" selected="0">
            <x v="1"/>
          </reference>
        </references>
      </pivotArea>
    </chartFormat>
    <chartFormat chart="4" format="16"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Matches, goals and possessio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quad" xr10:uid="{39507514-BCAA-DE4E-82BE-9CACED3CD5EA}" sourceName="squad">
  <pivotTables>
    <pivotTable tabId="8" name="PivotTable4"/>
  </pivotTables>
  <data>
    <tabular pivotCacheId="1680593638">
      <items count="36">
        <i x="0"/>
        <i x="1" s="1"/>
        <i x="2"/>
        <i x="26"/>
        <i x="3"/>
        <i x="4"/>
        <i x="5"/>
        <i x="6"/>
        <i x="35"/>
        <i x="24"/>
        <i x="25"/>
        <i x="32"/>
        <i x="27"/>
        <i x="7"/>
        <i x="30"/>
        <i x="8"/>
        <i x="9"/>
        <i x="33"/>
        <i x="10"/>
        <i x="11"/>
        <i x="12"/>
        <i x="31"/>
        <i x="13"/>
        <i x="28"/>
        <i x="14"/>
        <i x="15"/>
        <i x="16"/>
        <i x="17"/>
        <i x="34"/>
        <i x="18"/>
        <i x="19"/>
        <i x="20"/>
        <i x="21"/>
        <i x="29"/>
        <i x="22"/>
        <i x="2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quad" xr10:uid="{455DA9B7-5FDA-7249-9F52-1296C7E6A8F7}" cache="Slicer_squad" caption="squad" rowHeight="251883"/>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16" dT="2023-08-17T09:47:37.39" personId="{41D526D4-9D67-3148-83A7-7F4FDCAD8DB6}" id="{F73317AD-2338-C446-8E48-6719AA927BD8}">
    <text>Note how the formula proceeds to the second condition only if the first is not verified.</text>
  </threadedComment>
  <threadedComment ref="E16" dT="2023-08-17T09:47:37.39" personId="{41D526D4-9D67-3148-83A7-7F4FDCAD8DB6}" id="{AAFA770F-5E85-144B-9179-AF7F5981525F}">
    <text>note how the “TRUE” condition at the end (which is always true!!) is a catch all condition (default if none of the preceding conditions are verified)</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github.com/zonination/pokemon-chart/blob/master/chart.csv" TargetMode="Externa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75C904-E326-9543-B211-79A5D7A9CA2E}">
  <sheetPr codeName="Sheet1"/>
  <dimension ref="A1:S22"/>
  <sheetViews>
    <sheetView workbookViewId="0">
      <selection activeCell="B25" sqref="B25"/>
    </sheetView>
  </sheetViews>
  <sheetFormatPr baseColWidth="10" defaultColWidth="11" defaultRowHeight="16" x14ac:dyDescent="0.2"/>
  <sheetData>
    <row r="1" spans="1:19" ht="17" x14ac:dyDescent="0.25">
      <c r="A1" s="13"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row>
    <row r="2" spans="1:19" ht="17" x14ac:dyDescent="0.25">
      <c r="A2" s="13" t="s">
        <v>1</v>
      </c>
      <c r="B2">
        <v>1</v>
      </c>
      <c r="C2">
        <v>1</v>
      </c>
      <c r="D2">
        <v>1</v>
      </c>
      <c r="E2">
        <v>1</v>
      </c>
      <c r="F2">
        <v>1</v>
      </c>
      <c r="G2">
        <v>1</v>
      </c>
      <c r="H2">
        <v>1</v>
      </c>
      <c r="I2">
        <v>1</v>
      </c>
      <c r="J2">
        <v>1</v>
      </c>
      <c r="K2">
        <v>1</v>
      </c>
      <c r="L2">
        <v>1</v>
      </c>
      <c r="M2">
        <v>1</v>
      </c>
      <c r="N2">
        <v>0.5</v>
      </c>
      <c r="O2">
        <v>0</v>
      </c>
      <c r="P2">
        <v>1</v>
      </c>
      <c r="Q2">
        <v>1</v>
      </c>
      <c r="R2">
        <v>0.5</v>
      </c>
      <c r="S2">
        <v>1</v>
      </c>
    </row>
    <row r="3" spans="1:19" ht="17" x14ac:dyDescent="0.25">
      <c r="A3" s="13" t="s">
        <v>2</v>
      </c>
      <c r="B3">
        <v>1</v>
      </c>
      <c r="C3">
        <v>0.5</v>
      </c>
      <c r="D3">
        <v>0.5</v>
      </c>
      <c r="E3">
        <v>1</v>
      </c>
      <c r="F3">
        <v>2</v>
      </c>
      <c r="G3">
        <v>2</v>
      </c>
      <c r="H3">
        <v>1</v>
      </c>
      <c r="I3">
        <v>1</v>
      </c>
      <c r="J3">
        <v>1</v>
      </c>
      <c r="K3">
        <v>1</v>
      </c>
      <c r="L3">
        <v>1</v>
      </c>
      <c r="M3">
        <v>2</v>
      </c>
      <c r="N3">
        <v>0.5</v>
      </c>
      <c r="O3">
        <v>1</v>
      </c>
      <c r="P3">
        <v>0.5</v>
      </c>
      <c r="Q3">
        <v>1</v>
      </c>
      <c r="R3">
        <v>2</v>
      </c>
      <c r="S3">
        <v>1</v>
      </c>
    </row>
    <row r="4" spans="1:19" ht="17" x14ac:dyDescent="0.25">
      <c r="A4" s="13" t="s">
        <v>3</v>
      </c>
      <c r="B4">
        <v>1</v>
      </c>
      <c r="C4">
        <v>2</v>
      </c>
      <c r="D4">
        <v>0.5</v>
      </c>
      <c r="E4">
        <v>1</v>
      </c>
      <c r="F4">
        <v>0.5</v>
      </c>
      <c r="G4">
        <v>1</v>
      </c>
      <c r="H4">
        <v>1</v>
      </c>
      <c r="I4">
        <v>1</v>
      </c>
      <c r="J4">
        <v>2</v>
      </c>
      <c r="K4">
        <v>1</v>
      </c>
      <c r="L4">
        <v>1</v>
      </c>
      <c r="M4">
        <v>1</v>
      </c>
      <c r="N4">
        <v>2</v>
      </c>
      <c r="O4">
        <v>1</v>
      </c>
      <c r="P4">
        <v>0.5</v>
      </c>
      <c r="Q4">
        <v>1</v>
      </c>
      <c r="R4">
        <v>1</v>
      </c>
      <c r="S4">
        <v>1</v>
      </c>
    </row>
    <row r="5" spans="1:19" ht="17" x14ac:dyDescent="0.25">
      <c r="A5" s="13" t="s">
        <v>4</v>
      </c>
      <c r="B5">
        <v>1</v>
      </c>
      <c r="C5">
        <v>1</v>
      </c>
      <c r="D5">
        <v>2</v>
      </c>
      <c r="E5">
        <v>0.5</v>
      </c>
      <c r="F5">
        <v>0.5</v>
      </c>
      <c r="G5">
        <v>1</v>
      </c>
      <c r="H5">
        <v>1</v>
      </c>
      <c r="I5">
        <v>1</v>
      </c>
      <c r="J5">
        <v>0</v>
      </c>
      <c r="K5">
        <v>2</v>
      </c>
      <c r="L5">
        <v>1</v>
      </c>
      <c r="M5">
        <v>1</v>
      </c>
      <c r="N5">
        <v>1</v>
      </c>
      <c r="O5">
        <v>1</v>
      </c>
      <c r="P5">
        <v>0.5</v>
      </c>
      <c r="Q5">
        <v>1</v>
      </c>
      <c r="R5">
        <v>1</v>
      </c>
      <c r="S5">
        <v>1</v>
      </c>
    </row>
    <row r="6" spans="1:19" ht="17" x14ac:dyDescent="0.25">
      <c r="A6" s="13" t="s">
        <v>5</v>
      </c>
      <c r="B6">
        <v>1</v>
      </c>
      <c r="C6">
        <v>0.5</v>
      </c>
      <c r="D6">
        <v>2</v>
      </c>
      <c r="E6">
        <v>1</v>
      </c>
      <c r="F6">
        <v>0.5</v>
      </c>
      <c r="G6">
        <v>1</v>
      </c>
      <c r="H6">
        <v>1</v>
      </c>
      <c r="I6">
        <v>0.5</v>
      </c>
      <c r="J6">
        <v>2</v>
      </c>
      <c r="K6">
        <v>0.5</v>
      </c>
      <c r="L6">
        <v>1</v>
      </c>
      <c r="M6">
        <v>0.5</v>
      </c>
      <c r="N6">
        <v>2</v>
      </c>
      <c r="O6">
        <v>1</v>
      </c>
      <c r="P6">
        <v>0.5</v>
      </c>
      <c r="Q6">
        <v>1</v>
      </c>
      <c r="R6">
        <v>0.5</v>
      </c>
      <c r="S6">
        <v>1</v>
      </c>
    </row>
    <row r="7" spans="1:19" ht="17" x14ac:dyDescent="0.25">
      <c r="A7" s="13" t="s">
        <v>6</v>
      </c>
      <c r="B7">
        <v>1</v>
      </c>
      <c r="C7">
        <v>0.5</v>
      </c>
      <c r="D7">
        <v>0.5</v>
      </c>
      <c r="E7">
        <v>1</v>
      </c>
      <c r="F7">
        <v>2</v>
      </c>
      <c r="G7">
        <v>0.5</v>
      </c>
      <c r="H7">
        <v>1</v>
      </c>
      <c r="I7">
        <v>1</v>
      </c>
      <c r="J7">
        <v>2</v>
      </c>
      <c r="K7">
        <v>2</v>
      </c>
      <c r="L7">
        <v>1</v>
      </c>
      <c r="M7">
        <v>1</v>
      </c>
      <c r="N7">
        <v>1</v>
      </c>
      <c r="O7">
        <v>1</v>
      </c>
      <c r="P7">
        <v>2</v>
      </c>
      <c r="Q7">
        <v>1</v>
      </c>
      <c r="R7">
        <v>0.5</v>
      </c>
      <c r="S7">
        <v>1</v>
      </c>
    </row>
    <row r="8" spans="1:19" ht="17" x14ac:dyDescent="0.25">
      <c r="A8" s="13" t="s">
        <v>7</v>
      </c>
      <c r="B8">
        <v>2</v>
      </c>
      <c r="C8">
        <v>1</v>
      </c>
      <c r="D8">
        <v>1</v>
      </c>
      <c r="E8">
        <v>1</v>
      </c>
      <c r="F8">
        <v>1</v>
      </c>
      <c r="G8">
        <v>2</v>
      </c>
      <c r="H8">
        <v>1</v>
      </c>
      <c r="I8">
        <v>0.5</v>
      </c>
      <c r="J8">
        <v>1</v>
      </c>
      <c r="K8">
        <v>0.5</v>
      </c>
      <c r="L8">
        <v>0.5</v>
      </c>
      <c r="M8">
        <v>0.5</v>
      </c>
      <c r="N8">
        <v>2</v>
      </c>
      <c r="O8">
        <v>0</v>
      </c>
      <c r="P8">
        <v>1</v>
      </c>
      <c r="Q8">
        <v>2</v>
      </c>
      <c r="R8">
        <v>2</v>
      </c>
      <c r="S8">
        <v>0.5</v>
      </c>
    </row>
    <row r="9" spans="1:19" ht="17" x14ac:dyDescent="0.25">
      <c r="A9" s="13" t="s">
        <v>8</v>
      </c>
      <c r="B9">
        <v>1</v>
      </c>
      <c r="C9">
        <v>1</v>
      </c>
      <c r="D9">
        <v>1</v>
      </c>
      <c r="E9">
        <v>1</v>
      </c>
      <c r="F9">
        <v>2</v>
      </c>
      <c r="G9">
        <v>1</v>
      </c>
      <c r="H9">
        <v>1</v>
      </c>
      <c r="I9">
        <v>0.5</v>
      </c>
      <c r="J9">
        <v>0.5</v>
      </c>
      <c r="K9">
        <v>1</v>
      </c>
      <c r="L9">
        <v>1</v>
      </c>
      <c r="M9">
        <v>1</v>
      </c>
      <c r="N9">
        <v>0.5</v>
      </c>
      <c r="O9">
        <v>0.5</v>
      </c>
      <c r="P9">
        <v>1</v>
      </c>
      <c r="Q9">
        <v>1</v>
      </c>
      <c r="R9">
        <v>0</v>
      </c>
      <c r="S9">
        <v>2</v>
      </c>
    </row>
    <row r="10" spans="1:19" ht="17" x14ac:dyDescent="0.25">
      <c r="A10" s="13" t="s">
        <v>9</v>
      </c>
      <c r="B10">
        <v>1</v>
      </c>
      <c r="C10">
        <v>2</v>
      </c>
      <c r="D10">
        <v>1</v>
      </c>
      <c r="E10">
        <v>2</v>
      </c>
      <c r="F10">
        <v>0.5</v>
      </c>
      <c r="G10">
        <v>1</v>
      </c>
      <c r="H10">
        <v>1</v>
      </c>
      <c r="I10">
        <v>2</v>
      </c>
      <c r="J10">
        <v>1</v>
      </c>
      <c r="K10">
        <v>0</v>
      </c>
      <c r="L10">
        <v>1</v>
      </c>
      <c r="M10">
        <v>0.5</v>
      </c>
      <c r="N10">
        <v>2</v>
      </c>
      <c r="O10">
        <v>1</v>
      </c>
      <c r="P10">
        <v>1</v>
      </c>
      <c r="Q10">
        <v>1</v>
      </c>
      <c r="R10">
        <v>2</v>
      </c>
      <c r="S10">
        <v>1</v>
      </c>
    </row>
    <row r="11" spans="1:19" ht="17" x14ac:dyDescent="0.25">
      <c r="A11" s="13" t="s">
        <v>10</v>
      </c>
      <c r="B11">
        <v>1</v>
      </c>
      <c r="C11">
        <v>1</v>
      </c>
      <c r="D11">
        <v>1</v>
      </c>
      <c r="E11">
        <v>0.5</v>
      </c>
      <c r="F11">
        <v>2</v>
      </c>
      <c r="G11">
        <v>1</v>
      </c>
      <c r="H11">
        <v>2</v>
      </c>
      <c r="I11">
        <v>1</v>
      </c>
      <c r="J11">
        <v>1</v>
      </c>
      <c r="K11">
        <v>1</v>
      </c>
      <c r="L11">
        <v>1</v>
      </c>
      <c r="M11">
        <v>2</v>
      </c>
      <c r="N11">
        <v>0.5</v>
      </c>
      <c r="O11">
        <v>1</v>
      </c>
      <c r="P11">
        <v>1</v>
      </c>
      <c r="Q11">
        <v>1</v>
      </c>
      <c r="R11">
        <v>0.5</v>
      </c>
      <c r="S11">
        <v>1</v>
      </c>
    </row>
    <row r="12" spans="1:19" ht="17" x14ac:dyDescent="0.25">
      <c r="A12" s="13" t="s">
        <v>11</v>
      </c>
      <c r="B12">
        <v>1</v>
      </c>
      <c r="C12">
        <v>1</v>
      </c>
      <c r="D12">
        <v>1</v>
      </c>
      <c r="E12">
        <v>1</v>
      </c>
      <c r="F12">
        <v>1</v>
      </c>
      <c r="G12">
        <v>1</v>
      </c>
      <c r="H12">
        <v>2</v>
      </c>
      <c r="I12">
        <v>2</v>
      </c>
      <c r="J12">
        <v>1</v>
      </c>
      <c r="K12">
        <v>1</v>
      </c>
      <c r="L12">
        <v>0.5</v>
      </c>
      <c r="M12">
        <v>1</v>
      </c>
      <c r="N12">
        <v>1</v>
      </c>
      <c r="O12">
        <v>1</v>
      </c>
      <c r="P12">
        <v>1</v>
      </c>
      <c r="Q12">
        <v>0</v>
      </c>
      <c r="R12">
        <v>0.5</v>
      </c>
      <c r="S12">
        <v>1</v>
      </c>
    </row>
    <row r="13" spans="1:19" ht="17" x14ac:dyDescent="0.25">
      <c r="A13" s="13" t="s">
        <v>12</v>
      </c>
      <c r="B13">
        <v>1</v>
      </c>
      <c r="C13">
        <v>0.5</v>
      </c>
      <c r="D13">
        <v>1</v>
      </c>
      <c r="E13">
        <v>1</v>
      </c>
      <c r="F13">
        <v>2</v>
      </c>
      <c r="G13">
        <v>1</v>
      </c>
      <c r="H13">
        <v>0.5</v>
      </c>
      <c r="I13">
        <v>0.5</v>
      </c>
      <c r="J13">
        <v>1</v>
      </c>
      <c r="K13">
        <v>0.5</v>
      </c>
      <c r="L13">
        <v>2</v>
      </c>
      <c r="M13">
        <v>1</v>
      </c>
      <c r="N13">
        <v>1</v>
      </c>
      <c r="O13">
        <v>0.5</v>
      </c>
      <c r="P13">
        <v>1</v>
      </c>
      <c r="Q13">
        <v>2</v>
      </c>
      <c r="R13">
        <v>0.5</v>
      </c>
      <c r="S13">
        <v>0.5</v>
      </c>
    </row>
    <row r="14" spans="1:19" ht="17" x14ac:dyDescent="0.25">
      <c r="A14" s="13" t="s">
        <v>13</v>
      </c>
      <c r="B14">
        <v>1</v>
      </c>
      <c r="C14">
        <v>2</v>
      </c>
      <c r="D14">
        <v>1</v>
      </c>
      <c r="E14">
        <v>1</v>
      </c>
      <c r="F14">
        <v>1</v>
      </c>
      <c r="G14">
        <v>2</v>
      </c>
      <c r="H14">
        <v>0.5</v>
      </c>
      <c r="I14">
        <v>1</v>
      </c>
      <c r="J14">
        <v>0.5</v>
      </c>
      <c r="K14">
        <v>2</v>
      </c>
      <c r="L14">
        <v>1</v>
      </c>
      <c r="M14">
        <v>2</v>
      </c>
      <c r="N14">
        <v>1</v>
      </c>
      <c r="O14">
        <v>1</v>
      </c>
      <c r="P14">
        <v>1</v>
      </c>
      <c r="Q14">
        <v>1</v>
      </c>
      <c r="R14">
        <v>0.5</v>
      </c>
      <c r="S14">
        <v>1</v>
      </c>
    </row>
    <row r="15" spans="1:19" ht="17" x14ac:dyDescent="0.25">
      <c r="A15" s="13" t="s">
        <v>14</v>
      </c>
      <c r="B15">
        <v>0</v>
      </c>
      <c r="C15">
        <v>1</v>
      </c>
      <c r="D15">
        <v>1</v>
      </c>
      <c r="E15">
        <v>1</v>
      </c>
      <c r="F15">
        <v>1</v>
      </c>
      <c r="G15">
        <v>1</v>
      </c>
      <c r="H15">
        <v>1</v>
      </c>
      <c r="I15">
        <v>1</v>
      </c>
      <c r="J15">
        <v>1</v>
      </c>
      <c r="K15">
        <v>1</v>
      </c>
      <c r="L15">
        <v>2</v>
      </c>
      <c r="M15">
        <v>1</v>
      </c>
      <c r="N15">
        <v>1</v>
      </c>
      <c r="O15">
        <v>2</v>
      </c>
      <c r="P15">
        <v>1</v>
      </c>
      <c r="Q15">
        <v>0.5</v>
      </c>
      <c r="R15">
        <v>1</v>
      </c>
      <c r="S15">
        <v>1</v>
      </c>
    </row>
    <row r="16" spans="1:19" ht="17" x14ac:dyDescent="0.25">
      <c r="A16" s="13" t="s">
        <v>15</v>
      </c>
      <c r="B16">
        <v>1</v>
      </c>
      <c r="C16">
        <v>1</v>
      </c>
      <c r="D16">
        <v>1</v>
      </c>
      <c r="E16">
        <v>1</v>
      </c>
      <c r="F16">
        <v>1</v>
      </c>
      <c r="G16">
        <v>1</v>
      </c>
      <c r="H16">
        <v>1</v>
      </c>
      <c r="I16">
        <v>1</v>
      </c>
      <c r="J16">
        <v>1</v>
      </c>
      <c r="K16">
        <v>1</v>
      </c>
      <c r="L16">
        <v>1</v>
      </c>
      <c r="M16">
        <v>1</v>
      </c>
      <c r="N16">
        <v>1</v>
      </c>
      <c r="O16">
        <v>1</v>
      </c>
      <c r="P16">
        <v>2</v>
      </c>
      <c r="Q16">
        <v>1</v>
      </c>
      <c r="R16">
        <v>0.5</v>
      </c>
      <c r="S16">
        <v>0</v>
      </c>
    </row>
    <row r="17" spans="1:19" ht="17" x14ac:dyDescent="0.25">
      <c r="A17" s="13" t="s">
        <v>16</v>
      </c>
      <c r="B17">
        <v>1</v>
      </c>
      <c r="C17">
        <v>1</v>
      </c>
      <c r="D17">
        <v>1</v>
      </c>
      <c r="E17">
        <v>1</v>
      </c>
      <c r="F17">
        <v>1</v>
      </c>
      <c r="G17">
        <v>1</v>
      </c>
      <c r="H17">
        <v>0.5</v>
      </c>
      <c r="I17">
        <v>1</v>
      </c>
      <c r="J17">
        <v>1</v>
      </c>
      <c r="K17">
        <v>1</v>
      </c>
      <c r="L17">
        <v>2</v>
      </c>
      <c r="M17">
        <v>1</v>
      </c>
      <c r="N17">
        <v>1</v>
      </c>
      <c r="O17">
        <v>2</v>
      </c>
      <c r="P17">
        <v>1</v>
      </c>
      <c r="Q17">
        <v>0.5</v>
      </c>
      <c r="R17">
        <v>1</v>
      </c>
      <c r="S17">
        <v>0.5</v>
      </c>
    </row>
    <row r="18" spans="1:19" ht="17" x14ac:dyDescent="0.25">
      <c r="A18" s="13" t="s">
        <v>17</v>
      </c>
      <c r="B18">
        <v>1</v>
      </c>
      <c r="C18">
        <v>0.5</v>
      </c>
      <c r="D18">
        <v>0.5</v>
      </c>
      <c r="E18">
        <v>0.5</v>
      </c>
      <c r="F18">
        <v>1</v>
      </c>
      <c r="G18">
        <v>2</v>
      </c>
      <c r="H18">
        <v>1</v>
      </c>
      <c r="I18">
        <v>1</v>
      </c>
      <c r="J18">
        <v>1</v>
      </c>
      <c r="K18">
        <v>1</v>
      </c>
      <c r="L18">
        <v>1</v>
      </c>
      <c r="M18">
        <v>1</v>
      </c>
      <c r="N18">
        <v>2</v>
      </c>
      <c r="O18">
        <v>1</v>
      </c>
      <c r="P18">
        <v>1</v>
      </c>
      <c r="Q18">
        <v>1</v>
      </c>
      <c r="R18">
        <v>0.5</v>
      </c>
      <c r="S18">
        <v>2</v>
      </c>
    </row>
    <row r="19" spans="1:19" ht="17" x14ac:dyDescent="0.25">
      <c r="A19" s="13" t="s">
        <v>18</v>
      </c>
      <c r="B19">
        <v>1</v>
      </c>
      <c r="C19">
        <v>0.5</v>
      </c>
      <c r="D19">
        <v>1</v>
      </c>
      <c r="E19">
        <v>1</v>
      </c>
      <c r="F19">
        <v>1</v>
      </c>
      <c r="G19">
        <v>1</v>
      </c>
      <c r="H19">
        <v>2</v>
      </c>
      <c r="I19">
        <v>0.5</v>
      </c>
      <c r="J19">
        <v>1</v>
      </c>
      <c r="K19">
        <v>1</v>
      </c>
      <c r="L19">
        <v>1</v>
      </c>
      <c r="M19">
        <v>1</v>
      </c>
      <c r="N19">
        <v>1</v>
      </c>
      <c r="O19">
        <v>1</v>
      </c>
      <c r="P19">
        <v>2</v>
      </c>
      <c r="Q19">
        <v>2</v>
      </c>
      <c r="R19">
        <v>0.5</v>
      </c>
      <c r="S19">
        <v>1</v>
      </c>
    </row>
    <row r="22" spans="1:19" ht="17" x14ac:dyDescent="0.25">
      <c r="A22" s="13" t="s">
        <v>19</v>
      </c>
      <c r="B22" s="14" t="s">
        <v>20</v>
      </c>
    </row>
  </sheetData>
  <hyperlinks>
    <hyperlink ref="B22" r:id="rId1" xr:uid="{86729434-85F6-AA47-8D13-C198526A046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199C1C-D30A-8A45-AEF3-1A6BD10676CA}">
  <sheetPr codeName="Sheet2"/>
  <dimension ref="A1:V139"/>
  <sheetViews>
    <sheetView workbookViewId="0">
      <selection activeCell="B84" sqref="B84"/>
    </sheetView>
  </sheetViews>
  <sheetFormatPr baseColWidth="10" defaultColWidth="11" defaultRowHeight="16" x14ac:dyDescent="0.2"/>
  <sheetData>
    <row r="1" spans="1:22" ht="18" x14ac:dyDescent="0.2">
      <c r="A1" s="15" t="s">
        <v>21</v>
      </c>
    </row>
    <row r="3" spans="1:22" x14ac:dyDescent="0.2">
      <c r="A3" t="s">
        <v>22</v>
      </c>
      <c r="B3" t="s">
        <v>23</v>
      </c>
      <c r="C3" t="s">
        <v>24</v>
      </c>
      <c r="D3" t="s">
        <v>25</v>
      </c>
      <c r="E3" t="s">
        <v>26</v>
      </c>
      <c r="F3" t="s">
        <v>27</v>
      </c>
      <c r="G3" t="s">
        <v>28</v>
      </c>
      <c r="H3" t="s">
        <v>29</v>
      </c>
      <c r="I3" t="s">
        <v>30</v>
      </c>
      <c r="J3" t="s">
        <v>31</v>
      </c>
      <c r="K3" t="s">
        <v>32</v>
      </c>
      <c r="L3" t="s">
        <v>33</v>
      </c>
      <c r="M3" t="s">
        <v>34</v>
      </c>
      <c r="N3" t="s">
        <v>35</v>
      </c>
      <c r="O3" t="s">
        <v>36</v>
      </c>
      <c r="P3" t="s">
        <v>37</v>
      </c>
      <c r="Q3" t="s">
        <v>38</v>
      </c>
      <c r="R3" t="s">
        <v>39</v>
      </c>
      <c r="S3" t="s">
        <v>40</v>
      </c>
      <c r="T3" t="s">
        <v>41</v>
      </c>
      <c r="U3" t="s">
        <v>42</v>
      </c>
      <c r="V3" t="s">
        <v>43</v>
      </c>
    </row>
    <row r="4" spans="1:22" x14ac:dyDescent="0.2">
      <c r="A4">
        <v>1</v>
      </c>
      <c r="B4" t="s">
        <v>44</v>
      </c>
      <c r="C4">
        <v>2019</v>
      </c>
      <c r="D4">
        <v>18</v>
      </c>
      <c r="E4">
        <v>26.8</v>
      </c>
      <c r="F4">
        <v>34.700000000000003</v>
      </c>
      <c r="G4">
        <v>3</v>
      </c>
      <c r="H4">
        <v>33</v>
      </c>
      <c r="I4">
        <v>270</v>
      </c>
      <c r="J4">
        <v>3</v>
      </c>
      <c r="K4">
        <v>2</v>
      </c>
      <c r="L4">
        <v>1</v>
      </c>
      <c r="M4">
        <v>1</v>
      </c>
      <c r="N4">
        <v>1</v>
      </c>
      <c r="O4">
        <v>1</v>
      </c>
      <c r="P4">
        <v>3</v>
      </c>
      <c r="Q4">
        <v>0</v>
      </c>
      <c r="R4">
        <v>0.67</v>
      </c>
      <c r="S4">
        <v>0.33</v>
      </c>
      <c r="T4">
        <v>1</v>
      </c>
      <c r="U4">
        <v>0.33</v>
      </c>
      <c r="V4">
        <v>0.67</v>
      </c>
    </row>
    <row r="5" spans="1:22" x14ac:dyDescent="0.2">
      <c r="A5">
        <v>2</v>
      </c>
      <c r="B5" t="s">
        <v>45</v>
      </c>
      <c r="C5">
        <v>2019</v>
      </c>
      <c r="D5">
        <v>18</v>
      </c>
      <c r="E5">
        <v>25.4</v>
      </c>
      <c r="F5">
        <v>61.3</v>
      </c>
      <c r="G5">
        <v>4</v>
      </c>
      <c r="H5">
        <v>44</v>
      </c>
      <c r="I5">
        <v>390</v>
      </c>
      <c r="J5">
        <v>4.3</v>
      </c>
      <c r="K5">
        <v>8</v>
      </c>
      <c r="L5">
        <v>4</v>
      </c>
      <c r="M5">
        <v>8</v>
      </c>
      <c r="N5">
        <v>0</v>
      </c>
      <c r="O5">
        <v>1</v>
      </c>
      <c r="P5">
        <v>2</v>
      </c>
      <c r="Q5">
        <v>0</v>
      </c>
      <c r="R5">
        <v>1.85</v>
      </c>
      <c r="S5">
        <v>0.92</v>
      </c>
      <c r="T5">
        <v>2.77</v>
      </c>
      <c r="U5">
        <v>1.85</v>
      </c>
      <c r="V5">
        <v>2.77</v>
      </c>
    </row>
    <row r="6" spans="1:22" x14ac:dyDescent="0.2">
      <c r="A6">
        <v>3</v>
      </c>
      <c r="B6" t="s">
        <v>46</v>
      </c>
      <c r="C6">
        <v>2019</v>
      </c>
      <c r="D6">
        <v>18</v>
      </c>
      <c r="E6">
        <v>29.7</v>
      </c>
      <c r="F6">
        <v>51.5</v>
      </c>
      <c r="G6">
        <v>4</v>
      </c>
      <c r="H6">
        <v>44</v>
      </c>
      <c r="I6">
        <v>390</v>
      </c>
      <c r="J6">
        <v>4.3</v>
      </c>
      <c r="K6">
        <v>7</v>
      </c>
      <c r="L6">
        <v>3</v>
      </c>
      <c r="M6">
        <v>5</v>
      </c>
      <c r="N6">
        <v>2</v>
      </c>
      <c r="O6">
        <v>3</v>
      </c>
      <c r="P6">
        <v>7</v>
      </c>
      <c r="Q6">
        <v>0</v>
      </c>
      <c r="R6">
        <v>1.62</v>
      </c>
      <c r="S6">
        <v>0.69</v>
      </c>
      <c r="T6">
        <v>2.31</v>
      </c>
      <c r="U6">
        <v>1.1499999999999999</v>
      </c>
      <c r="V6">
        <v>1.85</v>
      </c>
    </row>
    <row r="7" spans="1:22" x14ac:dyDescent="0.2">
      <c r="A7">
        <v>4</v>
      </c>
      <c r="B7" t="s">
        <v>47</v>
      </c>
      <c r="C7">
        <v>2019</v>
      </c>
      <c r="D7">
        <v>20</v>
      </c>
      <c r="E7">
        <v>27.7</v>
      </c>
      <c r="F7">
        <v>36</v>
      </c>
      <c r="G7">
        <v>4</v>
      </c>
      <c r="H7">
        <v>44</v>
      </c>
      <c r="I7">
        <v>360</v>
      </c>
      <c r="J7">
        <v>4</v>
      </c>
      <c r="K7">
        <v>3</v>
      </c>
      <c r="L7">
        <v>3</v>
      </c>
      <c r="M7">
        <v>3</v>
      </c>
      <c r="N7">
        <v>0</v>
      </c>
      <c r="O7">
        <v>0</v>
      </c>
      <c r="P7">
        <v>6</v>
      </c>
      <c r="Q7">
        <v>0</v>
      </c>
      <c r="R7">
        <v>0.75</v>
      </c>
      <c r="S7">
        <v>0.75</v>
      </c>
      <c r="T7">
        <v>1.5</v>
      </c>
      <c r="U7">
        <v>0.75</v>
      </c>
      <c r="V7">
        <v>1.5</v>
      </c>
    </row>
    <row r="8" spans="1:22" x14ac:dyDescent="0.2">
      <c r="A8">
        <v>5</v>
      </c>
      <c r="B8" t="s">
        <v>48</v>
      </c>
      <c r="C8">
        <v>2019</v>
      </c>
      <c r="D8">
        <v>16</v>
      </c>
      <c r="E8">
        <v>27</v>
      </c>
      <c r="F8">
        <v>63</v>
      </c>
      <c r="G8">
        <v>4</v>
      </c>
      <c r="H8">
        <v>44</v>
      </c>
      <c r="I8">
        <v>360</v>
      </c>
      <c r="J8">
        <v>4</v>
      </c>
      <c r="K8">
        <v>4</v>
      </c>
      <c r="L8">
        <v>3</v>
      </c>
      <c r="M8">
        <v>4</v>
      </c>
      <c r="N8">
        <v>0</v>
      </c>
      <c r="O8">
        <v>1</v>
      </c>
      <c r="P8">
        <v>2</v>
      </c>
      <c r="Q8">
        <v>0</v>
      </c>
      <c r="R8">
        <v>1</v>
      </c>
      <c r="S8">
        <v>0.75</v>
      </c>
      <c r="T8">
        <v>1.75</v>
      </c>
      <c r="U8">
        <v>1</v>
      </c>
      <c r="V8">
        <v>1.75</v>
      </c>
    </row>
    <row r="9" spans="1:22" x14ac:dyDescent="0.2">
      <c r="A9">
        <v>6</v>
      </c>
      <c r="B9" t="s">
        <v>49</v>
      </c>
      <c r="C9">
        <v>2019</v>
      </c>
      <c r="D9">
        <v>18</v>
      </c>
      <c r="E9">
        <v>26.8</v>
      </c>
      <c r="F9">
        <v>42</v>
      </c>
      <c r="G9">
        <v>3</v>
      </c>
      <c r="H9">
        <v>33</v>
      </c>
      <c r="I9">
        <v>270</v>
      </c>
      <c r="J9">
        <v>3</v>
      </c>
      <c r="K9">
        <v>1</v>
      </c>
      <c r="L9">
        <v>1</v>
      </c>
      <c r="M9">
        <v>1</v>
      </c>
      <c r="N9">
        <v>0</v>
      </c>
      <c r="O9">
        <v>1</v>
      </c>
      <c r="P9">
        <v>5</v>
      </c>
      <c r="Q9">
        <v>0</v>
      </c>
      <c r="R9">
        <v>0.33</v>
      </c>
      <c r="S9">
        <v>0.33</v>
      </c>
      <c r="T9">
        <v>0.67</v>
      </c>
      <c r="U9">
        <v>0.33</v>
      </c>
      <c r="V9">
        <v>0.67</v>
      </c>
    </row>
    <row r="10" spans="1:22" x14ac:dyDescent="0.2">
      <c r="A10">
        <v>7</v>
      </c>
      <c r="B10" t="s">
        <v>50</v>
      </c>
      <c r="C10">
        <v>2019</v>
      </c>
      <c r="D10">
        <v>17</v>
      </c>
      <c r="E10">
        <v>26.6</v>
      </c>
      <c r="F10">
        <v>47</v>
      </c>
      <c r="G10">
        <v>4</v>
      </c>
      <c r="H10">
        <v>44</v>
      </c>
      <c r="I10">
        <v>360</v>
      </c>
      <c r="J10">
        <v>4</v>
      </c>
      <c r="K10">
        <v>1</v>
      </c>
      <c r="L10">
        <v>1</v>
      </c>
      <c r="M10">
        <v>1</v>
      </c>
      <c r="N10">
        <v>0</v>
      </c>
      <c r="O10">
        <v>0</v>
      </c>
      <c r="P10">
        <v>5</v>
      </c>
      <c r="Q10">
        <v>0</v>
      </c>
      <c r="R10">
        <v>0.25</v>
      </c>
      <c r="S10">
        <v>0.25</v>
      </c>
      <c r="T10">
        <v>0.5</v>
      </c>
      <c r="U10">
        <v>0.25</v>
      </c>
      <c r="V10">
        <v>0.5</v>
      </c>
    </row>
    <row r="11" spans="1:22" x14ac:dyDescent="0.2">
      <c r="A11">
        <v>8</v>
      </c>
      <c r="B11" t="s">
        <v>51</v>
      </c>
      <c r="C11">
        <v>2019</v>
      </c>
      <c r="D11">
        <v>22</v>
      </c>
      <c r="E11">
        <v>27.8</v>
      </c>
      <c r="F11">
        <v>60.4</v>
      </c>
      <c r="G11">
        <v>7</v>
      </c>
      <c r="H11">
        <v>77</v>
      </c>
      <c r="I11">
        <v>630</v>
      </c>
      <c r="J11">
        <v>7</v>
      </c>
      <c r="K11">
        <v>13</v>
      </c>
      <c r="L11">
        <v>12</v>
      </c>
      <c r="M11">
        <v>12</v>
      </c>
      <c r="N11">
        <v>1</v>
      </c>
      <c r="O11">
        <v>4</v>
      </c>
      <c r="P11">
        <v>1</v>
      </c>
      <c r="Q11">
        <v>1</v>
      </c>
      <c r="R11">
        <v>1.86</v>
      </c>
      <c r="S11">
        <v>1.71</v>
      </c>
      <c r="T11">
        <v>3.57</v>
      </c>
      <c r="U11">
        <v>1.71</v>
      </c>
      <c r="V11">
        <v>3.43</v>
      </c>
    </row>
    <row r="12" spans="1:22" x14ac:dyDescent="0.2">
      <c r="A12">
        <v>9</v>
      </c>
      <c r="B12" t="s">
        <v>52</v>
      </c>
      <c r="C12">
        <v>2019</v>
      </c>
      <c r="D12">
        <v>17</v>
      </c>
      <c r="E12">
        <v>27.8</v>
      </c>
      <c r="F12">
        <v>58.8</v>
      </c>
      <c r="G12">
        <v>5</v>
      </c>
      <c r="H12">
        <v>55</v>
      </c>
      <c r="I12">
        <v>480</v>
      </c>
      <c r="J12">
        <v>5.3</v>
      </c>
      <c r="K12">
        <v>10</v>
      </c>
      <c r="L12">
        <v>8</v>
      </c>
      <c r="M12">
        <v>8</v>
      </c>
      <c r="N12">
        <v>2</v>
      </c>
      <c r="O12">
        <v>2</v>
      </c>
      <c r="P12">
        <v>2</v>
      </c>
      <c r="Q12">
        <v>0</v>
      </c>
      <c r="R12">
        <v>1.87</v>
      </c>
      <c r="S12">
        <v>1.5</v>
      </c>
      <c r="T12">
        <v>3.38</v>
      </c>
      <c r="U12">
        <v>1.5</v>
      </c>
      <c r="V12">
        <v>3</v>
      </c>
    </row>
    <row r="13" spans="1:22" x14ac:dyDescent="0.2">
      <c r="A13">
        <v>10</v>
      </c>
      <c r="B13" t="s">
        <v>53</v>
      </c>
      <c r="C13">
        <v>2019</v>
      </c>
      <c r="D13">
        <v>19</v>
      </c>
      <c r="E13">
        <v>25.5</v>
      </c>
      <c r="F13">
        <v>57.2</v>
      </c>
      <c r="G13">
        <v>5</v>
      </c>
      <c r="H13">
        <v>55</v>
      </c>
      <c r="I13">
        <v>450</v>
      </c>
      <c r="J13">
        <v>5</v>
      </c>
      <c r="K13">
        <v>10</v>
      </c>
      <c r="L13">
        <v>4</v>
      </c>
      <c r="M13">
        <v>9</v>
      </c>
      <c r="N13">
        <v>1</v>
      </c>
      <c r="O13">
        <v>1</v>
      </c>
      <c r="P13">
        <v>2</v>
      </c>
      <c r="Q13">
        <v>0</v>
      </c>
      <c r="R13">
        <v>2</v>
      </c>
      <c r="S13">
        <v>0.8</v>
      </c>
      <c r="T13">
        <v>2.8</v>
      </c>
      <c r="U13">
        <v>1.8</v>
      </c>
      <c r="V13">
        <v>2.6</v>
      </c>
    </row>
    <row r="14" spans="1:22" x14ac:dyDescent="0.2">
      <c r="A14">
        <v>11</v>
      </c>
      <c r="B14" t="s">
        <v>54</v>
      </c>
      <c r="C14">
        <v>2019</v>
      </c>
      <c r="D14">
        <v>17</v>
      </c>
      <c r="E14">
        <v>26.5</v>
      </c>
      <c r="F14">
        <v>43.4</v>
      </c>
      <c r="G14">
        <v>5</v>
      </c>
      <c r="H14">
        <v>55</v>
      </c>
      <c r="I14">
        <v>450</v>
      </c>
      <c r="J14">
        <v>5</v>
      </c>
      <c r="K14">
        <v>9</v>
      </c>
      <c r="L14">
        <v>6</v>
      </c>
      <c r="M14">
        <v>8</v>
      </c>
      <c r="N14">
        <v>1</v>
      </c>
      <c r="O14">
        <v>1</v>
      </c>
      <c r="P14">
        <v>4</v>
      </c>
      <c r="Q14">
        <v>0</v>
      </c>
      <c r="R14">
        <v>1.8</v>
      </c>
      <c r="S14">
        <v>1.2</v>
      </c>
      <c r="T14">
        <v>3</v>
      </c>
      <c r="U14">
        <v>1.6</v>
      </c>
      <c r="V14">
        <v>2.8</v>
      </c>
    </row>
    <row r="15" spans="1:22" x14ac:dyDescent="0.2">
      <c r="A15">
        <v>12</v>
      </c>
      <c r="B15" t="s">
        <v>55</v>
      </c>
      <c r="C15">
        <v>2019</v>
      </c>
      <c r="D15">
        <v>20</v>
      </c>
      <c r="E15">
        <v>22.9</v>
      </c>
      <c r="F15">
        <v>36.700000000000003</v>
      </c>
      <c r="G15">
        <v>3</v>
      </c>
      <c r="H15">
        <v>33</v>
      </c>
      <c r="I15">
        <v>270</v>
      </c>
      <c r="J15">
        <v>3</v>
      </c>
      <c r="K15">
        <v>1</v>
      </c>
      <c r="L15">
        <v>1</v>
      </c>
      <c r="M15">
        <v>1</v>
      </c>
      <c r="N15">
        <v>0</v>
      </c>
      <c r="O15">
        <v>0</v>
      </c>
      <c r="P15">
        <v>4</v>
      </c>
      <c r="Q15">
        <v>0</v>
      </c>
      <c r="R15">
        <v>0.33</v>
      </c>
      <c r="S15">
        <v>0.33</v>
      </c>
      <c r="T15">
        <v>0.67</v>
      </c>
      <c r="U15">
        <v>0.33</v>
      </c>
      <c r="V15">
        <v>0.67</v>
      </c>
    </row>
    <row r="16" spans="1:22" x14ac:dyDescent="0.2">
      <c r="A16">
        <v>13</v>
      </c>
      <c r="B16" t="s">
        <v>56</v>
      </c>
      <c r="C16">
        <v>2019</v>
      </c>
      <c r="D16">
        <v>17</v>
      </c>
      <c r="E16">
        <v>24.8</v>
      </c>
      <c r="F16">
        <v>53.8</v>
      </c>
      <c r="G16">
        <v>4</v>
      </c>
      <c r="H16">
        <v>44</v>
      </c>
      <c r="I16">
        <v>360</v>
      </c>
      <c r="J16">
        <v>4</v>
      </c>
      <c r="K16">
        <v>3</v>
      </c>
      <c r="L16">
        <v>2</v>
      </c>
      <c r="M16">
        <v>2</v>
      </c>
      <c r="N16">
        <v>1</v>
      </c>
      <c r="O16">
        <v>1</v>
      </c>
      <c r="P16">
        <v>4</v>
      </c>
      <c r="Q16">
        <v>0</v>
      </c>
      <c r="R16">
        <v>0.75</v>
      </c>
      <c r="S16">
        <v>0.5</v>
      </c>
      <c r="T16">
        <v>1.25</v>
      </c>
      <c r="U16">
        <v>0.5</v>
      </c>
      <c r="V16">
        <v>1</v>
      </c>
    </row>
    <row r="17" spans="1:22" x14ac:dyDescent="0.2">
      <c r="A17">
        <v>14</v>
      </c>
      <c r="B17" t="s">
        <v>57</v>
      </c>
      <c r="C17">
        <v>2019</v>
      </c>
      <c r="D17">
        <v>19</v>
      </c>
      <c r="E17">
        <v>26.9</v>
      </c>
      <c r="F17">
        <v>52</v>
      </c>
      <c r="G17">
        <v>3</v>
      </c>
      <c r="H17">
        <v>33</v>
      </c>
      <c r="I17">
        <v>270</v>
      </c>
      <c r="J17">
        <v>3</v>
      </c>
      <c r="K17">
        <v>1</v>
      </c>
      <c r="L17">
        <v>1</v>
      </c>
      <c r="M17">
        <v>1</v>
      </c>
      <c r="N17">
        <v>0</v>
      </c>
      <c r="O17">
        <v>0</v>
      </c>
      <c r="P17">
        <v>4</v>
      </c>
      <c r="Q17">
        <v>0</v>
      </c>
      <c r="R17">
        <v>0.33</v>
      </c>
      <c r="S17">
        <v>0.33</v>
      </c>
      <c r="T17">
        <v>0.67</v>
      </c>
      <c r="U17">
        <v>0.33</v>
      </c>
      <c r="V17">
        <v>0.67</v>
      </c>
    </row>
    <row r="18" spans="1:22" x14ac:dyDescent="0.2">
      <c r="A18">
        <v>15</v>
      </c>
      <c r="B18" t="s">
        <v>58</v>
      </c>
      <c r="C18">
        <v>2019</v>
      </c>
      <c r="D18">
        <v>16</v>
      </c>
      <c r="E18">
        <v>26.1</v>
      </c>
      <c r="F18">
        <v>57.1</v>
      </c>
      <c r="G18">
        <v>7</v>
      </c>
      <c r="H18">
        <v>77</v>
      </c>
      <c r="I18">
        <v>660</v>
      </c>
      <c r="J18">
        <v>7.3</v>
      </c>
      <c r="K18">
        <v>11</v>
      </c>
      <c r="L18">
        <v>7</v>
      </c>
      <c r="M18">
        <v>10</v>
      </c>
      <c r="N18">
        <v>1</v>
      </c>
      <c r="O18">
        <v>1</v>
      </c>
      <c r="P18">
        <v>0</v>
      </c>
      <c r="Q18">
        <v>0</v>
      </c>
      <c r="R18">
        <v>1.5</v>
      </c>
      <c r="S18">
        <v>0.95</v>
      </c>
      <c r="T18">
        <v>2.4500000000000002</v>
      </c>
      <c r="U18">
        <v>1.36</v>
      </c>
      <c r="V18">
        <v>2.3199999999999998</v>
      </c>
    </row>
    <row r="19" spans="1:22" x14ac:dyDescent="0.2">
      <c r="A19">
        <v>16</v>
      </c>
      <c r="B19" t="s">
        <v>59</v>
      </c>
      <c r="C19">
        <v>2019</v>
      </c>
      <c r="D19">
        <v>17</v>
      </c>
      <c r="E19">
        <v>27.6</v>
      </c>
      <c r="F19">
        <v>39.299999999999997</v>
      </c>
      <c r="G19">
        <v>3</v>
      </c>
      <c r="H19">
        <v>33</v>
      </c>
      <c r="I19">
        <v>270</v>
      </c>
      <c r="J19">
        <v>3</v>
      </c>
      <c r="K19">
        <v>0</v>
      </c>
      <c r="L19">
        <v>0</v>
      </c>
      <c r="M19">
        <v>0</v>
      </c>
      <c r="N19">
        <v>0</v>
      </c>
      <c r="O19">
        <v>0</v>
      </c>
      <c r="P19">
        <v>1</v>
      </c>
      <c r="Q19">
        <v>0</v>
      </c>
      <c r="R19">
        <v>0</v>
      </c>
      <c r="S19">
        <v>0</v>
      </c>
      <c r="T19">
        <v>0</v>
      </c>
      <c r="U19">
        <v>0</v>
      </c>
      <c r="V19">
        <v>0</v>
      </c>
    </row>
    <row r="20" spans="1:22" x14ac:dyDescent="0.2">
      <c r="A20">
        <v>17</v>
      </c>
      <c r="B20" t="s">
        <v>60</v>
      </c>
      <c r="C20">
        <v>2019</v>
      </c>
      <c r="D20">
        <v>20</v>
      </c>
      <c r="E20">
        <v>25.7</v>
      </c>
      <c r="F20">
        <v>34.799999999999997</v>
      </c>
      <c r="G20">
        <v>4</v>
      </c>
      <c r="H20">
        <v>44</v>
      </c>
      <c r="I20">
        <v>360</v>
      </c>
      <c r="J20">
        <v>4</v>
      </c>
      <c r="K20">
        <v>1</v>
      </c>
      <c r="L20">
        <v>1</v>
      </c>
      <c r="M20">
        <v>1</v>
      </c>
      <c r="N20">
        <v>0</v>
      </c>
      <c r="O20">
        <v>0</v>
      </c>
      <c r="P20">
        <v>6</v>
      </c>
      <c r="Q20">
        <v>1</v>
      </c>
      <c r="R20">
        <v>0.25</v>
      </c>
      <c r="S20">
        <v>0.25</v>
      </c>
      <c r="T20">
        <v>0.5</v>
      </c>
      <c r="U20">
        <v>0.25</v>
      </c>
      <c r="V20">
        <v>0.5</v>
      </c>
    </row>
    <row r="21" spans="1:22" x14ac:dyDescent="0.2">
      <c r="A21">
        <v>18</v>
      </c>
      <c r="B21" t="s">
        <v>61</v>
      </c>
      <c r="C21">
        <v>2019</v>
      </c>
      <c r="D21">
        <v>17</v>
      </c>
      <c r="E21">
        <v>26.8</v>
      </c>
      <c r="F21">
        <v>50.2</v>
      </c>
      <c r="G21">
        <v>5</v>
      </c>
      <c r="H21">
        <v>55</v>
      </c>
      <c r="I21">
        <v>480</v>
      </c>
      <c r="J21">
        <v>5.3</v>
      </c>
      <c r="K21">
        <v>5</v>
      </c>
      <c r="L21">
        <v>3</v>
      </c>
      <c r="M21">
        <v>3</v>
      </c>
      <c r="N21">
        <v>2</v>
      </c>
      <c r="O21">
        <v>2</v>
      </c>
      <c r="P21">
        <v>1</v>
      </c>
      <c r="Q21">
        <v>0</v>
      </c>
      <c r="R21">
        <v>0.94</v>
      </c>
      <c r="S21">
        <v>0.56000000000000005</v>
      </c>
      <c r="T21">
        <v>1.5</v>
      </c>
      <c r="U21">
        <v>0.56000000000000005</v>
      </c>
      <c r="V21">
        <v>1.1299999999999999</v>
      </c>
    </row>
    <row r="22" spans="1:22" x14ac:dyDescent="0.2">
      <c r="A22">
        <v>19</v>
      </c>
      <c r="B22" t="s">
        <v>62</v>
      </c>
      <c r="C22">
        <v>2019</v>
      </c>
      <c r="D22">
        <v>19</v>
      </c>
      <c r="E22">
        <v>26.4</v>
      </c>
      <c r="F22">
        <v>47</v>
      </c>
      <c r="G22">
        <v>3</v>
      </c>
      <c r="H22">
        <v>33</v>
      </c>
      <c r="I22">
        <v>270</v>
      </c>
      <c r="J22">
        <v>3</v>
      </c>
      <c r="K22">
        <v>5</v>
      </c>
      <c r="L22">
        <v>3</v>
      </c>
      <c r="M22">
        <v>5</v>
      </c>
      <c r="N22">
        <v>0</v>
      </c>
      <c r="O22">
        <v>0</v>
      </c>
      <c r="P22">
        <v>6</v>
      </c>
      <c r="Q22">
        <v>0</v>
      </c>
      <c r="R22">
        <v>1.67</v>
      </c>
      <c r="S22">
        <v>1</v>
      </c>
      <c r="T22">
        <v>2.67</v>
      </c>
      <c r="U22">
        <v>1.67</v>
      </c>
      <c r="V22">
        <v>2.67</v>
      </c>
    </row>
    <row r="23" spans="1:22" x14ac:dyDescent="0.2">
      <c r="A23">
        <v>20</v>
      </c>
      <c r="B23" t="s">
        <v>63</v>
      </c>
      <c r="C23">
        <v>2019</v>
      </c>
      <c r="D23">
        <v>19</v>
      </c>
      <c r="E23">
        <v>27.5</v>
      </c>
      <c r="F23">
        <v>38</v>
      </c>
      <c r="G23">
        <v>3</v>
      </c>
      <c r="H23">
        <v>33</v>
      </c>
      <c r="I23">
        <v>270</v>
      </c>
      <c r="J23">
        <v>3</v>
      </c>
      <c r="K23">
        <v>1</v>
      </c>
      <c r="L23">
        <v>1</v>
      </c>
      <c r="M23">
        <v>1</v>
      </c>
      <c r="N23">
        <v>0</v>
      </c>
      <c r="O23">
        <v>0</v>
      </c>
      <c r="P23">
        <v>7</v>
      </c>
      <c r="Q23">
        <v>1</v>
      </c>
      <c r="R23">
        <v>0.33</v>
      </c>
      <c r="S23">
        <v>0.33</v>
      </c>
      <c r="T23">
        <v>0.67</v>
      </c>
      <c r="U23">
        <v>0.33</v>
      </c>
      <c r="V23">
        <v>0.67</v>
      </c>
    </row>
    <row r="24" spans="1:22" x14ac:dyDescent="0.2">
      <c r="A24">
        <v>21</v>
      </c>
      <c r="B24" t="s">
        <v>64</v>
      </c>
      <c r="C24">
        <v>2019</v>
      </c>
      <c r="D24">
        <v>19</v>
      </c>
      <c r="E24">
        <v>25.2</v>
      </c>
      <c r="F24">
        <v>62.5</v>
      </c>
      <c r="G24">
        <v>4</v>
      </c>
      <c r="H24">
        <v>44</v>
      </c>
      <c r="I24">
        <v>360</v>
      </c>
      <c r="J24">
        <v>4</v>
      </c>
      <c r="K24">
        <v>4</v>
      </c>
      <c r="L24">
        <v>2</v>
      </c>
      <c r="M24">
        <v>2</v>
      </c>
      <c r="N24">
        <v>2</v>
      </c>
      <c r="O24">
        <v>2</v>
      </c>
      <c r="P24">
        <v>1</v>
      </c>
      <c r="Q24">
        <v>0</v>
      </c>
      <c r="R24">
        <v>1</v>
      </c>
      <c r="S24">
        <v>0.5</v>
      </c>
      <c r="T24">
        <v>1.5</v>
      </c>
      <c r="U24">
        <v>0.5</v>
      </c>
      <c r="V24">
        <v>1</v>
      </c>
    </row>
    <row r="25" spans="1:22" x14ac:dyDescent="0.2">
      <c r="A25">
        <v>22</v>
      </c>
      <c r="B25" t="s">
        <v>65</v>
      </c>
      <c r="C25">
        <v>2019</v>
      </c>
      <c r="D25">
        <v>20</v>
      </c>
      <c r="E25">
        <v>28.5</v>
      </c>
      <c r="F25">
        <v>48.4</v>
      </c>
      <c r="G25">
        <v>7</v>
      </c>
      <c r="H25">
        <v>77</v>
      </c>
      <c r="I25">
        <v>660</v>
      </c>
      <c r="J25">
        <v>7.3</v>
      </c>
      <c r="K25">
        <v>12</v>
      </c>
      <c r="L25">
        <v>7</v>
      </c>
      <c r="M25">
        <v>11</v>
      </c>
      <c r="N25">
        <v>1</v>
      </c>
      <c r="O25">
        <v>1</v>
      </c>
      <c r="P25">
        <v>2</v>
      </c>
      <c r="Q25">
        <v>0</v>
      </c>
      <c r="R25">
        <v>1.64</v>
      </c>
      <c r="S25">
        <v>0.95</v>
      </c>
      <c r="T25">
        <v>2.59</v>
      </c>
      <c r="U25">
        <v>1.5</v>
      </c>
      <c r="V25">
        <v>2.4500000000000002</v>
      </c>
    </row>
    <row r="26" spans="1:22" x14ac:dyDescent="0.2">
      <c r="A26">
        <v>23</v>
      </c>
      <c r="B26" t="s">
        <v>66</v>
      </c>
      <c r="C26">
        <v>2019</v>
      </c>
      <c r="D26">
        <v>18</v>
      </c>
      <c r="E26">
        <v>27.8</v>
      </c>
      <c r="F26">
        <v>30</v>
      </c>
      <c r="G26">
        <v>3</v>
      </c>
      <c r="H26">
        <v>33</v>
      </c>
      <c r="I26">
        <v>270</v>
      </c>
      <c r="J26">
        <v>3</v>
      </c>
      <c r="K26">
        <v>1</v>
      </c>
      <c r="L26">
        <v>1</v>
      </c>
      <c r="M26">
        <v>1</v>
      </c>
      <c r="N26">
        <v>0</v>
      </c>
      <c r="O26">
        <v>0</v>
      </c>
      <c r="P26">
        <v>5</v>
      </c>
      <c r="Q26">
        <v>0</v>
      </c>
      <c r="R26">
        <v>0.33</v>
      </c>
      <c r="S26">
        <v>0.33</v>
      </c>
      <c r="T26">
        <v>0.67</v>
      </c>
      <c r="U26">
        <v>0.33</v>
      </c>
      <c r="V26">
        <v>0.67</v>
      </c>
    </row>
    <row r="27" spans="1:22" x14ac:dyDescent="0.2">
      <c r="A27">
        <v>24</v>
      </c>
      <c r="B27" t="s">
        <v>67</v>
      </c>
      <c r="C27">
        <v>2019</v>
      </c>
      <c r="D27">
        <v>21</v>
      </c>
      <c r="E27">
        <v>28.8</v>
      </c>
      <c r="F27">
        <v>56</v>
      </c>
      <c r="G27">
        <v>7</v>
      </c>
      <c r="H27">
        <v>77</v>
      </c>
      <c r="I27">
        <v>630</v>
      </c>
      <c r="J27">
        <v>7</v>
      </c>
      <c r="K27">
        <v>25</v>
      </c>
      <c r="L27">
        <v>17</v>
      </c>
      <c r="M27">
        <v>22</v>
      </c>
      <c r="N27">
        <v>3</v>
      </c>
      <c r="O27">
        <v>4</v>
      </c>
      <c r="P27">
        <v>0</v>
      </c>
      <c r="Q27">
        <v>0</v>
      </c>
      <c r="R27">
        <v>3.57</v>
      </c>
      <c r="S27">
        <v>2.4300000000000002</v>
      </c>
      <c r="T27">
        <v>6</v>
      </c>
      <c r="U27">
        <v>3.14</v>
      </c>
      <c r="V27">
        <v>5.57</v>
      </c>
    </row>
    <row r="28" spans="1:22" x14ac:dyDescent="0.2">
      <c r="A28">
        <v>25</v>
      </c>
      <c r="B28" t="s">
        <v>45</v>
      </c>
      <c r="C28">
        <v>2015</v>
      </c>
      <c r="D28">
        <v>17</v>
      </c>
      <c r="E28">
        <v>23.6</v>
      </c>
      <c r="F28">
        <v>46.2</v>
      </c>
      <c r="G28">
        <v>5</v>
      </c>
      <c r="H28">
        <v>55</v>
      </c>
      <c r="I28">
        <v>450</v>
      </c>
      <c r="J28">
        <v>5</v>
      </c>
      <c r="K28">
        <v>5</v>
      </c>
      <c r="L28">
        <v>4</v>
      </c>
      <c r="M28">
        <v>5</v>
      </c>
      <c r="N28">
        <v>0</v>
      </c>
      <c r="O28">
        <v>0</v>
      </c>
      <c r="P28">
        <v>0</v>
      </c>
      <c r="Q28">
        <v>0</v>
      </c>
      <c r="R28">
        <v>1</v>
      </c>
      <c r="S28">
        <v>0.8</v>
      </c>
      <c r="T28">
        <v>1.8</v>
      </c>
      <c r="U28">
        <v>1</v>
      </c>
      <c r="V28">
        <v>1.8</v>
      </c>
    </row>
    <row r="29" spans="1:22" x14ac:dyDescent="0.2">
      <c r="A29">
        <v>26</v>
      </c>
      <c r="B29" t="s">
        <v>46</v>
      </c>
      <c r="C29">
        <v>2015</v>
      </c>
      <c r="D29">
        <v>20</v>
      </c>
      <c r="E29">
        <v>27.4</v>
      </c>
      <c r="F29">
        <v>59</v>
      </c>
      <c r="G29">
        <v>4</v>
      </c>
      <c r="H29">
        <v>44</v>
      </c>
      <c r="I29">
        <v>360</v>
      </c>
      <c r="J29">
        <v>4</v>
      </c>
      <c r="K29">
        <v>4</v>
      </c>
      <c r="L29">
        <v>1</v>
      </c>
      <c r="M29">
        <v>3</v>
      </c>
      <c r="N29">
        <v>1</v>
      </c>
      <c r="O29">
        <v>1</v>
      </c>
      <c r="P29">
        <v>1</v>
      </c>
      <c r="Q29">
        <v>0</v>
      </c>
      <c r="R29">
        <v>1</v>
      </c>
      <c r="S29">
        <v>0.25</v>
      </c>
      <c r="T29">
        <v>1.25</v>
      </c>
      <c r="U29">
        <v>0.75</v>
      </c>
      <c r="V29">
        <v>1</v>
      </c>
    </row>
    <row r="30" spans="1:22" x14ac:dyDescent="0.2">
      <c r="A30">
        <v>27</v>
      </c>
      <c r="B30" t="s">
        <v>47</v>
      </c>
      <c r="C30">
        <v>2015</v>
      </c>
      <c r="D30">
        <v>17</v>
      </c>
      <c r="E30">
        <v>25.1</v>
      </c>
      <c r="F30">
        <v>48.8</v>
      </c>
      <c r="G30">
        <v>4</v>
      </c>
      <c r="H30">
        <v>44</v>
      </c>
      <c r="I30">
        <v>360</v>
      </c>
      <c r="J30">
        <v>4</v>
      </c>
      <c r="K30">
        <v>9</v>
      </c>
      <c r="L30">
        <v>5</v>
      </c>
      <c r="M30">
        <v>5</v>
      </c>
      <c r="N30">
        <v>4</v>
      </c>
      <c r="O30">
        <v>4</v>
      </c>
      <c r="P30">
        <v>6</v>
      </c>
      <c r="Q30">
        <v>0</v>
      </c>
      <c r="R30">
        <v>2.25</v>
      </c>
      <c r="S30">
        <v>1.25</v>
      </c>
      <c r="T30">
        <v>3.5</v>
      </c>
      <c r="U30">
        <v>1.25</v>
      </c>
      <c r="V30">
        <v>2.5</v>
      </c>
    </row>
    <row r="31" spans="1:22" x14ac:dyDescent="0.2">
      <c r="A31">
        <v>28</v>
      </c>
      <c r="B31" t="s">
        <v>48</v>
      </c>
      <c r="C31">
        <v>2015</v>
      </c>
      <c r="D31">
        <v>18</v>
      </c>
      <c r="E31">
        <v>27.2</v>
      </c>
      <c r="F31">
        <v>55</v>
      </c>
      <c r="G31">
        <v>5</v>
      </c>
      <c r="H31">
        <v>55</v>
      </c>
      <c r="I31">
        <v>450</v>
      </c>
      <c r="J31">
        <v>5</v>
      </c>
      <c r="K31">
        <v>4</v>
      </c>
      <c r="L31">
        <v>1</v>
      </c>
      <c r="M31">
        <v>3</v>
      </c>
      <c r="N31">
        <v>1</v>
      </c>
      <c r="O31">
        <v>1</v>
      </c>
      <c r="P31">
        <v>3</v>
      </c>
      <c r="Q31">
        <v>0</v>
      </c>
      <c r="R31">
        <v>0.8</v>
      </c>
      <c r="S31">
        <v>0.2</v>
      </c>
      <c r="T31">
        <v>1</v>
      </c>
      <c r="U31">
        <v>0.6</v>
      </c>
      <c r="V31">
        <v>0.8</v>
      </c>
    </row>
    <row r="32" spans="1:22" x14ac:dyDescent="0.2">
      <c r="A32">
        <v>29</v>
      </c>
      <c r="B32" t="s">
        <v>50</v>
      </c>
      <c r="C32">
        <v>2015</v>
      </c>
      <c r="D32">
        <v>18</v>
      </c>
      <c r="E32">
        <v>23.6</v>
      </c>
      <c r="F32">
        <v>48.6</v>
      </c>
      <c r="G32">
        <v>5</v>
      </c>
      <c r="H32">
        <v>55</v>
      </c>
      <c r="I32">
        <v>450</v>
      </c>
      <c r="J32">
        <v>5</v>
      </c>
      <c r="K32">
        <v>4</v>
      </c>
      <c r="L32">
        <v>2</v>
      </c>
      <c r="M32">
        <v>3</v>
      </c>
      <c r="N32">
        <v>1</v>
      </c>
      <c r="O32">
        <v>1</v>
      </c>
      <c r="P32">
        <v>2</v>
      </c>
      <c r="Q32">
        <v>0</v>
      </c>
      <c r="R32">
        <v>0.8</v>
      </c>
      <c r="S32">
        <v>0.4</v>
      </c>
      <c r="T32">
        <v>1.2</v>
      </c>
      <c r="U32">
        <v>0.6</v>
      </c>
      <c r="V32">
        <v>1</v>
      </c>
    </row>
    <row r="33" spans="1:22" x14ac:dyDescent="0.2">
      <c r="A33">
        <v>30</v>
      </c>
      <c r="B33" t="s">
        <v>68</v>
      </c>
      <c r="C33">
        <v>2015</v>
      </c>
      <c r="D33">
        <v>18</v>
      </c>
      <c r="E33">
        <v>24.3</v>
      </c>
      <c r="F33">
        <v>44.3</v>
      </c>
      <c r="G33">
        <v>4</v>
      </c>
      <c r="H33">
        <v>44</v>
      </c>
      <c r="I33">
        <v>360</v>
      </c>
      <c r="J33">
        <v>4</v>
      </c>
      <c r="K33">
        <v>4</v>
      </c>
      <c r="L33">
        <v>4</v>
      </c>
      <c r="M33">
        <v>4</v>
      </c>
      <c r="N33">
        <v>0</v>
      </c>
      <c r="O33">
        <v>0</v>
      </c>
      <c r="P33">
        <v>8</v>
      </c>
      <c r="Q33">
        <v>0</v>
      </c>
      <c r="R33">
        <v>1</v>
      </c>
      <c r="S33">
        <v>1</v>
      </c>
      <c r="T33">
        <v>2</v>
      </c>
      <c r="U33">
        <v>1</v>
      </c>
      <c r="V33">
        <v>2</v>
      </c>
    </row>
    <row r="34" spans="1:22" x14ac:dyDescent="0.2">
      <c r="A34">
        <v>31</v>
      </c>
      <c r="B34" t="s">
        <v>69</v>
      </c>
      <c r="C34">
        <v>2015</v>
      </c>
      <c r="D34">
        <v>15</v>
      </c>
      <c r="E34">
        <v>25</v>
      </c>
      <c r="F34">
        <v>42.3</v>
      </c>
      <c r="G34">
        <v>3</v>
      </c>
      <c r="H34">
        <v>33</v>
      </c>
      <c r="I34">
        <v>270</v>
      </c>
      <c r="J34">
        <v>3</v>
      </c>
      <c r="K34">
        <v>3</v>
      </c>
      <c r="L34">
        <v>3</v>
      </c>
      <c r="M34">
        <v>3</v>
      </c>
      <c r="N34">
        <v>0</v>
      </c>
      <c r="O34">
        <v>0</v>
      </c>
      <c r="P34">
        <v>0</v>
      </c>
      <c r="Q34">
        <v>0</v>
      </c>
      <c r="R34">
        <v>1</v>
      </c>
      <c r="S34">
        <v>1</v>
      </c>
      <c r="T34">
        <v>2</v>
      </c>
      <c r="U34">
        <v>1</v>
      </c>
      <c r="V34">
        <v>2</v>
      </c>
    </row>
    <row r="35" spans="1:22" x14ac:dyDescent="0.2">
      <c r="A35">
        <v>32</v>
      </c>
      <c r="B35" t="s">
        <v>70</v>
      </c>
      <c r="C35">
        <v>2015</v>
      </c>
      <c r="D35">
        <v>19</v>
      </c>
      <c r="E35">
        <v>25</v>
      </c>
      <c r="F35">
        <v>45</v>
      </c>
      <c r="G35">
        <v>3</v>
      </c>
      <c r="H35">
        <v>33</v>
      </c>
      <c r="I35">
        <v>270</v>
      </c>
      <c r="J35">
        <v>3</v>
      </c>
      <c r="K35">
        <v>3</v>
      </c>
      <c r="L35">
        <v>0</v>
      </c>
      <c r="M35">
        <v>3</v>
      </c>
      <c r="N35">
        <v>0</v>
      </c>
      <c r="O35">
        <v>0</v>
      </c>
      <c r="P35">
        <v>8</v>
      </c>
      <c r="Q35">
        <v>0</v>
      </c>
      <c r="R35">
        <v>1</v>
      </c>
      <c r="S35">
        <v>0</v>
      </c>
      <c r="T35">
        <v>1</v>
      </c>
      <c r="U35">
        <v>1</v>
      </c>
      <c r="V35">
        <v>1</v>
      </c>
    </row>
    <row r="36" spans="1:22" x14ac:dyDescent="0.2">
      <c r="A36">
        <v>33</v>
      </c>
      <c r="B36" t="s">
        <v>71</v>
      </c>
      <c r="C36">
        <v>2015</v>
      </c>
      <c r="D36">
        <v>19</v>
      </c>
      <c r="E36">
        <v>23.4</v>
      </c>
      <c r="F36">
        <v>38.700000000000003</v>
      </c>
      <c r="G36">
        <v>3</v>
      </c>
      <c r="H36">
        <v>33</v>
      </c>
      <c r="I36">
        <v>270</v>
      </c>
      <c r="J36">
        <v>3</v>
      </c>
      <c r="K36">
        <v>1</v>
      </c>
      <c r="L36">
        <v>0</v>
      </c>
      <c r="M36">
        <v>0</v>
      </c>
      <c r="N36">
        <v>1</v>
      </c>
      <c r="O36">
        <v>1</v>
      </c>
      <c r="P36">
        <v>6</v>
      </c>
      <c r="Q36">
        <v>1</v>
      </c>
      <c r="R36">
        <v>0.33</v>
      </c>
      <c r="S36">
        <v>0</v>
      </c>
      <c r="T36">
        <v>0.33</v>
      </c>
      <c r="U36">
        <v>0</v>
      </c>
      <c r="V36">
        <v>0</v>
      </c>
    </row>
    <row r="37" spans="1:22" x14ac:dyDescent="0.2">
      <c r="A37">
        <v>34</v>
      </c>
      <c r="B37" t="s">
        <v>51</v>
      </c>
      <c r="C37">
        <v>2015</v>
      </c>
      <c r="D37">
        <v>22</v>
      </c>
      <c r="E37">
        <v>27.6</v>
      </c>
      <c r="F37">
        <v>48.1</v>
      </c>
      <c r="G37">
        <v>7</v>
      </c>
      <c r="H37">
        <v>77</v>
      </c>
      <c r="I37">
        <v>660</v>
      </c>
      <c r="J37">
        <v>7.3</v>
      </c>
      <c r="K37">
        <v>10</v>
      </c>
      <c r="L37">
        <v>4</v>
      </c>
      <c r="M37">
        <v>7</v>
      </c>
      <c r="N37">
        <v>3</v>
      </c>
      <c r="O37">
        <v>3</v>
      </c>
      <c r="P37">
        <v>3</v>
      </c>
      <c r="Q37">
        <v>0</v>
      </c>
      <c r="R37">
        <v>1.36</v>
      </c>
      <c r="S37">
        <v>0.55000000000000004</v>
      </c>
      <c r="T37">
        <v>1.91</v>
      </c>
      <c r="U37">
        <v>0.95</v>
      </c>
      <c r="V37">
        <v>1.5</v>
      </c>
    </row>
    <row r="38" spans="1:22" x14ac:dyDescent="0.2">
      <c r="A38">
        <v>35</v>
      </c>
      <c r="B38" t="s">
        <v>52</v>
      </c>
      <c r="C38">
        <v>2015</v>
      </c>
      <c r="D38">
        <v>19</v>
      </c>
      <c r="E38">
        <v>27.3</v>
      </c>
      <c r="F38">
        <v>53.6</v>
      </c>
      <c r="G38">
        <v>5</v>
      </c>
      <c r="H38">
        <v>55</v>
      </c>
      <c r="I38">
        <v>480</v>
      </c>
      <c r="J38">
        <v>5.3</v>
      </c>
      <c r="K38">
        <v>9</v>
      </c>
      <c r="L38">
        <v>7</v>
      </c>
      <c r="M38">
        <v>9</v>
      </c>
      <c r="N38">
        <v>0</v>
      </c>
      <c r="O38">
        <v>0</v>
      </c>
      <c r="P38">
        <v>0</v>
      </c>
      <c r="Q38">
        <v>0</v>
      </c>
      <c r="R38">
        <v>1.69</v>
      </c>
      <c r="S38">
        <v>1.31</v>
      </c>
      <c r="T38">
        <v>3</v>
      </c>
      <c r="U38">
        <v>1.69</v>
      </c>
      <c r="V38">
        <v>3</v>
      </c>
    </row>
    <row r="39" spans="1:22" x14ac:dyDescent="0.2">
      <c r="A39">
        <v>36</v>
      </c>
      <c r="B39" t="s">
        <v>53</v>
      </c>
      <c r="C39">
        <v>2015</v>
      </c>
      <c r="D39">
        <v>21</v>
      </c>
      <c r="E39">
        <v>26.9</v>
      </c>
      <c r="F39">
        <v>54.7</v>
      </c>
      <c r="G39">
        <v>7</v>
      </c>
      <c r="H39">
        <v>77</v>
      </c>
      <c r="I39">
        <v>690</v>
      </c>
      <c r="J39">
        <v>7.7</v>
      </c>
      <c r="K39">
        <v>20</v>
      </c>
      <c r="L39">
        <v>11</v>
      </c>
      <c r="M39">
        <v>18</v>
      </c>
      <c r="N39">
        <v>2</v>
      </c>
      <c r="O39">
        <v>2</v>
      </c>
      <c r="P39">
        <v>1</v>
      </c>
      <c r="Q39">
        <v>0</v>
      </c>
      <c r="R39">
        <v>2.61</v>
      </c>
      <c r="S39">
        <v>1.43</v>
      </c>
      <c r="T39">
        <v>4.04</v>
      </c>
      <c r="U39">
        <v>2.35</v>
      </c>
      <c r="V39">
        <v>3.78</v>
      </c>
    </row>
    <row r="40" spans="1:22" x14ac:dyDescent="0.2">
      <c r="A40">
        <v>37</v>
      </c>
      <c r="B40" t="s">
        <v>56</v>
      </c>
      <c r="C40">
        <v>2015</v>
      </c>
      <c r="D40">
        <v>23</v>
      </c>
      <c r="E40">
        <v>27.9</v>
      </c>
      <c r="F40">
        <v>55.1</v>
      </c>
      <c r="G40">
        <v>7</v>
      </c>
      <c r="H40">
        <v>77</v>
      </c>
      <c r="I40">
        <v>630</v>
      </c>
      <c r="J40">
        <v>7</v>
      </c>
      <c r="K40">
        <v>9</v>
      </c>
      <c r="L40">
        <v>5</v>
      </c>
      <c r="M40">
        <v>7</v>
      </c>
      <c r="N40">
        <v>2</v>
      </c>
      <c r="O40">
        <v>2</v>
      </c>
      <c r="P40">
        <v>1</v>
      </c>
      <c r="Q40">
        <v>0</v>
      </c>
      <c r="R40">
        <v>1.29</v>
      </c>
      <c r="S40">
        <v>0.71</v>
      </c>
      <c r="T40">
        <v>2</v>
      </c>
      <c r="U40">
        <v>1</v>
      </c>
      <c r="V40">
        <v>1.71</v>
      </c>
    </row>
    <row r="41" spans="1:22" x14ac:dyDescent="0.2">
      <c r="A41">
        <v>38</v>
      </c>
      <c r="B41" t="s">
        <v>57</v>
      </c>
      <c r="C41">
        <v>2015</v>
      </c>
      <c r="D41">
        <v>19</v>
      </c>
      <c r="E41">
        <v>26.1</v>
      </c>
      <c r="F41">
        <v>43.8</v>
      </c>
      <c r="G41">
        <v>4</v>
      </c>
      <c r="H41">
        <v>44</v>
      </c>
      <c r="I41">
        <v>360</v>
      </c>
      <c r="J41">
        <v>4</v>
      </c>
      <c r="K41">
        <v>4</v>
      </c>
      <c r="L41">
        <v>3</v>
      </c>
      <c r="M41">
        <v>3</v>
      </c>
      <c r="N41">
        <v>1</v>
      </c>
      <c r="O41">
        <v>1</v>
      </c>
      <c r="P41">
        <v>5</v>
      </c>
      <c r="Q41">
        <v>0</v>
      </c>
      <c r="R41">
        <v>1</v>
      </c>
      <c r="S41">
        <v>0.75</v>
      </c>
      <c r="T41">
        <v>1.75</v>
      </c>
      <c r="U41">
        <v>0.75</v>
      </c>
      <c r="V41">
        <v>1.5</v>
      </c>
    </row>
    <row r="42" spans="1:22" x14ac:dyDescent="0.2">
      <c r="A42">
        <v>39</v>
      </c>
      <c r="B42" t="s">
        <v>72</v>
      </c>
      <c r="C42">
        <v>2015</v>
      </c>
      <c r="D42">
        <v>17</v>
      </c>
      <c r="E42">
        <v>24.3</v>
      </c>
      <c r="F42">
        <v>52.3</v>
      </c>
      <c r="G42">
        <v>3</v>
      </c>
      <c r="H42">
        <v>33</v>
      </c>
      <c r="I42">
        <v>270</v>
      </c>
      <c r="J42">
        <v>3</v>
      </c>
      <c r="K42">
        <v>2</v>
      </c>
      <c r="L42">
        <v>1</v>
      </c>
      <c r="M42">
        <v>2</v>
      </c>
      <c r="N42">
        <v>0</v>
      </c>
      <c r="O42">
        <v>0</v>
      </c>
      <c r="P42">
        <v>4</v>
      </c>
      <c r="Q42">
        <v>0</v>
      </c>
      <c r="R42">
        <v>0.67</v>
      </c>
      <c r="S42">
        <v>0.33</v>
      </c>
      <c r="T42">
        <v>1</v>
      </c>
      <c r="U42">
        <v>0.67</v>
      </c>
      <c r="V42">
        <v>1</v>
      </c>
    </row>
    <row r="43" spans="1:22" x14ac:dyDescent="0.2">
      <c r="A43">
        <v>40</v>
      </c>
      <c r="B43" t="s">
        <v>58</v>
      </c>
      <c r="C43">
        <v>2015</v>
      </c>
      <c r="D43">
        <v>18</v>
      </c>
      <c r="E43">
        <v>24.3</v>
      </c>
      <c r="F43">
        <v>49</v>
      </c>
      <c r="G43">
        <v>4</v>
      </c>
      <c r="H43">
        <v>44</v>
      </c>
      <c r="I43">
        <v>360</v>
      </c>
      <c r="J43">
        <v>4</v>
      </c>
      <c r="K43">
        <v>3</v>
      </c>
      <c r="L43">
        <v>3</v>
      </c>
      <c r="M43">
        <v>3</v>
      </c>
      <c r="N43">
        <v>0</v>
      </c>
      <c r="O43">
        <v>0</v>
      </c>
      <c r="P43">
        <v>3</v>
      </c>
      <c r="Q43">
        <v>0</v>
      </c>
      <c r="R43">
        <v>0.75</v>
      </c>
      <c r="S43">
        <v>0.75</v>
      </c>
      <c r="T43">
        <v>1.5</v>
      </c>
      <c r="U43">
        <v>0.75</v>
      </c>
      <c r="V43">
        <v>1.5</v>
      </c>
    </row>
    <row r="44" spans="1:22" x14ac:dyDescent="0.2">
      <c r="A44">
        <v>41</v>
      </c>
      <c r="B44" t="s">
        <v>59</v>
      </c>
      <c r="C44">
        <v>2015</v>
      </c>
      <c r="D44">
        <v>15</v>
      </c>
      <c r="E44">
        <v>24.9</v>
      </c>
      <c r="F44">
        <v>46.7</v>
      </c>
      <c r="G44">
        <v>3</v>
      </c>
      <c r="H44">
        <v>33</v>
      </c>
      <c r="I44">
        <v>270</v>
      </c>
      <c r="J44">
        <v>3</v>
      </c>
      <c r="K44">
        <v>2</v>
      </c>
      <c r="L44">
        <v>2</v>
      </c>
      <c r="M44">
        <v>2</v>
      </c>
      <c r="N44">
        <v>0</v>
      </c>
      <c r="O44">
        <v>0</v>
      </c>
      <c r="P44">
        <v>4</v>
      </c>
      <c r="Q44">
        <v>0</v>
      </c>
      <c r="R44">
        <v>0.67</v>
      </c>
      <c r="S44">
        <v>0.67</v>
      </c>
      <c r="T44">
        <v>1.33</v>
      </c>
      <c r="U44">
        <v>0.67</v>
      </c>
      <c r="V44">
        <v>1.33</v>
      </c>
    </row>
    <row r="45" spans="1:22" x14ac:dyDescent="0.2">
      <c r="A45">
        <v>42</v>
      </c>
      <c r="B45" t="s">
        <v>60</v>
      </c>
      <c r="C45">
        <v>2015</v>
      </c>
      <c r="D45">
        <v>17</v>
      </c>
      <c r="E45">
        <v>24.6</v>
      </c>
      <c r="F45">
        <v>48.3</v>
      </c>
      <c r="G45">
        <v>3</v>
      </c>
      <c r="H45">
        <v>33</v>
      </c>
      <c r="I45">
        <v>270</v>
      </c>
      <c r="J45">
        <v>3</v>
      </c>
      <c r="K45">
        <v>3</v>
      </c>
      <c r="L45">
        <v>3</v>
      </c>
      <c r="M45">
        <v>3</v>
      </c>
      <c r="N45">
        <v>0</v>
      </c>
      <c r="O45">
        <v>0</v>
      </c>
      <c r="P45">
        <v>6</v>
      </c>
      <c r="Q45">
        <v>1</v>
      </c>
      <c r="R45">
        <v>1</v>
      </c>
      <c r="S45">
        <v>1</v>
      </c>
      <c r="T45">
        <v>2</v>
      </c>
      <c r="U45">
        <v>1</v>
      </c>
      <c r="V45">
        <v>2</v>
      </c>
    </row>
    <row r="46" spans="1:22" x14ac:dyDescent="0.2">
      <c r="A46">
        <v>43</v>
      </c>
      <c r="B46" t="s">
        <v>61</v>
      </c>
      <c r="C46">
        <v>2015</v>
      </c>
      <c r="D46">
        <v>18</v>
      </c>
      <c r="E46">
        <v>26.7</v>
      </c>
      <c r="F46">
        <v>54.5</v>
      </c>
      <c r="G46">
        <v>4</v>
      </c>
      <c r="H46">
        <v>44</v>
      </c>
      <c r="I46">
        <v>360</v>
      </c>
      <c r="J46">
        <v>4</v>
      </c>
      <c r="K46">
        <v>9</v>
      </c>
      <c r="L46">
        <v>6</v>
      </c>
      <c r="M46">
        <v>9</v>
      </c>
      <c r="N46">
        <v>0</v>
      </c>
      <c r="O46">
        <v>0</v>
      </c>
      <c r="P46">
        <v>1</v>
      </c>
      <c r="Q46">
        <v>0</v>
      </c>
      <c r="R46">
        <v>2.25</v>
      </c>
      <c r="S46">
        <v>1.5</v>
      </c>
      <c r="T46">
        <v>3.75</v>
      </c>
      <c r="U46">
        <v>2.25</v>
      </c>
      <c r="V46">
        <v>3.75</v>
      </c>
    </row>
    <row r="47" spans="1:22" x14ac:dyDescent="0.2">
      <c r="A47">
        <v>44</v>
      </c>
      <c r="B47" t="s">
        <v>64</v>
      </c>
      <c r="C47">
        <v>2015</v>
      </c>
      <c r="D47">
        <v>17</v>
      </c>
      <c r="E47">
        <v>25.3</v>
      </c>
      <c r="F47">
        <v>50.7</v>
      </c>
      <c r="G47">
        <v>3</v>
      </c>
      <c r="H47">
        <v>33</v>
      </c>
      <c r="I47">
        <v>270</v>
      </c>
      <c r="J47">
        <v>3</v>
      </c>
      <c r="K47">
        <v>2</v>
      </c>
      <c r="L47">
        <v>2</v>
      </c>
      <c r="M47">
        <v>2</v>
      </c>
      <c r="N47">
        <v>0</v>
      </c>
      <c r="O47">
        <v>0</v>
      </c>
      <c r="P47">
        <v>3</v>
      </c>
      <c r="Q47">
        <v>0</v>
      </c>
      <c r="R47">
        <v>0.67</v>
      </c>
      <c r="S47">
        <v>0.67</v>
      </c>
      <c r="T47">
        <v>1.33</v>
      </c>
      <c r="U47">
        <v>0.67</v>
      </c>
      <c r="V47">
        <v>1.33</v>
      </c>
    </row>
    <row r="48" spans="1:22" x14ac:dyDescent="0.2">
      <c r="A48">
        <v>45</v>
      </c>
      <c r="B48" t="s">
        <v>65</v>
      </c>
      <c r="C48">
        <v>2015</v>
      </c>
      <c r="D48">
        <v>18</v>
      </c>
      <c r="E48">
        <v>28.1</v>
      </c>
      <c r="F48">
        <v>49.3</v>
      </c>
      <c r="G48">
        <v>4</v>
      </c>
      <c r="H48">
        <v>44</v>
      </c>
      <c r="I48">
        <v>360</v>
      </c>
      <c r="J48">
        <v>4</v>
      </c>
      <c r="K48">
        <v>4</v>
      </c>
      <c r="L48">
        <v>2</v>
      </c>
      <c r="M48">
        <v>4</v>
      </c>
      <c r="N48">
        <v>0</v>
      </c>
      <c r="O48">
        <v>0</v>
      </c>
      <c r="P48">
        <v>0</v>
      </c>
      <c r="Q48">
        <v>0</v>
      </c>
      <c r="R48">
        <v>1</v>
      </c>
      <c r="S48">
        <v>0.5</v>
      </c>
      <c r="T48">
        <v>1.5</v>
      </c>
      <c r="U48">
        <v>1</v>
      </c>
      <c r="V48">
        <v>1.5</v>
      </c>
    </row>
    <row r="49" spans="1:22" x14ac:dyDescent="0.2">
      <c r="A49">
        <v>46</v>
      </c>
      <c r="B49" t="s">
        <v>73</v>
      </c>
      <c r="C49">
        <v>2015</v>
      </c>
      <c r="D49">
        <v>17</v>
      </c>
      <c r="E49">
        <v>25</v>
      </c>
      <c r="F49">
        <v>55.3</v>
      </c>
      <c r="G49">
        <v>4</v>
      </c>
      <c r="H49">
        <v>44</v>
      </c>
      <c r="I49">
        <v>360</v>
      </c>
      <c r="J49">
        <v>4</v>
      </c>
      <c r="K49">
        <v>9</v>
      </c>
      <c r="L49">
        <v>7</v>
      </c>
      <c r="M49">
        <v>8</v>
      </c>
      <c r="N49">
        <v>1</v>
      </c>
      <c r="O49">
        <v>1</v>
      </c>
      <c r="P49">
        <v>4</v>
      </c>
      <c r="Q49">
        <v>0</v>
      </c>
      <c r="R49">
        <v>2.25</v>
      </c>
      <c r="S49">
        <v>1.75</v>
      </c>
      <c r="T49">
        <v>4</v>
      </c>
      <c r="U49">
        <v>2</v>
      </c>
      <c r="V49">
        <v>3.75</v>
      </c>
    </row>
    <row r="50" spans="1:22" x14ac:dyDescent="0.2">
      <c r="A50">
        <v>47</v>
      </c>
      <c r="B50" t="s">
        <v>66</v>
      </c>
      <c r="C50">
        <v>2015</v>
      </c>
      <c r="D50">
        <v>17</v>
      </c>
      <c r="E50">
        <v>25.7</v>
      </c>
      <c r="F50">
        <v>40</v>
      </c>
      <c r="G50">
        <v>3</v>
      </c>
      <c r="H50">
        <v>33</v>
      </c>
      <c r="I50">
        <v>270</v>
      </c>
      <c r="J50">
        <v>3</v>
      </c>
      <c r="K50">
        <v>3</v>
      </c>
      <c r="L50">
        <v>3</v>
      </c>
      <c r="M50">
        <v>3</v>
      </c>
      <c r="N50">
        <v>0</v>
      </c>
      <c r="O50">
        <v>0</v>
      </c>
      <c r="P50">
        <v>3</v>
      </c>
      <c r="Q50">
        <v>0</v>
      </c>
      <c r="R50">
        <v>1</v>
      </c>
      <c r="S50">
        <v>1</v>
      </c>
      <c r="T50">
        <v>2</v>
      </c>
      <c r="U50">
        <v>1</v>
      </c>
      <c r="V50">
        <v>2</v>
      </c>
    </row>
    <row r="51" spans="1:22" x14ac:dyDescent="0.2">
      <c r="A51">
        <v>48</v>
      </c>
      <c r="B51" t="s">
        <v>67</v>
      </c>
      <c r="C51">
        <v>2015</v>
      </c>
      <c r="D51">
        <v>20</v>
      </c>
      <c r="E51">
        <v>28.4</v>
      </c>
      <c r="F51">
        <v>52.9</v>
      </c>
      <c r="G51">
        <v>7</v>
      </c>
      <c r="H51">
        <v>77</v>
      </c>
      <c r="I51">
        <v>630</v>
      </c>
      <c r="J51">
        <v>7</v>
      </c>
      <c r="K51">
        <v>14</v>
      </c>
      <c r="L51">
        <v>7</v>
      </c>
      <c r="M51">
        <v>12</v>
      </c>
      <c r="N51">
        <v>2</v>
      </c>
      <c r="O51">
        <v>2</v>
      </c>
      <c r="P51">
        <v>2</v>
      </c>
      <c r="Q51">
        <v>0</v>
      </c>
      <c r="R51">
        <v>2</v>
      </c>
      <c r="S51">
        <v>1</v>
      </c>
      <c r="T51">
        <v>3</v>
      </c>
      <c r="U51">
        <v>1.71</v>
      </c>
      <c r="V51">
        <v>2.71</v>
      </c>
    </row>
    <row r="52" spans="1:22" x14ac:dyDescent="0.2">
      <c r="A52">
        <v>49</v>
      </c>
      <c r="B52" t="s">
        <v>45</v>
      </c>
      <c r="C52">
        <v>2011</v>
      </c>
      <c r="D52">
        <v>20</v>
      </c>
      <c r="E52">
        <v>22.8</v>
      </c>
      <c r="F52">
        <v>53.5</v>
      </c>
      <c r="G52">
        <v>4</v>
      </c>
      <c r="H52">
        <v>44</v>
      </c>
      <c r="I52">
        <v>360</v>
      </c>
      <c r="J52">
        <v>4</v>
      </c>
      <c r="K52">
        <v>6</v>
      </c>
      <c r="L52">
        <v>6</v>
      </c>
      <c r="M52">
        <v>6</v>
      </c>
      <c r="N52">
        <v>0</v>
      </c>
      <c r="O52">
        <v>0</v>
      </c>
      <c r="P52">
        <v>0</v>
      </c>
      <c r="Q52">
        <v>0</v>
      </c>
      <c r="R52">
        <v>1.5</v>
      </c>
      <c r="S52">
        <v>1.5</v>
      </c>
      <c r="T52">
        <v>3</v>
      </c>
      <c r="U52">
        <v>1.5</v>
      </c>
      <c r="V52">
        <v>3</v>
      </c>
    </row>
    <row r="53" spans="1:22" x14ac:dyDescent="0.2">
      <c r="A53">
        <v>50</v>
      </c>
      <c r="B53" t="s">
        <v>46</v>
      </c>
      <c r="C53">
        <v>2011</v>
      </c>
      <c r="D53">
        <v>16</v>
      </c>
      <c r="E53">
        <v>27</v>
      </c>
      <c r="F53">
        <v>53.3</v>
      </c>
      <c r="G53">
        <v>4</v>
      </c>
      <c r="H53">
        <v>44</v>
      </c>
      <c r="I53">
        <v>390</v>
      </c>
      <c r="J53">
        <v>4.3</v>
      </c>
      <c r="K53">
        <v>9</v>
      </c>
      <c r="L53">
        <v>6</v>
      </c>
      <c r="M53">
        <v>7</v>
      </c>
      <c r="N53">
        <v>2</v>
      </c>
      <c r="O53">
        <v>2</v>
      </c>
      <c r="P53">
        <v>0</v>
      </c>
      <c r="Q53">
        <v>0</v>
      </c>
      <c r="R53">
        <v>2.08</v>
      </c>
      <c r="S53">
        <v>1.38</v>
      </c>
      <c r="T53">
        <v>3.46</v>
      </c>
      <c r="U53">
        <v>1.62</v>
      </c>
      <c r="V53">
        <v>3</v>
      </c>
    </row>
    <row r="54" spans="1:22" x14ac:dyDescent="0.2">
      <c r="A54">
        <v>51</v>
      </c>
      <c r="B54" t="s">
        <v>48</v>
      </c>
      <c r="C54">
        <v>2011</v>
      </c>
      <c r="D54">
        <v>19</v>
      </c>
      <c r="E54">
        <v>25.9</v>
      </c>
      <c r="F54">
        <v>47.3</v>
      </c>
      <c r="G54">
        <v>3</v>
      </c>
      <c r="H54">
        <v>33</v>
      </c>
      <c r="I54">
        <v>270</v>
      </c>
      <c r="J54">
        <v>3</v>
      </c>
      <c r="K54">
        <v>1</v>
      </c>
      <c r="L54">
        <v>0</v>
      </c>
      <c r="M54">
        <v>1</v>
      </c>
      <c r="N54">
        <v>0</v>
      </c>
      <c r="O54">
        <v>0</v>
      </c>
      <c r="P54">
        <v>0</v>
      </c>
      <c r="Q54">
        <v>0</v>
      </c>
      <c r="R54">
        <v>0.33</v>
      </c>
      <c r="S54">
        <v>0</v>
      </c>
      <c r="T54">
        <v>0.33</v>
      </c>
      <c r="U54">
        <v>0.33</v>
      </c>
      <c r="V54">
        <v>0.33</v>
      </c>
    </row>
    <row r="55" spans="1:22" x14ac:dyDescent="0.2">
      <c r="A55">
        <v>52</v>
      </c>
      <c r="B55" t="s">
        <v>68</v>
      </c>
      <c r="C55">
        <v>2011</v>
      </c>
      <c r="D55">
        <v>17</v>
      </c>
      <c r="E55">
        <v>22.4</v>
      </c>
      <c r="F55">
        <v>49.3</v>
      </c>
      <c r="G55">
        <v>3</v>
      </c>
      <c r="H55">
        <v>33</v>
      </c>
      <c r="I55">
        <v>270</v>
      </c>
      <c r="J55">
        <v>3</v>
      </c>
      <c r="K55">
        <v>0</v>
      </c>
      <c r="L55">
        <v>0</v>
      </c>
      <c r="M55">
        <v>0</v>
      </c>
      <c r="N55">
        <v>0</v>
      </c>
      <c r="O55">
        <v>0</v>
      </c>
      <c r="P55">
        <v>0</v>
      </c>
      <c r="Q55">
        <v>0</v>
      </c>
      <c r="R55">
        <v>0</v>
      </c>
      <c r="S55">
        <v>0</v>
      </c>
      <c r="T55">
        <v>0</v>
      </c>
      <c r="U55">
        <v>0</v>
      </c>
      <c r="V55">
        <v>0</v>
      </c>
    </row>
    <row r="56" spans="1:22" x14ac:dyDescent="0.2">
      <c r="A56">
        <v>53</v>
      </c>
      <c r="B56" t="s">
        <v>51</v>
      </c>
      <c r="C56">
        <v>2011</v>
      </c>
      <c r="D56">
        <v>18</v>
      </c>
      <c r="E56">
        <v>26.9</v>
      </c>
      <c r="F56">
        <v>49.3</v>
      </c>
      <c r="G56">
        <v>4</v>
      </c>
      <c r="H56">
        <v>44</v>
      </c>
      <c r="I56">
        <v>390</v>
      </c>
      <c r="J56">
        <v>4.3</v>
      </c>
      <c r="K56">
        <v>6</v>
      </c>
      <c r="L56">
        <v>7</v>
      </c>
      <c r="M56">
        <v>6</v>
      </c>
      <c r="N56">
        <v>0</v>
      </c>
      <c r="O56">
        <v>0</v>
      </c>
      <c r="P56">
        <v>0</v>
      </c>
      <c r="Q56">
        <v>0</v>
      </c>
      <c r="R56">
        <v>1.38</v>
      </c>
      <c r="S56">
        <v>1.62</v>
      </c>
      <c r="T56">
        <v>3</v>
      </c>
      <c r="U56">
        <v>1.38</v>
      </c>
      <c r="V56">
        <v>3</v>
      </c>
    </row>
    <row r="57" spans="1:22" x14ac:dyDescent="0.2">
      <c r="A57">
        <v>54</v>
      </c>
      <c r="B57" t="s">
        <v>74</v>
      </c>
      <c r="C57">
        <v>2011</v>
      </c>
      <c r="D57">
        <v>15</v>
      </c>
      <c r="E57">
        <v>26.1</v>
      </c>
      <c r="F57">
        <v>40.700000000000003</v>
      </c>
      <c r="G57">
        <v>3</v>
      </c>
      <c r="H57">
        <v>33</v>
      </c>
      <c r="I57">
        <v>270</v>
      </c>
      <c r="J57">
        <v>3</v>
      </c>
      <c r="K57">
        <v>2</v>
      </c>
      <c r="L57">
        <v>0</v>
      </c>
      <c r="M57">
        <v>2</v>
      </c>
      <c r="N57">
        <v>0</v>
      </c>
      <c r="O57">
        <v>0</v>
      </c>
      <c r="R57">
        <v>0.67</v>
      </c>
      <c r="S57">
        <v>0</v>
      </c>
      <c r="T57">
        <v>0.67</v>
      </c>
      <c r="U57">
        <v>0.67</v>
      </c>
      <c r="V57">
        <v>0.67</v>
      </c>
    </row>
    <row r="58" spans="1:22" x14ac:dyDescent="0.2">
      <c r="A58">
        <v>55</v>
      </c>
      <c r="B58" t="s">
        <v>52</v>
      </c>
      <c r="C58">
        <v>2011</v>
      </c>
      <c r="D58">
        <v>20</v>
      </c>
      <c r="E58">
        <v>26.7</v>
      </c>
      <c r="F58">
        <v>52.3</v>
      </c>
      <c r="G58">
        <v>6</v>
      </c>
      <c r="H58">
        <v>66</v>
      </c>
      <c r="I58">
        <v>570</v>
      </c>
      <c r="J58">
        <v>6.3</v>
      </c>
      <c r="K58">
        <v>10</v>
      </c>
      <c r="L58">
        <v>9</v>
      </c>
      <c r="M58">
        <v>10</v>
      </c>
      <c r="N58">
        <v>0</v>
      </c>
      <c r="O58">
        <v>0</v>
      </c>
      <c r="P58">
        <v>0</v>
      </c>
      <c r="Q58">
        <v>0</v>
      </c>
      <c r="R58">
        <v>1.58</v>
      </c>
      <c r="S58">
        <v>1.42</v>
      </c>
      <c r="T58">
        <v>3</v>
      </c>
      <c r="U58">
        <v>1.58</v>
      </c>
      <c r="V58">
        <v>3</v>
      </c>
    </row>
    <row r="59" spans="1:22" x14ac:dyDescent="0.2">
      <c r="A59">
        <v>56</v>
      </c>
      <c r="B59" t="s">
        <v>53</v>
      </c>
      <c r="C59">
        <v>2011</v>
      </c>
      <c r="D59">
        <v>17</v>
      </c>
      <c r="E59">
        <v>26.4</v>
      </c>
      <c r="F59">
        <v>50</v>
      </c>
      <c r="G59">
        <v>4</v>
      </c>
      <c r="H59">
        <v>44</v>
      </c>
      <c r="I59">
        <v>390</v>
      </c>
      <c r="J59">
        <v>4.3</v>
      </c>
      <c r="K59">
        <v>7</v>
      </c>
      <c r="L59">
        <v>6</v>
      </c>
      <c r="M59">
        <v>6</v>
      </c>
      <c r="N59">
        <v>1</v>
      </c>
      <c r="O59">
        <v>1</v>
      </c>
      <c r="P59">
        <v>0</v>
      </c>
      <c r="Q59">
        <v>0</v>
      </c>
      <c r="R59">
        <v>1.62</v>
      </c>
      <c r="S59">
        <v>1.38</v>
      </c>
      <c r="T59">
        <v>3</v>
      </c>
      <c r="U59">
        <v>1.38</v>
      </c>
      <c r="V59">
        <v>2.77</v>
      </c>
    </row>
    <row r="60" spans="1:22" x14ac:dyDescent="0.2">
      <c r="A60">
        <v>57</v>
      </c>
      <c r="B60" t="s">
        <v>56</v>
      </c>
      <c r="C60">
        <v>2011</v>
      </c>
      <c r="D60">
        <v>18</v>
      </c>
      <c r="E60">
        <v>25.4</v>
      </c>
      <c r="F60">
        <v>56.5</v>
      </c>
      <c r="G60">
        <v>6</v>
      </c>
      <c r="H60">
        <v>66</v>
      </c>
      <c r="I60">
        <v>600</v>
      </c>
      <c r="J60">
        <v>6.7</v>
      </c>
      <c r="K60">
        <v>12</v>
      </c>
      <c r="L60">
        <v>10</v>
      </c>
      <c r="M60">
        <v>12</v>
      </c>
      <c r="N60">
        <v>0</v>
      </c>
      <c r="O60">
        <v>0</v>
      </c>
      <c r="P60">
        <v>0</v>
      </c>
      <c r="Q60">
        <v>0</v>
      </c>
      <c r="R60">
        <v>1.8</v>
      </c>
      <c r="S60">
        <v>1.5</v>
      </c>
      <c r="T60">
        <v>3.3</v>
      </c>
      <c r="U60">
        <v>1.8</v>
      </c>
      <c r="V60">
        <v>3.3</v>
      </c>
    </row>
    <row r="61" spans="1:22" x14ac:dyDescent="0.2">
      <c r="A61">
        <v>58</v>
      </c>
      <c r="B61" t="s">
        <v>75</v>
      </c>
      <c r="C61">
        <v>2011</v>
      </c>
      <c r="D61">
        <v>17</v>
      </c>
      <c r="E61">
        <v>21.1</v>
      </c>
      <c r="F61">
        <v>50.7</v>
      </c>
      <c r="G61">
        <v>3</v>
      </c>
      <c r="H61">
        <v>33</v>
      </c>
      <c r="I61">
        <v>270</v>
      </c>
      <c r="J61">
        <v>3</v>
      </c>
      <c r="K61">
        <v>0</v>
      </c>
      <c r="L61">
        <v>0</v>
      </c>
      <c r="M61">
        <v>0</v>
      </c>
      <c r="N61">
        <v>0</v>
      </c>
      <c r="O61">
        <v>0</v>
      </c>
      <c r="R61">
        <v>0</v>
      </c>
      <c r="S61">
        <v>0</v>
      </c>
      <c r="T61">
        <v>0</v>
      </c>
      <c r="U61">
        <v>0</v>
      </c>
      <c r="V61">
        <v>0</v>
      </c>
    </row>
    <row r="62" spans="1:22" x14ac:dyDescent="0.2">
      <c r="A62">
        <v>59</v>
      </c>
      <c r="B62" t="s">
        <v>72</v>
      </c>
      <c r="C62">
        <v>2011</v>
      </c>
      <c r="D62">
        <v>18</v>
      </c>
      <c r="E62">
        <v>23.1</v>
      </c>
      <c r="F62">
        <v>47.7</v>
      </c>
      <c r="G62">
        <v>3</v>
      </c>
      <c r="H62">
        <v>33</v>
      </c>
      <c r="I62">
        <v>270</v>
      </c>
      <c r="J62">
        <v>3</v>
      </c>
      <c r="K62">
        <v>3</v>
      </c>
      <c r="L62">
        <v>3</v>
      </c>
      <c r="M62">
        <v>3</v>
      </c>
      <c r="N62">
        <v>0</v>
      </c>
      <c r="O62">
        <v>0</v>
      </c>
      <c r="P62">
        <v>0</v>
      </c>
      <c r="Q62">
        <v>0</v>
      </c>
      <c r="R62">
        <v>1</v>
      </c>
      <c r="S62">
        <v>1</v>
      </c>
      <c r="T62">
        <v>2</v>
      </c>
      <c r="U62">
        <v>1</v>
      </c>
      <c r="V62">
        <v>2</v>
      </c>
    </row>
    <row r="63" spans="1:22" x14ac:dyDescent="0.2">
      <c r="A63">
        <v>60</v>
      </c>
      <c r="B63" t="s">
        <v>59</v>
      </c>
      <c r="C63">
        <v>2011</v>
      </c>
      <c r="D63">
        <v>16</v>
      </c>
      <c r="E63">
        <v>24.4</v>
      </c>
      <c r="F63">
        <v>45.7</v>
      </c>
      <c r="G63">
        <v>3</v>
      </c>
      <c r="H63">
        <v>33</v>
      </c>
      <c r="I63">
        <v>270</v>
      </c>
      <c r="J63">
        <v>3</v>
      </c>
      <c r="K63">
        <v>4</v>
      </c>
      <c r="L63">
        <v>3</v>
      </c>
      <c r="M63">
        <v>4</v>
      </c>
      <c r="N63">
        <v>0</v>
      </c>
      <c r="O63">
        <v>0</v>
      </c>
      <c r="P63">
        <v>0</v>
      </c>
      <c r="Q63">
        <v>0</v>
      </c>
      <c r="R63">
        <v>1.33</v>
      </c>
      <c r="S63">
        <v>1</v>
      </c>
      <c r="T63">
        <v>2.33</v>
      </c>
      <c r="U63">
        <v>1.33</v>
      </c>
      <c r="V63">
        <v>2.33</v>
      </c>
    </row>
    <row r="64" spans="1:22" x14ac:dyDescent="0.2">
      <c r="A64">
        <v>61</v>
      </c>
      <c r="B64" t="s">
        <v>60</v>
      </c>
      <c r="C64">
        <v>2011</v>
      </c>
      <c r="D64">
        <v>17</v>
      </c>
      <c r="E64">
        <v>24.3</v>
      </c>
      <c r="F64">
        <v>50.7</v>
      </c>
      <c r="G64">
        <v>3</v>
      </c>
      <c r="H64">
        <v>33</v>
      </c>
      <c r="I64">
        <v>270</v>
      </c>
      <c r="J64">
        <v>3</v>
      </c>
      <c r="K64">
        <v>1</v>
      </c>
      <c r="L64">
        <v>0</v>
      </c>
      <c r="M64">
        <v>1</v>
      </c>
      <c r="N64">
        <v>0</v>
      </c>
      <c r="O64">
        <v>0</v>
      </c>
      <c r="P64">
        <v>0</v>
      </c>
      <c r="Q64">
        <v>0</v>
      </c>
      <c r="R64">
        <v>0.33</v>
      </c>
      <c r="S64">
        <v>0</v>
      </c>
      <c r="T64">
        <v>0.33</v>
      </c>
      <c r="U64">
        <v>0.33</v>
      </c>
      <c r="V64">
        <v>0.33</v>
      </c>
    </row>
    <row r="65" spans="1:22" x14ac:dyDescent="0.2">
      <c r="A65">
        <v>62</v>
      </c>
      <c r="B65" t="s">
        <v>61</v>
      </c>
      <c r="C65">
        <v>2011</v>
      </c>
      <c r="D65">
        <v>18</v>
      </c>
      <c r="E65">
        <v>24.7</v>
      </c>
      <c r="F65">
        <v>50.7</v>
      </c>
      <c r="G65">
        <v>3</v>
      </c>
      <c r="H65">
        <v>33</v>
      </c>
      <c r="I65">
        <v>270</v>
      </c>
      <c r="J65">
        <v>3</v>
      </c>
      <c r="K65">
        <v>2</v>
      </c>
      <c r="L65">
        <v>1</v>
      </c>
      <c r="M65">
        <v>2</v>
      </c>
      <c r="N65">
        <v>0</v>
      </c>
      <c r="O65">
        <v>0</v>
      </c>
      <c r="P65">
        <v>0</v>
      </c>
      <c r="Q65">
        <v>0</v>
      </c>
      <c r="R65">
        <v>0.67</v>
      </c>
      <c r="S65">
        <v>0.33</v>
      </c>
      <c r="T65">
        <v>1</v>
      </c>
      <c r="U65">
        <v>0.67</v>
      </c>
      <c r="V65">
        <v>1</v>
      </c>
    </row>
    <row r="66" spans="1:22" x14ac:dyDescent="0.2">
      <c r="A66">
        <v>63</v>
      </c>
      <c r="B66" t="s">
        <v>65</v>
      </c>
      <c r="C66">
        <v>2011</v>
      </c>
      <c r="D66">
        <v>19</v>
      </c>
      <c r="E66">
        <v>28.4</v>
      </c>
      <c r="F66">
        <v>45.3</v>
      </c>
      <c r="G66">
        <v>6</v>
      </c>
      <c r="H66">
        <v>66</v>
      </c>
      <c r="I66">
        <v>540</v>
      </c>
      <c r="J66">
        <v>6</v>
      </c>
      <c r="K66">
        <v>10</v>
      </c>
      <c r="L66">
        <v>4</v>
      </c>
      <c r="M66">
        <v>9</v>
      </c>
      <c r="N66">
        <v>1</v>
      </c>
      <c r="O66">
        <v>1</v>
      </c>
      <c r="P66">
        <v>0</v>
      </c>
      <c r="Q66">
        <v>0</v>
      </c>
      <c r="R66">
        <v>1.67</v>
      </c>
      <c r="S66">
        <v>0.67</v>
      </c>
      <c r="T66">
        <v>2.33</v>
      </c>
      <c r="U66">
        <v>1.5</v>
      </c>
      <c r="V66">
        <v>2.17</v>
      </c>
    </row>
    <row r="67" spans="1:22" x14ac:dyDescent="0.2">
      <c r="A67">
        <v>64</v>
      </c>
      <c r="B67" t="s">
        <v>67</v>
      </c>
      <c r="C67">
        <v>2011</v>
      </c>
      <c r="D67">
        <v>18</v>
      </c>
      <c r="E67">
        <v>28.3</v>
      </c>
      <c r="F67">
        <v>50.5</v>
      </c>
      <c r="G67">
        <v>6</v>
      </c>
      <c r="H67">
        <v>66</v>
      </c>
      <c r="I67">
        <v>600</v>
      </c>
      <c r="J67">
        <v>6.7</v>
      </c>
      <c r="K67">
        <v>12</v>
      </c>
      <c r="L67">
        <v>9</v>
      </c>
      <c r="M67">
        <v>12</v>
      </c>
      <c r="N67">
        <v>0</v>
      </c>
      <c r="O67">
        <v>0</v>
      </c>
      <c r="P67">
        <v>0</v>
      </c>
      <c r="Q67">
        <v>0</v>
      </c>
      <c r="R67">
        <v>1.8</v>
      </c>
      <c r="S67">
        <v>1.35</v>
      </c>
      <c r="T67">
        <v>3.15</v>
      </c>
      <c r="U67">
        <v>1.8</v>
      </c>
      <c r="V67">
        <v>3.15</v>
      </c>
    </row>
    <row r="68" spans="1:22" x14ac:dyDescent="0.2">
      <c r="A68">
        <v>65</v>
      </c>
      <c r="B68" t="s">
        <v>44</v>
      </c>
      <c r="C68">
        <v>2007</v>
      </c>
      <c r="D68">
        <v>19</v>
      </c>
      <c r="E68">
        <v>21</v>
      </c>
      <c r="F68">
        <v>38.299999999999997</v>
      </c>
      <c r="G68">
        <v>3</v>
      </c>
      <c r="H68">
        <v>33</v>
      </c>
      <c r="I68">
        <v>270</v>
      </c>
      <c r="J68">
        <v>3</v>
      </c>
      <c r="K68">
        <v>1</v>
      </c>
      <c r="L68">
        <v>0</v>
      </c>
      <c r="M68">
        <v>1</v>
      </c>
      <c r="N68">
        <v>0</v>
      </c>
      <c r="O68">
        <v>0</v>
      </c>
      <c r="R68">
        <v>0.33</v>
      </c>
      <c r="S68">
        <v>0</v>
      </c>
      <c r="T68">
        <v>0.33</v>
      </c>
      <c r="U68">
        <v>0.33</v>
      </c>
      <c r="V68">
        <v>0.33</v>
      </c>
    </row>
    <row r="69" spans="1:22" x14ac:dyDescent="0.2">
      <c r="A69">
        <v>66</v>
      </c>
      <c r="B69" t="s">
        <v>45</v>
      </c>
      <c r="C69">
        <v>2007</v>
      </c>
      <c r="D69">
        <v>18</v>
      </c>
      <c r="E69">
        <v>24.7</v>
      </c>
      <c r="F69">
        <v>48.3</v>
      </c>
      <c r="G69">
        <v>4</v>
      </c>
      <c r="H69">
        <v>44</v>
      </c>
      <c r="I69">
        <v>360</v>
      </c>
      <c r="J69">
        <v>4</v>
      </c>
      <c r="K69">
        <v>9</v>
      </c>
      <c r="L69">
        <v>6</v>
      </c>
      <c r="M69">
        <v>9</v>
      </c>
      <c r="N69">
        <v>0</v>
      </c>
      <c r="O69">
        <v>0</v>
      </c>
      <c r="R69">
        <v>2.25</v>
      </c>
      <c r="S69">
        <v>1.5</v>
      </c>
      <c r="T69">
        <v>3.75</v>
      </c>
      <c r="U69">
        <v>2.25</v>
      </c>
      <c r="V69">
        <v>3.75</v>
      </c>
    </row>
    <row r="70" spans="1:22" x14ac:dyDescent="0.2">
      <c r="A70">
        <v>67</v>
      </c>
      <c r="B70" t="s">
        <v>46</v>
      </c>
      <c r="C70">
        <v>2007</v>
      </c>
      <c r="D70">
        <v>16</v>
      </c>
      <c r="E70">
        <v>25.7</v>
      </c>
      <c r="F70">
        <v>61.3</v>
      </c>
      <c r="G70">
        <v>6</v>
      </c>
      <c r="H70">
        <v>66</v>
      </c>
      <c r="I70">
        <v>540</v>
      </c>
      <c r="J70">
        <v>6</v>
      </c>
      <c r="K70">
        <v>16</v>
      </c>
      <c r="L70">
        <v>7</v>
      </c>
      <c r="M70">
        <v>16</v>
      </c>
      <c r="N70">
        <v>0</v>
      </c>
      <c r="O70">
        <v>0</v>
      </c>
      <c r="R70">
        <v>2.67</v>
      </c>
      <c r="S70">
        <v>1.17</v>
      </c>
      <c r="T70">
        <v>3.83</v>
      </c>
      <c r="U70">
        <v>2.67</v>
      </c>
      <c r="V70">
        <v>3.83</v>
      </c>
    </row>
    <row r="71" spans="1:22" x14ac:dyDescent="0.2">
      <c r="A71">
        <v>68</v>
      </c>
      <c r="B71" t="s">
        <v>48</v>
      </c>
      <c r="C71">
        <v>2007</v>
      </c>
      <c r="D71">
        <v>18</v>
      </c>
      <c r="E71">
        <v>23.8</v>
      </c>
      <c r="F71">
        <v>39.299999999999997</v>
      </c>
      <c r="G71">
        <v>3</v>
      </c>
      <c r="H71">
        <v>33</v>
      </c>
      <c r="I71">
        <v>270</v>
      </c>
      <c r="J71">
        <v>3</v>
      </c>
      <c r="K71">
        <v>7</v>
      </c>
      <c r="L71">
        <v>3</v>
      </c>
      <c r="M71">
        <v>7</v>
      </c>
      <c r="N71">
        <v>0</v>
      </c>
      <c r="O71">
        <v>0</v>
      </c>
      <c r="R71">
        <v>2.33</v>
      </c>
      <c r="S71">
        <v>1</v>
      </c>
      <c r="T71">
        <v>3.33</v>
      </c>
      <c r="U71">
        <v>2.33</v>
      </c>
      <c r="V71">
        <v>3.33</v>
      </c>
    </row>
    <row r="72" spans="1:22" x14ac:dyDescent="0.2">
      <c r="A72">
        <v>69</v>
      </c>
      <c r="B72" t="s">
        <v>50</v>
      </c>
      <c r="C72">
        <v>2007</v>
      </c>
      <c r="D72">
        <v>18</v>
      </c>
      <c r="E72">
        <v>24.9</v>
      </c>
      <c r="F72">
        <v>47.3</v>
      </c>
      <c r="G72">
        <v>4</v>
      </c>
      <c r="H72">
        <v>44</v>
      </c>
      <c r="I72">
        <v>360</v>
      </c>
      <c r="J72">
        <v>4</v>
      </c>
      <c r="K72">
        <v>5</v>
      </c>
      <c r="L72">
        <v>0</v>
      </c>
      <c r="M72">
        <v>5</v>
      </c>
      <c r="N72">
        <v>0</v>
      </c>
      <c r="O72">
        <v>0</v>
      </c>
      <c r="R72">
        <v>1.25</v>
      </c>
      <c r="S72">
        <v>0</v>
      </c>
      <c r="T72">
        <v>1.25</v>
      </c>
      <c r="U72">
        <v>1.25</v>
      </c>
      <c r="V72">
        <v>1.25</v>
      </c>
    </row>
    <row r="73" spans="1:22" x14ac:dyDescent="0.2">
      <c r="A73">
        <v>70</v>
      </c>
      <c r="B73" t="s">
        <v>76</v>
      </c>
      <c r="C73">
        <v>2007</v>
      </c>
      <c r="D73">
        <v>16</v>
      </c>
      <c r="E73">
        <v>26.9</v>
      </c>
      <c r="F73">
        <v>50.7</v>
      </c>
      <c r="G73">
        <v>3</v>
      </c>
      <c r="H73">
        <v>33</v>
      </c>
      <c r="I73">
        <v>270</v>
      </c>
      <c r="J73">
        <v>3</v>
      </c>
      <c r="K73">
        <v>4</v>
      </c>
      <c r="L73">
        <v>2</v>
      </c>
      <c r="M73">
        <v>4</v>
      </c>
      <c r="N73">
        <v>0</v>
      </c>
      <c r="O73">
        <v>0</v>
      </c>
      <c r="R73">
        <v>1.33</v>
      </c>
      <c r="S73">
        <v>0.67</v>
      </c>
      <c r="T73">
        <v>2</v>
      </c>
      <c r="U73">
        <v>1.33</v>
      </c>
      <c r="V73">
        <v>2</v>
      </c>
    </row>
    <row r="74" spans="1:22" x14ac:dyDescent="0.2">
      <c r="A74">
        <v>71</v>
      </c>
      <c r="B74" t="s">
        <v>51</v>
      </c>
      <c r="C74">
        <v>2007</v>
      </c>
      <c r="D74">
        <v>18</v>
      </c>
      <c r="E74">
        <v>24.8</v>
      </c>
      <c r="F74">
        <v>52.5</v>
      </c>
      <c r="G74">
        <v>4</v>
      </c>
      <c r="H74">
        <v>44</v>
      </c>
      <c r="I74">
        <v>360</v>
      </c>
      <c r="J74">
        <v>4</v>
      </c>
      <c r="K74">
        <v>7</v>
      </c>
      <c r="L74">
        <v>5</v>
      </c>
      <c r="M74">
        <v>5</v>
      </c>
      <c r="N74">
        <v>2</v>
      </c>
      <c r="O74">
        <v>2</v>
      </c>
      <c r="R74">
        <v>1.75</v>
      </c>
      <c r="S74">
        <v>1.25</v>
      </c>
      <c r="T74">
        <v>3</v>
      </c>
      <c r="U74">
        <v>1.25</v>
      </c>
      <c r="V74">
        <v>2.5</v>
      </c>
    </row>
    <row r="75" spans="1:22" x14ac:dyDescent="0.2">
      <c r="A75">
        <v>72</v>
      </c>
      <c r="B75" t="s">
        <v>53</v>
      </c>
      <c r="C75">
        <v>2007</v>
      </c>
      <c r="D75">
        <v>17</v>
      </c>
      <c r="E75">
        <v>26.5</v>
      </c>
      <c r="F75">
        <v>49.5</v>
      </c>
      <c r="G75">
        <v>6</v>
      </c>
      <c r="H75">
        <v>66</v>
      </c>
      <c r="I75">
        <v>540</v>
      </c>
      <c r="J75">
        <v>6</v>
      </c>
      <c r="K75">
        <v>20</v>
      </c>
      <c r="L75">
        <v>11</v>
      </c>
      <c r="M75">
        <v>19</v>
      </c>
      <c r="N75">
        <v>1</v>
      </c>
      <c r="O75">
        <v>1</v>
      </c>
      <c r="R75">
        <v>3.33</v>
      </c>
      <c r="S75">
        <v>1.83</v>
      </c>
      <c r="T75">
        <v>5.17</v>
      </c>
      <c r="U75">
        <v>3.17</v>
      </c>
      <c r="V75">
        <v>5</v>
      </c>
    </row>
    <row r="76" spans="1:22" x14ac:dyDescent="0.2">
      <c r="A76">
        <v>73</v>
      </c>
      <c r="B76" t="s">
        <v>77</v>
      </c>
      <c r="C76">
        <v>2007</v>
      </c>
      <c r="D76">
        <v>19</v>
      </c>
      <c r="E76">
        <v>24.5</v>
      </c>
      <c r="F76">
        <v>52.3</v>
      </c>
      <c r="G76">
        <v>3</v>
      </c>
      <c r="H76">
        <v>33</v>
      </c>
      <c r="I76">
        <v>270</v>
      </c>
      <c r="J76">
        <v>3</v>
      </c>
      <c r="K76">
        <v>3</v>
      </c>
      <c r="L76">
        <v>0</v>
      </c>
      <c r="M76">
        <v>2</v>
      </c>
      <c r="N76">
        <v>1</v>
      </c>
      <c r="O76">
        <v>1</v>
      </c>
      <c r="R76">
        <v>1</v>
      </c>
      <c r="S76">
        <v>0</v>
      </c>
      <c r="T76">
        <v>1</v>
      </c>
      <c r="U76">
        <v>0.67</v>
      </c>
      <c r="V76">
        <v>0.67</v>
      </c>
    </row>
    <row r="77" spans="1:22" x14ac:dyDescent="0.2">
      <c r="A77">
        <v>74</v>
      </c>
      <c r="B77" t="s">
        <v>56</v>
      </c>
      <c r="C77">
        <v>2007</v>
      </c>
      <c r="D77">
        <v>16</v>
      </c>
      <c r="E77">
        <v>24.7</v>
      </c>
      <c r="F77">
        <v>56</v>
      </c>
      <c r="G77">
        <v>3</v>
      </c>
      <c r="H77">
        <v>33</v>
      </c>
      <c r="I77">
        <v>270</v>
      </c>
      <c r="J77">
        <v>3</v>
      </c>
      <c r="K77">
        <v>3</v>
      </c>
      <c r="L77">
        <v>0</v>
      </c>
      <c r="M77">
        <v>3</v>
      </c>
      <c r="N77">
        <v>0</v>
      </c>
      <c r="O77">
        <v>0</v>
      </c>
      <c r="R77">
        <v>1</v>
      </c>
      <c r="S77">
        <v>0</v>
      </c>
      <c r="T77">
        <v>1</v>
      </c>
      <c r="U77">
        <v>1</v>
      </c>
      <c r="V77">
        <v>1</v>
      </c>
    </row>
    <row r="78" spans="1:22" x14ac:dyDescent="0.2">
      <c r="A78">
        <v>75</v>
      </c>
      <c r="B78" t="s">
        <v>75</v>
      </c>
      <c r="C78">
        <v>2007</v>
      </c>
      <c r="D78">
        <v>15</v>
      </c>
      <c r="E78">
        <v>22.8</v>
      </c>
      <c r="F78">
        <v>52.8</v>
      </c>
      <c r="G78">
        <v>4</v>
      </c>
      <c r="H78">
        <v>44</v>
      </c>
      <c r="I78">
        <v>360</v>
      </c>
      <c r="J78">
        <v>4</v>
      </c>
      <c r="K78">
        <v>5</v>
      </c>
      <c r="L78">
        <v>1</v>
      </c>
      <c r="M78">
        <v>5</v>
      </c>
      <c r="N78">
        <v>0</v>
      </c>
      <c r="O78">
        <v>0</v>
      </c>
      <c r="R78">
        <v>1.25</v>
      </c>
      <c r="S78">
        <v>0.25</v>
      </c>
      <c r="T78">
        <v>1.5</v>
      </c>
      <c r="U78">
        <v>1.25</v>
      </c>
      <c r="V78">
        <v>1.5</v>
      </c>
    </row>
    <row r="79" spans="1:22" x14ac:dyDescent="0.2">
      <c r="A79">
        <v>76</v>
      </c>
      <c r="B79" t="s">
        <v>59</v>
      </c>
      <c r="C79">
        <v>2007</v>
      </c>
      <c r="D79">
        <v>18</v>
      </c>
      <c r="E79">
        <v>24.5</v>
      </c>
      <c r="F79">
        <v>39.700000000000003</v>
      </c>
      <c r="G79">
        <v>3</v>
      </c>
      <c r="H79">
        <v>33</v>
      </c>
      <c r="I79">
        <v>270</v>
      </c>
      <c r="J79">
        <v>3</v>
      </c>
      <c r="K79">
        <v>0</v>
      </c>
      <c r="L79">
        <v>0</v>
      </c>
      <c r="M79">
        <v>0</v>
      </c>
      <c r="N79">
        <v>0</v>
      </c>
      <c r="O79">
        <v>0</v>
      </c>
      <c r="R79">
        <v>0</v>
      </c>
      <c r="S79">
        <v>0</v>
      </c>
      <c r="T79">
        <v>0</v>
      </c>
      <c r="U79">
        <v>0</v>
      </c>
      <c r="V79">
        <v>0</v>
      </c>
    </row>
    <row r="80" spans="1:22" x14ac:dyDescent="0.2">
      <c r="A80">
        <v>77</v>
      </c>
      <c r="B80" t="s">
        <v>60</v>
      </c>
      <c r="C80">
        <v>2007</v>
      </c>
      <c r="D80">
        <v>15</v>
      </c>
      <c r="E80">
        <v>23.6</v>
      </c>
      <c r="F80">
        <v>51</v>
      </c>
      <c r="G80">
        <v>3</v>
      </c>
      <c r="H80">
        <v>33</v>
      </c>
      <c r="I80">
        <v>270</v>
      </c>
      <c r="J80">
        <v>3</v>
      </c>
      <c r="K80">
        <v>1</v>
      </c>
      <c r="L80">
        <v>0</v>
      </c>
      <c r="M80">
        <v>1</v>
      </c>
      <c r="N80">
        <v>0</v>
      </c>
      <c r="O80">
        <v>0</v>
      </c>
      <c r="R80">
        <v>0.33</v>
      </c>
      <c r="S80">
        <v>0</v>
      </c>
      <c r="T80">
        <v>0.33</v>
      </c>
      <c r="U80">
        <v>0.33</v>
      </c>
      <c r="V80">
        <v>0.33</v>
      </c>
    </row>
    <row r="81" spans="1:22" x14ac:dyDescent="0.2">
      <c r="A81">
        <v>78</v>
      </c>
      <c r="B81" t="s">
        <v>61</v>
      </c>
      <c r="C81">
        <v>2007</v>
      </c>
      <c r="D81">
        <v>19</v>
      </c>
      <c r="E81">
        <v>26.3</v>
      </c>
      <c r="F81">
        <v>53.7</v>
      </c>
      <c r="G81">
        <v>6</v>
      </c>
      <c r="H81">
        <v>66</v>
      </c>
      <c r="I81">
        <v>540</v>
      </c>
      <c r="J81">
        <v>6</v>
      </c>
      <c r="K81">
        <v>12</v>
      </c>
      <c r="L81">
        <v>10</v>
      </c>
      <c r="M81">
        <v>11</v>
      </c>
      <c r="N81">
        <v>1</v>
      </c>
      <c r="O81">
        <v>1</v>
      </c>
      <c r="R81">
        <v>2</v>
      </c>
      <c r="S81">
        <v>1.67</v>
      </c>
      <c r="T81">
        <v>3.67</v>
      </c>
      <c r="U81">
        <v>1.83</v>
      </c>
      <c r="V81">
        <v>3.5</v>
      </c>
    </row>
    <row r="82" spans="1:22" x14ac:dyDescent="0.2">
      <c r="A82">
        <v>79</v>
      </c>
      <c r="B82" t="s">
        <v>65</v>
      </c>
      <c r="C82">
        <v>2007</v>
      </c>
      <c r="D82">
        <v>16</v>
      </c>
      <c r="E82">
        <v>26.1</v>
      </c>
      <c r="F82">
        <v>49.7</v>
      </c>
      <c r="G82">
        <v>3</v>
      </c>
      <c r="H82">
        <v>33</v>
      </c>
      <c r="I82">
        <v>270</v>
      </c>
      <c r="J82">
        <v>3</v>
      </c>
      <c r="K82">
        <v>3</v>
      </c>
      <c r="L82">
        <v>3</v>
      </c>
      <c r="M82">
        <v>3</v>
      </c>
      <c r="N82">
        <v>0</v>
      </c>
      <c r="O82">
        <v>0</v>
      </c>
      <c r="R82">
        <v>1</v>
      </c>
      <c r="S82">
        <v>1</v>
      </c>
      <c r="T82">
        <v>2</v>
      </c>
      <c r="U82">
        <v>1</v>
      </c>
      <c r="V82">
        <v>2</v>
      </c>
    </row>
    <row r="83" spans="1:22" x14ac:dyDescent="0.2">
      <c r="A83">
        <v>80</v>
      </c>
      <c r="B83" t="s">
        <v>67</v>
      </c>
      <c r="C83">
        <v>2007</v>
      </c>
      <c r="D83">
        <v>18</v>
      </c>
      <c r="E83">
        <v>26.7</v>
      </c>
      <c r="F83">
        <v>46.5</v>
      </c>
      <c r="G83">
        <v>6</v>
      </c>
      <c r="H83">
        <v>66</v>
      </c>
      <c r="I83">
        <v>540</v>
      </c>
      <c r="J83">
        <v>6</v>
      </c>
      <c r="K83">
        <v>12</v>
      </c>
      <c r="L83">
        <v>3</v>
      </c>
      <c r="M83">
        <v>11</v>
      </c>
      <c r="N83">
        <v>1</v>
      </c>
      <c r="O83">
        <v>1</v>
      </c>
      <c r="R83">
        <v>2</v>
      </c>
      <c r="S83">
        <v>0.5</v>
      </c>
      <c r="T83">
        <v>2.5</v>
      </c>
      <c r="U83">
        <v>1.83</v>
      </c>
      <c r="V83">
        <v>2.33</v>
      </c>
    </row>
    <row r="84" spans="1:22" x14ac:dyDescent="0.2">
      <c r="A84">
        <v>81</v>
      </c>
      <c r="B84" t="s">
        <v>44</v>
      </c>
      <c r="C84">
        <v>2003</v>
      </c>
      <c r="D84">
        <v>16</v>
      </c>
      <c r="E84">
        <v>23</v>
      </c>
      <c r="F84">
        <v>49</v>
      </c>
      <c r="G84">
        <v>3</v>
      </c>
      <c r="H84">
        <v>33</v>
      </c>
      <c r="I84">
        <v>270</v>
      </c>
      <c r="J84">
        <v>3</v>
      </c>
      <c r="K84">
        <v>1</v>
      </c>
      <c r="L84">
        <v>0</v>
      </c>
      <c r="M84">
        <v>1</v>
      </c>
      <c r="N84">
        <v>0</v>
      </c>
      <c r="O84">
        <v>0</v>
      </c>
      <c r="R84">
        <v>0.33</v>
      </c>
      <c r="S84">
        <v>0</v>
      </c>
      <c r="T84">
        <v>0.33</v>
      </c>
      <c r="U84">
        <v>0.33</v>
      </c>
      <c r="V84">
        <v>0.33</v>
      </c>
    </row>
    <row r="85" spans="1:22" x14ac:dyDescent="0.2">
      <c r="A85">
        <v>82</v>
      </c>
      <c r="B85" t="s">
        <v>45</v>
      </c>
      <c r="C85">
        <v>2003</v>
      </c>
      <c r="D85">
        <v>16</v>
      </c>
      <c r="E85">
        <v>23.4</v>
      </c>
      <c r="F85">
        <v>49</v>
      </c>
      <c r="G85">
        <v>3</v>
      </c>
      <c r="H85">
        <v>33</v>
      </c>
      <c r="I85">
        <v>270</v>
      </c>
      <c r="J85">
        <v>3</v>
      </c>
      <c r="K85">
        <v>3</v>
      </c>
      <c r="L85">
        <v>0</v>
      </c>
      <c r="M85">
        <v>3</v>
      </c>
      <c r="N85">
        <v>0</v>
      </c>
      <c r="O85">
        <v>0</v>
      </c>
      <c r="R85">
        <v>1</v>
      </c>
      <c r="S85">
        <v>0</v>
      </c>
      <c r="T85">
        <v>1</v>
      </c>
      <c r="U85">
        <v>1</v>
      </c>
      <c r="V85">
        <v>1</v>
      </c>
    </row>
    <row r="86" spans="1:22" x14ac:dyDescent="0.2">
      <c r="A86">
        <v>83</v>
      </c>
      <c r="B86" t="s">
        <v>46</v>
      </c>
      <c r="C86">
        <v>2003</v>
      </c>
      <c r="D86">
        <v>16</v>
      </c>
      <c r="E86">
        <v>22.4</v>
      </c>
      <c r="F86">
        <v>55</v>
      </c>
      <c r="G86">
        <v>4</v>
      </c>
      <c r="H86">
        <v>44</v>
      </c>
      <c r="I86">
        <v>360</v>
      </c>
      <c r="J86">
        <v>4</v>
      </c>
      <c r="K86">
        <v>9</v>
      </c>
      <c r="L86">
        <v>0</v>
      </c>
      <c r="M86">
        <v>9</v>
      </c>
      <c r="N86">
        <v>0</v>
      </c>
      <c r="O86">
        <v>0</v>
      </c>
      <c r="R86">
        <v>2.25</v>
      </c>
      <c r="S86">
        <v>0</v>
      </c>
      <c r="T86">
        <v>2.25</v>
      </c>
      <c r="U86">
        <v>2.25</v>
      </c>
      <c r="V86">
        <v>2.25</v>
      </c>
    </row>
    <row r="87" spans="1:22" x14ac:dyDescent="0.2">
      <c r="A87">
        <v>84</v>
      </c>
      <c r="B87" t="s">
        <v>48</v>
      </c>
      <c r="C87">
        <v>2003</v>
      </c>
      <c r="D87">
        <v>17</v>
      </c>
      <c r="E87">
        <v>22.7</v>
      </c>
      <c r="F87">
        <v>41.7</v>
      </c>
      <c r="G87">
        <v>6</v>
      </c>
      <c r="H87">
        <v>66</v>
      </c>
      <c r="I87">
        <v>540</v>
      </c>
      <c r="J87">
        <v>6</v>
      </c>
      <c r="K87">
        <v>10</v>
      </c>
      <c r="L87">
        <v>0</v>
      </c>
      <c r="M87">
        <v>10</v>
      </c>
      <c r="N87">
        <v>0</v>
      </c>
      <c r="O87">
        <v>0</v>
      </c>
      <c r="R87">
        <v>1.67</v>
      </c>
      <c r="S87">
        <v>0</v>
      </c>
      <c r="T87">
        <v>1.67</v>
      </c>
      <c r="U87">
        <v>1.67</v>
      </c>
      <c r="V87">
        <v>1.67</v>
      </c>
    </row>
    <row r="88" spans="1:22" x14ac:dyDescent="0.2">
      <c r="A88">
        <v>85</v>
      </c>
      <c r="B88" t="s">
        <v>50</v>
      </c>
      <c r="C88">
        <v>2003</v>
      </c>
      <c r="D88">
        <v>18</v>
      </c>
      <c r="E88">
        <v>27</v>
      </c>
      <c r="F88">
        <v>61</v>
      </c>
      <c r="G88">
        <v>4</v>
      </c>
      <c r="H88">
        <v>44</v>
      </c>
      <c r="I88">
        <v>360</v>
      </c>
      <c r="J88">
        <v>4</v>
      </c>
      <c r="K88">
        <v>3</v>
      </c>
      <c r="L88">
        <v>0</v>
      </c>
      <c r="M88">
        <v>3</v>
      </c>
      <c r="N88">
        <v>0</v>
      </c>
      <c r="O88">
        <v>0</v>
      </c>
      <c r="R88">
        <v>0.75</v>
      </c>
      <c r="S88">
        <v>0</v>
      </c>
      <c r="T88">
        <v>0.75</v>
      </c>
      <c r="U88">
        <v>0.75</v>
      </c>
      <c r="V88">
        <v>0.75</v>
      </c>
    </row>
    <row r="89" spans="1:22" x14ac:dyDescent="0.2">
      <c r="A89">
        <v>86</v>
      </c>
      <c r="B89" t="s">
        <v>52</v>
      </c>
      <c r="C89">
        <v>2003</v>
      </c>
      <c r="D89">
        <v>17</v>
      </c>
      <c r="E89">
        <v>25.2</v>
      </c>
      <c r="F89">
        <v>46.3</v>
      </c>
      <c r="G89">
        <v>3</v>
      </c>
      <c r="H89">
        <v>33</v>
      </c>
      <c r="I89">
        <v>270</v>
      </c>
      <c r="J89">
        <v>3</v>
      </c>
      <c r="K89">
        <v>2</v>
      </c>
      <c r="L89">
        <v>0</v>
      </c>
      <c r="M89">
        <v>2</v>
      </c>
      <c r="N89">
        <v>0</v>
      </c>
      <c r="O89">
        <v>0</v>
      </c>
      <c r="R89">
        <v>0.67</v>
      </c>
      <c r="S89">
        <v>0</v>
      </c>
      <c r="T89">
        <v>0.67</v>
      </c>
      <c r="U89">
        <v>0.67</v>
      </c>
      <c r="V89">
        <v>0.67</v>
      </c>
    </row>
    <row r="90" spans="1:22" x14ac:dyDescent="0.2">
      <c r="A90">
        <v>87</v>
      </c>
      <c r="B90" t="s">
        <v>53</v>
      </c>
      <c r="C90">
        <v>2003</v>
      </c>
      <c r="D90">
        <v>19</v>
      </c>
      <c r="E90">
        <v>27</v>
      </c>
      <c r="F90">
        <v>51.8</v>
      </c>
      <c r="G90">
        <v>6</v>
      </c>
      <c r="H90">
        <v>66</v>
      </c>
      <c r="I90">
        <v>570</v>
      </c>
      <c r="J90">
        <v>6.3</v>
      </c>
      <c r="K90">
        <v>25</v>
      </c>
      <c r="L90">
        <v>0</v>
      </c>
      <c r="M90">
        <v>25</v>
      </c>
      <c r="N90">
        <v>0</v>
      </c>
      <c r="O90">
        <v>0</v>
      </c>
      <c r="R90">
        <v>3.95</v>
      </c>
      <c r="S90">
        <v>0</v>
      </c>
      <c r="T90">
        <v>3.95</v>
      </c>
      <c r="U90">
        <v>3.95</v>
      </c>
      <c r="V90">
        <v>3.95</v>
      </c>
    </row>
    <row r="91" spans="1:22" x14ac:dyDescent="0.2">
      <c r="A91">
        <v>88</v>
      </c>
      <c r="B91" t="s">
        <v>77</v>
      </c>
      <c r="C91">
        <v>2003</v>
      </c>
      <c r="D91">
        <v>15</v>
      </c>
      <c r="E91">
        <v>25.4</v>
      </c>
      <c r="F91">
        <v>47.7</v>
      </c>
      <c r="G91">
        <v>3</v>
      </c>
      <c r="H91">
        <v>33</v>
      </c>
      <c r="I91">
        <v>270</v>
      </c>
      <c r="J91">
        <v>3</v>
      </c>
      <c r="K91">
        <v>2</v>
      </c>
      <c r="L91">
        <v>0</v>
      </c>
      <c r="M91">
        <v>2</v>
      </c>
      <c r="N91">
        <v>0</v>
      </c>
      <c r="O91">
        <v>0</v>
      </c>
      <c r="R91">
        <v>0.67</v>
      </c>
      <c r="S91">
        <v>0</v>
      </c>
      <c r="T91">
        <v>0.67</v>
      </c>
      <c r="U91">
        <v>0.67</v>
      </c>
      <c r="V91">
        <v>0.67</v>
      </c>
    </row>
    <row r="92" spans="1:22" x14ac:dyDescent="0.2">
      <c r="A92">
        <v>89</v>
      </c>
      <c r="B92" t="s">
        <v>56</v>
      </c>
      <c r="C92">
        <v>2003</v>
      </c>
      <c r="D92">
        <v>16</v>
      </c>
      <c r="E92">
        <v>24.2</v>
      </c>
      <c r="F92">
        <v>54.7</v>
      </c>
      <c r="G92">
        <v>3</v>
      </c>
      <c r="H92">
        <v>33</v>
      </c>
      <c r="I92">
        <v>270</v>
      </c>
      <c r="J92">
        <v>3</v>
      </c>
      <c r="K92">
        <v>7</v>
      </c>
      <c r="L92">
        <v>0</v>
      </c>
      <c r="M92">
        <v>7</v>
      </c>
      <c r="N92">
        <v>0</v>
      </c>
      <c r="O92">
        <v>0</v>
      </c>
      <c r="R92">
        <v>2.33</v>
      </c>
      <c r="S92">
        <v>0</v>
      </c>
      <c r="T92">
        <v>2.33</v>
      </c>
      <c r="U92">
        <v>2.33</v>
      </c>
      <c r="V92">
        <v>2.33</v>
      </c>
    </row>
    <row r="93" spans="1:22" x14ac:dyDescent="0.2">
      <c r="A93">
        <v>90</v>
      </c>
      <c r="B93" t="s">
        <v>75</v>
      </c>
      <c r="C93">
        <v>2003</v>
      </c>
      <c r="D93">
        <v>15</v>
      </c>
      <c r="E93">
        <v>24.6</v>
      </c>
      <c r="F93">
        <v>52.3</v>
      </c>
      <c r="G93">
        <v>3</v>
      </c>
      <c r="H93">
        <v>33</v>
      </c>
      <c r="I93">
        <v>270</v>
      </c>
      <c r="J93">
        <v>3</v>
      </c>
      <c r="K93">
        <v>3</v>
      </c>
      <c r="L93">
        <v>0</v>
      </c>
      <c r="M93">
        <v>3</v>
      </c>
      <c r="N93">
        <v>0</v>
      </c>
      <c r="O93">
        <v>0</v>
      </c>
      <c r="R93">
        <v>1</v>
      </c>
      <c r="S93">
        <v>0</v>
      </c>
      <c r="T93">
        <v>1</v>
      </c>
      <c r="U93">
        <v>1</v>
      </c>
      <c r="V93">
        <v>1</v>
      </c>
    </row>
    <row r="94" spans="1:22" x14ac:dyDescent="0.2">
      <c r="A94">
        <v>91</v>
      </c>
      <c r="B94" t="s">
        <v>57</v>
      </c>
      <c r="C94">
        <v>2003</v>
      </c>
      <c r="D94">
        <v>18</v>
      </c>
      <c r="E94">
        <v>22.2</v>
      </c>
      <c r="F94">
        <v>48.7</v>
      </c>
      <c r="G94">
        <v>3</v>
      </c>
      <c r="H94">
        <v>33</v>
      </c>
      <c r="I94">
        <v>270</v>
      </c>
      <c r="J94">
        <v>3</v>
      </c>
      <c r="K94">
        <v>1</v>
      </c>
      <c r="L94">
        <v>0</v>
      </c>
      <c r="M94">
        <v>1</v>
      </c>
      <c r="N94">
        <v>0</v>
      </c>
      <c r="O94">
        <v>0</v>
      </c>
      <c r="R94">
        <v>0.33</v>
      </c>
      <c r="S94">
        <v>0</v>
      </c>
      <c r="T94">
        <v>0.33</v>
      </c>
      <c r="U94">
        <v>0.33</v>
      </c>
      <c r="V94">
        <v>0.33</v>
      </c>
    </row>
    <row r="95" spans="1:22" x14ac:dyDescent="0.2">
      <c r="A95">
        <v>92</v>
      </c>
      <c r="B95" t="s">
        <v>60</v>
      </c>
      <c r="C95">
        <v>2003</v>
      </c>
      <c r="D95">
        <v>16</v>
      </c>
      <c r="E95">
        <v>24.7</v>
      </c>
      <c r="F95">
        <v>51.3</v>
      </c>
      <c r="G95">
        <v>3</v>
      </c>
      <c r="H95">
        <v>33</v>
      </c>
      <c r="I95">
        <v>270</v>
      </c>
      <c r="J95">
        <v>3</v>
      </c>
      <c r="K95">
        <v>0</v>
      </c>
      <c r="L95">
        <v>0</v>
      </c>
      <c r="M95">
        <v>0</v>
      </c>
      <c r="N95">
        <v>0</v>
      </c>
      <c r="O95">
        <v>0</v>
      </c>
      <c r="R95">
        <v>0</v>
      </c>
      <c r="S95">
        <v>0</v>
      </c>
      <c r="T95">
        <v>0</v>
      </c>
      <c r="U95">
        <v>0</v>
      </c>
      <c r="V95">
        <v>0</v>
      </c>
    </row>
    <row r="96" spans="1:22" x14ac:dyDescent="0.2">
      <c r="A96">
        <v>93</v>
      </c>
      <c r="B96" t="s">
        <v>61</v>
      </c>
      <c r="C96">
        <v>2003</v>
      </c>
      <c r="D96">
        <v>16</v>
      </c>
      <c r="E96">
        <v>25.3</v>
      </c>
      <c r="F96">
        <v>48</v>
      </c>
      <c r="G96">
        <v>4</v>
      </c>
      <c r="H96">
        <v>44</v>
      </c>
      <c r="I96">
        <v>360</v>
      </c>
      <c r="J96">
        <v>4</v>
      </c>
      <c r="K96">
        <v>10</v>
      </c>
      <c r="L96">
        <v>1</v>
      </c>
      <c r="M96">
        <v>10</v>
      </c>
      <c r="N96">
        <v>0</v>
      </c>
      <c r="O96">
        <v>0</v>
      </c>
      <c r="R96">
        <v>2.5</v>
      </c>
      <c r="S96">
        <v>0.25</v>
      </c>
      <c r="T96">
        <v>2.75</v>
      </c>
      <c r="U96">
        <v>2.5</v>
      </c>
      <c r="V96">
        <v>2.75</v>
      </c>
    </row>
    <row r="97" spans="1:22" x14ac:dyDescent="0.2">
      <c r="A97">
        <v>94</v>
      </c>
      <c r="B97" t="s">
        <v>78</v>
      </c>
      <c r="C97">
        <v>2003</v>
      </c>
      <c r="D97">
        <v>17</v>
      </c>
      <c r="E97">
        <v>28.1</v>
      </c>
      <c r="F97">
        <v>45</v>
      </c>
      <c r="G97">
        <v>4</v>
      </c>
      <c r="H97">
        <v>44</v>
      </c>
      <c r="I97">
        <v>360</v>
      </c>
      <c r="J97">
        <v>4</v>
      </c>
      <c r="K97">
        <v>5</v>
      </c>
      <c r="L97">
        <v>1</v>
      </c>
      <c r="M97">
        <v>5</v>
      </c>
      <c r="N97">
        <v>0</v>
      </c>
      <c r="O97">
        <v>0</v>
      </c>
      <c r="R97">
        <v>1.25</v>
      </c>
      <c r="S97">
        <v>0.25</v>
      </c>
      <c r="T97">
        <v>1.5</v>
      </c>
      <c r="U97">
        <v>1.25</v>
      </c>
      <c r="V97">
        <v>1.5</v>
      </c>
    </row>
    <row r="98" spans="1:22" x14ac:dyDescent="0.2">
      <c r="A98">
        <v>95</v>
      </c>
      <c r="B98" t="s">
        <v>65</v>
      </c>
      <c r="C98">
        <v>2003</v>
      </c>
      <c r="D98">
        <v>18</v>
      </c>
      <c r="E98">
        <v>25.9</v>
      </c>
      <c r="F98">
        <v>48.2</v>
      </c>
      <c r="G98">
        <v>6</v>
      </c>
      <c r="H98">
        <v>66</v>
      </c>
      <c r="I98">
        <v>570</v>
      </c>
      <c r="J98">
        <v>6.3</v>
      </c>
      <c r="K98">
        <v>10</v>
      </c>
      <c r="L98">
        <v>0</v>
      </c>
      <c r="M98">
        <v>10</v>
      </c>
      <c r="N98">
        <v>0</v>
      </c>
      <c r="O98">
        <v>0</v>
      </c>
      <c r="R98">
        <v>1.58</v>
      </c>
      <c r="S98">
        <v>0</v>
      </c>
      <c r="T98">
        <v>1.58</v>
      </c>
      <c r="U98">
        <v>1.58</v>
      </c>
      <c r="V98">
        <v>1.58</v>
      </c>
    </row>
    <row r="99" spans="1:22" x14ac:dyDescent="0.2">
      <c r="A99">
        <v>96</v>
      </c>
      <c r="B99" t="s">
        <v>67</v>
      </c>
      <c r="C99">
        <v>2003</v>
      </c>
      <c r="D99">
        <v>18</v>
      </c>
      <c r="E99">
        <v>28.1</v>
      </c>
      <c r="F99">
        <v>52.8</v>
      </c>
      <c r="G99">
        <v>6</v>
      </c>
      <c r="H99">
        <v>66</v>
      </c>
      <c r="I99">
        <v>540</v>
      </c>
      <c r="J99">
        <v>6</v>
      </c>
      <c r="K99">
        <v>15</v>
      </c>
      <c r="L99">
        <v>4</v>
      </c>
      <c r="M99">
        <v>15</v>
      </c>
      <c r="N99">
        <v>0</v>
      </c>
      <c r="O99">
        <v>0</v>
      </c>
      <c r="R99">
        <v>2.5</v>
      </c>
      <c r="S99">
        <v>0.67</v>
      </c>
      <c r="T99">
        <v>3.17</v>
      </c>
      <c r="U99">
        <v>2.5</v>
      </c>
      <c r="V99">
        <v>3.17</v>
      </c>
    </row>
    <row r="100" spans="1:22" x14ac:dyDescent="0.2">
      <c r="A100">
        <v>97</v>
      </c>
      <c r="B100" t="s">
        <v>45</v>
      </c>
      <c r="C100">
        <v>1999</v>
      </c>
      <c r="D100">
        <v>17</v>
      </c>
      <c r="E100">
        <v>25</v>
      </c>
      <c r="G100">
        <v>3</v>
      </c>
      <c r="H100">
        <v>33</v>
      </c>
      <c r="I100">
        <v>270</v>
      </c>
      <c r="J100">
        <v>3</v>
      </c>
      <c r="K100">
        <v>3</v>
      </c>
      <c r="L100">
        <v>1</v>
      </c>
      <c r="M100">
        <v>3</v>
      </c>
      <c r="N100">
        <v>0</v>
      </c>
      <c r="O100">
        <v>0</v>
      </c>
      <c r="R100">
        <v>1</v>
      </c>
      <c r="S100">
        <v>0.33</v>
      </c>
      <c r="T100">
        <v>1.33</v>
      </c>
      <c r="U100">
        <v>1</v>
      </c>
      <c r="V100">
        <v>1.33</v>
      </c>
    </row>
    <row r="101" spans="1:22" x14ac:dyDescent="0.2">
      <c r="A101">
        <v>98</v>
      </c>
      <c r="B101" t="s">
        <v>46</v>
      </c>
      <c r="C101">
        <v>1999</v>
      </c>
      <c r="D101">
        <v>15</v>
      </c>
      <c r="E101">
        <v>25</v>
      </c>
      <c r="G101">
        <v>6</v>
      </c>
      <c r="H101">
        <v>66</v>
      </c>
      <c r="I101">
        <v>554</v>
      </c>
      <c r="J101">
        <v>6.2</v>
      </c>
      <c r="K101">
        <v>16</v>
      </c>
      <c r="L101">
        <v>10</v>
      </c>
      <c r="M101">
        <v>16</v>
      </c>
      <c r="N101">
        <v>0</v>
      </c>
      <c r="O101">
        <v>0</v>
      </c>
      <c r="R101">
        <v>2.6</v>
      </c>
      <c r="S101">
        <v>1.62</v>
      </c>
      <c r="T101">
        <v>4.22</v>
      </c>
      <c r="U101">
        <v>2.6</v>
      </c>
      <c r="V101">
        <v>4.22</v>
      </c>
    </row>
    <row r="102" spans="1:22" x14ac:dyDescent="0.2">
      <c r="A102">
        <v>99</v>
      </c>
      <c r="B102" t="s">
        <v>48</v>
      </c>
      <c r="C102">
        <v>1999</v>
      </c>
      <c r="D102">
        <v>15</v>
      </c>
      <c r="E102">
        <v>25.9</v>
      </c>
      <c r="G102">
        <v>3</v>
      </c>
      <c r="H102">
        <v>33</v>
      </c>
      <c r="I102">
        <v>270</v>
      </c>
      <c r="J102">
        <v>3</v>
      </c>
      <c r="K102">
        <v>3</v>
      </c>
      <c r="L102">
        <v>3</v>
      </c>
      <c r="M102">
        <v>3</v>
      </c>
      <c r="N102">
        <v>0</v>
      </c>
      <c r="O102">
        <v>0</v>
      </c>
      <c r="R102">
        <v>1</v>
      </c>
      <c r="S102">
        <v>1</v>
      </c>
      <c r="T102">
        <v>2</v>
      </c>
      <c r="U102">
        <v>1</v>
      </c>
      <c r="V102">
        <v>2</v>
      </c>
    </row>
    <row r="103" spans="1:22" x14ac:dyDescent="0.2">
      <c r="A103">
        <v>100</v>
      </c>
      <c r="B103" t="s">
        <v>50</v>
      </c>
      <c r="C103">
        <v>1999</v>
      </c>
      <c r="D103">
        <v>14</v>
      </c>
      <c r="E103">
        <v>26.6</v>
      </c>
      <c r="G103">
        <v>6</v>
      </c>
      <c r="H103">
        <v>66</v>
      </c>
      <c r="I103">
        <v>570</v>
      </c>
      <c r="J103">
        <v>6.3</v>
      </c>
      <c r="K103">
        <v>19</v>
      </c>
      <c r="L103">
        <v>9</v>
      </c>
      <c r="M103">
        <v>18</v>
      </c>
      <c r="N103">
        <v>1</v>
      </c>
      <c r="O103">
        <v>1</v>
      </c>
      <c r="R103">
        <v>3</v>
      </c>
      <c r="S103">
        <v>1.42</v>
      </c>
      <c r="T103">
        <v>4.42</v>
      </c>
      <c r="U103">
        <v>2.84</v>
      </c>
      <c r="V103">
        <v>4.26</v>
      </c>
    </row>
    <row r="104" spans="1:22" x14ac:dyDescent="0.2">
      <c r="A104">
        <v>101</v>
      </c>
      <c r="B104" t="s">
        <v>76</v>
      </c>
      <c r="C104">
        <v>1999</v>
      </c>
      <c r="D104">
        <v>17</v>
      </c>
      <c r="E104">
        <v>25.5</v>
      </c>
      <c r="G104">
        <v>3</v>
      </c>
      <c r="H104">
        <v>33</v>
      </c>
      <c r="I104">
        <v>270</v>
      </c>
      <c r="J104">
        <v>3</v>
      </c>
      <c r="K104">
        <v>1</v>
      </c>
      <c r="L104">
        <v>0</v>
      </c>
      <c r="M104">
        <v>1</v>
      </c>
      <c r="N104">
        <v>0</v>
      </c>
      <c r="O104">
        <v>0</v>
      </c>
      <c r="R104">
        <v>0.33</v>
      </c>
      <c r="S104">
        <v>0</v>
      </c>
      <c r="T104">
        <v>0.33</v>
      </c>
      <c r="U104">
        <v>0.33</v>
      </c>
      <c r="V104">
        <v>0.33</v>
      </c>
    </row>
    <row r="105" spans="1:22" x14ac:dyDescent="0.2">
      <c r="A105">
        <v>102</v>
      </c>
      <c r="B105" t="s">
        <v>53</v>
      </c>
      <c r="C105">
        <v>1999</v>
      </c>
      <c r="D105">
        <v>18</v>
      </c>
      <c r="E105">
        <v>24.4</v>
      </c>
      <c r="G105">
        <v>4</v>
      </c>
      <c r="H105">
        <v>44</v>
      </c>
      <c r="I105">
        <v>360</v>
      </c>
      <c r="J105">
        <v>4</v>
      </c>
      <c r="K105">
        <v>11</v>
      </c>
      <c r="L105">
        <v>4</v>
      </c>
      <c r="M105">
        <v>11</v>
      </c>
      <c r="N105">
        <v>0</v>
      </c>
      <c r="O105">
        <v>0</v>
      </c>
      <c r="R105">
        <v>2.75</v>
      </c>
      <c r="S105">
        <v>1</v>
      </c>
      <c r="T105">
        <v>3.75</v>
      </c>
      <c r="U105">
        <v>2.75</v>
      </c>
      <c r="V105">
        <v>3.75</v>
      </c>
    </row>
    <row r="106" spans="1:22" x14ac:dyDescent="0.2">
      <c r="A106">
        <v>103</v>
      </c>
      <c r="B106" t="s">
        <v>77</v>
      </c>
      <c r="C106">
        <v>1999</v>
      </c>
      <c r="D106">
        <v>16</v>
      </c>
      <c r="E106">
        <v>23.6</v>
      </c>
      <c r="G106">
        <v>3</v>
      </c>
      <c r="H106">
        <v>33</v>
      </c>
      <c r="I106">
        <v>270</v>
      </c>
      <c r="J106">
        <v>3</v>
      </c>
      <c r="K106">
        <v>1</v>
      </c>
      <c r="L106">
        <v>0</v>
      </c>
      <c r="M106">
        <v>1</v>
      </c>
      <c r="N106">
        <v>0</v>
      </c>
      <c r="O106">
        <v>0</v>
      </c>
      <c r="R106">
        <v>0.33</v>
      </c>
      <c r="S106">
        <v>0</v>
      </c>
      <c r="T106">
        <v>0.33</v>
      </c>
      <c r="U106">
        <v>0.33</v>
      </c>
      <c r="V106">
        <v>0.33</v>
      </c>
    </row>
    <row r="107" spans="1:22" x14ac:dyDescent="0.2">
      <c r="A107">
        <v>104</v>
      </c>
      <c r="B107" t="s">
        <v>54</v>
      </c>
      <c r="C107">
        <v>1999</v>
      </c>
      <c r="D107">
        <v>17</v>
      </c>
      <c r="E107">
        <v>26.7</v>
      </c>
      <c r="G107">
        <v>3</v>
      </c>
      <c r="H107">
        <v>33</v>
      </c>
      <c r="I107">
        <v>270</v>
      </c>
      <c r="J107">
        <v>3</v>
      </c>
      <c r="K107">
        <v>3</v>
      </c>
      <c r="L107">
        <v>1</v>
      </c>
      <c r="M107">
        <v>3</v>
      </c>
      <c r="N107">
        <v>0</v>
      </c>
      <c r="O107">
        <v>0</v>
      </c>
      <c r="R107">
        <v>1</v>
      </c>
      <c r="S107">
        <v>0.33</v>
      </c>
      <c r="T107">
        <v>1.33</v>
      </c>
      <c r="U107">
        <v>1</v>
      </c>
      <c r="V107">
        <v>1.33</v>
      </c>
    </row>
    <row r="108" spans="1:22" x14ac:dyDescent="0.2">
      <c r="A108">
        <v>105</v>
      </c>
      <c r="B108" t="s">
        <v>56</v>
      </c>
      <c r="C108">
        <v>1999</v>
      </c>
      <c r="D108">
        <v>15</v>
      </c>
      <c r="E108">
        <v>23</v>
      </c>
      <c r="G108">
        <v>3</v>
      </c>
      <c r="H108">
        <v>33</v>
      </c>
      <c r="I108">
        <v>270</v>
      </c>
      <c r="J108">
        <v>3</v>
      </c>
      <c r="K108">
        <v>1</v>
      </c>
      <c r="L108">
        <v>1</v>
      </c>
      <c r="M108">
        <v>1</v>
      </c>
      <c r="N108">
        <v>0</v>
      </c>
      <c r="O108">
        <v>0</v>
      </c>
      <c r="R108">
        <v>0.33</v>
      </c>
      <c r="S108">
        <v>0.33</v>
      </c>
      <c r="T108">
        <v>0.67</v>
      </c>
      <c r="U108">
        <v>0.33</v>
      </c>
      <c r="V108">
        <v>0.67</v>
      </c>
    </row>
    <row r="109" spans="1:22" x14ac:dyDescent="0.2">
      <c r="A109">
        <v>106</v>
      </c>
      <c r="B109" t="s">
        <v>75</v>
      </c>
      <c r="C109">
        <v>1999</v>
      </c>
      <c r="D109">
        <v>16</v>
      </c>
      <c r="E109">
        <v>24.5</v>
      </c>
      <c r="G109">
        <v>3</v>
      </c>
      <c r="H109">
        <v>33</v>
      </c>
      <c r="I109">
        <v>270</v>
      </c>
      <c r="J109">
        <v>3</v>
      </c>
      <c r="K109">
        <v>4</v>
      </c>
      <c r="L109">
        <v>2</v>
      </c>
      <c r="M109">
        <v>4</v>
      </c>
      <c r="N109">
        <v>0</v>
      </c>
      <c r="O109">
        <v>0</v>
      </c>
      <c r="R109">
        <v>1.33</v>
      </c>
      <c r="S109">
        <v>0.67</v>
      </c>
      <c r="T109">
        <v>2</v>
      </c>
      <c r="U109">
        <v>1.33</v>
      </c>
      <c r="V109">
        <v>2</v>
      </c>
    </row>
    <row r="110" spans="1:22" x14ac:dyDescent="0.2">
      <c r="A110">
        <v>107</v>
      </c>
      <c r="B110" t="s">
        <v>72</v>
      </c>
      <c r="C110">
        <v>1999</v>
      </c>
      <c r="D110">
        <v>15</v>
      </c>
      <c r="E110">
        <v>21.5</v>
      </c>
      <c r="G110">
        <v>3</v>
      </c>
      <c r="H110">
        <v>33</v>
      </c>
      <c r="I110">
        <v>270</v>
      </c>
      <c r="J110">
        <v>3</v>
      </c>
      <c r="K110">
        <v>1</v>
      </c>
      <c r="L110">
        <v>0</v>
      </c>
      <c r="M110">
        <v>1</v>
      </c>
      <c r="N110">
        <v>0</v>
      </c>
      <c r="O110">
        <v>0</v>
      </c>
      <c r="R110">
        <v>0.33</v>
      </c>
      <c r="S110">
        <v>0</v>
      </c>
      <c r="T110">
        <v>0.33</v>
      </c>
      <c r="U110">
        <v>0.33</v>
      </c>
      <c r="V110">
        <v>0.33</v>
      </c>
    </row>
    <row r="111" spans="1:22" x14ac:dyDescent="0.2">
      <c r="A111">
        <v>108</v>
      </c>
      <c r="B111" t="s">
        <v>60</v>
      </c>
      <c r="C111">
        <v>1999</v>
      </c>
      <c r="D111">
        <v>16</v>
      </c>
      <c r="E111">
        <v>23.5</v>
      </c>
      <c r="G111">
        <v>4</v>
      </c>
      <c r="H111">
        <v>44</v>
      </c>
      <c r="I111">
        <v>374</v>
      </c>
      <c r="J111">
        <v>4.2</v>
      </c>
      <c r="K111">
        <v>8</v>
      </c>
      <c r="L111">
        <v>3</v>
      </c>
      <c r="M111">
        <v>8</v>
      </c>
      <c r="N111">
        <v>0</v>
      </c>
      <c r="O111">
        <v>0</v>
      </c>
      <c r="R111">
        <v>1.93</v>
      </c>
      <c r="S111">
        <v>0.72</v>
      </c>
      <c r="T111">
        <v>2.65</v>
      </c>
      <c r="U111">
        <v>1.93</v>
      </c>
      <c r="V111">
        <v>2.65</v>
      </c>
    </row>
    <row r="112" spans="1:22" x14ac:dyDescent="0.2">
      <c r="A112">
        <v>109</v>
      </c>
      <c r="B112" t="s">
        <v>61</v>
      </c>
      <c r="C112">
        <v>1999</v>
      </c>
      <c r="D112">
        <v>19</v>
      </c>
      <c r="E112">
        <v>25.1</v>
      </c>
      <c r="G112">
        <v>6</v>
      </c>
      <c r="H112">
        <v>66</v>
      </c>
      <c r="I112">
        <v>540</v>
      </c>
      <c r="J112">
        <v>6</v>
      </c>
      <c r="K112">
        <v>15</v>
      </c>
      <c r="L112">
        <v>10</v>
      </c>
      <c r="M112">
        <v>15</v>
      </c>
      <c r="N112">
        <v>0</v>
      </c>
      <c r="O112">
        <v>0</v>
      </c>
      <c r="R112">
        <v>2.5</v>
      </c>
      <c r="S112">
        <v>1.67</v>
      </c>
      <c r="T112">
        <v>4.17</v>
      </c>
      <c r="U112">
        <v>2.5</v>
      </c>
      <c r="V112">
        <v>4.17</v>
      </c>
    </row>
    <row r="113" spans="1:22" x14ac:dyDescent="0.2">
      <c r="A113">
        <v>110</v>
      </c>
      <c r="B113" t="s">
        <v>78</v>
      </c>
      <c r="C113">
        <v>1999</v>
      </c>
      <c r="D113">
        <v>15</v>
      </c>
      <c r="E113">
        <v>25.6</v>
      </c>
      <c r="G113">
        <v>4</v>
      </c>
      <c r="H113">
        <v>44</v>
      </c>
      <c r="I113">
        <v>360</v>
      </c>
      <c r="J113">
        <v>4</v>
      </c>
      <c r="K113">
        <v>10</v>
      </c>
      <c r="L113">
        <v>9</v>
      </c>
      <c r="M113">
        <v>10</v>
      </c>
      <c r="N113">
        <v>0</v>
      </c>
      <c r="O113">
        <v>0</v>
      </c>
      <c r="R113">
        <v>2.5</v>
      </c>
      <c r="S113">
        <v>2.25</v>
      </c>
      <c r="T113">
        <v>4.75</v>
      </c>
      <c r="U113">
        <v>2.5</v>
      </c>
      <c r="V113">
        <v>4.75</v>
      </c>
    </row>
    <row r="114" spans="1:22" x14ac:dyDescent="0.2">
      <c r="A114">
        <v>111</v>
      </c>
      <c r="B114" t="s">
        <v>65</v>
      </c>
      <c r="C114">
        <v>1999</v>
      </c>
      <c r="D114">
        <v>17</v>
      </c>
      <c r="E114">
        <v>24.6</v>
      </c>
      <c r="G114">
        <v>4</v>
      </c>
      <c r="H114">
        <v>44</v>
      </c>
      <c r="I114">
        <v>360</v>
      </c>
      <c r="J114">
        <v>4</v>
      </c>
      <c r="K114">
        <v>7</v>
      </c>
      <c r="L114">
        <v>5</v>
      </c>
      <c r="M114">
        <v>7</v>
      </c>
      <c r="N114">
        <v>0</v>
      </c>
      <c r="O114">
        <v>0</v>
      </c>
      <c r="R114">
        <v>1.75</v>
      </c>
      <c r="S114">
        <v>1.25</v>
      </c>
      <c r="T114">
        <v>3</v>
      </c>
      <c r="U114">
        <v>1.75</v>
      </c>
      <c r="V114">
        <v>3</v>
      </c>
    </row>
    <row r="115" spans="1:22" x14ac:dyDescent="0.2">
      <c r="A115">
        <v>112</v>
      </c>
      <c r="B115" t="s">
        <v>67</v>
      </c>
      <c r="C115">
        <v>1999</v>
      </c>
      <c r="D115">
        <v>18</v>
      </c>
      <c r="E115">
        <v>27.4</v>
      </c>
      <c r="G115">
        <v>6</v>
      </c>
      <c r="H115">
        <v>66</v>
      </c>
      <c r="I115">
        <v>570</v>
      </c>
      <c r="J115">
        <v>6.3</v>
      </c>
      <c r="K115">
        <v>17</v>
      </c>
      <c r="L115">
        <v>15</v>
      </c>
      <c r="M115">
        <v>16</v>
      </c>
      <c r="N115">
        <v>1</v>
      </c>
      <c r="O115">
        <v>1</v>
      </c>
      <c r="R115">
        <v>2.68</v>
      </c>
      <c r="S115">
        <v>2.37</v>
      </c>
      <c r="T115">
        <v>5.05</v>
      </c>
      <c r="U115">
        <v>2.5299999999999998</v>
      </c>
      <c r="V115">
        <v>4.8899999999999997</v>
      </c>
    </row>
    <row r="116" spans="1:22" x14ac:dyDescent="0.2">
      <c r="A116">
        <v>113</v>
      </c>
      <c r="B116" t="s">
        <v>45</v>
      </c>
      <c r="C116">
        <v>1995</v>
      </c>
      <c r="D116">
        <v>17</v>
      </c>
      <c r="E116">
        <v>25</v>
      </c>
      <c r="G116">
        <v>3</v>
      </c>
      <c r="H116">
        <v>33</v>
      </c>
      <c r="I116">
        <v>270</v>
      </c>
      <c r="J116">
        <v>3</v>
      </c>
      <c r="K116">
        <v>3</v>
      </c>
      <c r="L116">
        <v>0</v>
      </c>
      <c r="M116">
        <v>3</v>
      </c>
      <c r="N116">
        <v>0</v>
      </c>
      <c r="O116">
        <v>0</v>
      </c>
      <c r="R116">
        <v>1</v>
      </c>
      <c r="S116">
        <v>0</v>
      </c>
      <c r="T116">
        <v>1</v>
      </c>
      <c r="U116">
        <v>1</v>
      </c>
      <c r="V116">
        <v>1</v>
      </c>
    </row>
    <row r="117" spans="1:22" x14ac:dyDescent="0.2">
      <c r="A117">
        <v>114</v>
      </c>
      <c r="B117" t="s">
        <v>46</v>
      </c>
      <c r="C117">
        <v>1995</v>
      </c>
      <c r="D117">
        <v>16</v>
      </c>
      <c r="E117">
        <v>27.9</v>
      </c>
      <c r="G117">
        <v>3</v>
      </c>
      <c r="H117">
        <v>33</v>
      </c>
      <c r="I117">
        <v>270</v>
      </c>
      <c r="J117">
        <v>3</v>
      </c>
      <c r="K117">
        <v>3</v>
      </c>
      <c r="L117">
        <v>1</v>
      </c>
      <c r="M117">
        <v>3</v>
      </c>
      <c r="N117">
        <v>0</v>
      </c>
      <c r="O117">
        <v>0</v>
      </c>
      <c r="R117">
        <v>1</v>
      </c>
      <c r="S117">
        <v>0.33</v>
      </c>
      <c r="T117">
        <v>1.33</v>
      </c>
      <c r="U117">
        <v>1</v>
      </c>
      <c r="V117">
        <v>1.33</v>
      </c>
    </row>
    <row r="118" spans="1:22" x14ac:dyDescent="0.2">
      <c r="A118">
        <v>115</v>
      </c>
      <c r="B118" t="s">
        <v>48</v>
      </c>
      <c r="C118">
        <v>1995</v>
      </c>
      <c r="D118">
        <v>15</v>
      </c>
      <c r="E118">
        <v>26.2</v>
      </c>
      <c r="G118">
        <v>3</v>
      </c>
      <c r="H118">
        <v>33</v>
      </c>
      <c r="I118">
        <v>270</v>
      </c>
      <c r="J118">
        <v>3</v>
      </c>
      <c r="K118">
        <v>5</v>
      </c>
      <c r="L118">
        <v>0</v>
      </c>
      <c r="M118">
        <v>5</v>
      </c>
      <c r="N118">
        <v>0</v>
      </c>
      <c r="O118">
        <v>0</v>
      </c>
      <c r="R118">
        <v>1.67</v>
      </c>
      <c r="S118">
        <v>0</v>
      </c>
      <c r="T118">
        <v>1.67</v>
      </c>
      <c r="U118">
        <v>1.67</v>
      </c>
      <c r="V118">
        <v>1.67</v>
      </c>
    </row>
    <row r="119" spans="1:22" x14ac:dyDescent="0.2">
      <c r="A119">
        <v>116</v>
      </c>
      <c r="B119" t="s">
        <v>50</v>
      </c>
      <c r="C119">
        <v>1995</v>
      </c>
      <c r="D119">
        <v>16</v>
      </c>
      <c r="E119">
        <v>24.3</v>
      </c>
      <c r="G119">
        <v>6</v>
      </c>
      <c r="H119">
        <v>66</v>
      </c>
      <c r="I119">
        <v>570</v>
      </c>
      <c r="J119">
        <v>6.3</v>
      </c>
      <c r="K119">
        <v>11</v>
      </c>
      <c r="L119">
        <v>0</v>
      </c>
      <c r="M119">
        <v>11</v>
      </c>
      <c r="N119">
        <v>0</v>
      </c>
      <c r="O119">
        <v>0</v>
      </c>
      <c r="R119">
        <v>1.74</v>
      </c>
      <c r="S119">
        <v>0</v>
      </c>
      <c r="T119">
        <v>1.74</v>
      </c>
      <c r="U119">
        <v>1.74</v>
      </c>
      <c r="V119">
        <v>1.74</v>
      </c>
    </row>
    <row r="120" spans="1:22" x14ac:dyDescent="0.2">
      <c r="A120">
        <v>117</v>
      </c>
      <c r="B120" t="s">
        <v>76</v>
      </c>
      <c r="C120">
        <v>1995</v>
      </c>
      <c r="D120">
        <v>17</v>
      </c>
      <c r="E120">
        <v>21.3</v>
      </c>
      <c r="G120">
        <v>4</v>
      </c>
      <c r="H120">
        <v>44</v>
      </c>
      <c r="I120">
        <v>360</v>
      </c>
      <c r="J120">
        <v>4</v>
      </c>
      <c r="K120">
        <v>7</v>
      </c>
      <c r="L120">
        <v>0</v>
      </c>
      <c r="M120">
        <v>7</v>
      </c>
      <c r="N120">
        <v>0</v>
      </c>
      <c r="O120">
        <v>0</v>
      </c>
      <c r="R120">
        <v>1.75</v>
      </c>
      <c r="S120">
        <v>0</v>
      </c>
      <c r="T120">
        <v>1.75</v>
      </c>
      <c r="U120">
        <v>1.75</v>
      </c>
      <c r="V120">
        <v>1.75</v>
      </c>
    </row>
    <row r="121" spans="1:22" x14ac:dyDescent="0.2">
      <c r="A121">
        <v>118</v>
      </c>
      <c r="B121" t="s">
        <v>51</v>
      </c>
      <c r="C121">
        <v>1995</v>
      </c>
      <c r="D121">
        <v>16</v>
      </c>
      <c r="E121">
        <v>27.8</v>
      </c>
      <c r="G121">
        <v>4</v>
      </c>
      <c r="H121">
        <v>44</v>
      </c>
      <c r="I121">
        <v>360</v>
      </c>
      <c r="J121">
        <v>4</v>
      </c>
      <c r="K121">
        <v>6</v>
      </c>
      <c r="L121">
        <v>0</v>
      </c>
      <c r="M121">
        <v>6</v>
      </c>
      <c r="N121">
        <v>0</v>
      </c>
      <c r="O121">
        <v>0</v>
      </c>
      <c r="R121">
        <v>1.5</v>
      </c>
      <c r="S121">
        <v>0</v>
      </c>
      <c r="T121">
        <v>1.5</v>
      </c>
      <c r="U121">
        <v>1.5</v>
      </c>
      <c r="V121">
        <v>1.5</v>
      </c>
    </row>
    <row r="122" spans="1:22" x14ac:dyDescent="0.2">
      <c r="A122">
        <v>119</v>
      </c>
      <c r="B122" t="s">
        <v>53</v>
      </c>
      <c r="C122">
        <v>1995</v>
      </c>
      <c r="D122">
        <v>17</v>
      </c>
      <c r="E122">
        <v>25.3</v>
      </c>
      <c r="G122">
        <v>6</v>
      </c>
      <c r="H122">
        <v>66</v>
      </c>
      <c r="I122">
        <v>540</v>
      </c>
      <c r="J122">
        <v>6</v>
      </c>
      <c r="K122">
        <v>13</v>
      </c>
      <c r="L122">
        <v>0</v>
      </c>
      <c r="M122">
        <v>13</v>
      </c>
      <c r="N122">
        <v>0</v>
      </c>
      <c r="O122">
        <v>0</v>
      </c>
      <c r="R122">
        <v>2.17</v>
      </c>
      <c r="S122">
        <v>0</v>
      </c>
      <c r="T122">
        <v>2.17</v>
      </c>
      <c r="U122">
        <v>2.17</v>
      </c>
      <c r="V122">
        <v>2.17</v>
      </c>
    </row>
    <row r="123" spans="1:22" x14ac:dyDescent="0.2">
      <c r="A123">
        <v>120</v>
      </c>
      <c r="B123" t="s">
        <v>56</v>
      </c>
      <c r="C123">
        <v>1995</v>
      </c>
      <c r="D123">
        <v>14</v>
      </c>
      <c r="E123">
        <v>22.6</v>
      </c>
      <c r="G123">
        <v>4</v>
      </c>
      <c r="H123">
        <v>44</v>
      </c>
      <c r="I123">
        <v>360</v>
      </c>
      <c r="J123">
        <v>4</v>
      </c>
      <c r="K123">
        <v>2</v>
      </c>
      <c r="L123">
        <v>0</v>
      </c>
      <c r="M123">
        <v>2</v>
      </c>
      <c r="N123">
        <v>0</v>
      </c>
      <c r="O123">
        <v>0</v>
      </c>
      <c r="R123">
        <v>0.5</v>
      </c>
      <c r="S123">
        <v>0</v>
      </c>
      <c r="T123">
        <v>0.5</v>
      </c>
      <c r="U123">
        <v>0.5</v>
      </c>
      <c r="V123">
        <v>0.5</v>
      </c>
    </row>
    <row r="124" spans="1:22" x14ac:dyDescent="0.2">
      <c r="A124">
        <v>121</v>
      </c>
      <c r="B124" t="s">
        <v>60</v>
      </c>
      <c r="C124">
        <v>1995</v>
      </c>
      <c r="D124">
        <v>16</v>
      </c>
      <c r="E124">
        <v>20.6</v>
      </c>
      <c r="G124">
        <v>3</v>
      </c>
      <c r="H124">
        <v>33</v>
      </c>
      <c r="I124">
        <v>270</v>
      </c>
      <c r="J124">
        <v>3</v>
      </c>
      <c r="K124">
        <v>5</v>
      </c>
      <c r="L124">
        <v>0</v>
      </c>
      <c r="M124">
        <v>5</v>
      </c>
      <c r="N124">
        <v>0</v>
      </c>
      <c r="O124">
        <v>0</v>
      </c>
      <c r="R124">
        <v>1.67</v>
      </c>
      <c r="S124">
        <v>0</v>
      </c>
      <c r="T124">
        <v>1.67</v>
      </c>
      <c r="U124">
        <v>1.67</v>
      </c>
      <c r="V124">
        <v>1.67</v>
      </c>
    </row>
    <row r="125" spans="1:22" x14ac:dyDescent="0.2">
      <c r="A125">
        <v>122</v>
      </c>
      <c r="B125" t="s">
        <v>61</v>
      </c>
      <c r="C125">
        <v>1995</v>
      </c>
      <c r="D125">
        <v>17</v>
      </c>
      <c r="E125">
        <v>24.6</v>
      </c>
      <c r="G125">
        <v>6</v>
      </c>
      <c r="H125">
        <v>66</v>
      </c>
      <c r="I125">
        <v>540</v>
      </c>
      <c r="J125">
        <v>6</v>
      </c>
      <c r="K125">
        <v>23</v>
      </c>
      <c r="L125">
        <v>0</v>
      </c>
      <c r="M125">
        <v>23</v>
      </c>
      <c r="N125">
        <v>0</v>
      </c>
      <c r="O125">
        <v>0</v>
      </c>
      <c r="R125">
        <v>3.83</v>
      </c>
      <c r="S125">
        <v>0</v>
      </c>
      <c r="T125">
        <v>3.83</v>
      </c>
      <c r="U125">
        <v>3.83</v>
      </c>
      <c r="V125">
        <v>3.83</v>
      </c>
    </row>
    <row r="126" spans="1:22" x14ac:dyDescent="0.2">
      <c r="A126">
        <v>123</v>
      </c>
      <c r="B126" t="s">
        <v>65</v>
      </c>
      <c r="C126">
        <v>1995</v>
      </c>
      <c r="D126">
        <v>18</v>
      </c>
      <c r="E126">
        <v>27.5</v>
      </c>
      <c r="G126">
        <v>4</v>
      </c>
      <c r="H126">
        <v>44</v>
      </c>
      <c r="I126">
        <v>390</v>
      </c>
      <c r="J126">
        <v>4.3</v>
      </c>
      <c r="K126">
        <v>6</v>
      </c>
      <c r="L126">
        <v>0</v>
      </c>
      <c r="M126">
        <v>6</v>
      </c>
      <c r="N126">
        <v>0</v>
      </c>
      <c r="O126">
        <v>0</v>
      </c>
      <c r="R126">
        <v>1.38</v>
      </c>
      <c r="S126">
        <v>0</v>
      </c>
      <c r="T126">
        <v>1.38</v>
      </c>
      <c r="U126">
        <v>1.38</v>
      </c>
      <c r="V126">
        <v>1.38</v>
      </c>
    </row>
    <row r="127" spans="1:22" x14ac:dyDescent="0.2">
      <c r="A127">
        <v>124</v>
      </c>
      <c r="B127" t="s">
        <v>67</v>
      </c>
      <c r="C127">
        <v>1995</v>
      </c>
      <c r="D127">
        <v>18</v>
      </c>
      <c r="E127">
        <v>24.1</v>
      </c>
      <c r="G127">
        <v>6</v>
      </c>
      <c r="H127">
        <v>66</v>
      </c>
      <c r="I127">
        <v>540</v>
      </c>
      <c r="J127">
        <v>6</v>
      </c>
      <c r="K127">
        <v>15</v>
      </c>
      <c r="L127">
        <v>4</v>
      </c>
      <c r="M127">
        <v>15</v>
      </c>
      <c r="N127">
        <v>0</v>
      </c>
      <c r="O127">
        <v>0</v>
      </c>
      <c r="R127">
        <v>2.5</v>
      </c>
      <c r="S127">
        <v>0.67</v>
      </c>
      <c r="T127">
        <v>3.17</v>
      </c>
      <c r="U127">
        <v>2.5</v>
      </c>
      <c r="V127">
        <v>3.17</v>
      </c>
    </row>
    <row r="128" spans="1:22" x14ac:dyDescent="0.2">
      <c r="A128">
        <v>125</v>
      </c>
      <c r="B128" t="s">
        <v>46</v>
      </c>
      <c r="C128">
        <v>1991</v>
      </c>
      <c r="D128">
        <v>17</v>
      </c>
      <c r="E128">
        <v>25.7</v>
      </c>
      <c r="G128">
        <v>3</v>
      </c>
      <c r="H128">
        <v>33</v>
      </c>
      <c r="I128">
        <v>240</v>
      </c>
      <c r="J128">
        <v>2.7</v>
      </c>
      <c r="K128">
        <v>1</v>
      </c>
      <c r="L128">
        <v>0</v>
      </c>
      <c r="M128">
        <v>1</v>
      </c>
      <c r="N128">
        <v>0</v>
      </c>
      <c r="O128">
        <v>0</v>
      </c>
      <c r="R128">
        <v>0.37</v>
      </c>
      <c r="S128">
        <v>0</v>
      </c>
      <c r="T128">
        <v>0.37</v>
      </c>
      <c r="U128">
        <v>0.37</v>
      </c>
      <c r="V128">
        <v>0.37</v>
      </c>
    </row>
    <row r="129" spans="1:22" x14ac:dyDescent="0.2">
      <c r="A129">
        <v>126</v>
      </c>
      <c r="B129" t="s">
        <v>50</v>
      </c>
      <c r="C129">
        <v>1991</v>
      </c>
      <c r="D129">
        <v>15</v>
      </c>
      <c r="E129">
        <v>22.1</v>
      </c>
      <c r="G129">
        <v>4</v>
      </c>
      <c r="H129">
        <v>44</v>
      </c>
      <c r="I129">
        <v>320</v>
      </c>
      <c r="J129">
        <v>3.6</v>
      </c>
      <c r="K129">
        <v>10</v>
      </c>
      <c r="L129">
        <v>3</v>
      </c>
      <c r="M129">
        <v>10</v>
      </c>
      <c r="N129">
        <v>0</v>
      </c>
      <c r="O129">
        <v>0</v>
      </c>
      <c r="R129">
        <v>2.81</v>
      </c>
      <c r="S129">
        <v>0.84</v>
      </c>
      <c r="T129">
        <v>3.66</v>
      </c>
      <c r="U129">
        <v>2.81</v>
      </c>
      <c r="V129">
        <v>3.66</v>
      </c>
    </row>
    <row r="130" spans="1:22" x14ac:dyDescent="0.2">
      <c r="A130">
        <v>127</v>
      </c>
      <c r="B130" t="s">
        <v>79</v>
      </c>
      <c r="C130">
        <v>1991</v>
      </c>
      <c r="D130">
        <v>16</v>
      </c>
      <c r="E130">
        <v>21.2</v>
      </c>
      <c r="G130">
        <v>4</v>
      </c>
      <c r="H130">
        <v>44</v>
      </c>
      <c r="I130">
        <v>320</v>
      </c>
      <c r="J130">
        <v>3.6</v>
      </c>
      <c r="K130">
        <v>2</v>
      </c>
      <c r="L130">
        <v>1</v>
      </c>
      <c r="M130">
        <v>2</v>
      </c>
      <c r="N130">
        <v>0</v>
      </c>
      <c r="O130">
        <v>0</v>
      </c>
      <c r="R130">
        <v>0.56000000000000005</v>
      </c>
      <c r="S130">
        <v>0.28000000000000003</v>
      </c>
      <c r="T130">
        <v>0.84</v>
      </c>
      <c r="U130">
        <v>0.56000000000000005</v>
      </c>
      <c r="V130">
        <v>0.84</v>
      </c>
    </row>
    <row r="131" spans="1:22" x14ac:dyDescent="0.2">
      <c r="A131">
        <v>128</v>
      </c>
      <c r="B131" t="s">
        <v>76</v>
      </c>
      <c r="C131">
        <v>1991</v>
      </c>
      <c r="D131">
        <v>15</v>
      </c>
      <c r="E131">
        <v>23.8</v>
      </c>
      <c r="G131">
        <v>4</v>
      </c>
      <c r="H131">
        <v>44</v>
      </c>
      <c r="I131">
        <v>340</v>
      </c>
      <c r="J131">
        <v>3.8</v>
      </c>
      <c r="K131">
        <v>7</v>
      </c>
      <c r="L131">
        <v>5</v>
      </c>
      <c r="M131">
        <v>5</v>
      </c>
      <c r="N131">
        <v>2</v>
      </c>
      <c r="O131">
        <v>2</v>
      </c>
      <c r="R131">
        <v>1.85</v>
      </c>
      <c r="S131">
        <v>1.32</v>
      </c>
      <c r="T131">
        <v>3.18</v>
      </c>
      <c r="U131">
        <v>1.32</v>
      </c>
      <c r="V131">
        <v>2.65</v>
      </c>
    </row>
    <row r="132" spans="1:22" x14ac:dyDescent="0.2">
      <c r="A132">
        <v>129</v>
      </c>
      <c r="B132" t="s">
        <v>53</v>
      </c>
      <c r="C132">
        <v>1991</v>
      </c>
      <c r="D132">
        <v>18</v>
      </c>
      <c r="E132">
        <v>23.8</v>
      </c>
      <c r="G132">
        <v>6</v>
      </c>
      <c r="H132">
        <v>66</v>
      </c>
      <c r="I132">
        <v>500</v>
      </c>
      <c r="J132">
        <v>5.6</v>
      </c>
      <c r="K132">
        <v>13</v>
      </c>
      <c r="L132">
        <v>9</v>
      </c>
      <c r="M132">
        <v>12</v>
      </c>
      <c r="N132">
        <v>1</v>
      </c>
      <c r="O132">
        <v>1</v>
      </c>
      <c r="R132">
        <v>2.34</v>
      </c>
      <c r="S132">
        <v>1.62</v>
      </c>
      <c r="T132">
        <v>3.96</v>
      </c>
      <c r="U132">
        <v>2.16</v>
      </c>
      <c r="V132">
        <v>3.78</v>
      </c>
    </row>
    <row r="133" spans="1:22" x14ac:dyDescent="0.2">
      <c r="A133">
        <v>130</v>
      </c>
      <c r="B133" t="s">
        <v>54</v>
      </c>
      <c r="C133">
        <v>1991</v>
      </c>
      <c r="D133">
        <v>17</v>
      </c>
      <c r="E133">
        <v>24.2</v>
      </c>
      <c r="G133">
        <v>4</v>
      </c>
      <c r="H133">
        <v>44</v>
      </c>
      <c r="I133">
        <v>340</v>
      </c>
      <c r="J133">
        <v>3.8</v>
      </c>
      <c r="K133">
        <v>8</v>
      </c>
      <c r="L133">
        <v>5</v>
      </c>
      <c r="M133">
        <v>8</v>
      </c>
      <c r="N133">
        <v>0</v>
      </c>
      <c r="O133">
        <v>0</v>
      </c>
      <c r="R133">
        <v>2.12</v>
      </c>
      <c r="S133">
        <v>1.32</v>
      </c>
      <c r="T133">
        <v>3.44</v>
      </c>
      <c r="U133">
        <v>2.12</v>
      </c>
      <c r="V133">
        <v>3.44</v>
      </c>
    </row>
    <row r="134" spans="1:22" x14ac:dyDescent="0.2">
      <c r="A134">
        <v>131</v>
      </c>
      <c r="B134" t="s">
        <v>56</v>
      </c>
      <c r="C134">
        <v>1991</v>
      </c>
      <c r="D134">
        <v>13</v>
      </c>
      <c r="E134">
        <v>24.3</v>
      </c>
      <c r="G134">
        <v>3</v>
      </c>
      <c r="H134">
        <v>33</v>
      </c>
      <c r="I134">
        <v>240</v>
      </c>
      <c r="J134">
        <v>2.7</v>
      </c>
      <c r="K134">
        <v>0</v>
      </c>
      <c r="L134">
        <v>0</v>
      </c>
      <c r="M134">
        <v>0</v>
      </c>
      <c r="N134">
        <v>0</v>
      </c>
      <c r="O134">
        <v>0</v>
      </c>
      <c r="R134">
        <v>0</v>
      </c>
      <c r="S134">
        <v>0</v>
      </c>
      <c r="T134">
        <v>0</v>
      </c>
      <c r="U134">
        <v>0</v>
      </c>
      <c r="V134">
        <v>0</v>
      </c>
    </row>
    <row r="135" spans="1:22" x14ac:dyDescent="0.2">
      <c r="A135">
        <v>132</v>
      </c>
      <c r="B135" t="s">
        <v>59</v>
      </c>
      <c r="C135">
        <v>1991</v>
      </c>
      <c r="D135">
        <v>15</v>
      </c>
      <c r="E135">
        <v>25.5</v>
      </c>
      <c r="G135">
        <v>3</v>
      </c>
      <c r="H135">
        <v>33</v>
      </c>
      <c r="I135">
        <v>240</v>
      </c>
      <c r="J135">
        <v>2.7</v>
      </c>
      <c r="K135">
        <v>1</v>
      </c>
      <c r="L135">
        <v>1</v>
      </c>
      <c r="M135">
        <v>1</v>
      </c>
      <c r="N135">
        <v>0</v>
      </c>
      <c r="O135">
        <v>0</v>
      </c>
      <c r="R135">
        <v>0.37</v>
      </c>
      <c r="S135">
        <v>0.37</v>
      </c>
      <c r="T135">
        <v>0.75</v>
      </c>
      <c r="U135">
        <v>0.37</v>
      </c>
      <c r="V135">
        <v>0.75</v>
      </c>
    </row>
    <row r="136" spans="1:22" x14ac:dyDescent="0.2">
      <c r="A136">
        <v>133</v>
      </c>
      <c r="B136" t="s">
        <v>60</v>
      </c>
      <c r="C136">
        <v>1991</v>
      </c>
      <c r="D136">
        <v>17</v>
      </c>
      <c r="E136">
        <v>18.2</v>
      </c>
      <c r="G136">
        <v>3</v>
      </c>
      <c r="H136">
        <v>33</v>
      </c>
      <c r="I136">
        <v>240</v>
      </c>
      <c r="J136">
        <v>2.7</v>
      </c>
      <c r="K136">
        <v>0</v>
      </c>
      <c r="L136">
        <v>0</v>
      </c>
      <c r="M136">
        <v>0</v>
      </c>
      <c r="N136">
        <v>0</v>
      </c>
      <c r="O136">
        <v>0</v>
      </c>
      <c r="R136">
        <v>0</v>
      </c>
      <c r="S136">
        <v>0</v>
      </c>
      <c r="T136">
        <v>0</v>
      </c>
      <c r="U136">
        <v>0</v>
      </c>
      <c r="V136">
        <v>0</v>
      </c>
    </row>
    <row r="137" spans="1:22" x14ac:dyDescent="0.2">
      <c r="A137">
        <v>134</v>
      </c>
      <c r="B137" t="s">
        <v>61</v>
      </c>
      <c r="C137">
        <v>1991</v>
      </c>
      <c r="D137">
        <v>15</v>
      </c>
      <c r="E137">
        <v>24.1</v>
      </c>
      <c r="G137">
        <v>6</v>
      </c>
      <c r="H137">
        <v>66</v>
      </c>
      <c r="I137">
        <v>500</v>
      </c>
      <c r="J137">
        <v>5.6</v>
      </c>
      <c r="K137">
        <v>13</v>
      </c>
      <c r="L137">
        <v>6</v>
      </c>
      <c r="M137">
        <v>12</v>
      </c>
      <c r="N137">
        <v>1</v>
      </c>
      <c r="O137">
        <v>1</v>
      </c>
      <c r="R137">
        <v>2.34</v>
      </c>
      <c r="S137">
        <v>1.08</v>
      </c>
      <c r="T137">
        <v>3.42</v>
      </c>
      <c r="U137">
        <v>2.16</v>
      </c>
      <c r="V137">
        <v>3.24</v>
      </c>
    </row>
    <row r="138" spans="1:22" x14ac:dyDescent="0.2">
      <c r="A138">
        <v>135</v>
      </c>
      <c r="B138" t="s">
        <v>65</v>
      </c>
      <c r="C138">
        <v>1991</v>
      </c>
      <c r="D138">
        <v>18</v>
      </c>
      <c r="E138">
        <v>25.4</v>
      </c>
      <c r="G138">
        <v>6</v>
      </c>
      <c r="H138">
        <v>66</v>
      </c>
      <c r="I138">
        <v>480</v>
      </c>
      <c r="J138">
        <v>5.3</v>
      </c>
      <c r="K138">
        <v>17</v>
      </c>
      <c r="L138">
        <v>11</v>
      </c>
      <c r="M138">
        <v>16</v>
      </c>
      <c r="N138">
        <v>1</v>
      </c>
      <c r="O138">
        <v>1</v>
      </c>
      <c r="R138">
        <v>3.19</v>
      </c>
      <c r="S138">
        <v>2.06</v>
      </c>
      <c r="T138">
        <v>5.25</v>
      </c>
      <c r="U138">
        <v>3</v>
      </c>
      <c r="V138">
        <v>5.0599999999999996</v>
      </c>
    </row>
    <row r="139" spans="1:22" x14ac:dyDescent="0.2">
      <c r="A139">
        <v>136</v>
      </c>
      <c r="B139" t="s">
        <v>67</v>
      </c>
      <c r="C139">
        <v>1991</v>
      </c>
      <c r="D139">
        <v>16</v>
      </c>
      <c r="E139">
        <v>23</v>
      </c>
      <c r="G139">
        <v>6</v>
      </c>
      <c r="H139">
        <v>66</v>
      </c>
      <c r="I139">
        <v>480</v>
      </c>
      <c r="J139">
        <v>5.3</v>
      </c>
      <c r="K139">
        <v>25</v>
      </c>
      <c r="L139">
        <v>11</v>
      </c>
      <c r="M139">
        <v>24</v>
      </c>
      <c r="N139">
        <v>1</v>
      </c>
      <c r="O139">
        <v>1</v>
      </c>
      <c r="R139">
        <v>4.6900000000000004</v>
      </c>
      <c r="S139">
        <v>2.06</v>
      </c>
      <c r="T139">
        <v>6.75</v>
      </c>
      <c r="U139">
        <v>4.5</v>
      </c>
      <c r="V139">
        <v>6.56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A0406-2CE0-974B-A965-9344DF73EFE8}">
  <sheetPr codeName="Sheet3"/>
  <dimension ref="A1:P162"/>
  <sheetViews>
    <sheetView tabSelected="1" topLeftCell="A54" zoomScale="140" zoomScaleNormal="140" workbookViewId="0">
      <selection activeCell="A156" sqref="A156"/>
    </sheetView>
  </sheetViews>
  <sheetFormatPr baseColWidth="10" defaultColWidth="11" defaultRowHeight="16" x14ac:dyDescent="0.2"/>
  <sheetData>
    <row r="1" spans="1:16" x14ac:dyDescent="0.2">
      <c r="A1" s="12" t="s">
        <v>80</v>
      </c>
    </row>
    <row r="2" spans="1:16" ht="17" thickBot="1" x14ac:dyDescent="0.25"/>
    <row r="3" spans="1:16" x14ac:dyDescent="0.2">
      <c r="B3" s="3">
        <v>1</v>
      </c>
      <c r="C3" s="4">
        <v>2</v>
      </c>
      <c r="D3" s="5">
        <v>3</v>
      </c>
    </row>
    <row r="4" spans="1:16" x14ac:dyDescent="0.2">
      <c r="B4" s="6">
        <v>4</v>
      </c>
      <c r="C4">
        <v>5</v>
      </c>
      <c r="D4" s="7">
        <v>6</v>
      </c>
    </row>
    <row r="5" spans="1:16" ht="17" thickBot="1" x14ac:dyDescent="0.25">
      <c r="B5" s="8">
        <v>7</v>
      </c>
      <c r="C5" s="9">
        <v>8</v>
      </c>
      <c r="D5" s="10">
        <v>9</v>
      </c>
    </row>
    <row r="7" spans="1:16" x14ac:dyDescent="0.2">
      <c r="A7" s="11" t="s">
        <v>81</v>
      </c>
    </row>
    <row r="9" spans="1:16" x14ac:dyDescent="0.2">
      <c r="B9" s="73">
        <f>B3</f>
        <v>1</v>
      </c>
      <c r="C9" s="2"/>
      <c r="D9" s="2"/>
      <c r="F9" s="2">
        <f>B$3</f>
        <v>1</v>
      </c>
      <c r="G9" s="2"/>
      <c r="H9" s="2"/>
      <c r="J9" s="2">
        <f>$B3</f>
        <v>1</v>
      </c>
      <c r="K9" s="2"/>
      <c r="L9" s="2"/>
      <c r="N9" s="2">
        <f>$B$3</f>
        <v>1</v>
      </c>
      <c r="O9" s="2"/>
      <c r="P9" s="2"/>
    </row>
    <row r="10" spans="1:16" x14ac:dyDescent="0.2">
      <c r="B10" s="2"/>
      <c r="C10" s="2"/>
      <c r="D10" s="2"/>
      <c r="F10" s="2"/>
      <c r="G10" s="2"/>
      <c r="H10" s="2"/>
      <c r="J10" s="2"/>
      <c r="K10" s="2"/>
      <c r="L10" s="2"/>
      <c r="N10" s="2"/>
      <c r="O10" s="2"/>
      <c r="P10" s="2"/>
    </row>
    <row r="11" spans="1:16" x14ac:dyDescent="0.2">
      <c r="B11" s="2"/>
      <c r="C11" s="2"/>
      <c r="D11" s="2"/>
      <c r="F11" s="2"/>
      <c r="G11" s="2"/>
      <c r="H11" s="2"/>
      <c r="J11" s="2"/>
      <c r="K11" s="2"/>
      <c r="L11" s="2"/>
      <c r="N11" s="2"/>
      <c r="O11" s="2"/>
      <c r="P11" s="2"/>
    </row>
    <row r="13" spans="1:16" s="1" customFormat="1" x14ac:dyDescent="0.2"/>
    <row r="14" spans="1:16" x14ac:dyDescent="0.2">
      <c r="A14" s="12" t="s">
        <v>82</v>
      </c>
    </row>
    <row r="16" spans="1:16" x14ac:dyDescent="0.2">
      <c r="A16" s="11" t="s">
        <v>83</v>
      </c>
      <c r="C16" s="11" t="s">
        <v>84</v>
      </c>
      <c r="E16" s="11" t="s">
        <v>84</v>
      </c>
      <c r="G16" s="11" t="s">
        <v>85</v>
      </c>
      <c r="I16" s="11" t="s">
        <v>86</v>
      </c>
    </row>
    <row r="18" spans="1:9" x14ac:dyDescent="0.2">
      <c r="A18" s="2" t="str" cm="1">
        <f t="array" ref="A18:A153">IF(matches_played&gt;6,squad,"")</f>
        <v/>
      </c>
      <c r="C18" s="2" t="str" cm="1">
        <f t="array" ref="C18:C153">_xlfn.IFS(matches_played&gt;6,squad,year=2019,"bla")</f>
        <v>bla</v>
      </c>
      <c r="E18" s="2" t="str" cm="1">
        <f t="array" ref="E18:E153">_xlfn.IFS(matches_played&gt;6,squad,year=2019,"bla",TRUE,"")</f>
        <v>bla</v>
      </c>
      <c r="G18" s="2">
        <f>_xlfn.MAXIFS(matches_played,squad,"Australia")</f>
        <v>5</v>
      </c>
      <c r="I18" s="72">
        <f>_xlfn.MINIFS(matches_played,squad,"Australia",year,"&gt;2010")</f>
        <v>4</v>
      </c>
    </row>
    <row r="19" spans="1:9" x14ac:dyDescent="0.2">
      <c r="A19" s="2" t="str">
        <v/>
      </c>
      <c r="C19" s="2" t="str">
        <v>bla</v>
      </c>
      <c r="E19" s="2" t="str">
        <v>bla</v>
      </c>
    </row>
    <row r="20" spans="1:9" x14ac:dyDescent="0.2">
      <c r="A20" s="2" t="str">
        <v/>
      </c>
      <c r="C20" s="2" t="str">
        <v>bla</v>
      </c>
      <c r="E20" s="2" t="str">
        <v>bla</v>
      </c>
    </row>
    <row r="21" spans="1:9" x14ac:dyDescent="0.2">
      <c r="A21" s="2" t="str">
        <v/>
      </c>
      <c r="C21" s="2" t="str">
        <v>bla</v>
      </c>
      <c r="E21" s="2" t="str">
        <v>bla</v>
      </c>
    </row>
    <row r="22" spans="1:9" x14ac:dyDescent="0.2">
      <c r="A22" s="2" t="str">
        <v/>
      </c>
      <c r="C22" s="2" t="str">
        <v>bla</v>
      </c>
      <c r="E22" s="2" t="str">
        <v>bla</v>
      </c>
    </row>
    <row r="23" spans="1:9" x14ac:dyDescent="0.2">
      <c r="A23" s="2" t="str">
        <v/>
      </c>
      <c r="C23" s="2" t="str">
        <v>bla</v>
      </c>
      <c r="E23" s="2" t="str">
        <v>bla</v>
      </c>
    </row>
    <row r="24" spans="1:9" x14ac:dyDescent="0.2">
      <c r="A24" s="2" t="str">
        <v/>
      </c>
      <c r="C24" s="2" t="str">
        <v>bla</v>
      </c>
      <c r="E24" s="2" t="str">
        <v>bla</v>
      </c>
    </row>
    <row r="25" spans="1:9" x14ac:dyDescent="0.2">
      <c r="A25" s="2" t="str">
        <v>England</v>
      </c>
      <c r="C25" s="2" t="str">
        <v>England</v>
      </c>
      <c r="E25" s="2" t="str">
        <v>England</v>
      </c>
    </row>
    <row r="26" spans="1:9" x14ac:dyDescent="0.2">
      <c r="A26" s="2" t="str">
        <v/>
      </c>
      <c r="C26" s="2" t="str">
        <v>bla</v>
      </c>
      <c r="E26" s="2" t="str">
        <v>bla</v>
      </c>
    </row>
    <row r="27" spans="1:9" x14ac:dyDescent="0.2">
      <c r="A27" s="2" t="str">
        <v/>
      </c>
      <c r="C27" s="2" t="str">
        <v>bla</v>
      </c>
      <c r="E27" s="2" t="str">
        <v>bla</v>
      </c>
    </row>
    <row r="28" spans="1:9" x14ac:dyDescent="0.2">
      <c r="A28" s="2" t="str">
        <v/>
      </c>
      <c r="C28" s="2" t="str">
        <v>bla</v>
      </c>
      <c r="E28" s="2" t="str">
        <v>bla</v>
      </c>
    </row>
    <row r="29" spans="1:9" x14ac:dyDescent="0.2">
      <c r="A29" s="2" t="str">
        <v/>
      </c>
      <c r="C29" s="2" t="str">
        <v>bla</v>
      </c>
      <c r="E29" s="2" t="str">
        <v>bla</v>
      </c>
      <c r="H29" s="72"/>
    </row>
    <row r="30" spans="1:9" x14ac:dyDescent="0.2">
      <c r="A30" s="2" t="str">
        <v/>
      </c>
      <c r="C30" s="2" t="str">
        <v>bla</v>
      </c>
      <c r="E30" s="2" t="str">
        <v>bla</v>
      </c>
    </row>
    <row r="31" spans="1:9" x14ac:dyDescent="0.2">
      <c r="A31" s="2" t="str">
        <v/>
      </c>
      <c r="C31" s="2" t="str">
        <v>bla</v>
      </c>
      <c r="E31" s="2" t="str">
        <v>bla</v>
      </c>
    </row>
    <row r="32" spans="1:9" x14ac:dyDescent="0.2">
      <c r="A32" s="2" t="str">
        <v>Netherlands</v>
      </c>
      <c r="C32" s="2" t="str">
        <v>Netherlands</v>
      </c>
      <c r="E32" s="2" t="str">
        <v>Netherlands</v>
      </c>
    </row>
    <row r="33" spans="1:5" x14ac:dyDescent="0.2">
      <c r="A33" s="2" t="str">
        <v/>
      </c>
      <c r="C33" s="2" t="str">
        <v>bla</v>
      </c>
      <c r="E33" s="2" t="str">
        <v>bla</v>
      </c>
    </row>
    <row r="34" spans="1:5" x14ac:dyDescent="0.2">
      <c r="A34" s="2" t="str">
        <v/>
      </c>
      <c r="C34" s="2" t="str">
        <v>bla</v>
      </c>
      <c r="E34" s="2" t="str">
        <v>bla</v>
      </c>
    </row>
    <row r="35" spans="1:5" x14ac:dyDescent="0.2">
      <c r="A35" s="2" t="str">
        <v/>
      </c>
      <c r="C35" s="2" t="str">
        <v>bla</v>
      </c>
      <c r="E35" s="2" t="str">
        <v>bla</v>
      </c>
    </row>
    <row r="36" spans="1:5" x14ac:dyDescent="0.2">
      <c r="A36" s="2" t="str">
        <v/>
      </c>
      <c r="C36" s="2" t="str">
        <v>bla</v>
      </c>
      <c r="E36" s="2" t="str">
        <v>bla</v>
      </c>
    </row>
    <row r="37" spans="1:5" x14ac:dyDescent="0.2">
      <c r="A37" s="2" t="str">
        <v/>
      </c>
      <c r="C37" s="2" t="str">
        <v>bla</v>
      </c>
      <c r="E37" s="2" t="str">
        <v>bla</v>
      </c>
    </row>
    <row r="38" spans="1:5" x14ac:dyDescent="0.2">
      <c r="A38" s="2" t="str">
        <v/>
      </c>
      <c r="C38" s="2" t="str">
        <v>bla</v>
      </c>
      <c r="E38" s="2" t="str">
        <v>bla</v>
      </c>
    </row>
    <row r="39" spans="1:5" x14ac:dyDescent="0.2">
      <c r="A39" s="2" t="str">
        <v>Sweden</v>
      </c>
      <c r="C39" s="2" t="str">
        <v>Sweden</v>
      </c>
      <c r="E39" s="2" t="str">
        <v>Sweden</v>
      </c>
    </row>
    <row r="40" spans="1:5" x14ac:dyDescent="0.2">
      <c r="A40" s="2" t="str">
        <v/>
      </c>
      <c r="C40" s="2" t="str">
        <v>bla</v>
      </c>
      <c r="E40" s="2" t="str">
        <v>bla</v>
      </c>
    </row>
    <row r="41" spans="1:5" x14ac:dyDescent="0.2">
      <c r="A41" s="2" t="str">
        <v>USA</v>
      </c>
      <c r="C41" s="2" t="str">
        <v>USA</v>
      </c>
      <c r="E41" s="2" t="str">
        <v>USA</v>
      </c>
    </row>
    <row r="42" spans="1:5" x14ac:dyDescent="0.2">
      <c r="A42" s="2" t="str">
        <v/>
      </c>
      <c r="C42" s="2" t="e">
        <v>#N/A</v>
      </c>
      <c r="E42" s="2" t="str">
        <v/>
      </c>
    </row>
    <row r="43" spans="1:5" x14ac:dyDescent="0.2">
      <c r="A43" s="2" t="str">
        <v/>
      </c>
      <c r="C43" s="2" t="e">
        <v>#N/A</v>
      </c>
      <c r="E43" s="2" t="str">
        <v/>
      </c>
    </row>
    <row r="44" spans="1:5" x14ac:dyDescent="0.2">
      <c r="A44" s="2" t="str">
        <v/>
      </c>
      <c r="C44" s="2" t="e">
        <v>#N/A</v>
      </c>
      <c r="E44" s="2" t="str">
        <v/>
      </c>
    </row>
    <row r="45" spans="1:5" x14ac:dyDescent="0.2">
      <c r="A45" s="2" t="str">
        <v/>
      </c>
      <c r="C45" s="2" t="e">
        <v>#N/A</v>
      </c>
      <c r="E45" s="2" t="str">
        <v/>
      </c>
    </row>
    <row r="46" spans="1:5" x14ac:dyDescent="0.2">
      <c r="A46" s="2" t="str">
        <v/>
      </c>
      <c r="C46" s="2" t="e">
        <v>#N/A</v>
      </c>
      <c r="E46" s="2" t="str">
        <v/>
      </c>
    </row>
    <row r="47" spans="1:5" x14ac:dyDescent="0.2">
      <c r="A47" s="2" t="str">
        <v/>
      </c>
      <c r="C47" s="2" t="e">
        <v>#N/A</v>
      </c>
      <c r="E47" s="2" t="str">
        <v/>
      </c>
    </row>
    <row r="48" spans="1:5" x14ac:dyDescent="0.2">
      <c r="A48" s="2" t="str">
        <v/>
      </c>
      <c r="C48" s="2" t="e">
        <v>#N/A</v>
      </c>
      <c r="E48" s="2" t="str">
        <v/>
      </c>
    </row>
    <row r="49" spans="1:5" x14ac:dyDescent="0.2">
      <c r="A49" s="2" t="str">
        <v/>
      </c>
      <c r="C49" s="2" t="e">
        <v>#N/A</v>
      </c>
      <c r="E49" s="2" t="str">
        <v/>
      </c>
    </row>
    <row r="50" spans="1:5" x14ac:dyDescent="0.2">
      <c r="A50" s="2" t="str">
        <v/>
      </c>
      <c r="C50" s="2" t="e">
        <v>#N/A</v>
      </c>
      <c r="E50" s="2" t="str">
        <v/>
      </c>
    </row>
    <row r="51" spans="1:5" x14ac:dyDescent="0.2">
      <c r="A51" s="2" t="str">
        <v>England</v>
      </c>
      <c r="C51" s="2" t="str">
        <v>England</v>
      </c>
      <c r="E51" s="2" t="str">
        <v>England</v>
      </c>
    </row>
    <row r="52" spans="1:5" x14ac:dyDescent="0.2">
      <c r="A52" s="2" t="str">
        <v/>
      </c>
      <c r="C52" s="2" t="e">
        <v>#N/A</v>
      </c>
      <c r="E52" s="2" t="str">
        <v/>
      </c>
    </row>
    <row r="53" spans="1:5" x14ac:dyDescent="0.2">
      <c r="A53" s="2" t="str">
        <v>Germany</v>
      </c>
      <c r="C53" s="2" t="str">
        <v>Germany</v>
      </c>
      <c r="E53" s="2" t="str">
        <v>Germany</v>
      </c>
    </row>
    <row r="54" spans="1:5" x14ac:dyDescent="0.2">
      <c r="A54" s="2" t="str">
        <v>Japan</v>
      </c>
      <c r="C54" s="2" t="str">
        <v>Japan</v>
      </c>
      <c r="E54" s="2" t="str">
        <v>Japan</v>
      </c>
    </row>
    <row r="55" spans="1:5" x14ac:dyDescent="0.2">
      <c r="A55" s="2" t="str">
        <v/>
      </c>
      <c r="C55" s="2" t="e">
        <v>#N/A</v>
      </c>
      <c r="E55" s="2" t="str">
        <v/>
      </c>
    </row>
    <row r="56" spans="1:5" x14ac:dyDescent="0.2">
      <c r="A56" s="2" t="str">
        <v/>
      </c>
      <c r="C56" s="2" t="e">
        <v>#N/A</v>
      </c>
      <c r="E56" s="2" t="str">
        <v/>
      </c>
    </row>
    <row r="57" spans="1:5" hidden="1" x14ac:dyDescent="0.2">
      <c r="A57" s="2" t="str">
        <v/>
      </c>
      <c r="C57" s="2" t="e">
        <v>#N/A</v>
      </c>
      <c r="E57" s="2" t="str">
        <v/>
      </c>
    </row>
    <row r="58" spans="1:5" hidden="1" x14ac:dyDescent="0.2">
      <c r="A58" s="2" t="str">
        <v/>
      </c>
      <c r="C58" s="2" t="e">
        <v>#N/A</v>
      </c>
      <c r="E58" s="2" t="str">
        <v/>
      </c>
    </row>
    <row r="59" spans="1:5" hidden="1" x14ac:dyDescent="0.2">
      <c r="A59" s="2" t="str">
        <v/>
      </c>
      <c r="C59" s="2" t="e">
        <v>#N/A</v>
      </c>
      <c r="E59" s="2" t="str">
        <v/>
      </c>
    </row>
    <row r="60" spans="1:5" hidden="1" x14ac:dyDescent="0.2">
      <c r="A60" s="2" t="str">
        <v/>
      </c>
      <c r="C60" s="2" t="e">
        <v>#N/A</v>
      </c>
      <c r="E60" s="2" t="str">
        <v/>
      </c>
    </row>
    <row r="61" spans="1:5" hidden="1" x14ac:dyDescent="0.2">
      <c r="A61" s="2" t="str">
        <v/>
      </c>
      <c r="C61" s="2" t="e">
        <v>#N/A</v>
      </c>
      <c r="E61" s="2" t="str">
        <v/>
      </c>
    </row>
    <row r="62" spans="1:5" hidden="1" x14ac:dyDescent="0.2">
      <c r="A62" s="2" t="str">
        <v/>
      </c>
      <c r="C62" s="2" t="e">
        <v>#N/A</v>
      </c>
      <c r="E62" s="2" t="str">
        <v/>
      </c>
    </row>
    <row r="63" spans="1:5" hidden="1" x14ac:dyDescent="0.2">
      <c r="A63" s="2" t="str">
        <v/>
      </c>
      <c r="C63" s="2" t="e">
        <v>#N/A</v>
      </c>
      <c r="E63" s="2" t="str">
        <v/>
      </c>
    </row>
    <row r="64" spans="1:5" hidden="1" x14ac:dyDescent="0.2">
      <c r="A64" s="2" t="str">
        <v/>
      </c>
      <c r="C64" s="2" t="e">
        <v>#N/A</v>
      </c>
      <c r="E64" s="2" t="str">
        <v/>
      </c>
    </row>
    <row r="65" spans="1:5" hidden="1" x14ac:dyDescent="0.2">
      <c r="A65" s="2" t="str">
        <v>USA</v>
      </c>
      <c r="C65" s="2" t="str">
        <v>USA</v>
      </c>
      <c r="E65" s="2" t="str">
        <v>USA</v>
      </c>
    </row>
    <row r="66" spans="1:5" hidden="1" x14ac:dyDescent="0.2">
      <c r="A66" s="2" t="str">
        <v/>
      </c>
      <c r="C66" s="2" t="e">
        <v>#N/A</v>
      </c>
      <c r="E66" s="2" t="str">
        <v/>
      </c>
    </row>
    <row r="67" spans="1:5" hidden="1" x14ac:dyDescent="0.2">
      <c r="A67" s="2" t="str">
        <v/>
      </c>
      <c r="C67" s="2" t="e">
        <v>#N/A</v>
      </c>
      <c r="E67" s="2" t="str">
        <v/>
      </c>
    </row>
    <row r="68" spans="1:5" hidden="1" x14ac:dyDescent="0.2">
      <c r="A68" s="2" t="str">
        <v/>
      </c>
      <c r="C68" s="2" t="e">
        <v>#N/A</v>
      </c>
      <c r="E68" s="2" t="str">
        <v/>
      </c>
    </row>
    <row r="69" spans="1:5" hidden="1" x14ac:dyDescent="0.2">
      <c r="A69" s="2" t="str">
        <v/>
      </c>
      <c r="C69" s="2" t="e">
        <v>#N/A</v>
      </c>
      <c r="E69" s="2" t="str">
        <v/>
      </c>
    </row>
    <row r="70" spans="1:5" hidden="1" x14ac:dyDescent="0.2">
      <c r="A70" s="2" t="str">
        <v/>
      </c>
      <c r="C70" s="2" t="e">
        <v>#N/A</v>
      </c>
      <c r="E70" s="2" t="str">
        <v/>
      </c>
    </row>
    <row r="71" spans="1:5" hidden="1" x14ac:dyDescent="0.2">
      <c r="A71" s="2" t="str">
        <v/>
      </c>
      <c r="C71" s="2" t="e">
        <v>#N/A</v>
      </c>
      <c r="E71" s="2" t="str">
        <v/>
      </c>
    </row>
    <row r="72" spans="1:5" hidden="1" x14ac:dyDescent="0.2">
      <c r="A72" s="2" t="str">
        <v/>
      </c>
      <c r="C72" s="2" t="e">
        <v>#N/A</v>
      </c>
      <c r="E72" s="2" t="str">
        <v/>
      </c>
    </row>
    <row r="73" spans="1:5" hidden="1" x14ac:dyDescent="0.2">
      <c r="A73" s="2" t="str">
        <v/>
      </c>
      <c r="C73" s="2" t="e">
        <v>#N/A</v>
      </c>
      <c r="E73" s="2" t="str">
        <v/>
      </c>
    </row>
    <row r="74" spans="1:5" hidden="1" x14ac:dyDescent="0.2">
      <c r="A74" s="2" t="str">
        <v/>
      </c>
      <c r="C74" s="2" t="e">
        <v>#N/A</v>
      </c>
      <c r="E74" s="2" t="str">
        <v/>
      </c>
    </row>
    <row r="75" spans="1:5" hidden="1" x14ac:dyDescent="0.2">
      <c r="A75" s="2" t="str">
        <v/>
      </c>
      <c r="C75" s="2" t="e">
        <v>#N/A</v>
      </c>
      <c r="E75" s="2" t="str">
        <v/>
      </c>
    </row>
    <row r="76" spans="1:5" hidden="1" x14ac:dyDescent="0.2">
      <c r="A76" s="2" t="str">
        <v/>
      </c>
      <c r="C76" s="2" t="e">
        <v>#N/A</v>
      </c>
      <c r="E76" s="2" t="str">
        <v/>
      </c>
    </row>
    <row r="77" spans="1:5" hidden="1" x14ac:dyDescent="0.2">
      <c r="A77" s="2" t="str">
        <v/>
      </c>
      <c r="C77" s="2" t="e">
        <v>#N/A</v>
      </c>
      <c r="E77" s="2" t="str">
        <v/>
      </c>
    </row>
    <row r="78" spans="1:5" hidden="1" x14ac:dyDescent="0.2">
      <c r="A78" s="2" t="str">
        <v/>
      </c>
      <c r="C78" s="2" t="e">
        <v>#N/A</v>
      </c>
      <c r="E78" s="2" t="str">
        <v/>
      </c>
    </row>
    <row r="79" spans="1:5" hidden="1" x14ac:dyDescent="0.2">
      <c r="A79" s="2" t="str">
        <v/>
      </c>
      <c r="C79" s="2" t="e">
        <v>#N/A</v>
      </c>
      <c r="E79" s="2" t="str">
        <v/>
      </c>
    </row>
    <row r="80" spans="1:5" hidden="1" x14ac:dyDescent="0.2">
      <c r="A80" s="2" t="str">
        <v/>
      </c>
      <c r="C80" s="2" t="e">
        <v>#N/A</v>
      </c>
      <c r="E80" s="2" t="str">
        <v/>
      </c>
    </row>
    <row r="81" spans="1:5" hidden="1" x14ac:dyDescent="0.2">
      <c r="A81" s="2" t="str">
        <v/>
      </c>
      <c r="C81" s="2" t="e">
        <v>#N/A</v>
      </c>
      <c r="E81" s="2" t="str">
        <v/>
      </c>
    </row>
    <row r="82" spans="1:5" hidden="1" x14ac:dyDescent="0.2">
      <c r="A82" s="2" t="str">
        <v/>
      </c>
      <c r="C82" s="2" t="e">
        <v>#N/A</v>
      </c>
      <c r="E82" s="2" t="str">
        <v/>
      </c>
    </row>
    <row r="83" spans="1:5" hidden="1" x14ac:dyDescent="0.2">
      <c r="A83" s="2" t="str">
        <v/>
      </c>
      <c r="C83" s="2" t="e">
        <v>#N/A</v>
      </c>
      <c r="E83" s="2" t="str">
        <v/>
      </c>
    </row>
    <row r="84" spans="1:5" hidden="1" x14ac:dyDescent="0.2">
      <c r="A84" s="2" t="str">
        <v/>
      </c>
      <c r="C84" s="2" t="e">
        <v>#N/A</v>
      </c>
      <c r="E84" s="2" t="str">
        <v/>
      </c>
    </row>
    <row r="85" spans="1:5" hidden="1" x14ac:dyDescent="0.2">
      <c r="A85" s="2" t="str">
        <v/>
      </c>
      <c r="C85" s="2" t="e">
        <v>#N/A</v>
      </c>
      <c r="E85" s="2" t="str">
        <v/>
      </c>
    </row>
    <row r="86" spans="1:5" hidden="1" x14ac:dyDescent="0.2">
      <c r="A86" s="2" t="str">
        <v/>
      </c>
      <c r="C86" s="2" t="e">
        <v>#N/A</v>
      </c>
      <c r="E86" s="2" t="str">
        <v/>
      </c>
    </row>
    <row r="87" spans="1:5" hidden="1" x14ac:dyDescent="0.2">
      <c r="A87" s="2" t="str">
        <v/>
      </c>
      <c r="C87" s="2" t="e">
        <v>#N/A</v>
      </c>
      <c r="E87" s="2" t="str">
        <v/>
      </c>
    </row>
    <row r="88" spans="1:5" hidden="1" x14ac:dyDescent="0.2">
      <c r="A88" s="2" t="str">
        <v/>
      </c>
      <c r="C88" s="2" t="e">
        <v>#N/A</v>
      </c>
      <c r="E88" s="2" t="str">
        <v/>
      </c>
    </row>
    <row r="89" spans="1:5" hidden="1" x14ac:dyDescent="0.2">
      <c r="A89" s="2" t="str">
        <v/>
      </c>
      <c r="C89" s="2" t="e">
        <v>#N/A</v>
      </c>
      <c r="E89" s="2" t="str">
        <v/>
      </c>
    </row>
    <row r="90" spans="1:5" hidden="1" x14ac:dyDescent="0.2">
      <c r="A90" s="2" t="str">
        <v/>
      </c>
      <c r="C90" s="2" t="e">
        <v>#N/A</v>
      </c>
      <c r="E90" s="2" t="str">
        <v/>
      </c>
    </row>
    <row r="91" spans="1:5" hidden="1" x14ac:dyDescent="0.2">
      <c r="A91" s="2" t="str">
        <v/>
      </c>
      <c r="C91" s="2" t="e">
        <v>#N/A</v>
      </c>
      <c r="E91" s="2" t="str">
        <v/>
      </c>
    </row>
    <row r="92" spans="1:5" hidden="1" x14ac:dyDescent="0.2">
      <c r="A92" s="2" t="str">
        <v/>
      </c>
      <c r="C92" s="2" t="e">
        <v>#N/A</v>
      </c>
      <c r="E92" s="2" t="str">
        <v/>
      </c>
    </row>
    <row r="93" spans="1:5" hidden="1" x14ac:dyDescent="0.2">
      <c r="A93" s="2" t="str">
        <v/>
      </c>
      <c r="C93" s="2" t="e">
        <v>#N/A</v>
      </c>
      <c r="E93" s="2" t="str">
        <v/>
      </c>
    </row>
    <row r="94" spans="1:5" hidden="1" x14ac:dyDescent="0.2">
      <c r="A94" s="2" t="str">
        <v/>
      </c>
      <c r="C94" s="2" t="e">
        <v>#N/A</v>
      </c>
      <c r="E94" s="2" t="str">
        <v/>
      </c>
    </row>
    <row r="95" spans="1:5" hidden="1" x14ac:dyDescent="0.2">
      <c r="A95" s="2" t="str">
        <v/>
      </c>
      <c r="C95" s="2" t="e">
        <v>#N/A</v>
      </c>
      <c r="E95" s="2" t="str">
        <v/>
      </c>
    </row>
    <row r="96" spans="1:5" hidden="1" x14ac:dyDescent="0.2">
      <c r="A96" s="2" t="str">
        <v/>
      </c>
      <c r="C96" s="2" t="e">
        <v>#N/A</v>
      </c>
      <c r="E96" s="2" t="str">
        <v/>
      </c>
    </row>
    <row r="97" spans="1:5" hidden="1" x14ac:dyDescent="0.2">
      <c r="A97" s="2" t="str">
        <v/>
      </c>
      <c r="C97" s="2" t="e">
        <v>#N/A</v>
      </c>
      <c r="E97" s="2" t="str">
        <v/>
      </c>
    </row>
    <row r="98" spans="1:5" hidden="1" x14ac:dyDescent="0.2">
      <c r="A98" s="2" t="str">
        <v/>
      </c>
      <c r="C98" s="2" t="e">
        <v>#N/A</v>
      </c>
      <c r="E98" s="2" t="str">
        <v/>
      </c>
    </row>
    <row r="99" spans="1:5" hidden="1" x14ac:dyDescent="0.2">
      <c r="A99" s="2" t="str">
        <v/>
      </c>
      <c r="C99" s="2" t="e">
        <v>#N/A</v>
      </c>
      <c r="E99" s="2" t="str">
        <v/>
      </c>
    </row>
    <row r="100" spans="1:5" hidden="1" x14ac:dyDescent="0.2">
      <c r="A100" s="2" t="str">
        <v/>
      </c>
      <c r="C100" s="2" t="e">
        <v>#N/A</v>
      </c>
      <c r="E100" s="2" t="str">
        <v/>
      </c>
    </row>
    <row r="101" spans="1:5" hidden="1" x14ac:dyDescent="0.2">
      <c r="A101" s="2" t="str">
        <v/>
      </c>
      <c r="C101" s="2" t="e">
        <v>#N/A</v>
      </c>
      <c r="E101" s="2" t="str">
        <v/>
      </c>
    </row>
    <row r="102" spans="1:5" hidden="1" x14ac:dyDescent="0.2">
      <c r="A102" s="2" t="str">
        <v/>
      </c>
      <c r="C102" s="2" t="e">
        <v>#N/A</v>
      </c>
      <c r="E102" s="2" t="str">
        <v/>
      </c>
    </row>
    <row r="103" spans="1:5" hidden="1" x14ac:dyDescent="0.2">
      <c r="A103" s="2" t="str">
        <v/>
      </c>
      <c r="C103" s="2" t="e">
        <v>#N/A</v>
      </c>
      <c r="E103" s="2" t="str">
        <v/>
      </c>
    </row>
    <row r="104" spans="1:5" hidden="1" x14ac:dyDescent="0.2">
      <c r="A104" s="2" t="str">
        <v/>
      </c>
      <c r="C104" s="2" t="e">
        <v>#N/A</v>
      </c>
      <c r="E104" s="2" t="str">
        <v/>
      </c>
    </row>
    <row r="105" spans="1:5" hidden="1" x14ac:dyDescent="0.2">
      <c r="A105" s="2" t="str">
        <v/>
      </c>
      <c r="C105" s="2" t="e">
        <v>#N/A</v>
      </c>
      <c r="E105" s="2" t="str">
        <v/>
      </c>
    </row>
    <row r="106" spans="1:5" hidden="1" x14ac:dyDescent="0.2">
      <c r="A106" s="2" t="str">
        <v/>
      </c>
      <c r="C106" s="2" t="e">
        <v>#N/A</v>
      </c>
      <c r="E106" s="2" t="str">
        <v/>
      </c>
    </row>
    <row r="107" spans="1:5" hidden="1" x14ac:dyDescent="0.2">
      <c r="A107" s="2" t="str">
        <v/>
      </c>
      <c r="C107" s="2" t="e">
        <v>#N/A</v>
      </c>
      <c r="E107" s="2" t="str">
        <v/>
      </c>
    </row>
    <row r="108" spans="1:5" hidden="1" x14ac:dyDescent="0.2">
      <c r="A108" s="2" t="str">
        <v/>
      </c>
      <c r="C108" s="2" t="e">
        <v>#N/A</v>
      </c>
      <c r="E108" s="2" t="str">
        <v/>
      </c>
    </row>
    <row r="109" spans="1:5" hidden="1" x14ac:dyDescent="0.2">
      <c r="A109" s="2" t="str">
        <v/>
      </c>
      <c r="C109" s="2" t="e">
        <v>#N/A</v>
      </c>
      <c r="E109" s="2" t="str">
        <v/>
      </c>
    </row>
    <row r="110" spans="1:5" hidden="1" x14ac:dyDescent="0.2">
      <c r="A110" s="2" t="str">
        <v/>
      </c>
      <c r="C110" s="2" t="e">
        <v>#N/A</v>
      </c>
      <c r="E110" s="2" t="str">
        <v/>
      </c>
    </row>
    <row r="111" spans="1:5" hidden="1" x14ac:dyDescent="0.2">
      <c r="A111" s="2" t="str">
        <v/>
      </c>
      <c r="C111" s="2" t="e">
        <v>#N/A</v>
      </c>
      <c r="E111" s="2" t="str">
        <v/>
      </c>
    </row>
    <row r="112" spans="1:5" hidden="1" x14ac:dyDescent="0.2">
      <c r="A112" s="2" t="str">
        <v/>
      </c>
      <c r="C112" s="2" t="e">
        <v>#N/A</v>
      </c>
      <c r="E112" s="2" t="str">
        <v/>
      </c>
    </row>
    <row r="113" spans="1:5" hidden="1" x14ac:dyDescent="0.2">
      <c r="A113" s="2" t="str">
        <v/>
      </c>
      <c r="C113" s="2" t="e">
        <v>#N/A</v>
      </c>
      <c r="E113" s="2" t="str">
        <v/>
      </c>
    </row>
    <row r="114" spans="1:5" hidden="1" x14ac:dyDescent="0.2">
      <c r="A114" s="2" t="str">
        <v/>
      </c>
      <c r="C114" s="2" t="e">
        <v>#N/A</v>
      </c>
      <c r="E114" s="2" t="str">
        <v/>
      </c>
    </row>
    <row r="115" spans="1:5" hidden="1" x14ac:dyDescent="0.2">
      <c r="A115" s="2" t="str">
        <v/>
      </c>
      <c r="C115" s="2" t="e">
        <v>#N/A</v>
      </c>
      <c r="E115" s="2" t="str">
        <v/>
      </c>
    </row>
    <row r="116" spans="1:5" hidden="1" x14ac:dyDescent="0.2">
      <c r="A116" s="2" t="str">
        <v/>
      </c>
      <c r="C116" s="2" t="e">
        <v>#N/A</v>
      </c>
      <c r="E116" s="2" t="str">
        <v/>
      </c>
    </row>
    <row r="117" spans="1:5" hidden="1" x14ac:dyDescent="0.2">
      <c r="A117" s="2" t="str">
        <v/>
      </c>
      <c r="C117" s="2" t="e">
        <v>#N/A</v>
      </c>
      <c r="E117" s="2" t="str">
        <v/>
      </c>
    </row>
    <row r="118" spans="1:5" hidden="1" x14ac:dyDescent="0.2">
      <c r="A118" s="2" t="str">
        <v/>
      </c>
      <c r="C118" s="2" t="e">
        <v>#N/A</v>
      </c>
      <c r="E118" s="2" t="str">
        <v/>
      </c>
    </row>
    <row r="119" spans="1:5" hidden="1" x14ac:dyDescent="0.2">
      <c r="A119" s="2" t="str">
        <v/>
      </c>
      <c r="C119" s="2" t="e">
        <v>#N/A</v>
      </c>
      <c r="E119" s="2" t="str">
        <v/>
      </c>
    </row>
    <row r="120" spans="1:5" hidden="1" x14ac:dyDescent="0.2">
      <c r="A120" s="2" t="str">
        <v/>
      </c>
      <c r="C120" s="2" t="e">
        <v>#N/A</v>
      </c>
      <c r="E120" s="2" t="str">
        <v/>
      </c>
    </row>
    <row r="121" spans="1:5" hidden="1" x14ac:dyDescent="0.2">
      <c r="A121" s="2" t="str">
        <v/>
      </c>
      <c r="C121" s="2" t="e">
        <v>#N/A</v>
      </c>
      <c r="E121" s="2" t="str">
        <v/>
      </c>
    </row>
    <row r="122" spans="1:5" hidden="1" x14ac:dyDescent="0.2">
      <c r="A122" s="2" t="str">
        <v/>
      </c>
      <c r="C122" s="2" t="e">
        <v>#N/A</v>
      </c>
      <c r="E122" s="2" t="str">
        <v/>
      </c>
    </row>
    <row r="123" spans="1:5" hidden="1" x14ac:dyDescent="0.2">
      <c r="A123" s="2" t="str">
        <v/>
      </c>
      <c r="C123" s="2" t="e">
        <v>#N/A</v>
      </c>
      <c r="E123" s="2" t="str">
        <v/>
      </c>
    </row>
    <row r="124" spans="1:5" hidden="1" x14ac:dyDescent="0.2">
      <c r="A124" s="2" t="str">
        <v/>
      </c>
      <c r="C124" s="2" t="e">
        <v>#N/A</v>
      </c>
      <c r="E124" s="2" t="str">
        <v/>
      </c>
    </row>
    <row r="125" spans="1:5" hidden="1" x14ac:dyDescent="0.2">
      <c r="A125" s="2" t="str">
        <v/>
      </c>
      <c r="C125" s="2" t="e">
        <v>#N/A</v>
      </c>
      <c r="E125" s="2" t="str">
        <v/>
      </c>
    </row>
    <row r="126" spans="1:5" hidden="1" x14ac:dyDescent="0.2">
      <c r="A126" s="2" t="str">
        <v/>
      </c>
      <c r="C126" s="2" t="e">
        <v>#N/A</v>
      </c>
      <c r="E126" s="2" t="str">
        <v/>
      </c>
    </row>
    <row r="127" spans="1:5" hidden="1" x14ac:dyDescent="0.2">
      <c r="A127" s="2" t="str">
        <v/>
      </c>
      <c r="C127" s="2" t="e">
        <v>#N/A</v>
      </c>
      <c r="E127" s="2" t="str">
        <v/>
      </c>
    </row>
    <row r="128" spans="1:5" hidden="1" x14ac:dyDescent="0.2">
      <c r="A128" s="2" t="str">
        <v/>
      </c>
      <c r="C128" s="2" t="e">
        <v>#N/A</v>
      </c>
      <c r="E128" s="2" t="str">
        <v/>
      </c>
    </row>
    <row r="129" spans="1:5" hidden="1" x14ac:dyDescent="0.2">
      <c r="A129" s="2" t="str">
        <v/>
      </c>
      <c r="C129" s="2" t="e">
        <v>#N/A</v>
      </c>
      <c r="E129" s="2" t="str">
        <v/>
      </c>
    </row>
    <row r="130" spans="1:5" hidden="1" x14ac:dyDescent="0.2">
      <c r="A130" s="2" t="str">
        <v/>
      </c>
      <c r="C130" s="2" t="e">
        <v>#N/A</v>
      </c>
      <c r="E130" s="2" t="str">
        <v/>
      </c>
    </row>
    <row r="131" spans="1:5" hidden="1" x14ac:dyDescent="0.2">
      <c r="A131" s="2" t="str">
        <v/>
      </c>
      <c r="C131" s="2" t="e">
        <v>#N/A</v>
      </c>
      <c r="E131" s="2" t="str">
        <v/>
      </c>
    </row>
    <row r="132" spans="1:5" hidden="1" x14ac:dyDescent="0.2">
      <c r="A132" s="2" t="str">
        <v/>
      </c>
      <c r="C132" s="2" t="e">
        <v>#N/A</v>
      </c>
      <c r="E132" s="2" t="str">
        <v/>
      </c>
    </row>
    <row r="133" spans="1:5" hidden="1" x14ac:dyDescent="0.2">
      <c r="A133" s="2" t="str">
        <v/>
      </c>
      <c r="C133" s="2" t="e">
        <v>#N/A</v>
      </c>
      <c r="E133" s="2" t="str">
        <v/>
      </c>
    </row>
    <row r="134" spans="1:5" hidden="1" x14ac:dyDescent="0.2">
      <c r="A134" s="2" t="str">
        <v/>
      </c>
      <c r="C134" s="2" t="e">
        <v>#N/A</v>
      </c>
      <c r="E134" s="2" t="str">
        <v/>
      </c>
    </row>
    <row r="135" spans="1:5" hidden="1" x14ac:dyDescent="0.2">
      <c r="A135" s="2" t="str">
        <v/>
      </c>
      <c r="C135" s="2" t="e">
        <v>#N/A</v>
      </c>
      <c r="E135" s="2" t="str">
        <v/>
      </c>
    </row>
    <row r="136" spans="1:5" hidden="1" x14ac:dyDescent="0.2">
      <c r="A136" s="2" t="str">
        <v/>
      </c>
      <c r="C136" s="2" t="e">
        <v>#N/A</v>
      </c>
      <c r="E136" s="2" t="str">
        <v/>
      </c>
    </row>
    <row r="137" spans="1:5" hidden="1" x14ac:dyDescent="0.2">
      <c r="A137" s="2" t="str">
        <v/>
      </c>
      <c r="C137" s="2" t="e">
        <v>#N/A</v>
      </c>
      <c r="E137" s="2" t="str">
        <v/>
      </c>
    </row>
    <row r="138" spans="1:5" hidden="1" x14ac:dyDescent="0.2">
      <c r="A138" s="2" t="str">
        <v/>
      </c>
      <c r="C138" s="2" t="e">
        <v>#N/A</v>
      </c>
      <c r="E138" s="2" t="str">
        <v/>
      </c>
    </row>
    <row r="139" spans="1:5" hidden="1" x14ac:dyDescent="0.2">
      <c r="A139" s="2" t="str">
        <v/>
      </c>
      <c r="C139" s="2" t="e">
        <v>#N/A</v>
      </c>
      <c r="E139" s="2" t="str">
        <v/>
      </c>
    </row>
    <row r="140" spans="1:5" hidden="1" x14ac:dyDescent="0.2">
      <c r="A140" s="2" t="str">
        <v/>
      </c>
      <c r="C140" s="2" t="e">
        <v>#N/A</v>
      </c>
      <c r="E140" s="2" t="str">
        <v/>
      </c>
    </row>
    <row r="141" spans="1:5" hidden="1" x14ac:dyDescent="0.2">
      <c r="A141" s="2" t="str">
        <v/>
      </c>
      <c r="C141" s="2" t="e">
        <v>#N/A</v>
      </c>
      <c r="E141" s="2" t="str">
        <v/>
      </c>
    </row>
    <row r="142" spans="1:5" hidden="1" x14ac:dyDescent="0.2">
      <c r="A142" s="2" t="str">
        <v/>
      </c>
      <c r="C142" s="2" t="e">
        <v>#N/A</v>
      </c>
      <c r="E142" s="2" t="str">
        <v/>
      </c>
    </row>
    <row r="143" spans="1:5" hidden="1" x14ac:dyDescent="0.2">
      <c r="A143" s="2" t="str">
        <v/>
      </c>
      <c r="C143" s="2" t="e">
        <v>#N/A</v>
      </c>
      <c r="E143" s="2" t="str">
        <v/>
      </c>
    </row>
    <row r="144" spans="1:5" hidden="1" x14ac:dyDescent="0.2">
      <c r="A144" s="2" t="str">
        <v/>
      </c>
      <c r="C144" s="2" t="e">
        <v>#N/A</v>
      </c>
      <c r="E144" s="2" t="str">
        <v/>
      </c>
    </row>
    <row r="145" spans="1:9" hidden="1" x14ac:dyDescent="0.2">
      <c r="A145" s="2" t="str">
        <v/>
      </c>
      <c r="C145" s="2" t="e">
        <v>#N/A</v>
      </c>
      <c r="E145" s="2" t="str">
        <v/>
      </c>
    </row>
    <row r="146" spans="1:9" hidden="1" x14ac:dyDescent="0.2">
      <c r="A146" s="2" t="str">
        <v/>
      </c>
      <c r="C146" s="2" t="e">
        <v>#N/A</v>
      </c>
      <c r="E146" s="2" t="str">
        <v/>
      </c>
    </row>
    <row r="147" spans="1:9" hidden="1" x14ac:dyDescent="0.2">
      <c r="A147" s="2" t="str">
        <v/>
      </c>
      <c r="C147" s="2" t="e">
        <v>#N/A</v>
      </c>
      <c r="E147" s="2" t="str">
        <v/>
      </c>
    </row>
    <row r="148" spans="1:9" hidden="1" x14ac:dyDescent="0.2">
      <c r="A148" s="2" t="str">
        <v/>
      </c>
      <c r="C148" s="2" t="e">
        <v>#N/A</v>
      </c>
      <c r="E148" s="2" t="str">
        <v/>
      </c>
    </row>
    <row r="149" spans="1:9" hidden="1" x14ac:dyDescent="0.2">
      <c r="A149" s="2" t="str">
        <v/>
      </c>
      <c r="C149" s="2" t="e">
        <v>#N/A</v>
      </c>
      <c r="E149" s="2" t="str">
        <v/>
      </c>
    </row>
    <row r="150" spans="1:9" hidden="1" x14ac:dyDescent="0.2">
      <c r="A150" s="2" t="str">
        <v/>
      </c>
      <c r="C150" s="2" t="e">
        <v>#N/A</v>
      </c>
      <c r="E150" s="2" t="str">
        <v/>
      </c>
    </row>
    <row r="151" spans="1:9" hidden="1" x14ac:dyDescent="0.2">
      <c r="A151" s="2" t="str">
        <v/>
      </c>
      <c r="C151" s="2" t="e">
        <v>#N/A</v>
      </c>
      <c r="E151" s="2" t="str">
        <v/>
      </c>
    </row>
    <row r="152" spans="1:9" hidden="1" x14ac:dyDescent="0.2">
      <c r="A152" s="2" t="str">
        <v/>
      </c>
      <c r="C152" s="2" t="e">
        <v>#N/A</v>
      </c>
      <c r="E152" s="2" t="str">
        <v/>
      </c>
    </row>
    <row r="153" spans="1:9" hidden="1" x14ac:dyDescent="0.2">
      <c r="A153" s="2" t="str">
        <v/>
      </c>
      <c r="C153" s="2" t="e">
        <v>#N/A</v>
      </c>
      <c r="E153" s="2" t="str">
        <v/>
      </c>
    </row>
    <row r="155" spans="1:9" s="1" customFormat="1" x14ac:dyDescent="0.2"/>
    <row r="156" spans="1:9" x14ac:dyDescent="0.2">
      <c r="A156" s="12" t="s">
        <v>312</v>
      </c>
    </row>
    <row r="158" spans="1:9" x14ac:dyDescent="0.2">
      <c r="A158" t="s">
        <v>87</v>
      </c>
    </row>
    <row r="160" spans="1:9" x14ac:dyDescent="0.2">
      <c r="A160" s="2" cm="1">
        <f t="array" ref="A160:C162">TRANSPOSE(B3:D5)</f>
        <v>1</v>
      </c>
      <c r="B160" s="2">
        <v>4</v>
      </c>
      <c r="C160" s="2">
        <v>7</v>
      </c>
      <c r="E160" s="2" cm="1">
        <f t="array" ref="E160:E162">TRANSPOSE(B3:D3)</f>
        <v>1</v>
      </c>
      <c r="G160" s="2" cm="1">
        <f t="array" ref="G160:I160">TRANSPOSE(B3:B5)</f>
        <v>1</v>
      </c>
      <c r="H160" s="2">
        <v>4</v>
      </c>
      <c r="I160" s="2">
        <v>7</v>
      </c>
    </row>
    <row r="161" spans="1:5" x14ac:dyDescent="0.2">
      <c r="A161" s="2">
        <v>2</v>
      </c>
      <c r="B161" s="2">
        <v>5</v>
      </c>
      <c r="C161" s="2">
        <v>8</v>
      </c>
      <c r="E161" s="2">
        <v>2</v>
      </c>
    </row>
    <row r="162" spans="1:5" x14ac:dyDescent="0.2">
      <c r="A162" s="2">
        <v>3</v>
      </c>
      <c r="B162" s="2">
        <v>6</v>
      </c>
      <c r="C162" s="2">
        <v>9</v>
      </c>
      <c r="E162" s="2">
        <v>3</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EDE5D-C871-8D4D-9790-B15AEBF21742}">
  <sheetPr codeName="Sheet4"/>
  <dimension ref="A1:C40"/>
  <sheetViews>
    <sheetView topLeftCell="B4" workbookViewId="0">
      <selection activeCell="B4" sqref="B4"/>
    </sheetView>
  </sheetViews>
  <sheetFormatPr baseColWidth="10" defaultColWidth="11" defaultRowHeight="16" x14ac:dyDescent="0.2"/>
  <cols>
    <col min="1" max="1" width="13" bestFit="1" customWidth="1"/>
    <col min="2" max="2" width="21.1640625" bestFit="1" customWidth="1"/>
    <col min="3" max="3" width="11.83203125" bestFit="1" customWidth="1"/>
    <col min="4" max="4" width="11.1640625" bestFit="1" customWidth="1"/>
  </cols>
  <sheetData>
    <row r="1" spans="1:3" x14ac:dyDescent="0.2">
      <c r="A1" s="62" t="s">
        <v>24</v>
      </c>
      <c r="B1" t="s">
        <v>88</v>
      </c>
    </row>
    <row r="3" spans="1:3" x14ac:dyDescent="0.2">
      <c r="A3" s="62" t="s">
        <v>89</v>
      </c>
      <c r="B3" t="s">
        <v>90</v>
      </c>
      <c r="C3" t="s">
        <v>91</v>
      </c>
    </row>
    <row r="4" spans="1:3" x14ac:dyDescent="0.2">
      <c r="A4" s="63" t="s">
        <v>44</v>
      </c>
      <c r="B4">
        <v>9</v>
      </c>
      <c r="C4">
        <v>4</v>
      </c>
    </row>
    <row r="5" spans="1:3" x14ac:dyDescent="0.2">
      <c r="A5" s="63" t="s">
        <v>45</v>
      </c>
      <c r="B5">
        <v>26</v>
      </c>
      <c r="C5">
        <v>37</v>
      </c>
    </row>
    <row r="6" spans="1:3" x14ac:dyDescent="0.2">
      <c r="A6" s="63" t="s">
        <v>46</v>
      </c>
      <c r="B6">
        <v>34</v>
      </c>
      <c r="C6">
        <v>65</v>
      </c>
    </row>
    <row r="7" spans="1:3" x14ac:dyDescent="0.2">
      <c r="A7" s="63" t="s">
        <v>70</v>
      </c>
      <c r="B7">
        <v>3</v>
      </c>
      <c r="C7">
        <v>3</v>
      </c>
    </row>
    <row r="8" spans="1:3" x14ac:dyDescent="0.2">
      <c r="A8" s="63" t="s">
        <v>47</v>
      </c>
      <c r="B8">
        <v>8</v>
      </c>
      <c r="C8">
        <v>12</v>
      </c>
    </row>
    <row r="9" spans="1:3" x14ac:dyDescent="0.2">
      <c r="A9" s="63" t="s">
        <v>48</v>
      </c>
      <c r="B9">
        <v>27</v>
      </c>
      <c r="C9">
        <v>34</v>
      </c>
    </row>
    <row r="10" spans="1:3" x14ac:dyDescent="0.2">
      <c r="A10" s="63" t="s">
        <v>49</v>
      </c>
      <c r="B10">
        <v>3</v>
      </c>
      <c r="C10">
        <v>1</v>
      </c>
    </row>
    <row r="11" spans="1:3" x14ac:dyDescent="0.2">
      <c r="A11" s="63" t="s">
        <v>50</v>
      </c>
      <c r="B11">
        <v>33</v>
      </c>
      <c r="C11">
        <v>53</v>
      </c>
    </row>
    <row r="12" spans="1:3" x14ac:dyDescent="0.2">
      <c r="A12" s="63" t="s">
        <v>79</v>
      </c>
      <c r="B12">
        <v>4</v>
      </c>
      <c r="C12">
        <v>2</v>
      </c>
    </row>
    <row r="13" spans="1:3" x14ac:dyDescent="0.2">
      <c r="A13" s="63" t="s">
        <v>68</v>
      </c>
      <c r="B13">
        <v>7</v>
      </c>
      <c r="C13">
        <v>4</v>
      </c>
    </row>
    <row r="14" spans="1:3" x14ac:dyDescent="0.2">
      <c r="A14" s="63" t="s">
        <v>69</v>
      </c>
      <c r="B14">
        <v>3</v>
      </c>
      <c r="C14">
        <v>3</v>
      </c>
    </row>
    <row r="15" spans="1:3" x14ac:dyDescent="0.2">
      <c r="A15" s="63" t="s">
        <v>76</v>
      </c>
      <c r="B15">
        <v>14</v>
      </c>
      <c r="C15">
        <v>19</v>
      </c>
    </row>
    <row r="16" spans="1:3" x14ac:dyDescent="0.2">
      <c r="A16" s="63" t="s">
        <v>71</v>
      </c>
      <c r="B16">
        <v>3</v>
      </c>
      <c r="C16">
        <v>1</v>
      </c>
    </row>
    <row r="17" spans="1:3" x14ac:dyDescent="0.2">
      <c r="A17" s="63" t="s">
        <v>51</v>
      </c>
      <c r="B17">
        <v>26</v>
      </c>
      <c r="C17">
        <v>42</v>
      </c>
    </row>
    <row r="18" spans="1:3" x14ac:dyDescent="0.2">
      <c r="A18" s="63" t="s">
        <v>74</v>
      </c>
      <c r="B18">
        <v>3</v>
      </c>
      <c r="C18">
        <v>2</v>
      </c>
    </row>
    <row r="19" spans="1:3" x14ac:dyDescent="0.2">
      <c r="A19" s="63" t="s">
        <v>52</v>
      </c>
      <c r="B19">
        <v>19</v>
      </c>
      <c r="C19">
        <v>31</v>
      </c>
    </row>
    <row r="20" spans="1:3" x14ac:dyDescent="0.2">
      <c r="A20" s="63" t="s">
        <v>53</v>
      </c>
      <c r="B20">
        <v>44</v>
      </c>
      <c r="C20">
        <v>119</v>
      </c>
    </row>
    <row r="21" spans="1:3" x14ac:dyDescent="0.2">
      <c r="A21" s="63" t="s">
        <v>77</v>
      </c>
      <c r="B21">
        <v>9</v>
      </c>
      <c r="C21">
        <v>6</v>
      </c>
    </row>
    <row r="22" spans="1:3" x14ac:dyDescent="0.2">
      <c r="A22" s="63" t="s">
        <v>54</v>
      </c>
      <c r="B22">
        <v>12</v>
      </c>
      <c r="C22">
        <v>20</v>
      </c>
    </row>
    <row r="23" spans="1:3" x14ac:dyDescent="0.2">
      <c r="A23" s="63" t="s">
        <v>55</v>
      </c>
      <c r="B23">
        <v>3</v>
      </c>
      <c r="C23">
        <v>1</v>
      </c>
    </row>
    <row r="24" spans="1:3" x14ac:dyDescent="0.2">
      <c r="A24" s="63" t="s">
        <v>56</v>
      </c>
      <c r="B24">
        <v>33</v>
      </c>
      <c r="C24">
        <v>37</v>
      </c>
    </row>
    <row r="25" spans="1:3" x14ac:dyDescent="0.2">
      <c r="A25" s="63" t="s">
        <v>75</v>
      </c>
      <c r="B25">
        <v>13</v>
      </c>
      <c r="C25">
        <v>12</v>
      </c>
    </row>
    <row r="26" spans="1:3" x14ac:dyDescent="0.2">
      <c r="A26" s="63" t="s">
        <v>57</v>
      </c>
      <c r="B26">
        <v>10</v>
      </c>
      <c r="C26">
        <v>6</v>
      </c>
    </row>
    <row r="27" spans="1:3" x14ac:dyDescent="0.2">
      <c r="A27" s="63" t="s">
        <v>72</v>
      </c>
      <c r="B27">
        <v>9</v>
      </c>
      <c r="C27">
        <v>6</v>
      </c>
    </row>
    <row r="28" spans="1:3" x14ac:dyDescent="0.2">
      <c r="A28" s="63" t="s">
        <v>58</v>
      </c>
      <c r="B28">
        <v>11</v>
      </c>
      <c r="C28">
        <v>14</v>
      </c>
    </row>
    <row r="29" spans="1:3" x14ac:dyDescent="0.2">
      <c r="A29" s="63" t="s">
        <v>59</v>
      </c>
      <c r="B29">
        <v>15</v>
      </c>
      <c r="C29">
        <v>7</v>
      </c>
    </row>
    <row r="30" spans="1:3" x14ac:dyDescent="0.2">
      <c r="A30" s="63" t="s">
        <v>60</v>
      </c>
      <c r="B30">
        <v>26</v>
      </c>
      <c r="C30">
        <v>19</v>
      </c>
    </row>
    <row r="31" spans="1:3" x14ac:dyDescent="0.2">
      <c r="A31" s="63" t="s">
        <v>61</v>
      </c>
      <c r="B31">
        <v>40</v>
      </c>
      <c r="C31">
        <v>89</v>
      </c>
    </row>
    <row r="32" spans="1:3" x14ac:dyDescent="0.2">
      <c r="A32" s="63" t="s">
        <v>78</v>
      </c>
      <c r="B32">
        <v>8</v>
      </c>
      <c r="C32">
        <v>15</v>
      </c>
    </row>
    <row r="33" spans="1:3" x14ac:dyDescent="0.2">
      <c r="A33" s="63" t="s">
        <v>62</v>
      </c>
      <c r="B33">
        <v>3</v>
      </c>
      <c r="C33">
        <v>5</v>
      </c>
    </row>
    <row r="34" spans="1:3" x14ac:dyDescent="0.2">
      <c r="A34" s="63" t="s">
        <v>63</v>
      </c>
      <c r="B34">
        <v>3</v>
      </c>
      <c r="C34">
        <v>1</v>
      </c>
    </row>
    <row r="35" spans="1:3" x14ac:dyDescent="0.2">
      <c r="A35" s="63" t="s">
        <v>64</v>
      </c>
      <c r="B35">
        <v>7</v>
      </c>
      <c r="C35">
        <v>6</v>
      </c>
    </row>
    <row r="36" spans="1:3" x14ac:dyDescent="0.2">
      <c r="A36" s="63" t="s">
        <v>65</v>
      </c>
      <c r="B36">
        <v>40</v>
      </c>
      <c r="C36">
        <v>69</v>
      </c>
    </row>
    <row r="37" spans="1:3" x14ac:dyDescent="0.2">
      <c r="A37" s="63" t="s">
        <v>73</v>
      </c>
      <c r="B37">
        <v>4</v>
      </c>
      <c r="C37">
        <v>9</v>
      </c>
    </row>
    <row r="38" spans="1:3" x14ac:dyDescent="0.2">
      <c r="A38" s="63" t="s">
        <v>66</v>
      </c>
      <c r="B38">
        <v>6</v>
      </c>
      <c r="C38">
        <v>4</v>
      </c>
    </row>
    <row r="39" spans="1:3" x14ac:dyDescent="0.2">
      <c r="A39" s="63" t="s">
        <v>67</v>
      </c>
      <c r="B39">
        <v>50</v>
      </c>
      <c r="C39">
        <v>135</v>
      </c>
    </row>
    <row r="40" spans="1:3" x14ac:dyDescent="0.2">
      <c r="A40" s="63" t="s">
        <v>92</v>
      </c>
      <c r="B40">
        <v>568</v>
      </c>
      <c r="C40">
        <v>893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A2A8B6-DC99-EA49-B083-2DA33E72998A}">
  <sheetPr codeName="Sheet5"/>
  <dimension ref="A1:D11"/>
  <sheetViews>
    <sheetView workbookViewId="0">
      <selection activeCell="C9" sqref="C9"/>
    </sheetView>
  </sheetViews>
  <sheetFormatPr baseColWidth="10" defaultColWidth="11" defaultRowHeight="16" x14ac:dyDescent="0.2"/>
  <cols>
    <col min="1" max="1" width="13" bestFit="1" customWidth="1"/>
    <col min="2" max="2" width="21.1640625" bestFit="1" customWidth="1"/>
    <col min="3" max="3" width="11.83203125" bestFit="1" customWidth="1"/>
    <col min="4" max="4" width="18.83203125" bestFit="1" customWidth="1"/>
  </cols>
  <sheetData>
    <row r="1" spans="1:4" x14ac:dyDescent="0.2">
      <c r="A1" s="62" t="s">
        <v>23</v>
      </c>
      <c r="B1" t="s">
        <v>45</v>
      </c>
    </row>
    <row r="3" spans="1:4" x14ac:dyDescent="0.2">
      <c r="A3" s="62" t="s">
        <v>89</v>
      </c>
      <c r="B3" t="s">
        <v>90</v>
      </c>
      <c r="C3" t="s">
        <v>91</v>
      </c>
      <c r="D3" t="s">
        <v>93</v>
      </c>
    </row>
    <row r="4" spans="1:4" x14ac:dyDescent="0.2">
      <c r="A4" s="63">
        <v>1995</v>
      </c>
      <c r="B4">
        <v>3</v>
      </c>
      <c r="C4">
        <v>3</v>
      </c>
    </row>
    <row r="5" spans="1:4" x14ac:dyDescent="0.2">
      <c r="A5" s="63">
        <v>1999</v>
      </c>
      <c r="B5">
        <v>3</v>
      </c>
      <c r="C5">
        <v>3</v>
      </c>
    </row>
    <row r="6" spans="1:4" x14ac:dyDescent="0.2">
      <c r="A6" s="63">
        <v>2003</v>
      </c>
      <c r="B6">
        <v>3</v>
      </c>
      <c r="C6">
        <v>3</v>
      </c>
      <c r="D6">
        <v>49</v>
      </c>
    </row>
    <row r="7" spans="1:4" x14ac:dyDescent="0.2">
      <c r="A7" s="63">
        <v>2007</v>
      </c>
      <c r="B7">
        <v>4</v>
      </c>
      <c r="C7">
        <v>9</v>
      </c>
      <c r="D7">
        <v>48.3</v>
      </c>
    </row>
    <row r="8" spans="1:4" x14ac:dyDescent="0.2">
      <c r="A8" s="63">
        <v>2011</v>
      </c>
      <c r="B8">
        <v>4</v>
      </c>
      <c r="C8">
        <v>6</v>
      </c>
      <c r="D8">
        <v>53.5</v>
      </c>
    </row>
    <row r="9" spans="1:4" x14ac:dyDescent="0.2">
      <c r="A9" s="63">
        <v>2015</v>
      </c>
      <c r="B9">
        <v>5</v>
      </c>
      <c r="C9">
        <v>5</v>
      </c>
      <c r="D9">
        <v>46.2</v>
      </c>
    </row>
    <row r="10" spans="1:4" x14ac:dyDescent="0.2">
      <c r="A10" s="63">
        <v>2019</v>
      </c>
      <c r="B10">
        <v>4</v>
      </c>
      <c r="C10">
        <v>8</v>
      </c>
      <c r="D10">
        <v>61.3</v>
      </c>
    </row>
    <row r="11" spans="1:4" x14ac:dyDescent="0.2">
      <c r="A11" s="63" t="s">
        <v>92</v>
      </c>
      <c r="B11">
        <v>26</v>
      </c>
      <c r="C11">
        <v>37</v>
      </c>
      <c r="D11">
        <v>51.660000000000004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98F99-263A-E34D-8128-C80B9EDEAD11}">
  <sheetPr codeName="Sheet6"/>
  <dimension ref="A1:T210"/>
  <sheetViews>
    <sheetView topLeftCell="G184" workbookViewId="0">
      <selection activeCell="L194" sqref="L194"/>
    </sheetView>
  </sheetViews>
  <sheetFormatPr baseColWidth="10" defaultColWidth="11" defaultRowHeight="16" x14ac:dyDescent="0.2"/>
  <cols>
    <col min="9" max="9" width="11.5" customWidth="1"/>
    <col min="15" max="15" width="11.5" customWidth="1"/>
  </cols>
  <sheetData>
    <row r="1" spans="1:12" x14ac:dyDescent="0.2">
      <c r="A1" s="12" t="s">
        <v>94</v>
      </c>
    </row>
    <row r="3" spans="1:12" x14ac:dyDescent="0.2">
      <c r="A3" t="s">
        <v>95</v>
      </c>
      <c r="B3" s="2" cm="1">
        <f t="array" ref="B3:B6">LEN(A3:A6)</f>
        <v>5</v>
      </c>
      <c r="C3" s="64" t="s">
        <v>96</v>
      </c>
    </row>
    <row r="4" spans="1:12" x14ac:dyDescent="0.2">
      <c r="A4" t="s">
        <v>97</v>
      </c>
      <c r="B4" s="2">
        <v>6</v>
      </c>
    </row>
    <row r="5" spans="1:12" x14ac:dyDescent="0.2">
      <c r="A5" t="s">
        <v>98</v>
      </c>
      <c r="B5" s="2">
        <v>2</v>
      </c>
    </row>
    <row r="6" spans="1:12" x14ac:dyDescent="0.2">
      <c r="A6" t="s">
        <v>99</v>
      </c>
      <c r="B6" s="2">
        <v>9</v>
      </c>
    </row>
    <row r="7" spans="1:12" ht="17" thickBot="1" x14ac:dyDescent="0.25">
      <c r="B7" s="65" cm="1">
        <f t="array" ref="B7">SUM(LEN(_xlfn.ANCHORARRAY(B3)))</f>
        <v>4</v>
      </c>
    </row>
    <row r="8" spans="1:12" s="66" customFormat="1" ht="17" thickTop="1" x14ac:dyDescent="0.2"/>
    <row r="10" spans="1:12" x14ac:dyDescent="0.2">
      <c r="A10" s="12" t="s">
        <v>100</v>
      </c>
    </row>
    <row r="11" spans="1:12" x14ac:dyDescent="0.2">
      <c r="H11" s="67" t="s">
        <v>101</v>
      </c>
      <c r="K11" s="67" t="s">
        <v>102</v>
      </c>
    </row>
    <row r="12" spans="1:12" x14ac:dyDescent="0.2">
      <c r="A12" s="2" cm="1">
        <f t="array" ref="A12:A147">IF(matches_played=7,1,0)</f>
        <v>0</v>
      </c>
      <c r="B12" t="str">
        <f ca="1">_xlfn.FORMULATEXT(A12)</f>
        <v>=IF(matches_played=7,1,0)</v>
      </c>
      <c r="H12" s="2" cm="1">
        <f t="array" ref="H12:H29">IF(Fire&gt;Water,1,0)</f>
        <v>0</v>
      </c>
      <c r="I12" t="str">
        <f ca="1">_xlfn.FORMULATEXT(H12)</f>
        <v>=IF(Fire&gt;Water,1,0)</v>
      </c>
      <c r="K12" s="2" t="str" cm="1">
        <f t="array" ref="K12:K29">IF(Fire&gt;Water,Attacking,"")</f>
        <v/>
      </c>
      <c r="L12" t="str">
        <f ca="1">_xlfn.FORMULATEXT(K12)</f>
        <v>=IF(Fire&gt;Water,Attacking,"")</v>
      </c>
    </row>
    <row r="13" spans="1:12" x14ac:dyDescent="0.2">
      <c r="A13" s="2">
        <v>0</v>
      </c>
      <c r="H13" s="2">
        <v>0</v>
      </c>
      <c r="K13" s="2" t="str">
        <v/>
      </c>
    </row>
    <row r="14" spans="1:12" x14ac:dyDescent="0.2">
      <c r="A14" s="2">
        <v>0</v>
      </c>
      <c r="B14">
        <v>1</v>
      </c>
      <c r="C14" s="2" cm="1">
        <f t="array" ref="C14">SUM(IF(matches_played=B14,1,0))</f>
        <v>0</v>
      </c>
      <c r="D14" t="str" cm="1">
        <f t="array" aca="1" ref="D14:D20" ca="1">_xlfn.FORMULATEXT(C14:C20)</f>
        <v>=SUM(IF(matches_played=B14,1,0))</v>
      </c>
      <c r="H14" s="2">
        <v>1</v>
      </c>
      <c r="K14" s="2" t="str">
        <v>Water</v>
      </c>
    </row>
    <row r="15" spans="1:12" x14ac:dyDescent="0.2">
      <c r="A15" s="2">
        <v>0</v>
      </c>
      <c r="B15">
        <v>2</v>
      </c>
      <c r="C15" s="2" cm="1">
        <f t="array" ref="C15">SUM(IF(matches_played=B15,1,0))</f>
        <v>0</v>
      </c>
      <c r="D15" t="str">
        <f ca="1"/>
        <v>=SUM(IF(matches_played=B15,1,0))</v>
      </c>
      <c r="H15" s="2">
        <v>0</v>
      </c>
      <c r="K15" s="2" t="str">
        <v/>
      </c>
    </row>
    <row r="16" spans="1:12" x14ac:dyDescent="0.2">
      <c r="A16" s="2">
        <v>0</v>
      </c>
      <c r="B16">
        <v>3</v>
      </c>
      <c r="C16" s="2" cm="1">
        <f t="array" ref="C16">SUM(IF(matches_played=B16,1,0))</f>
        <v>56</v>
      </c>
      <c r="D16" t="str">
        <f ca="1"/>
        <v>=SUM(IF(matches_played=B16,1,0))</v>
      </c>
      <c r="H16" s="2">
        <v>0</v>
      </c>
      <c r="K16" s="2" t="str">
        <v/>
      </c>
    </row>
    <row r="17" spans="1:13" x14ac:dyDescent="0.2">
      <c r="A17" s="2">
        <v>0</v>
      </c>
      <c r="B17">
        <v>4</v>
      </c>
      <c r="C17" s="2" cm="1">
        <f t="array" ref="C17">SUM(IF(matches_played=B17,1,0))</f>
        <v>40</v>
      </c>
      <c r="D17" t="str">
        <f ca="1"/>
        <v>=SUM(IF(matches_played=B17,1,0))</v>
      </c>
      <c r="H17" s="2">
        <v>0</v>
      </c>
      <c r="K17" s="2" t="str">
        <v/>
      </c>
    </row>
    <row r="18" spans="1:13" x14ac:dyDescent="0.2">
      <c r="A18" s="2">
        <v>0</v>
      </c>
      <c r="B18">
        <v>5</v>
      </c>
      <c r="C18" s="2" cm="1">
        <f t="array" ref="C18">SUM(IF(matches_played=B18,1,0))</f>
        <v>8</v>
      </c>
      <c r="D18" t="str">
        <f ca="1"/>
        <v>=SUM(IF(matches_played=B18,1,0))</v>
      </c>
      <c r="H18" s="2">
        <v>0</v>
      </c>
      <c r="K18" s="2" t="str">
        <v/>
      </c>
    </row>
    <row r="19" spans="1:13" x14ac:dyDescent="0.2">
      <c r="A19" s="2">
        <v>1</v>
      </c>
      <c r="B19">
        <v>6</v>
      </c>
      <c r="C19" s="2" cm="1">
        <f t="array" ref="C19">SUM(IF(matches_played=B19,1,0))</f>
        <v>24</v>
      </c>
      <c r="D19" t="str">
        <f ca="1"/>
        <v>=SUM(IF(matches_played=B19,1,0))</v>
      </c>
      <c r="H19" s="2">
        <v>0</v>
      </c>
      <c r="K19" s="2" t="str">
        <v/>
      </c>
    </row>
    <row r="20" spans="1:13" x14ac:dyDescent="0.2">
      <c r="A20" s="2">
        <v>0</v>
      </c>
      <c r="B20">
        <v>7</v>
      </c>
      <c r="C20" s="2" cm="1">
        <f t="array" ref="C20">SUM(IF(matches_played=B20,1,0))</f>
        <v>8</v>
      </c>
      <c r="D20" t="str">
        <f ca="1"/>
        <v>=SUM(IF(matches_played=B20,1,0))</v>
      </c>
      <c r="H20" s="2">
        <v>1</v>
      </c>
      <c r="K20" s="2" t="str">
        <v>Ground</v>
      </c>
    </row>
    <row r="21" spans="1:13" x14ac:dyDescent="0.2">
      <c r="A21" s="2">
        <v>0</v>
      </c>
      <c r="H21" s="2">
        <v>0</v>
      </c>
      <c r="K21" s="2" t="str">
        <v/>
      </c>
    </row>
    <row r="22" spans="1:13" x14ac:dyDescent="0.2">
      <c r="A22" s="2">
        <v>0</v>
      </c>
      <c r="H22" s="2">
        <v>0</v>
      </c>
      <c r="K22" s="2" t="str">
        <v/>
      </c>
    </row>
    <row r="23" spans="1:13" x14ac:dyDescent="0.2">
      <c r="A23" s="2">
        <v>0</v>
      </c>
      <c r="H23" s="2">
        <v>0</v>
      </c>
      <c r="K23" s="2" t="str">
        <v/>
      </c>
    </row>
    <row r="24" spans="1:13" x14ac:dyDescent="0.2">
      <c r="A24" s="2">
        <v>0</v>
      </c>
      <c r="H24" s="2">
        <v>1</v>
      </c>
      <c r="K24" s="2" t="str">
        <v>Rock</v>
      </c>
    </row>
    <row r="25" spans="1:13" x14ac:dyDescent="0.2">
      <c r="A25" s="2">
        <v>0</v>
      </c>
      <c r="H25" s="2">
        <v>0</v>
      </c>
      <c r="K25" s="2" t="str">
        <v/>
      </c>
    </row>
    <row r="26" spans="1:13" x14ac:dyDescent="0.2">
      <c r="A26" s="2">
        <v>1</v>
      </c>
      <c r="H26" s="2">
        <v>0</v>
      </c>
      <c r="K26" s="2" t="str">
        <v/>
      </c>
    </row>
    <row r="27" spans="1:13" x14ac:dyDescent="0.2">
      <c r="A27" s="2">
        <v>0</v>
      </c>
      <c r="H27" s="2">
        <v>0</v>
      </c>
      <c r="K27" s="2" t="str">
        <v/>
      </c>
    </row>
    <row r="28" spans="1:13" x14ac:dyDescent="0.2">
      <c r="A28" s="2">
        <v>0</v>
      </c>
      <c r="H28" s="2">
        <v>0</v>
      </c>
      <c r="K28" s="2" t="str">
        <v/>
      </c>
    </row>
    <row r="29" spans="1:13" x14ac:dyDescent="0.2">
      <c r="A29" s="2">
        <v>0</v>
      </c>
      <c r="H29" s="2">
        <v>0</v>
      </c>
      <c r="K29" s="2" t="str">
        <v/>
      </c>
    </row>
    <row r="30" spans="1:13" ht="17" thickBot="1" x14ac:dyDescent="0.25">
      <c r="A30" s="2">
        <v>0</v>
      </c>
    </row>
    <row r="31" spans="1:13" x14ac:dyDescent="0.2">
      <c r="A31" s="2">
        <v>0</v>
      </c>
      <c r="C31" s="3" t="s">
        <v>103</v>
      </c>
      <c r="D31" s="4" t="s">
        <v>104</v>
      </c>
      <c r="E31" s="4" t="s">
        <v>105</v>
      </c>
      <c r="F31" s="5" t="s">
        <v>106</v>
      </c>
      <c r="I31" t="str">
        <f ca="1">_xlfn.FORMULATEXT(I32)</f>
        <v>=VLOOKUP(H32,lossratios,{2,4},FALSE)</v>
      </c>
      <c r="M31" t="str">
        <f ca="1">_xlfn.FORMULATEXT(M32)</f>
        <v>=AVERAGE(VLOOKUP(H32,lossratios,{2,4},FALSE))</v>
      </c>
    </row>
    <row r="32" spans="1:13" x14ac:dyDescent="0.2">
      <c r="A32" s="2">
        <v>0</v>
      </c>
      <c r="C32" s="6" t="s">
        <v>107</v>
      </c>
      <c r="D32" s="68">
        <v>0.92900000000000005</v>
      </c>
      <c r="E32" s="68">
        <v>0.76500000000000001</v>
      </c>
      <c r="F32" s="69">
        <v>0.94099999999999995</v>
      </c>
      <c r="H32" t="str" cm="1">
        <f t="array" ref="H32:H35">C32:C35</f>
        <v>Motor</v>
      </c>
      <c r="I32" s="2" cm="1">
        <f t="array" ref="I32:J32">VLOOKUP(H32,lossratios,{2,4},FALSE)</f>
        <v>0.92900000000000005</v>
      </c>
      <c r="J32" s="2">
        <v>0.94099999999999995</v>
      </c>
      <c r="M32" s="2" cm="1">
        <f t="array" ref="M32">AVERAGE(VLOOKUP(H32,lossratios,{2,4},FALSE))</f>
        <v>0.93500000000000005</v>
      </c>
    </row>
    <row r="33" spans="1:13" x14ac:dyDescent="0.2">
      <c r="A33" s="2">
        <v>1</v>
      </c>
      <c r="C33" s="6" t="s">
        <v>108</v>
      </c>
      <c r="D33" s="68">
        <v>0.61199999999999999</v>
      </c>
      <c r="E33" s="68">
        <v>0.76100000000000001</v>
      </c>
      <c r="F33" s="69">
        <v>1.093</v>
      </c>
      <c r="H33" t="str">
        <v>Liability</v>
      </c>
      <c r="I33" s="2" cm="1">
        <f t="array" ref="I33:J33">VLOOKUP(H33,lossratios,{2,4},FALSE)</f>
        <v>0.61199999999999999</v>
      </c>
      <c r="J33" s="2">
        <v>1.093</v>
      </c>
      <c r="M33" s="2" cm="1">
        <f t="array" ref="M33">AVERAGE(VLOOKUP(H33,lossratios,{2,4},FALSE))</f>
        <v>0.85250000000000004</v>
      </c>
    </row>
    <row r="34" spans="1:13" x14ac:dyDescent="0.2">
      <c r="A34" s="2">
        <v>0</v>
      </c>
      <c r="C34" s="6" t="s">
        <v>109</v>
      </c>
      <c r="D34" s="68">
        <v>0.871</v>
      </c>
      <c r="E34" s="68">
        <v>0.92800000000000005</v>
      </c>
      <c r="F34" s="69">
        <v>0.65900000000000003</v>
      </c>
      <c r="H34" t="str">
        <v>Life</v>
      </c>
      <c r="I34" s="2" cm="1">
        <f t="array" ref="I34:J34">VLOOKUP(H34,lossratios,{2,4},FALSE)</f>
        <v>0.871</v>
      </c>
      <c r="J34" s="2">
        <v>0.65900000000000003</v>
      </c>
      <c r="M34" s="2" cm="1">
        <f t="array" ref="M34">AVERAGE(VLOOKUP(H34,lossratios,{2,4},FALSE))</f>
        <v>0.76500000000000001</v>
      </c>
    </row>
    <row r="35" spans="1:13" ht="17" thickBot="1" x14ac:dyDescent="0.25">
      <c r="A35" s="2">
        <v>1</v>
      </c>
      <c r="C35" s="8" t="s">
        <v>110</v>
      </c>
      <c r="D35" s="70">
        <v>1.0489999999999999</v>
      </c>
      <c r="E35" s="70">
        <v>0.67500000000000004</v>
      </c>
      <c r="F35" s="71">
        <v>0.96699999999999997</v>
      </c>
      <c r="H35" t="str">
        <v>Property</v>
      </c>
      <c r="I35" s="2" cm="1">
        <f t="array" ref="I35:J35">VLOOKUP(H35,lossratios,{2,4},FALSE)</f>
        <v>1.0489999999999999</v>
      </c>
      <c r="J35" s="2">
        <v>0.96699999999999997</v>
      </c>
      <c r="M35" s="2" cm="1">
        <f t="array" ref="M35">AVERAGE(VLOOKUP(H35,lossratios,{2,4},FALSE))</f>
        <v>1.008</v>
      </c>
    </row>
    <row r="36" spans="1:13" x14ac:dyDescent="0.2">
      <c r="A36" s="2">
        <v>0</v>
      </c>
    </row>
    <row r="37" spans="1:13" x14ac:dyDescent="0.2">
      <c r="A37" s="2">
        <v>0</v>
      </c>
      <c r="H37" t="str">
        <f>C32</f>
        <v>Motor</v>
      </c>
      <c r="I37" s="2" cm="1">
        <f t="array" ref="I37:I38">VLOOKUP(H37,lossratios,{2;4},FALSE)</f>
        <v>0.92900000000000005</v>
      </c>
      <c r="J37" t="str">
        <f ca="1">_xlfn.FORMULATEXT(I37)</f>
        <v>=VLOOKUP(H37,lossratios,{2;4},FALSE)</v>
      </c>
    </row>
    <row r="38" spans="1:13" x14ac:dyDescent="0.2">
      <c r="A38" s="2">
        <v>0</v>
      </c>
      <c r="I38" s="2">
        <v>0.94099999999999995</v>
      </c>
    </row>
    <row r="39" spans="1:13" x14ac:dyDescent="0.2">
      <c r="A39" s="2">
        <v>0</v>
      </c>
    </row>
    <row r="40" spans="1:13" x14ac:dyDescent="0.2">
      <c r="A40" s="2">
        <v>0</v>
      </c>
    </row>
    <row r="41" spans="1:13" hidden="1" x14ac:dyDescent="0.2">
      <c r="A41" s="2">
        <v>0</v>
      </c>
    </row>
    <row r="42" spans="1:13" hidden="1" x14ac:dyDescent="0.2">
      <c r="A42" s="2">
        <v>0</v>
      </c>
    </row>
    <row r="43" spans="1:13" hidden="1" x14ac:dyDescent="0.2">
      <c r="A43" s="2">
        <v>0</v>
      </c>
    </row>
    <row r="44" spans="1:13" hidden="1" x14ac:dyDescent="0.2">
      <c r="A44" s="2">
        <v>0</v>
      </c>
    </row>
    <row r="45" spans="1:13" hidden="1" x14ac:dyDescent="0.2">
      <c r="A45" s="2">
        <v>1</v>
      </c>
    </row>
    <row r="46" spans="1:13" hidden="1" x14ac:dyDescent="0.2">
      <c r="A46" s="2">
        <v>0</v>
      </c>
    </row>
    <row r="47" spans="1:13" hidden="1" x14ac:dyDescent="0.2">
      <c r="A47" s="2">
        <v>1</v>
      </c>
    </row>
    <row r="48" spans="1:13" hidden="1" x14ac:dyDescent="0.2">
      <c r="A48" s="2">
        <v>1</v>
      </c>
    </row>
    <row r="49" spans="1:1" hidden="1" x14ac:dyDescent="0.2">
      <c r="A49" s="2">
        <v>0</v>
      </c>
    </row>
    <row r="50" spans="1:1" hidden="1" x14ac:dyDescent="0.2">
      <c r="A50" s="2">
        <v>0</v>
      </c>
    </row>
    <row r="51" spans="1:1" hidden="1" x14ac:dyDescent="0.2">
      <c r="A51" s="2">
        <v>0</v>
      </c>
    </row>
    <row r="52" spans="1:1" hidden="1" x14ac:dyDescent="0.2">
      <c r="A52" s="2">
        <v>0</v>
      </c>
    </row>
    <row r="53" spans="1:1" hidden="1" x14ac:dyDescent="0.2">
      <c r="A53" s="2">
        <v>0</v>
      </c>
    </row>
    <row r="54" spans="1:1" hidden="1" x14ac:dyDescent="0.2">
      <c r="A54" s="2">
        <v>0</v>
      </c>
    </row>
    <row r="55" spans="1:1" hidden="1" x14ac:dyDescent="0.2">
      <c r="A55" s="2">
        <v>0</v>
      </c>
    </row>
    <row r="56" spans="1:1" hidden="1" x14ac:dyDescent="0.2">
      <c r="A56" s="2">
        <v>0</v>
      </c>
    </row>
    <row r="57" spans="1:1" hidden="1" x14ac:dyDescent="0.2">
      <c r="A57" s="2">
        <v>0</v>
      </c>
    </row>
    <row r="58" spans="1:1" hidden="1" x14ac:dyDescent="0.2">
      <c r="A58" s="2">
        <v>0</v>
      </c>
    </row>
    <row r="59" spans="1:1" hidden="1" x14ac:dyDescent="0.2">
      <c r="A59" s="2">
        <v>1</v>
      </c>
    </row>
    <row r="60" spans="1:1" hidden="1" x14ac:dyDescent="0.2">
      <c r="A60" s="2">
        <v>0</v>
      </c>
    </row>
    <row r="61" spans="1:1" hidden="1" x14ac:dyDescent="0.2">
      <c r="A61" s="2">
        <v>0</v>
      </c>
    </row>
    <row r="62" spans="1:1" hidden="1" x14ac:dyDescent="0.2">
      <c r="A62" s="2">
        <v>0</v>
      </c>
    </row>
    <row r="63" spans="1:1" hidden="1" x14ac:dyDescent="0.2">
      <c r="A63" s="2">
        <v>0</v>
      </c>
    </row>
    <row r="64" spans="1:1" hidden="1" x14ac:dyDescent="0.2">
      <c r="A64" s="2">
        <v>0</v>
      </c>
    </row>
    <row r="65" spans="1:1" hidden="1" x14ac:dyDescent="0.2">
      <c r="A65" s="2">
        <v>0</v>
      </c>
    </row>
    <row r="66" spans="1:1" hidden="1" x14ac:dyDescent="0.2">
      <c r="A66" s="2">
        <v>0</v>
      </c>
    </row>
    <row r="67" spans="1:1" hidden="1" x14ac:dyDescent="0.2">
      <c r="A67" s="2">
        <v>0</v>
      </c>
    </row>
    <row r="68" spans="1:1" hidden="1" x14ac:dyDescent="0.2">
      <c r="A68" s="2">
        <v>0</v>
      </c>
    </row>
    <row r="69" spans="1:1" hidden="1" x14ac:dyDescent="0.2">
      <c r="A69" s="2">
        <v>0</v>
      </c>
    </row>
    <row r="70" spans="1:1" hidden="1" x14ac:dyDescent="0.2">
      <c r="A70" s="2">
        <v>0</v>
      </c>
    </row>
    <row r="71" spans="1:1" hidden="1" x14ac:dyDescent="0.2">
      <c r="A71" s="2">
        <v>0</v>
      </c>
    </row>
    <row r="72" spans="1:1" hidden="1" x14ac:dyDescent="0.2">
      <c r="A72" s="2">
        <v>0</v>
      </c>
    </row>
    <row r="73" spans="1:1" hidden="1" x14ac:dyDescent="0.2">
      <c r="A73" s="2">
        <v>0</v>
      </c>
    </row>
    <row r="74" spans="1:1" hidden="1" x14ac:dyDescent="0.2">
      <c r="A74" s="2">
        <v>0</v>
      </c>
    </row>
    <row r="75" spans="1:1" hidden="1" x14ac:dyDescent="0.2">
      <c r="A75" s="2">
        <v>0</v>
      </c>
    </row>
    <row r="76" spans="1:1" hidden="1" x14ac:dyDescent="0.2">
      <c r="A76" s="2">
        <v>0</v>
      </c>
    </row>
    <row r="77" spans="1:1" hidden="1" x14ac:dyDescent="0.2">
      <c r="A77" s="2">
        <v>0</v>
      </c>
    </row>
    <row r="78" spans="1:1" hidden="1" x14ac:dyDescent="0.2">
      <c r="A78" s="2">
        <v>0</v>
      </c>
    </row>
    <row r="79" spans="1:1" hidden="1" x14ac:dyDescent="0.2">
      <c r="A79" s="2">
        <v>0</v>
      </c>
    </row>
    <row r="80" spans="1:1" hidden="1" x14ac:dyDescent="0.2">
      <c r="A80" s="2">
        <v>0</v>
      </c>
    </row>
    <row r="81" spans="1:1" hidden="1" x14ac:dyDescent="0.2">
      <c r="A81" s="2">
        <v>0</v>
      </c>
    </row>
    <row r="82" spans="1:1" hidden="1" x14ac:dyDescent="0.2">
      <c r="A82" s="2">
        <v>0</v>
      </c>
    </row>
    <row r="83" spans="1:1" hidden="1" x14ac:dyDescent="0.2">
      <c r="A83" s="2">
        <v>0</v>
      </c>
    </row>
    <row r="84" spans="1:1" hidden="1" x14ac:dyDescent="0.2">
      <c r="A84" s="2">
        <v>0</v>
      </c>
    </row>
    <row r="85" spans="1:1" hidden="1" x14ac:dyDescent="0.2">
      <c r="A85" s="2">
        <v>0</v>
      </c>
    </row>
    <row r="86" spans="1:1" hidden="1" x14ac:dyDescent="0.2">
      <c r="A86" s="2">
        <v>0</v>
      </c>
    </row>
    <row r="87" spans="1:1" hidden="1" x14ac:dyDescent="0.2">
      <c r="A87" s="2">
        <v>0</v>
      </c>
    </row>
    <row r="88" spans="1:1" hidden="1" x14ac:dyDescent="0.2">
      <c r="A88" s="2">
        <v>0</v>
      </c>
    </row>
    <row r="89" spans="1:1" hidden="1" x14ac:dyDescent="0.2">
      <c r="A89" s="2">
        <v>0</v>
      </c>
    </row>
    <row r="90" spans="1:1" hidden="1" x14ac:dyDescent="0.2">
      <c r="A90" s="2">
        <v>0</v>
      </c>
    </row>
    <row r="91" spans="1:1" hidden="1" x14ac:dyDescent="0.2">
      <c r="A91" s="2">
        <v>0</v>
      </c>
    </row>
    <row r="92" spans="1:1" hidden="1" x14ac:dyDescent="0.2">
      <c r="A92" s="2">
        <v>0</v>
      </c>
    </row>
    <row r="93" spans="1:1" hidden="1" x14ac:dyDescent="0.2">
      <c r="A93" s="2">
        <v>0</v>
      </c>
    </row>
    <row r="94" spans="1:1" hidden="1" x14ac:dyDescent="0.2">
      <c r="A94" s="2">
        <v>0</v>
      </c>
    </row>
    <row r="95" spans="1:1" hidden="1" x14ac:dyDescent="0.2">
      <c r="A95" s="2">
        <v>0</v>
      </c>
    </row>
    <row r="96" spans="1:1" hidden="1" x14ac:dyDescent="0.2">
      <c r="A96" s="2">
        <v>0</v>
      </c>
    </row>
    <row r="97" spans="1:1" hidden="1" x14ac:dyDescent="0.2">
      <c r="A97" s="2">
        <v>0</v>
      </c>
    </row>
    <row r="98" spans="1:1" hidden="1" x14ac:dyDescent="0.2">
      <c r="A98" s="2">
        <v>0</v>
      </c>
    </row>
    <row r="99" spans="1:1" hidden="1" x14ac:dyDescent="0.2">
      <c r="A99" s="2">
        <v>0</v>
      </c>
    </row>
    <row r="100" spans="1:1" hidden="1" x14ac:dyDescent="0.2">
      <c r="A100" s="2">
        <v>0</v>
      </c>
    </row>
    <row r="101" spans="1:1" hidden="1" x14ac:dyDescent="0.2">
      <c r="A101" s="2">
        <v>0</v>
      </c>
    </row>
    <row r="102" spans="1:1" hidden="1" x14ac:dyDescent="0.2">
      <c r="A102" s="2">
        <v>0</v>
      </c>
    </row>
    <row r="103" spans="1:1" hidden="1" x14ac:dyDescent="0.2">
      <c r="A103" s="2">
        <v>0</v>
      </c>
    </row>
    <row r="104" spans="1:1" hidden="1" x14ac:dyDescent="0.2">
      <c r="A104" s="2">
        <v>0</v>
      </c>
    </row>
    <row r="105" spans="1:1" hidden="1" x14ac:dyDescent="0.2">
      <c r="A105" s="2">
        <v>0</v>
      </c>
    </row>
    <row r="106" spans="1:1" hidden="1" x14ac:dyDescent="0.2">
      <c r="A106" s="2">
        <v>0</v>
      </c>
    </row>
    <row r="107" spans="1:1" hidden="1" x14ac:dyDescent="0.2">
      <c r="A107" s="2">
        <v>0</v>
      </c>
    </row>
    <row r="108" spans="1:1" hidden="1" x14ac:dyDescent="0.2">
      <c r="A108" s="2">
        <v>0</v>
      </c>
    </row>
    <row r="109" spans="1:1" hidden="1" x14ac:dyDescent="0.2">
      <c r="A109" s="2">
        <v>0</v>
      </c>
    </row>
    <row r="110" spans="1:1" hidden="1" x14ac:dyDescent="0.2">
      <c r="A110" s="2">
        <v>0</v>
      </c>
    </row>
    <row r="111" spans="1:1" hidden="1" x14ac:dyDescent="0.2">
      <c r="A111" s="2">
        <v>0</v>
      </c>
    </row>
    <row r="112" spans="1:1" hidden="1" x14ac:dyDescent="0.2">
      <c r="A112" s="2">
        <v>0</v>
      </c>
    </row>
    <row r="113" spans="1:1" hidden="1" x14ac:dyDescent="0.2">
      <c r="A113" s="2">
        <v>0</v>
      </c>
    </row>
    <row r="114" spans="1:1" hidden="1" x14ac:dyDescent="0.2">
      <c r="A114" s="2">
        <v>0</v>
      </c>
    </row>
    <row r="115" spans="1:1" hidden="1" x14ac:dyDescent="0.2">
      <c r="A115" s="2">
        <v>0</v>
      </c>
    </row>
    <row r="116" spans="1:1" hidden="1" x14ac:dyDescent="0.2">
      <c r="A116" s="2">
        <v>0</v>
      </c>
    </row>
    <row r="117" spans="1:1" hidden="1" x14ac:dyDescent="0.2">
      <c r="A117" s="2">
        <v>0</v>
      </c>
    </row>
    <row r="118" spans="1:1" hidden="1" x14ac:dyDescent="0.2">
      <c r="A118" s="2">
        <v>0</v>
      </c>
    </row>
    <row r="119" spans="1:1" hidden="1" x14ac:dyDescent="0.2">
      <c r="A119" s="2">
        <v>0</v>
      </c>
    </row>
    <row r="120" spans="1:1" hidden="1" x14ac:dyDescent="0.2">
      <c r="A120" s="2">
        <v>0</v>
      </c>
    </row>
    <row r="121" spans="1:1" hidden="1" x14ac:dyDescent="0.2">
      <c r="A121" s="2">
        <v>0</v>
      </c>
    </row>
    <row r="122" spans="1:1" hidden="1" x14ac:dyDescent="0.2">
      <c r="A122" s="2">
        <v>0</v>
      </c>
    </row>
    <row r="123" spans="1:1" hidden="1" x14ac:dyDescent="0.2">
      <c r="A123" s="2">
        <v>0</v>
      </c>
    </row>
    <row r="124" spans="1:1" hidden="1" x14ac:dyDescent="0.2">
      <c r="A124" s="2">
        <v>0</v>
      </c>
    </row>
    <row r="125" spans="1:1" hidden="1" x14ac:dyDescent="0.2">
      <c r="A125" s="2">
        <v>0</v>
      </c>
    </row>
    <row r="126" spans="1:1" hidden="1" x14ac:dyDescent="0.2">
      <c r="A126" s="2">
        <v>0</v>
      </c>
    </row>
    <row r="127" spans="1:1" hidden="1" x14ac:dyDescent="0.2">
      <c r="A127" s="2">
        <v>0</v>
      </c>
    </row>
    <row r="128" spans="1:1" hidden="1" x14ac:dyDescent="0.2">
      <c r="A128" s="2">
        <v>0</v>
      </c>
    </row>
    <row r="129" spans="1:1" hidden="1" x14ac:dyDescent="0.2">
      <c r="A129" s="2">
        <v>0</v>
      </c>
    </row>
    <row r="130" spans="1:1" hidden="1" x14ac:dyDescent="0.2">
      <c r="A130" s="2">
        <v>0</v>
      </c>
    </row>
    <row r="131" spans="1:1" hidden="1" x14ac:dyDescent="0.2">
      <c r="A131" s="2">
        <v>0</v>
      </c>
    </row>
    <row r="132" spans="1:1" hidden="1" x14ac:dyDescent="0.2">
      <c r="A132" s="2">
        <v>0</v>
      </c>
    </row>
    <row r="133" spans="1:1" hidden="1" x14ac:dyDescent="0.2">
      <c r="A133" s="2">
        <v>0</v>
      </c>
    </row>
    <row r="134" spans="1:1" hidden="1" x14ac:dyDescent="0.2">
      <c r="A134" s="2">
        <v>0</v>
      </c>
    </row>
    <row r="135" spans="1:1" hidden="1" x14ac:dyDescent="0.2">
      <c r="A135" s="2">
        <v>0</v>
      </c>
    </row>
    <row r="136" spans="1:1" hidden="1" x14ac:dyDescent="0.2">
      <c r="A136" s="2">
        <v>0</v>
      </c>
    </row>
    <row r="137" spans="1:1" hidden="1" x14ac:dyDescent="0.2">
      <c r="A137" s="2">
        <v>0</v>
      </c>
    </row>
    <row r="138" spans="1:1" hidden="1" x14ac:dyDescent="0.2">
      <c r="A138" s="2">
        <v>0</v>
      </c>
    </row>
    <row r="139" spans="1:1" hidden="1" x14ac:dyDescent="0.2">
      <c r="A139" s="2">
        <v>0</v>
      </c>
    </row>
    <row r="140" spans="1:1" hidden="1" x14ac:dyDescent="0.2">
      <c r="A140" s="2">
        <v>0</v>
      </c>
    </row>
    <row r="141" spans="1:1" hidden="1" x14ac:dyDescent="0.2">
      <c r="A141" s="2">
        <v>0</v>
      </c>
    </row>
    <row r="142" spans="1:1" hidden="1" x14ac:dyDescent="0.2">
      <c r="A142" s="2">
        <v>0</v>
      </c>
    </row>
    <row r="143" spans="1:1" hidden="1" x14ac:dyDescent="0.2">
      <c r="A143" s="2">
        <v>0</v>
      </c>
    </row>
    <row r="144" spans="1:1" x14ac:dyDescent="0.2">
      <c r="A144" s="2">
        <v>0</v>
      </c>
    </row>
    <row r="145" spans="1:12" x14ac:dyDescent="0.2">
      <c r="A145" s="2">
        <v>0</v>
      </c>
    </row>
    <row r="146" spans="1:12" x14ac:dyDescent="0.2">
      <c r="A146" s="2">
        <v>0</v>
      </c>
    </row>
    <row r="147" spans="1:12" x14ac:dyDescent="0.2">
      <c r="A147" s="2">
        <v>0</v>
      </c>
    </row>
    <row r="149" spans="1:12" s="1" customFormat="1" x14ac:dyDescent="0.2"/>
    <row r="150" spans="1:12" x14ac:dyDescent="0.2">
      <c r="A150" s="12" t="s">
        <v>111</v>
      </c>
    </row>
    <row r="152" spans="1:12" x14ac:dyDescent="0.2">
      <c r="A152" s="2">
        <f>H12</f>
        <v>0</v>
      </c>
      <c r="B152" t="str">
        <f ca="1">_xlfn.FORMULATEXT(A152)</f>
        <v>=H12</v>
      </c>
      <c r="C152" s="2" cm="1">
        <f t="array" ref="C152:C169">_xlfn.ANCHORARRAY(H12)</f>
        <v>0</v>
      </c>
      <c r="D152" t="str">
        <f ca="1">_xlfn.FORMULATEXT(C152)</f>
        <v>=H12#</v>
      </c>
      <c r="E152" s="2">
        <f>SUM(H12)</f>
        <v>0</v>
      </c>
      <c r="F152" t="str">
        <f ca="1">_xlfn.FORMULATEXT(E152)</f>
        <v>=SUM(H12)</v>
      </c>
      <c r="H152" s="2" cm="1">
        <f t="array" ref="H152:H156">_xlfn.SEQUENCE(5)</f>
        <v>1</v>
      </c>
      <c r="I152" t="str">
        <f ca="1">_xlfn.FORMULATEXT(H152)</f>
        <v>=SEQUENCE(5)</v>
      </c>
      <c r="K152" s="2">
        <f>SUM(H152:H156)</f>
        <v>15</v>
      </c>
      <c r="L152" t="str">
        <f ca="1">_xlfn.FORMULATEXT(K152)</f>
        <v>=SUM(H152:H156)</v>
      </c>
    </row>
    <row r="153" spans="1:12" x14ac:dyDescent="0.2">
      <c r="C153" s="2">
        <v>0</v>
      </c>
      <c r="E153" s="2">
        <f>SUM(_xlfn.ANCHORARRAY(H12))</f>
        <v>3</v>
      </c>
      <c r="F153" t="str">
        <f ca="1">_xlfn.FORMULATEXT(E153)</f>
        <v>=SUM(H12#)</v>
      </c>
      <c r="H153" s="2">
        <v>2</v>
      </c>
      <c r="K153" s="2">
        <f>SUM(_xlfn.ANCHORARRAY(H152))</f>
        <v>15</v>
      </c>
      <c r="L153" t="str">
        <f ca="1">_xlfn.FORMULATEXT(K153)</f>
        <v>=SUM(H152#)</v>
      </c>
    </row>
    <row r="154" spans="1:12" x14ac:dyDescent="0.2">
      <c r="C154" s="2">
        <v>1</v>
      </c>
      <c r="H154" s="2">
        <v>3</v>
      </c>
    </row>
    <row r="155" spans="1:12" x14ac:dyDescent="0.2">
      <c r="C155" s="2">
        <v>0</v>
      </c>
      <c r="H155" s="2">
        <v>4</v>
      </c>
      <c r="J155" s="12" t="s">
        <v>112</v>
      </c>
    </row>
    <row r="156" spans="1:12" x14ac:dyDescent="0.2">
      <c r="C156" s="2">
        <v>0</v>
      </c>
      <c r="H156" s="2">
        <v>5</v>
      </c>
    </row>
    <row r="157" spans="1:12" x14ac:dyDescent="0.2">
      <c r="C157" s="2">
        <v>0</v>
      </c>
    </row>
    <row r="158" spans="1:12" x14ac:dyDescent="0.2">
      <c r="C158" s="2">
        <v>0</v>
      </c>
    </row>
    <row r="159" spans="1:12" x14ac:dyDescent="0.2">
      <c r="C159" s="2">
        <v>0</v>
      </c>
    </row>
    <row r="160" spans="1:12" x14ac:dyDescent="0.2">
      <c r="C160" s="2">
        <v>1</v>
      </c>
    </row>
    <row r="161" spans="1:7" x14ac:dyDescent="0.2">
      <c r="C161" s="2">
        <v>0</v>
      </c>
    </row>
    <row r="162" spans="1:7" x14ac:dyDescent="0.2">
      <c r="C162" s="2">
        <v>0</v>
      </c>
    </row>
    <row r="163" spans="1:7" x14ac:dyDescent="0.2">
      <c r="C163" s="2">
        <v>0</v>
      </c>
    </row>
    <row r="164" spans="1:7" x14ac:dyDescent="0.2">
      <c r="C164" s="2">
        <v>1</v>
      </c>
    </row>
    <row r="165" spans="1:7" x14ac:dyDescent="0.2">
      <c r="C165" s="2">
        <v>0</v>
      </c>
    </row>
    <row r="166" spans="1:7" x14ac:dyDescent="0.2">
      <c r="C166" s="2">
        <v>0</v>
      </c>
    </row>
    <row r="167" spans="1:7" x14ac:dyDescent="0.2">
      <c r="C167" s="2">
        <v>0</v>
      </c>
    </row>
    <row r="168" spans="1:7" x14ac:dyDescent="0.2">
      <c r="C168" s="2">
        <v>0</v>
      </c>
    </row>
    <row r="169" spans="1:7" x14ac:dyDescent="0.2">
      <c r="C169" s="2">
        <v>0</v>
      </c>
    </row>
    <row r="171" spans="1:7" s="1" customFormat="1" x14ac:dyDescent="0.2"/>
    <row r="172" spans="1:7" x14ac:dyDescent="0.2">
      <c r="A172" s="12" t="s">
        <v>113</v>
      </c>
    </row>
    <row r="174" spans="1:7" x14ac:dyDescent="0.2">
      <c r="A174" s="67" t="s">
        <v>114</v>
      </c>
    </row>
    <row r="176" spans="1:7" x14ac:dyDescent="0.2">
      <c r="A176" s="2" t="str" cm="1">
        <f t="array" ref="A176:A182">_xlfn.UNIQUE(IF(matches_played=7,squad,""))</f>
        <v/>
      </c>
      <c r="B176" t="str">
        <f ca="1">_xlfn.FORMULATEXT(A176)</f>
        <v>=UNIQUE(IF(matches_played=7,squad,""))</v>
      </c>
      <c r="F176" s="2" t="str" cm="1">
        <f t="array" ref="F176:F181">_xlfn.UNIQUE(_xlfn._xlws.FILTER(squad,matches_played=7))</f>
        <v>England</v>
      </c>
      <c r="G176" t="str">
        <f ca="1">_xlfn.FORMULATEXT(F176)</f>
        <v>=UNIQUE(FILTER(squad,matches_played=7))</v>
      </c>
    </row>
    <row r="177" spans="1:18" x14ac:dyDescent="0.2">
      <c r="A177" s="2" t="str">
        <v>England</v>
      </c>
      <c r="F177" s="2" t="str">
        <v>Netherlands</v>
      </c>
    </row>
    <row r="178" spans="1:18" x14ac:dyDescent="0.2">
      <c r="A178" s="2" t="str">
        <v>Netherlands</v>
      </c>
      <c r="F178" s="2" t="str">
        <v>Sweden</v>
      </c>
    </row>
    <row r="179" spans="1:18" x14ac:dyDescent="0.2">
      <c r="A179" s="2" t="str">
        <v>Sweden</v>
      </c>
      <c r="F179" s="2" t="str">
        <v>USA</v>
      </c>
    </row>
    <row r="180" spans="1:18" x14ac:dyDescent="0.2">
      <c r="A180" s="2" t="str">
        <v>USA</v>
      </c>
      <c r="F180" s="2" t="str">
        <v>Germany</v>
      </c>
    </row>
    <row r="181" spans="1:18" x14ac:dyDescent="0.2">
      <c r="A181" s="2" t="str">
        <v>Germany</v>
      </c>
      <c r="F181" s="2" t="str">
        <v>Japan</v>
      </c>
    </row>
    <row r="182" spans="1:18" x14ac:dyDescent="0.2">
      <c r="A182" s="2" t="str">
        <v>Japan</v>
      </c>
    </row>
    <row r="183" spans="1:18" s="74" customFormat="1" x14ac:dyDescent="0.2"/>
    <row r="185" spans="1:18" x14ac:dyDescent="0.2">
      <c r="A185" s="12" t="s">
        <v>115</v>
      </c>
      <c r="H185" s="12" t="s">
        <v>116</v>
      </c>
    </row>
    <row r="186" spans="1:18" x14ac:dyDescent="0.2">
      <c r="H186" s="67" t="s">
        <v>117</v>
      </c>
    </row>
    <row r="187" spans="1:18" x14ac:dyDescent="0.2">
      <c r="B187" s="75" t="str" cm="1">
        <f t="array" ref="B187:E191">lossratios</f>
        <v>Loss ratios</v>
      </c>
      <c r="C187" s="76" t="str">
        <v>NSW</v>
      </c>
      <c r="D187" s="76" t="str">
        <v>VIC</v>
      </c>
      <c r="E187" s="77" t="str">
        <v>ACT</v>
      </c>
      <c r="H187" t="str">
        <f ca="1">_xlfn.FORMULATEXT(H188)</f>
        <v>=VLOOKUP(products,B188:E191,4, FALSE)</v>
      </c>
      <c r="M187" s="67" t="s">
        <v>118</v>
      </c>
    </row>
    <row r="188" spans="1:18" x14ac:dyDescent="0.2">
      <c r="B188" s="78" t="str">
        <v>Motor</v>
      </c>
      <c r="C188">
        <v>0.92900000000000005</v>
      </c>
      <c r="D188">
        <v>0.76500000000000001</v>
      </c>
      <c r="E188" s="79">
        <v>0.94099999999999995</v>
      </c>
      <c r="H188" s="2" cm="1">
        <f t="array" ref="H188:H192">VLOOKUP(products,B188:E191,4, FALSE)</f>
        <v>0.94099999999999995</v>
      </c>
      <c r="M188" s="67" t="s">
        <v>119</v>
      </c>
    </row>
    <row r="189" spans="1:18" x14ac:dyDescent="0.2">
      <c r="B189" s="78" t="str">
        <v>Liability</v>
      </c>
      <c r="C189">
        <v>0.61199999999999999</v>
      </c>
      <c r="D189">
        <v>0.76100000000000001</v>
      </c>
      <c r="E189" s="79">
        <v>1.093</v>
      </c>
      <c r="H189" s="2">
        <v>0.65900000000000003</v>
      </c>
      <c r="I189" t="s">
        <v>120</v>
      </c>
      <c r="M189" t="str">
        <f ca="1">_xlfn.FORMULATEXT(M190)</f>
        <v>=VLOOKUP(E197,B188:E191,{2,4;1,3;4,2},FALSE)</v>
      </c>
    </row>
    <row r="190" spans="1:18" x14ac:dyDescent="0.2">
      <c r="B190" s="78" t="str">
        <v>Life</v>
      </c>
      <c r="C190">
        <v>0.871</v>
      </c>
      <c r="D190">
        <v>0.92800000000000005</v>
      </c>
      <c r="E190" s="79">
        <v>0.65900000000000003</v>
      </c>
      <c r="H190" s="2">
        <v>1.093</v>
      </c>
      <c r="I190" t="s">
        <v>121</v>
      </c>
      <c r="M190" s="2" cm="1">
        <f t="array" ref="M190:N192">VLOOKUP(E197,B188:E191,{2,4;1,3;4,2},FALSE)</f>
        <v>0.92900000000000005</v>
      </c>
      <c r="N190" s="2">
        <v>0.94099999999999995</v>
      </c>
      <c r="O190" t="s">
        <v>122</v>
      </c>
      <c r="P190" s="67"/>
      <c r="Q190" s="67"/>
      <c r="R190" s="67"/>
    </row>
    <row r="191" spans="1:18" x14ac:dyDescent="0.2">
      <c r="B191" s="80" t="str">
        <v>Property</v>
      </c>
      <c r="C191" s="74">
        <v>1.0489999999999999</v>
      </c>
      <c r="D191" s="74">
        <v>0.67500000000000004</v>
      </c>
      <c r="E191" s="81">
        <v>0.96699999999999997</v>
      </c>
      <c r="H191" s="2">
        <v>0.96699999999999997</v>
      </c>
      <c r="I191" t="s">
        <v>123</v>
      </c>
      <c r="M191" s="2" t="str">
        <v>Motor</v>
      </c>
      <c r="N191" s="2">
        <v>0.76500000000000001</v>
      </c>
      <c r="O191" t="s">
        <v>124</v>
      </c>
      <c r="P191" s="67"/>
      <c r="Q191" s="67"/>
      <c r="R191" s="67"/>
    </row>
    <row r="192" spans="1:18" x14ac:dyDescent="0.2">
      <c r="H192" t="e">
        <v>#N/A</v>
      </c>
      <c r="I192" t="s">
        <v>125</v>
      </c>
      <c r="M192" s="2">
        <v>0.94099999999999995</v>
      </c>
      <c r="N192" s="2">
        <v>0.92900000000000005</v>
      </c>
      <c r="O192" t="s">
        <v>126</v>
      </c>
      <c r="P192" s="67"/>
      <c r="Q192" s="67"/>
      <c r="R192" s="67"/>
    </row>
    <row r="195" spans="5:20" x14ac:dyDescent="0.2">
      <c r="H195" s="85" t="s">
        <v>127</v>
      </c>
    </row>
    <row r="196" spans="5:20" x14ac:dyDescent="0.2">
      <c r="E196" s="82" t="s">
        <v>128</v>
      </c>
      <c r="H196" s="67" t="s">
        <v>129</v>
      </c>
      <c r="N196" s="86" t="s">
        <v>130</v>
      </c>
      <c r="R196" s="67" t="s">
        <v>131</v>
      </c>
    </row>
    <row r="197" spans="5:20" x14ac:dyDescent="0.2">
      <c r="E197" s="83" t="s">
        <v>107</v>
      </c>
      <c r="H197" t="str">
        <f ca="1">_xlfn.FORMULATEXT(H198)</f>
        <v>=XLOOKUP(products,loss_ratios,E188:E191,"No such product")</v>
      </c>
      <c r="N197" s="88" t="str">
        <f ca="1">_xlfn.FORMULATEXT(N198)</f>
        <v>=MATCH(B188,loss_ratios,0)</v>
      </c>
      <c r="T197" s="88" t="str">
        <f ca="1">_xlfn.FORMULATEXT(T198)</f>
        <v>=INDEX(C$188:C$191,MATCH(B188,loss_ratios,0))</v>
      </c>
    </row>
    <row r="198" spans="5:20" x14ac:dyDescent="0.2">
      <c r="E198" s="83" t="s">
        <v>109</v>
      </c>
      <c r="H198" s="2" cm="1">
        <f t="array" ref="H198:H202">_xlfn.XLOOKUP(products,loss_ratios,E188:E191,"No such product")</f>
        <v>0.94099999999999995</v>
      </c>
      <c r="N198" s="2">
        <f>MATCH(B188,loss_ratios,0)</f>
        <v>1</v>
      </c>
      <c r="T198" s="2">
        <f>INDEX(C$188:C$191,MATCH(B188,loss_ratios,0))</f>
        <v>0.92900000000000005</v>
      </c>
    </row>
    <row r="199" spans="5:20" x14ac:dyDescent="0.2">
      <c r="E199" s="83" t="s">
        <v>108</v>
      </c>
      <c r="H199" s="2">
        <v>0.65900000000000003</v>
      </c>
      <c r="I199" t="s">
        <v>132</v>
      </c>
      <c r="N199" s="2">
        <f t="shared" ref="N199:N201" si="0">MATCH(B189,B$188:B$191,0)</f>
        <v>2</v>
      </c>
      <c r="T199" s="2">
        <f>INDEX(C$188:C$191,MATCH(B189,B$188:B$191,0))</f>
        <v>0.61199999999999999</v>
      </c>
    </row>
    <row r="200" spans="5:20" x14ac:dyDescent="0.2">
      <c r="E200" s="83" t="s">
        <v>110</v>
      </c>
      <c r="H200" s="2">
        <v>1.093</v>
      </c>
      <c r="I200" t="s">
        <v>133</v>
      </c>
      <c r="N200" s="2">
        <f t="shared" si="0"/>
        <v>3</v>
      </c>
      <c r="T200" s="2">
        <f>INDEX(C$188:C$191,MATCH(B190,B$188:B$191,0))</f>
        <v>0.871</v>
      </c>
    </row>
    <row r="201" spans="5:20" x14ac:dyDescent="0.2">
      <c r="E201" s="84" t="s">
        <v>134</v>
      </c>
      <c r="H201" s="2">
        <v>0.96699999999999997</v>
      </c>
      <c r="N201" s="2">
        <f t="shared" si="0"/>
        <v>4</v>
      </c>
      <c r="T201" s="2">
        <f>INDEX(C$188:C$191,MATCH(B191,B$188:B$191,0))</f>
        <v>1.0489999999999999</v>
      </c>
    </row>
    <row r="202" spans="5:20" x14ac:dyDescent="0.2">
      <c r="H202" s="2" t="str">
        <v>No such product</v>
      </c>
    </row>
    <row r="203" spans="5:20" x14ac:dyDescent="0.2">
      <c r="N203" s="12" t="s">
        <v>135</v>
      </c>
      <c r="O203" s="67" t="s">
        <v>136</v>
      </c>
    </row>
    <row r="204" spans="5:20" x14ac:dyDescent="0.2">
      <c r="H204" t="s">
        <v>137</v>
      </c>
      <c r="N204" t="str">
        <f ca="1">_xlfn.FORMULATEXT(N205)</f>
        <v>=INDEX(products,2)</v>
      </c>
    </row>
    <row r="205" spans="5:20" x14ac:dyDescent="0.2">
      <c r="H205" s="67" t="s">
        <v>138</v>
      </c>
      <c r="J205" s="67" t="s">
        <v>139</v>
      </c>
      <c r="N205" s="2" t="str">
        <f>INDEX(products,2)</f>
        <v>Life</v>
      </c>
    </row>
    <row r="206" spans="5:20" x14ac:dyDescent="0.2">
      <c r="H206" s="2">
        <f>_xlfn.XLOOKUP("Argentina",squad, goals,,0,1)</f>
        <v>2</v>
      </c>
      <c r="I206" t="str">
        <f ca="1">_xlfn.FORMULATEXT(H206)</f>
        <v>=XLOOKUP("Argentina",squad, goals,,0,1)</v>
      </c>
    </row>
    <row r="207" spans="5:20" x14ac:dyDescent="0.2">
      <c r="H207" s="2">
        <f>_xlfn.XLOOKUP("Argentina",squad, goals,,0,-1)</f>
        <v>1</v>
      </c>
      <c r="I207" t="str">
        <f ca="1">_xlfn.FORMULATEXT(H207)</f>
        <v>=XLOOKUP("Argentina",squad, goals,,0,-1)</v>
      </c>
    </row>
    <row r="208" spans="5:20" x14ac:dyDescent="0.2">
      <c r="N208" s="87" t="s">
        <v>140</v>
      </c>
      <c r="R208" s="67" t="s">
        <v>141</v>
      </c>
    </row>
    <row r="209" spans="8:18" x14ac:dyDescent="0.2">
      <c r="H209" t="s">
        <v>142</v>
      </c>
      <c r="N209" s="2">
        <f>_xlfn.XMATCH("Argentina",squad,0,1)</f>
        <v>1</v>
      </c>
      <c r="O209" s="88" t="str">
        <f ca="1">_xlfn.FORMULATEXT(N209)</f>
        <v>=XMATCH("Argentina",squad,0,1)</v>
      </c>
      <c r="R209" t="str">
        <f ca="1">_xlfn.FORMULATEXT(R210)</f>
        <v>=INDEX(goals, XMATCH("Argentina",squad,0,-1))</v>
      </c>
    </row>
    <row r="210" spans="8:18" x14ac:dyDescent="0.2">
      <c r="H210" t="s">
        <v>143</v>
      </c>
      <c r="N210" s="2">
        <f>_xlfn.XMATCH("Argentina",squad,0,-1)</f>
        <v>81</v>
      </c>
      <c r="O210" s="88" t="str">
        <f ca="1">_xlfn.FORMULATEXT(N210)</f>
        <v>=XMATCH("Argentina",squad,0,-1)</v>
      </c>
      <c r="R210" s="2" cm="1">
        <f t="array" ref="R210">INDEX(goals, _xlfn.XMATCH("Argentina",squad,0,-1))</f>
        <v>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A466A-6204-486C-B2AF-D5C5F6CCDC89}">
  <sheetPr codeName="Sheet7"/>
  <dimension ref="A2:U70"/>
  <sheetViews>
    <sheetView workbookViewId="0">
      <selection activeCell="D14" sqref="D14"/>
    </sheetView>
  </sheetViews>
  <sheetFormatPr baseColWidth="10" defaultColWidth="8.83203125" defaultRowHeight="16" x14ac:dyDescent="0.2"/>
  <cols>
    <col min="10" max="10" width="11.1640625" customWidth="1"/>
    <col min="11" max="11" width="9.83203125" customWidth="1"/>
    <col min="13" max="13" width="9" customWidth="1"/>
    <col min="14" max="14" width="12.6640625" customWidth="1"/>
  </cols>
  <sheetData>
    <row r="2" spans="1:12" x14ac:dyDescent="0.2">
      <c r="A2" s="12" t="s">
        <v>144</v>
      </c>
    </row>
    <row r="3" spans="1:12" x14ac:dyDescent="0.2">
      <c r="F3" s="12" t="s">
        <v>145</v>
      </c>
    </row>
    <row r="4" spans="1:12" x14ac:dyDescent="0.2">
      <c r="B4" s="75" t="s">
        <v>146</v>
      </c>
      <c r="C4" s="77" t="s">
        <v>147</v>
      </c>
      <c r="F4" t="s">
        <v>148</v>
      </c>
    </row>
    <row r="5" spans="1:12" x14ac:dyDescent="0.2">
      <c r="B5" s="78" t="s">
        <v>149</v>
      </c>
      <c r="C5" s="79">
        <v>624</v>
      </c>
      <c r="F5" s="100">
        <v>5</v>
      </c>
    </row>
    <row r="6" spans="1:12" x14ac:dyDescent="0.2">
      <c r="B6" s="78" t="s">
        <v>150</v>
      </c>
      <c r="C6" s="79">
        <v>390</v>
      </c>
      <c r="F6" s="2" t="str" cm="1">
        <f t="array" aca="1" ref="F6:G6" ca="1">OFFSET(monthly_profit, F5,0,1,2)</f>
        <v>May</v>
      </c>
      <c r="G6" s="2">
        <f ca="1"/>
        <v>439</v>
      </c>
      <c r="H6" t="str">
        <f ca="1">_xlfn.FORMULATEXT(F6)</f>
        <v>=OFFSET(monthly_profit, F5,0,1,2)</v>
      </c>
    </row>
    <row r="7" spans="1:12" x14ac:dyDescent="0.2">
      <c r="B7" s="78" t="s">
        <v>151</v>
      </c>
      <c r="C7" s="79">
        <v>1000</v>
      </c>
    </row>
    <row r="8" spans="1:12" x14ac:dyDescent="0.2">
      <c r="B8" s="78" t="s">
        <v>152</v>
      </c>
      <c r="C8" s="79">
        <v>250</v>
      </c>
    </row>
    <row r="9" spans="1:12" x14ac:dyDescent="0.2">
      <c r="B9" s="78" t="s">
        <v>153</v>
      </c>
      <c r="C9" s="79">
        <v>439</v>
      </c>
      <c r="F9" t="s">
        <v>154</v>
      </c>
      <c r="G9" t="s">
        <v>155</v>
      </c>
    </row>
    <row r="10" spans="1:12" x14ac:dyDescent="0.2">
      <c r="B10" s="78" t="s">
        <v>156</v>
      </c>
      <c r="C10" s="79">
        <v>109</v>
      </c>
      <c r="F10" s="100">
        <v>3</v>
      </c>
      <c r="G10" s="100">
        <v>7</v>
      </c>
      <c r="H10" s="67" t="s">
        <v>157</v>
      </c>
    </row>
    <row r="11" spans="1:12" x14ac:dyDescent="0.2">
      <c r="B11" s="78" t="s">
        <v>158</v>
      </c>
      <c r="C11" s="79">
        <v>530</v>
      </c>
      <c r="F11" s="2" t="str" cm="1">
        <f t="array" aca="1" ref="F11:G15" ca="1">OFFSET(monthly_profit, F10, 0,G10-F10+1,2)</f>
        <v>Mar</v>
      </c>
      <c r="G11" s="2">
        <f ca="1"/>
        <v>1000</v>
      </c>
      <c r="H11" t="str">
        <f ca="1">_xlfn.FORMULATEXT(F11)</f>
        <v>=OFFSET(monthly_profit, F10, 0,G10-F10+1,2)</v>
      </c>
      <c r="L11" s="67" t="s">
        <v>159</v>
      </c>
    </row>
    <row r="12" spans="1:12" x14ac:dyDescent="0.2">
      <c r="B12" s="78" t="s">
        <v>160</v>
      </c>
      <c r="C12" s="79">
        <v>123</v>
      </c>
      <c r="F12" s="2" t="str">
        <f ca="1"/>
        <v>Apr</v>
      </c>
      <c r="G12" s="2">
        <f ca="1"/>
        <v>250</v>
      </c>
    </row>
    <row r="13" spans="1:12" x14ac:dyDescent="0.2">
      <c r="B13" s="78" t="s">
        <v>161</v>
      </c>
      <c r="C13" s="79">
        <v>5345</v>
      </c>
      <c r="F13" s="2" t="str">
        <f ca="1"/>
        <v>May</v>
      </c>
      <c r="G13" s="2">
        <f ca="1"/>
        <v>439</v>
      </c>
      <c r="I13" t="s">
        <v>162</v>
      </c>
    </row>
    <row r="14" spans="1:12" x14ac:dyDescent="0.2">
      <c r="B14" s="78" t="s">
        <v>163</v>
      </c>
      <c r="C14" s="79">
        <v>312</v>
      </c>
      <c r="F14" s="2" t="str">
        <f ca="1"/>
        <v>Jun</v>
      </c>
      <c r="G14" s="2">
        <f ca="1"/>
        <v>109</v>
      </c>
      <c r="I14" t="s">
        <v>164</v>
      </c>
    </row>
    <row r="15" spans="1:12" x14ac:dyDescent="0.2">
      <c r="B15" s="78" t="s">
        <v>165</v>
      </c>
      <c r="C15" s="79">
        <v>98</v>
      </c>
      <c r="F15" s="2" t="str">
        <f ca="1"/>
        <v>Jul</v>
      </c>
      <c r="G15" s="2">
        <f ca="1"/>
        <v>530</v>
      </c>
      <c r="I15" t="s">
        <v>166</v>
      </c>
    </row>
    <row r="16" spans="1:12" x14ac:dyDescent="0.2">
      <c r="B16" s="80" t="s">
        <v>167</v>
      </c>
      <c r="C16" s="81">
        <v>672</v>
      </c>
      <c r="F16" s="2"/>
      <c r="G16" s="2"/>
      <c r="I16" t="s">
        <v>168</v>
      </c>
    </row>
    <row r="17" spans="6:14" x14ac:dyDescent="0.2">
      <c r="F17" s="2"/>
      <c r="G17" s="2"/>
      <c r="I17" t="s">
        <v>169</v>
      </c>
    </row>
    <row r="18" spans="6:14" x14ac:dyDescent="0.2">
      <c r="F18" s="2"/>
      <c r="G18" s="2"/>
    </row>
    <row r="19" spans="6:14" x14ac:dyDescent="0.2">
      <c r="F19" s="2"/>
      <c r="G19" s="2"/>
    </row>
    <row r="20" spans="6:14" x14ac:dyDescent="0.2">
      <c r="F20" s="2"/>
      <c r="G20" s="2"/>
    </row>
    <row r="21" spans="6:14" x14ac:dyDescent="0.2">
      <c r="F21" s="2"/>
      <c r="G21" s="2"/>
    </row>
    <row r="22" spans="6:14" x14ac:dyDescent="0.2">
      <c r="F22" s="2"/>
      <c r="G22" s="2"/>
    </row>
    <row r="23" spans="6:14" s="74" customFormat="1" x14ac:dyDescent="0.2"/>
    <row r="27" spans="6:14" x14ac:dyDescent="0.2">
      <c r="I27" s="12" t="s">
        <v>170</v>
      </c>
      <c r="J27" s="67" t="s">
        <v>171</v>
      </c>
    </row>
    <row r="28" spans="6:14" x14ac:dyDescent="0.2">
      <c r="I28" s="88" t="s">
        <v>172</v>
      </c>
    </row>
    <row r="29" spans="6:14" x14ac:dyDescent="0.2">
      <c r="I29" s="2" t="str">
        <f>ADDRESS(26,2)</f>
        <v>$B$26</v>
      </c>
      <c r="J29" t="str">
        <f ca="1">_xlfn.FORMULATEXT(I29)</f>
        <v>=ADDRESS(26,2)</v>
      </c>
      <c r="L29" s="11" t="s">
        <v>173</v>
      </c>
    </row>
    <row r="30" spans="6:14" x14ac:dyDescent="0.2">
      <c r="N30" s="11"/>
    </row>
    <row r="31" spans="6:14" x14ac:dyDescent="0.2">
      <c r="I31" s="12" t="s">
        <v>174</v>
      </c>
      <c r="J31" s="67" t="s">
        <v>175</v>
      </c>
    </row>
    <row r="32" spans="6:14" x14ac:dyDescent="0.2">
      <c r="I32" t="s">
        <v>176</v>
      </c>
    </row>
    <row r="33" spans="1:21" x14ac:dyDescent="0.2">
      <c r="I33" s="2" cm="1">
        <f t="array" aca="1" ref="I33" ca="1">INDIRECT(I29)</f>
        <v>0</v>
      </c>
      <c r="J33" t="str">
        <f ca="1">_xlfn.FORMULATEXT(I33)</f>
        <v>=INDIRECT(I29)</v>
      </c>
    </row>
    <row r="35" spans="1:21" x14ac:dyDescent="0.2">
      <c r="I35" s="12" t="s">
        <v>177</v>
      </c>
      <c r="K35" s="67" t="s">
        <v>178</v>
      </c>
      <c r="P35" s="12" t="s">
        <v>179</v>
      </c>
    </row>
    <row r="36" spans="1:21" x14ac:dyDescent="0.2">
      <c r="I36" s="74" t="s">
        <v>154</v>
      </c>
      <c r="J36" s="74" t="s">
        <v>180</v>
      </c>
      <c r="K36" s="74" t="s">
        <v>181</v>
      </c>
      <c r="L36" s="74" t="s">
        <v>182</v>
      </c>
      <c r="M36" s="74"/>
      <c r="P36" s="74" t="s">
        <v>154</v>
      </c>
      <c r="Q36" s="74" t="s">
        <v>180</v>
      </c>
      <c r="R36" s="74" t="s">
        <v>181</v>
      </c>
      <c r="S36" s="74" t="s">
        <v>182</v>
      </c>
      <c r="T36" s="74"/>
    </row>
    <row r="37" spans="1:21" x14ac:dyDescent="0.2">
      <c r="I37" s="100" t="s">
        <v>150</v>
      </c>
      <c r="J37" s="100" t="s">
        <v>153</v>
      </c>
      <c r="K37" s="100">
        <v>1</v>
      </c>
      <c r="L37" s="100">
        <v>3</v>
      </c>
      <c r="M37" s="67" t="s">
        <v>183</v>
      </c>
      <c r="N37" s="98" t="s">
        <v>184</v>
      </c>
      <c r="O37" s="99" t="s">
        <v>185</v>
      </c>
      <c r="P37" s="100" t="s">
        <v>151</v>
      </c>
      <c r="Q37" s="100" t="s">
        <v>156</v>
      </c>
      <c r="R37" s="100">
        <v>2</v>
      </c>
      <c r="S37" s="100">
        <v>4</v>
      </c>
    </row>
    <row r="38" spans="1:21" x14ac:dyDescent="0.2">
      <c r="A38" s="75"/>
      <c r="B38" s="76" t="s">
        <v>149</v>
      </c>
      <c r="C38" s="76" t="s">
        <v>150</v>
      </c>
      <c r="D38" s="76" t="s">
        <v>151</v>
      </c>
      <c r="E38" s="76" t="s">
        <v>152</v>
      </c>
      <c r="F38" s="76" t="s">
        <v>153</v>
      </c>
      <c r="G38" s="77" t="s">
        <v>156</v>
      </c>
      <c r="I38" s="89" t="str" cm="1">
        <f t="array" aca="1" ref="I38:L38" ca="1">INDIRECT(ADDRESS(38,MATCH(I37,A38:G38,0))):INDIRECT(ADDRESS(38,MATCH(J37,A38:G38,0)))</f>
        <v>Feb</v>
      </c>
      <c r="J38" s="89" t="str">
        <f ca="1"/>
        <v>Mar</v>
      </c>
      <c r="K38" s="89" t="str">
        <f ca="1"/>
        <v>Apr</v>
      </c>
      <c r="L38" s="89" t="str">
        <f ca="1"/>
        <v>May</v>
      </c>
      <c r="M38" s="95"/>
      <c r="N38" s="90"/>
      <c r="P38" s="89" t="str" cm="1">
        <f t="array" aca="1" ref="P38:S38" ca="1">OFFSET(B38:G38,0,MATCH(P37,B38:G38,0)-1,1,MATCH(Q37,B38:G38,0)-MATCH(P37,B38:G38,0)+1)</f>
        <v>Mar</v>
      </c>
      <c r="Q38" s="89" t="str">
        <f ca="1"/>
        <v>Apr</v>
      </c>
      <c r="R38" s="89" t="str">
        <f ca="1"/>
        <v>May</v>
      </c>
      <c r="S38" s="89" t="str">
        <f ca="1"/>
        <v>Jun</v>
      </c>
      <c r="T38" s="95"/>
      <c r="U38" s="90"/>
    </row>
    <row r="39" spans="1:21" x14ac:dyDescent="0.2">
      <c r="A39" s="78" t="s">
        <v>186</v>
      </c>
      <c r="B39">
        <v>3</v>
      </c>
      <c r="C39">
        <v>2</v>
      </c>
      <c r="D39">
        <v>7</v>
      </c>
      <c r="E39">
        <v>8</v>
      </c>
      <c r="F39">
        <v>6</v>
      </c>
      <c r="G39" s="79">
        <v>8</v>
      </c>
      <c r="I39" s="89" cm="1">
        <f t="array" aca="1" ref="I39:L41" ca="1">INDIRECT(ADDRESS(38+K37,MATCH(I37,A38:G38,0))):INDIRECT(ADDRESS(38+L37,MATCH(J37,A38:G38,0)))</f>
        <v>2</v>
      </c>
      <c r="J39" s="89">
        <f ca="1"/>
        <v>7</v>
      </c>
      <c r="K39" s="89">
        <f ca="1"/>
        <v>8</v>
      </c>
      <c r="L39" s="89">
        <f ca="1"/>
        <v>6</v>
      </c>
      <c r="M39" s="95"/>
      <c r="N39" s="90"/>
      <c r="P39" s="89" cm="1">
        <f t="array" aca="1" ref="P39:S41" ca="1">OFFSET(B39:G42,R37-1,MATCH(P37,B38:G38,0)-1,S37-R37+1,MATCH(Q37,B38:G38,0)-MATCH(P37,B38:G38,0)+1)</f>
        <v>9</v>
      </c>
      <c r="Q39" s="89">
        <f ca="1"/>
        <v>4</v>
      </c>
      <c r="R39" s="89">
        <f ca="1"/>
        <v>5</v>
      </c>
      <c r="S39" s="89">
        <f ca="1"/>
        <v>9</v>
      </c>
      <c r="T39" s="95"/>
      <c r="U39" s="90"/>
    </row>
    <row r="40" spans="1:21" x14ac:dyDescent="0.2">
      <c r="A40" s="78" t="s">
        <v>187</v>
      </c>
      <c r="B40">
        <v>2</v>
      </c>
      <c r="C40">
        <v>3</v>
      </c>
      <c r="D40">
        <v>9</v>
      </c>
      <c r="E40">
        <v>4</v>
      </c>
      <c r="F40">
        <v>5</v>
      </c>
      <c r="G40" s="79">
        <v>9</v>
      </c>
      <c r="I40" s="91">
        <f ca="1"/>
        <v>3</v>
      </c>
      <c r="J40" s="91">
        <f ca="1"/>
        <v>9</v>
      </c>
      <c r="K40" s="91">
        <f ca="1"/>
        <v>4</v>
      </c>
      <c r="L40" s="91">
        <f ca="1"/>
        <v>5</v>
      </c>
      <c r="M40" s="96"/>
      <c r="N40" s="92"/>
      <c r="P40" s="91">
        <f ca="1"/>
        <v>0</v>
      </c>
      <c r="Q40" s="91">
        <f ca="1"/>
        <v>23</v>
      </c>
      <c r="R40" s="91">
        <f ca="1"/>
        <v>10</v>
      </c>
      <c r="S40" s="91">
        <f ca="1"/>
        <v>7</v>
      </c>
      <c r="T40" s="96"/>
      <c r="U40" s="92"/>
    </row>
    <row r="41" spans="1:21" x14ac:dyDescent="0.2">
      <c r="A41" s="78" t="s">
        <v>188</v>
      </c>
      <c r="B41">
        <v>1</v>
      </c>
      <c r="C41">
        <v>7</v>
      </c>
      <c r="D41">
        <v>0</v>
      </c>
      <c r="E41">
        <v>23</v>
      </c>
      <c r="F41">
        <v>10</v>
      </c>
      <c r="G41" s="79">
        <v>7</v>
      </c>
      <c r="I41" s="91">
        <f ca="1"/>
        <v>7</v>
      </c>
      <c r="J41" s="91">
        <f ca="1"/>
        <v>0</v>
      </c>
      <c r="K41" s="91">
        <f ca="1"/>
        <v>23</v>
      </c>
      <c r="L41" s="91">
        <f ca="1"/>
        <v>10</v>
      </c>
      <c r="M41" s="96"/>
      <c r="N41" s="92"/>
      <c r="P41" s="91">
        <f ca="1"/>
        <v>2</v>
      </c>
      <c r="Q41" s="91">
        <f ca="1"/>
        <v>1</v>
      </c>
      <c r="R41" s="91">
        <f ca="1"/>
        <v>2</v>
      </c>
      <c r="S41" s="91">
        <f ca="1"/>
        <v>4</v>
      </c>
      <c r="T41" s="96"/>
      <c r="U41" s="92"/>
    </row>
    <row r="42" spans="1:21" x14ac:dyDescent="0.2">
      <c r="A42" s="80" t="s">
        <v>189</v>
      </c>
      <c r="B42" s="74">
        <v>4</v>
      </c>
      <c r="C42" s="74">
        <v>6</v>
      </c>
      <c r="D42" s="74">
        <v>2</v>
      </c>
      <c r="E42" s="74">
        <v>1</v>
      </c>
      <c r="F42" s="74">
        <v>2</v>
      </c>
      <c r="G42" s="81">
        <v>4</v>
      </c>
      <c r="I42" s="93"/>
      <c r="J42" s="93"/>
      <c r="K42" s="93"/>
      <c r="L42" s="93"/>
      <c r="M42" s="97"/>
      <c r="N42" s="94"/>
      <c r="P42" s="93"/>
      <c r="Q42" s="93"/>
      <c r="R42" s="93"/>
      <c r="S42" s="93"/>
      <c r="T42" s="97"/>
      <c r="U42" s="94"/>
    </row>
    <row r="44" spans="1:21" x14ac:dyDescent="0.2">
      <c r="D44" t="s">
        <v>190</v>
      </c>
      <c r="F44" t="str">
        <f ca="1">_xlfn.FORMULATEXT(I38)</f>
        <v>=INDIRECT(ADDRESS(38,MATCH(I37,A38:G38,0))):INDIRECT(ADDRESS(38,MATCH(J37,A38:G38,0)))</v>
      </c>
      <c r="P44" t="str">
        <f ca="1">_xlfn.FORMULATEXT(P38)</f>
        <v>=OFFSET(B38:G38,0,MATCH(P37,B38:G38,0)-1,1,MATCH(Q37,B38:G38,0)-MATCH(P37,B38:G38,0)+1)</v>
      </c>
    </row>
    <row r="45" spans="1:21" x14ac:dyDescent="0.2">
      <c r="D45" t="s">
        <v>191</v>
      </c>
      <c r="F45" t="str">
        <f ca="1">_xlfn.FORMULATEXT(I39)</f>
        <v>=INDIRECT(ADDRESS(38+K37,MATCH(I37,A38:G38,0))):INDIRECT(ADDRESS(38+L37,MATCH(J37,A38:G38,0)))</v>
      </c>
      <c r="P45" t="str">
        <f ca="1">_xlfn.FORMULATEXT(P39)</f>
        <v>=OFFSET(B39:G42,R37-1,MATCH(P37,B38:G38,0)-1,S37-R37+1,MATCH(Q37,B38:G38,0)-MATCH(P37,B38:G38,0)+1)</v>
      </c>
    </row>
    <row r="46" spans="1:21" x14ac:dyDescent="0.2">
      <c r="F46" s="67"/>
    </row>
    <row r="47" spans="1:21" x14ac:dyDescent="0.2">
      <c r="F47" s="67"/>
      <c r="P47" s="67" t="s">
        <v>192</v>
      </c>
    </row>
    <row r="48" spans="1:21" x14ac:dyDescent="0.2">
      <c r="B48" s="102" t="s">
        <v>193</v>
      </c>
      <c r="C48" s="76"/>
      <c r="D48" s="76"/>
      <c r="E48" s="76"/>
      <c r="F48" s="101"/>
      <c r="G48" s="76"/>
      <c r="H48" s="76"/>
      <c r="I48" s="76"/>
      <c r="J48" s="76"/>
      <c r="K48" s="76"/>
      <c r="L48" s="76"/>
      <c r="M48" s="76"/>
      <c r="N48" s="76"/>
      <c r="O48" s="76"/>
      <c r="P48" s="77"/>
    </row>
    <row r="49" spans="2:16" x14ac:dyDescent="0.2">
      <c r="B49" s="78" t="s">
        <v>194</v>
      </c>
      <c r="D49" t="s">
        <v>195</v>
      </c>
      <c r="H49" t="s">
        <v>196</v>
      </c>
      <c r="P49" s="79"/>
    </row>
    <row r="50" spans="2:16" x14ac:dyDescent="0.2">
      <c r="B50" s="78"/>
      <c r="D50" t="s">
        <v>197</v>
      </c>
      <c r="H50" t="s">
        <v>198</v>
      </c>
      <c r="P50" s="79"/>
    </row>
    <row r="51" spans="2:16" x14ac:dyDescent="0.2">
      <c r="B51" s="78"/>
      <c r="D51" t="s">
        <v>199</v>
      </c>
      <c r="H51" t="s">
        <v>200</v>
      </c>
      <c r="P51" s="79"/>
    </row>
    <row r="52" spans="2:16" x14ac:dyDescent="0.2">
      <c r="B52" s="78"/>
      <c r="P52" s="79"/>
    </row>
    <row r="53" spans="2:16" x14ac:dyDescent="0.2">
      <c r="B53" s="78"/>
      <c r="H53" t="s">
        <v>201</v>
      </c>
      <c r="P53" s="79"/>
    </row>
    <row r="54" spans="2:16" x14ac:dyDescent="0.2">
      <c r="B54" s="78"/>
      <c r="H54" t="s">
        <v>202</v>
      </c>
      <c r="P54" s="79"/>
    </row>
    <row r="55" spans="2:16" x14ac:dyDescent="0.2">
      <c r="B55" s="78"/>
      <c r="P55" s="79"/>
    </row>
    <row r="56" spans="2:16" x14ac:dyDescent="0.2">
      <c r="B56" s="78" t="s">
        <v>203</v>
      </c>
      <c r="D56" t="s">
        <v>195</v>
      </c>
      <c r="H56" t="s">
        <v>204</v>
      </c>
      <c r="P56" s="79"/>
    </row>
    <row r="57" spans="2:16" x14ac:dyDescent="0.2">
      <c r="B57" s="78"/>
      <c r="D57" t="s">
        <v>205</v>
      </c>
      <c r="H57" t="s">
        <v>206</v>
      </c>
      <c r="P57" s="79"/>
    </row>
    <row r="58" spans="2:16" x14ac:dyDescent="0.2">
      <c r="B58" s="78"/>
      <c r="D58" t="s">
        <v>199</v>
      </c>
      <c r="H58" t="s">
        <v>207</v>
      </c>
      <c r="P58" s="79"/>
    </row>
    <row r="59" spans="2:16" x14ac:dyDescent="0.2">
      <c r="B59" s="78"/>
      <c r="P59" s="79"/>
    </row>
    <row r="60" spans="2:16" x14ac:dyDescent="0.2">
      <c r="B60" s="80"/>
      <c r="C60" s="74"/>
      <c r="D60" s="74"/>
      <c r="E60" s="74"/>
      <c r="F60" s="74"/>
      <c r="G60" s="74"/>
      <c r="H60" s="74" t="s">
        <v>208</v>
      </c>
      <c r="I60" s="74"/>
      <c r="J60" s="74"/>
      <c r="K60" s="74"/>
      <c r="L60" s="74"/>
      <c r="M60" s="74"/>
      <c r="N60" s="74"/>
      <c r="O60" s="74"/>
      <c r="P60" s="81"/>
    </row>
    <row r="62" spans="2:16" x14ac:dyDescent="0.2">
      <c r="B62" s="102" t="s">
        <v>209</v>
      </c>
      <c r="C62" s="76"/>
      <c r="D62" s="76"/>
      <c r="E62" s="76"/>
      <c r="F62" s="76"/>
      <c r="G62" s="76"/>
      <c r="H62" s="76"/>
      <c r="I62" s="76"/>
      <c r="J62" s="76"/>
      <c r="K62" s="76"/>
      <c r="L62" s="76"/>
      <c r="M62" s="76"/>
      <c r="N62" s="76"/>
      <c r="O62" s="76"/>
      <c r="P62" s="77"/>
    </row>
    <row r="63" spans="2:16" x14ac:dyDescent="0.2">
      <c r="B63" s="78"/>
      <c r="P63" s="79"/>
    </row>
    <row r="64" spans="2:16" x14ac:dyDescent="0.2">
      <c r="B64" s="75">
        <v>1</v>
      </c>
      <c r="C64" s="76">
        <v>4</v>
      </c>
      <c r="D64" s="77">
        <v>7</v>
      </c>
      <c r="F64" t="s">
        <v>210</v>
      </c>
      <c r="G64" t="s">
        <v>211</v>
      </c>
      <c r="I64" s="2" t="e" cm="1">
        <f t="array" aca="1" ref="I64:I65" ca="1">INDIRECT(G64:G65)</f>
        <v>#VALUE!</v>
      </c>
      <c r="J64" t="str">
        <f ca="1">_xlfn.FORMULATEXT(I64)</f>
        <v>=INDIRECT(G64:G65)</v>
      </c>
      <c r="P64" s="79"/>
    </row>
    <row r="65" spans="2:16" x14ac:dyDescent="0.2">
      <c r="B65" s="78">
        <v>2</v>
      </c>
      <c r="C65">
        <v>5</v>
      </c>
      <c r="D65" s="79">
        <v>8</v>
      </c>
      <c r="F65" t="s">
        <v>212</v>
      </c>
      <c r="G65" t="s">
        <v>213</v>
      </c>
      <c r="I65" s="2" t="e">
        <f ca="1"/>
        <v>#VALUE!</v>
      </c>
      <c r="P65" s="79"/>
    </row>
    <row r="66" spans="2:16" x14ac:dyDescent="0.2">
      <c r="B66" s="80">
        <v>3</v>
      </c>
      <c r="C66" s="74">
        <v>6</v>
      </c>
      <c r="D66" s="81">
        <v>9</v>
      </c>
      <c r="P66" s="79"/>
    </row>
    <row r="67" spans="2:16" x14ac:dyDescent="0.2">
      <c r="B67" s="78"/>
      <c r="I67" s="2" cm="1">
        <f t="array" aca="1" ref="I67:K69" ca="1">INDIRECT(G64):INDIRECT(G65)</f>
        <v>0</v>
      </c>
      <c r="J67" s="2">
        <f ca="1"/>
        <v>0</v>
      </c>
      <c r="K67" s="2">
        <f ca="1"/>
        <v>0</v>
      </c>
      <c r="L67" t="str">
        <f ca="1">_xlfn.FORMULATEXT(I67)</f>
        <v>=INDIRECT(G64):INDIRECT(G65)</v>
      </c>
      <c r="P67" s="79"/>
    </row>
    <row r="68" spans="2:16" x14ac:dyDescent="0.2">
      <c r="B68" s="78"/>
      <c r="I68" s="2">
        <f ca="1"/>
        <v>0</v>
      </c>
      <c r="J68" s="2">
        <f ca="1"/>
        <v>0</v>
      </c>
      <c r="K68" s="2" t="str">
        <f ca="1"/>
        <v>Same as above</v>
      </c>
      <c r="P68" s="79"/>
    </row>
    <row r="69" spans="2:16" x14ac:dyDescent="0.2">
      <c r="B69" s="78"/>
      <c r="I69" s="2">
        <f ca="1"/>
        <v>0</v>
      </c>
      <c r="J69" s="2">
        <f ca="1"/>
        <v>0</v>
      </c>
      <c r="K69" s="2" t="str">
        <f ca="1"/>
        <v>We move down few rows (+K39) based on the starting week</v>
      </c>
      <c r="P69" s="79"/>
    </row>
    <row r="70" spans="2:16" x14ac:dyDescent="0.2">
      <c r="B70" s="80"/>
      <c r="C70" s="74"/>
      <c r="D70" s="74"/>
      <c r="E70" s="74"/>
      <c r="F70" s="74"/>
      <c r="G70" s="74"/>
      <c r="H70" s="74"/>
      <c r="I70" s="74"/>
      <c r="J70" s="74"/>
      <c r="K70" s="74"/>
      <c r="L70" s="74"/>
      <c r="M70" s="74"/>
      <c r="N70" s="74"/>
      <c r="O70" s="74"/>
      <c r="P70" s="8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4AF6-7209-AE46-8F0B-1636B36F7A00}">
  <sheetPr codeName="Sheet8"/>
  <dimension ref="A1:W201"/>
  <sheetViews>
    <sheetView workbookViewId="0">
      <selection activeCell="G179" sqref="G179"/>
    </sheetView>
  </sheetViews>
  <sheetFormatPr baseColWidth="10" defaultColWidth="10.83203125" defaultRowHeight="16" x14ac:dyDescent="0.2"/>
  <cols>
    <col min="1" max="3" width="11" style="17" bestFit="1" customWidth="1"/>
    <col min="4" max="6" width="11.6640625" style="17" bestFit="1" customWidth="1"/>
    <col min="7" max="20" width="11" style="17" bestFit="1" customWidth="1"/>
    <col min="21" max="16384" width="10.83203125" style="17"/>
  </cols>
  <sheetData>
    <row r="1" spans="1:20" x14ac:dyDescent="0.2">
      <c r="A1" s="16" t="s">
        <v>214</v>
      </c>
      <c r="C1" s="18"/>
      <c r="D1" s="18"/>
      <c r="E1" s="18"/>
      <c r="F1" s="18"/>
      <c r="G1" s="18"/>
      <c r="H1" s="18"/>
      <c r="I1" s="18"/>
      <c r="J1" s="18"/>
      <c r="K1" s="18"/>
      <c r="L1" s="18"/>
      <c r="M1" s="18"/>
      <c r="N1" s="18"/>
      <c r="O1" s="18"/>
      <c r="P1" s="18"/>
      <c r="Q1" s="18"/>
      <c r="R1" s="18"/>
      <c r="S1" s="18"/>
    </row>
    <row r="2" spans="1:20" x14ac:dyDescent="0.2">
      <c r="A2" s="16" t="s">
        <v>215</v>
      </c>
      <c r="C2" s="18"/>
      <c r="D2" s="18"/>
      <c r="E2" s="18"/>
      <c r="F2" s="18"/>
      <c r="G2" s="18"/>
      <c r="H2" s="18"/>
      <c r="I2" s="18"/>
      <c r="J2" s="18"/>
      <c r="K2" s="18"/>
      <c r="L2" s="18"/>
      <c r="M2" s="18"/>
      <c r="N2" s="18"/>
      <c r="O2" s="18"/>
      <c r="P2" s="18"/>
      <c r="Q2" s="18"/>
      <c r="R2" s="18"/>
      <c r="S2" s="18"/>
    </row>
    <row r="3" spans="1:20" hidden="1" x14ac:dyDescent="0.2"/>
    <row r="4" spans="1:20" s="22" customFormat="1" hidden="1" x14ac:dyDescent="0.2">
      <c r="A4" s="19" t="s">
        <v>216</v>
      </c>
      <c r="B4" s="20"/>
      <c r="C4" s="16" t="s">
        <v>217</v>
      </c>
      <c r="D4" s="21"/>
      <c r="E4" s="21"/>
      <c r="F4" s="21"/>
      <c r="G4" s="21"/>
      <c r="H4" s="21"/>
      <c r="I4" s="21"/>
      <c r="J4" s="21"/>
      <c r="K4" s="21"/>
      <c r="L4" s="21"/>
      <c r="M4" s="21"/>
      <c r="N4" s="21"/>
      <c r="O4" s="21"/>
      <c r="P4" s="21"/>
      <c r="Q4" s="21"/>
      <c r="R4" s="21"/>
      <c r="S4" s="21"/>
      <c r="T4" s="21"/>
    </row>
    <row r="5" spans="1:20" s="22" customFormat="1" hidden="1" x14ac:dyDescent="0.2">
      <c r="A5" s="23" t="s">
        <v>218</v>
      </c>
      <c r="B5" s="24"/>
      <c r="C5" s="21">
        <v>0</v>
      </c>
      <c r="D5" s="21">
        <f t="shared" ref="D5:T5" si="0">C5+1</f>
        <v>1</v>
      </c>
      <c r="E5" s="21">
        <f t="shared" si="0"/>
        <v>2</v>
      </c>
      <c r="F5" s="21">
        <f t="shared" si="0"/>
        <v>3</v>
      </c>
      <c r="G5" s="21">
        <f t="shared" si="0"/>
        <v>4</v>
      </c>
      <c r="H5" s="21">
        <f t="shared" si="0"/>
        <v>5</v>
      </c>
      <c r="I5" s="21">
        <f t="shared" si="0"/>
        <v>6</v>
      </c>
      <c r="J5" s="21">
        <f t="shared" si="0"/>
        <v>7</v>
      </c>
      <c r="K5" s="21">
        <f t="shared" si="0"/>
        <v>8</v>
      </c>
      <c r="L5" s="21">
        <f t="shared" si="0"/>
        <v>9</v>
      </c>
      <c r="M5" s="21">
        <f t="shared" si="0"/>
        <v>10</v>
      </c>
      <c r="N5" s="21">
        <f t="shared" si="0"/>
        <v>11</v>
      </c>
      <c r="O5" s="21">
        <f t="shared" si="0"/>
        <v>12</v>
      </c>
      <c r="P5" s="21">
        <f t="shared" si="0"/>
        <v>13</v>
      </c>
      <c r="Q5" s="21">
        <f t="shared" si="0"/>
        <v>14</v>
      </c>
      <c r="R5" s="21">
        <f t="shared" si="0"/>
        <v>15</v>
      </c>
      <c r="S5" s="21">
        <f t="shared" si="0"/>
        <v>16</v>
      </c>
      <c r="T5" s="21">
        <f t="shared" si="0"/>
        <v>17</v>
      </c>
    </row>
    <row r="6" spans="1:20" hidden="1" x14ac:dyDescent="0.2">
      <c r="C6" s="25" t="s">
        <v>219</v>
      </c>
      <c r="D6" s="25" t="s">
        <v>219</v>
      </c>
      <c r="E6" s="25" t="s">
        <v>219</v>
      </c>
      <c r="F6" s="25" t="s">
        <v>219</v>
      </c>
      <c r="G6" s="25" t="s">
        <v>219</v>
      </c>
      <c r="H6" s="25" t="s">
        <v>219</v>
      </c>
      <c r="I6" s="25" t="s">
        <v>219</v>
      </c>
      <c r="J6" s="25" t="s">
        <v>219</v>
      </c>
      <c r="K6" s="25" t="s">
        <v>219</v>
      </c>
      <c r="L6" s="25" t="s">
        <v>219</v>
      </c>
      <c r="M6" s="25" t="s">
        <v>219</v>
      </c>
      <c r="N6" s="25" t="s">
        <v>219</v>
      </c>
      <c r="O6" s="25" t="s">
        <v>219</v>
      </c>
      <c r="P6" s="25" t="s">
        <v>219</v>
      </c>
      <c r="Q6" s="25" t="s">
        <v>219</v>
      </c>
      <c r="R6" s="25" t="s">
        <v>219</v>
      </c>
      <c r="S6" s="25" t="s">
        <v>219</v>
      </c>
      <c r="T6" s="25" t="s">
        <v>219</v>
      </c>
    </row>
    <row r="7" spans="1:20" hidden="1" x14ac:dyDescent="0.2"/>
    <row r="8" spans="1:20" hidden="1" x14ac:dyDescent="0.2">
      <c r="A8" s="18">
        <v>1978</v>
      </c>
      <c r="B8" s="26"/>
      <c r="C8" s="26">
        <v>9268</v>
      </c>
      <c r="D8" s="26">
        <v>18263</v>
      </c>
      <c r="E8" s="26">
        <v>20182</v>
      </c>
      <c r="F8" s="26">
        <v>22383</v>
      </c>
      <c r="G8" s="26">
        <v>22782</v>
      </c>
      <c r="H8" s="26">
        <v>26348</v>
      </c>
      <c r="I8" s="26">
        <v>26172</v>
      </c>
      <c r="J8" s="26">
        <v>26184</v>
      </c>
      <c r="K8" s="26">
        <v>25455</v>
      </c>
      <c r="L8" s="26">
        <v>25740</v>
      </c>
      <c r="M8" s="26">
        <v>25711</v>
      </c>
      <c r="N8" s="26">
        <v>25452</v>
      </c>
      <c r="O8" s="26">
        <v>25460</v>
      </c>
      <c r="P8" s="26">
        <v>25422</v>
      </c>
      <c r="Q8" s="26">
        <v>25386</v>
      </c>
      <c r="R8" s="26">
        <v>25520</v>
      </c>
      <c r="S8" s="26">
        <v>25646</v>
      </c>
      <c r="T8" s="26">
        <v>25469</v>
      </c>
    </row>
    <row r="9" spans="1:20" hidden="1" x14ac:dyDescent="0.2">
      <c r="A9" s="18">
        <f>A8+1</f>
        <v>1979</v>
      </c>
      <c r="B9" s="26"/>
      <c r="C9" s="26">
        <v>9848</v>
      </c>
      <c r="D9" s="26">
        <v>16123</v>
      </c>
      <c r="E9" s="26">
        <v>17099</v>
      </c>
      <c r="F9" s="26">
        <v>18544</v>
      </c>
      <c r="G9" s="26">
        <v>20534</v>
      </c>
      <c r="H9" s="26">
        <v>21554</v>
      </c>
      <c r="I9" s="26">
        <v>23219</v>
      </c>
      <c r="J9" s="26">
        <v>22381</v>
      </c>
      <c r="K9" s="26">
        <v>21584</v>
      </c>
      <c r="L9" s="26">
        <v>21408</v>
      </c>
      <c r="M9" s="26">
        <v>20857</v>
      </c>
      <c r="N9" s="26">
        <v>21163</v>
      </c>
      <c r="O9" s="26">
        <v>20482</v>
      </c>
      <c r="P9" s="26">
        <v>19971</v>
      </c>
      <c r="Q9" s="26">
        <v>19958</v>
      </c>
      <c r="R9" s="26">
        <v>19947</v>
      </c>
      <c r="S9" s="26">
        <v>19991</v>
      </c>
      <c r="T9" s="26"/>
    </row>
    <row r="10" spans="1:20" hidden="1" x14ac:dyDescent="0.2">
      <c r="A10" s="18">
        <f t="shared" ref="A10:A25" si="1">A9+1</f>
        <v>1980</v>
      </c>
      <c r="B10" s="26"/>
      <c r="C10" s="26">
        <v>13990</v>
      </c>
      <c r="D10" s="26">
        <v>22484</v>
      </c>
      <c r="E10" s="26">
        <v>24950</v>
      </c>
      <c r="F10" s="26">
        <v>33255</v>
      </c>
      <c r="G10" s="26">
        <v>33295</v>
      </c>
      <c r="H10" s="26">
        <v>34308</v>
      </c>
      <c r="I10" s="26">
        <v>34022</v>
      </c>
      <c r="J10" s="26">
        <v>34023</v>
      </c>
      <c r="K10" s="26">
        <v>33842</v>
      </c>
      <c r="L10" s="26">
        <v>33933</v>
      </c>
      <c r="M10" s="26">
        <v>33570</v>
      </c>
      <c r="N10" s="26">
        <v>31881</v>
      </c>
      <c r="O10" s="26">
        <v>32203</v>
      </c>
      <c r="P10" s="26">
        <v>32345</v>
      </c>
      <c r="Q10" s="26">
        <v>32250</v>
      </c>
      <c r="R10" s="26">
        <v>32168</v>
      </c>
      <c r="S10" s="26"/>
      <c r="T10" s="26"/>
    </row>
    <row r="11" spans="1:20" hidden="1" x14ac:dyDescent="0.2">
      <c r="A11" s="18">
        <f t="shared" si="1"/>
        <v>1981</v>
      </c>
      <c r="B11" s="26"/>
      <c r="C11" s="26">
        <v>16550</v>
      </c>
      <c r="D11" s="26">
        <v>28056</v>
      </c>
      <c r="E11" s="26">
        <v>39995</v>
      </c>
      <c r="F11" s="26">
        <v>42459</v>
      </c>
      <c r="G11" s="26">
        <v>42797</v>
      </c>
      <c r="H11" s="26">
        <v>42755</v>
      </c>
      <c r="I11" s="26">
        <v>42435</v>
      </c>
      <c r="J11" s="26">
        <v>42302</v>
      </c>
      <c r="K11" s="26">
        <v>42095</v>
      </c>
      <c r="L11" s="26">
        <v>41606</v>
      </c>
      <c r="M11" s="26">
        <v>40440</v>
      </c>
      <c r="N11" s="26">
        <v>40432</v>
      </c>
      <c r="O11" s="26">
        <v>40326</v>
      </c>
      <c r="P11" s="26">
        <v>40337</v>
      </c>
      <c r="Q11" s="26">
        <v>40096</v>
      </c>
      <c r="R11" s="26"/>
      <c r="S11" s="26"/>
      <c r="T11" s="26"/>
    </row>
    <row r="12" spans="1:20" hidden="1" x14ac:dyDescent="0.2">
      <c r="A12" s="18">
        <f t="shared" si="1"/>
        <v>1982</v>
      </c>
      <c r="B12" s="26"/>
      <c r="C12" s="26">
        <v>11100</v>
      </c>
      <c r="D12" s="26">
        <v>31620</v>
      </c>
      <c r="E12" s="26">
        <v>40852</v>
      </c>
      <c r="F12" s="26">
        <v>38831</v>
      </c>
      <c r="G12" s="26">
        <v>39516</v>
      </c>
      <c r="H12" s="26">
        <v>39870</v>
      </c>
      <c r="I12" s="26">
        <v>40358</v>
      </c>
      <c r="J12" s="26">
        <v>40355</v>
      </c>
      <c r="K12" s="26">
        <v>40116</v>
      </c>
      <c r="L12" s="26">
        <v>39888</v>
      </c>
      <c r="M12" s="26">
        <v>39898</v>
      </c>
      <c r="N12" s="26">
        <v>40147</v>
      </c>
      <c r="O12" s="26">
        <v>39827</v>
      </c>
      <c r="P12" s="26">
        <v>40200</v>
      </c>
      <c r="Q12" s="26"/>
      <c r="R12" s="26"/>
      <c r="S12" s="26"/>
      <c r="T12" s="26"/>
    </row>
    <row r="13" spans="1:20" hidden="1" x14ac:dyDescent="0.2">
      <c r="A13" s="18">
        <f t="shared" si="1"/>
        <v>1983</v>
      </c>
      <c r="B13" s="26"/>
      <c r="C13" s="26">
        <v>15677</v>
      </c>
      <c r="D13" s="26">
        <v>33074</v>
      </c>
      <c r="E13" s="26">
        <v>35592</v>
      </c>
      <c r="F13" s="26">
        <v>35721</v>
      </c>
      <c r="G13" s="26">
        <v>38652</v>
      </c>
      <c r="H13" s="26">
        <v>39418</v>
      </c>
      <c r="I13" s="26">
        <v>39223</v>
      </c>
      <c r="J13" s="26">
        <v>39696</v>
      </c>
      <c r="K13" s="26">
        <v>37769</v>
      </c>
      <c r="L13" s="26">
        <v>37894</v>
      </c>
      <c r="M13" s="26">
        <v>37369</v>
      </c>
      <c r="N13" s="26">
        <v>37345</v>
      </c>
      <c r="O13" s="26">
        <v>37075</v>
      </c>
      <c r="P13" s="26"/>
      <c r="Q13" s="26"/>
      <c r="R13" s="26"/>
      <c r="S13" s="26"/>
      <c r="T13" s="26"/>
    </row>
    <row r="14" spans="1:20" hidden="1" x14ac:dyDescent="0.2">
      <c r="A14" s="18">
        <f t="shared" si="1"/>
        <v>1984</v>
      </c>
      <c r="B14" s="26"/>
      <c r="C14" s="26">
        <v>20375</v>
      </c>
      <c r="D14" s="26">
        <v>33555</v>
      </c>
      <c r="E14" s="26">
        <v>41756</v>
      </c>
      <c r="F14" s="26">
        <v>45125</v>
      </c>
      <c r="G14" s="26">
        <v>47284</v>
      </c>
      <c r="H14" s="26">
        <v>51710</v>
      </c>
      <c r="I14" s="26">
        <v>52147</v>
      </c>
      <c r="J14" s="26">
        <v>51187</v>
      </c>
      <c r="K14" s="26">
        <v>51950</v>
      </c>
      <c r="L14" s="26">
        <v>50967</v>
      </c>
      <c r="M14" s="26">
        <v>51461</v>
      </c>
      <c r="N14" s="26">
        <v>51382</v>
      </c>
      <c r="O14" s="26"/>
      <c r="P14" s="26"/>
      <c r="Q14" s="26"/>
      <c r="R14" s="26"/>
      <c r="S14" s="26"/>
      <c r="T14" s="26"/>
    </row>
    <row r="15" spans="1:20" hidden="1" x14ac:dyDescent="0.2">
      <c r="A15" s="18">
        <f t="shared" si="1"/>
        <v>1985</v>
      </c>
      <c r="B15" s="26"/>
      <c r="C15" s="26">
        <v>9800</v>
      </c>
      <c r="D15" s="26">
        <v>24663</v>
      </c>
      <c r="E15" s="26">
        <v>36061</v>
      </c>
      <c r="F15" s="26">
        <v>37927</v>
      </c>
      <c r="G15" s="26">
        <v>40042</v>
      </c>
      <c r="H15" s="26">
        <v>40562</v>
      </c>
      <c r="I15" s="26">
        <v>40362</v>
      </c>
      <c r="J15" s="26">
        <v>40884</v>
      </c>
      <c r="K15" s="26">
        <v>40597</v>
      </c>
      <c r="L15" s="26">
        <v>41304</v>
      </c>
      <c r="M15" s="26">
        <v>42378</v>
      </c>
      <c r="N15" s="26"/>
      <c r="O15" s="26"/>
      <c r="P15" s="26"/>
      <c r="Q15" s="26"/>
      <c r="R15" s="26"/>
      <c r="S15" s="26"/>
      <c r="T15" s="26"/>
    </row>
    <row r="16" spans="1:20" hidden="1" x14ac:dyDescent="0.2">
      <c r="A16" s="18">
        <f t="shared" si="1"/>
        <v>1986</v>
      </c>
      <c r="B16" s="26"/>
      <c r="C16" s="26">
        <v>11380</v>
      </c>
      <c r="D16" s="26">
        <v>26843</v>
      </c>
      <c r="E16" s="26">
        <v>34931</v>
      </c>
      <c r="F16" s="26">
        <v>37805</v>
      </c>
      <c r="G16" s="26">
        <v>41277</v>
      </c>
      <c r="H16" s="26">
        <v>44901</v>
      </c>
      <c r="I16" s="26">
        <v>45867</v>
      </c>
      <c r="J16" s="26">
        <v>45404</v>
      </c>
      <c r="K16" s="26">
        <v>45347</v>
      </c>
      <c r="L16" s="26">
        <v>44383</v>
      </c>
      <c r="M16" s="26"/>
      <c r="N16" s="26"/>
      <c r="O16" s="26"/>
      <c r="P16" s="26"/>
      <c r="Q16" s="26"/>
      <c r="R16" s="26"/>
      <c r="S16" s="26"/>
      <c r="T16" s="26"/>
    </row>
    <row r="17" spans="1:20" hidden="1" x14ac:dyDescent="0.2">
      <c r="A17" s="18">
        <f t="shared" si="1"/>
        <v>1987</v>
      </c>
      <c r="B17" s="26"/>
      <c r="C17" s="26">
        <v>10226</v>
      </c>
      <c r="D17" s="26">
        <v>20511</v>
      </c>
      <c r="E17" s="26">
        <v>26882</v>
      </c>
      <c r="F17" s="26">
        <v>32326</v>
      </c>
      <c r="G17" s="26">
        <v>35257</v>
      </c>
      <c r="H17" s="26">
        <v>40557</v>
      </c>
      <c r="I17" s="26">
        <v>43753</v>
      </c>
      <c r="J17" s="26">
        <v>44609</v>
      </c>
      <c r="K17" s="26">
        <v>44196</v>
      </c>
      <c r="L17" s="26"/>
      <c r="M17" s="26"/>
      <c r="N17" s="26"/>
      <c r="O17" s="26"/>
      <c r="P17" s="26"/>
      <c r="Q17" s="26"/>
      <c r="R17" s="26"/>
      <c r="S17" s="26"/>
      <c r="T17" s="26"/>
    </row>
    <row r="18" spans="1:20" hidden="1" x14ac:dyDescent="0.2">
      <c r="A18" s="18">
        <f t="shared" si="1"/>
        <v>1988</v>
      </c>
      <c r="B18" s="26"/>
      <c r="C18" s="26">
        <v>8170</v>
      </c>
      <c r="D18" s="26">
        <v>18567</v>
      </c>
      <c r="E18" s="26">
        <v>26472</v>
      </c>
      <c r="F18" s="26">
        <v>33002</v>
      </c>
      <c r="G18" s="26">
        <v>36321</v>
      </c>
      <c r="H18" s="26">
        <v>37047</v>
      </c>
      <c r="I18" s="26">
        <v>39675</v>
      </c>
      <c r="J18" s="26">
        <v>40398</v>
      </c>
      <c r="K18" s="26"/>
      <c r="L18" s="26"/>
      <c r="M18" s="26"/>
      <c r="N18" s="26"/>
      <c r="O18" s="26"/>
      <c r="P18" s="26"/>
      <c r="Q18" s="26"/>
      <c r="R18" s="26"/>
      <c r="S18" s="26"/>
      <c r="T18" s="26"/>
    </row>
    <row r="19" spans="1:20" hidden="1" x14ac:dyDescent="0.2">
      <c r="A19" s="18">
        <f t="shared" si="1"/>
        <v>1989</v>
      </c>
      <c r="B19" s="26"/>
      <c r="C19" s="26">
        <v>10433</v>
      </c>
      <c r="D19" s="26">
        <v>19484</v>
      </c>
      <c r="E19" s="26">
        <v>32103</v>
      </c>
      <c r="F19" s="26">
        <v>38936</v>
      </c>
      <c r="G19" s="26">
        <v>45851</v>
      </c>
      <c r="H19" s="26">
        <v>45133</v>
      </c>
      <c r="I19" s="26">
        <v>45501</v>
      </c>
      <c r="J19" s="26"/>
      <c r="K19" s="26"/>
      <c r="L19" s="26"/>
      <c r="M19" s="26"/>
      <c r="N19" s="26"/>
      <c r="O19" s="26"/>
      <c r="P19" s="26"/>
      <c r="Q19" s="26"/>
      <c r="R19" s="26"/>
      <c r="S19" s="26"/>
      <c r="T19" s="26"/>
    </row>
    <row r="20" spans="1:20" hidden="1" x14ac:dyDescent="0.2">
      <c r="A20" s="18">
        <f t="shared" si="1"/>
        <v>1990</v>
      </c>
      <c r="B20" s="26"/>
      <c r="C20" s="26">
        <v>9661</v>
      </c>
      <c r="D20" s="26">
        <v>23808</v>
      </c>
      <c r="E20" s="26">
        <v>32966</v>
      </c>
      <c r="F20" s="26">
        <v>42907</v>
      </c>
      <c r="G20" s="26">
        <v>46930</v>
      </c>
      <c r="H20" s="26">
        <v>49300</v>
      </c>
      <c r="I20" s="26"/>
      <c r="J20" s="26"/>
      <c r="K20" s="26"/>
      <c r="L20" s="26"/>
      <c r="M20" s="26"/>
      <c r="N20" s="26"/>
      <c r="O20" s="26"/>
      <c r="P20" s="26"/>
      <c r="Q20" s="26"/>
      <c r="R20" s="26"/>
      <c r="S20" s="26"/>
      <c r="T20" s="26"/>
    </row>
    <row r="21" spans="1:20" hidden="1" x14ac:dyDescent="0.2">
      <c r="A21" s="18">
        <f t="shared" si="1"/>
        <v>1991</v>
      </c>
      <c r="B21" s="26"/>
      <c r="C21" s="26">
        <v>14275</v>
      </c>
      <c r="D21" s="26">
        <v>25551</v>
      </c>
      <c r="E21" s="26">
        <v>33754</v>
      </c>
      <c r="F21" s="26">
        <v>38674</v>
      </c>
      <c r="G21" s="26">
        <v>41132</v>
      </c>
      <c r="H21" s="26"/>
      <c r="I21" s="26"/>
      <c r="J21" s="26"/>
      <c r="K21" s="26"/>
      <c r="L21" s="26"/>
      <c r="M21" s="26"/>
      <c r="N21" s="26"/>
      <c r="O21" s="26"/>
      <c r="P21" s="26"/>
      <c r="Q21" s="26"/>
      <c r="R21" s="26"/>
      <c r="S21" s="26"/>
      <c r="T21" s="26"/>
    </row>
    <row r="22" spans="1:20" hidden="1" x14ac:dyDescent="0.2">
      <c r="A22" s="18">
        <f t="shared" si="1"/>
        <v>1992</v>
      </c>
      <c r="B22" s="26"/>
      <c r="C22" s="26">
        <v>13245</v>
      </c>
      <c r="D22" s="26">
        <v>29206</v>
      </c>
      <c r="E22" s="26">
        <v>36987</v>
      </c>
      <c r="F22" s="26">
        <v>44075</v>
      </c>
      <c r="G22" s="26"/>
      <c r="H22" s="26"/>
      <c r="I22" s="26"/>
      <c r="J22" s="26"/>
      <c r="K22" s="26"/>
      <c r="L22" s="26"/>
      <c r="M22" s="26"/>
      <c r="N22" s="26"/>
      <c r="O22" s="26"/>
      <c r="P22" s="26"/>
      <c r="Q22" s="26"/>
      <c r="R22" s="26"/>
      <c r="S22" s="26"/>
      <c r="T22" s="26"/>
    </row>
    <row r="23" spans="1:20" hidden="1" x14ac:dyDescent="0.2">
      <c r="A23" s="18">
        <f t="shared" si="1"/>
        <v>1993</v>
      </c>
      <c r="B23" s="26"/>
      <c r="C23" s="26">
        <v>14711</v>
      </c>
      <c r="D23" s="26">
        <v>27082</v>
      </c>
      <c r="E23" s="26">
        <v>34230</v>
      </c>
      <c r="F23" s="26"/>
      <c r="G23" s="26"/>
      <c r="H23" s="26"/>
      <c r="I23" s="26"/>
      <c r="J23" s="26"/>
      <c r="K23" s="26"/>
      <c r="L23" s="26"/>
      <c r="M23" s="26"/>
      <c r="N23" s="26"/>
      <c r="O23" s="26"/>
      <c r="P23" s="26"/>
      <c r="Q23" s="26"/>
      <c r="R23" s="26"/>
      <c r="S23" s="26"/>
      <c r="T23" s="26"/>
    </row>
    <row r="24" spans="1:20" hidden="1" x14ac:dyDescent="0.2">
      <c r="A24" s="18">
        <f t="shared" si="1"/>
        <v>1994</v>
      </c>
      <c r="B24" s="26"/>
      <c r="C24" s="26">
        <v>12476</v>
      </c>
      <c r="D24" s="26">
        <v>23126</v>
      </c>
      <c r="E24" s="26"/>
      <c r="F24" s="26"/>
      <c r="G24" s="26"/>
      <c r="H24" s="26"/>
      <c r="I24" s="26"/>
      <c r="J24" s="26"/>
      <c r="K24" s="26"/>
      <c r="L24" s="26"/>
      <c r="M24" s="26"/>
      <c r="N24" s="26"/>
      <c r="O24" s="26"/>
      <c r="P24" s="26"/>
      <c r="Q24" s="26"/>
      <c r="R24" s="26"/>
      <c r="S24" s="26"/>
      <c r="T24" s="26"/>
    </row>
    <row r="25" spans="1:20" hidden="1" x14ac:dyDescent="0.2">
      <c r="A25" s="18">
        <f t="shared" si="1"/>
        <v>1995</v>
      </c>
      <c r="B25" s="26"/>
      <c r="C25" s="26">
        <v>9715</v>
      </c>
      <c r="D25" s="26"/>
      <c r="E25" s="26"/>
      <c r="F25" s="26"/>
      <c r="G25" s="26"/>
      <c r="H25" s="26"/>
      <c r="I25" s="26"/>
      <c r="J25" s="26"/>
      <c r="K25" s="26"/>
      <c r="L25" s="26"/>
      <c r="M25" s="26"/>
      <c r="N25" s="26"/>
      <c r="O25" s="26"/>
      <c r="P25" s="26"/>
      <c r="Q25" s="26"/>
      <c r="R25" s="26"/>
      <c r="S25" s="26"/>
      <c r="T25" s="26"/>
    </row>
    <row r="27" spans="1:20" x14ac:dyDescent="0.2">
      <c r="A27" s="19" t="s">
        <v>216</v>
      </c>
      <c r="B27" s="20" t="s">
        <v>220</v>
      </c>
      <c r="C27" s="16" t="s">
        <v>221</v>
      </c>
      <c r="D27" s="21"/>
      <c r="E27" s="21"/>
      <c r="F27" s="21"/>
      <c r="G27" s="21"/>
      <c r="H27" s="21"/>
      <c r="I27" s="21"/>
      <c r="J27" s="21"/>
      <c r="K27" s="21"/>
      <c r="L27" s="21"/>
      <c r="M27" s="21"/>
      <c r="N27" s="21"/>
      <c r="O27" s="21"/>
      <c r="P27" s="21"/>
      <c r="Q27" s="21"/>
      <c r="R27" s="21"/>
      <c r="S27" s="21"/>
      <c r="T27" s="21"/>
    </row>
    <row r="28" spans="1:20" x14ac:dyDescent="0.2">
      <c r="A28" s="23" t="s">
        <v>218</v>
      </c>
      <c r="B28" s="24" t="s">
        <v>222</v>
      </c>
      <c r="C28" s="21">
        <v>0</v>
      </c>
      <c r="D28" s="21">
        <f t="shared" ref="D28:T28" si="2">C28+1</f>
        <v>1</v>
      </c>
      <c r="E28" s="21">
        <f t="shared" si="2"/>
        <v>2</v>
      </c>
      <c r="F28" s="21">
        <f t="shared" si="2"/>
        <v>3</v>
      </c>
      <c r="G28" s="21">
        <f t="shared" si="2"/>
        <v>4</v>
      </c>
      <c r="H28" s="21">
        <f t="shared" si="2"/>
        <v>5</v>
      </c>
      <c r="I28" s="21">
        <f t="shared" si="2"/>
        <v>6</v>
      </c>
      <c r="J28" s="21">
        <f t="shared" si="2"/>
        <v>7</v>
      </c>
      <c r="K28" s="21">
        <f t="shared" si="2"/>
        <v>8</v>
      </c>
      <c r="L28" s="21">
        <f t="shared" si="2"/>
        <v>9</v>
      </c>
      <c r="M28" s="21">
        <f t="shared" si="2"/>
        <v>10</v>
      </c>
      <c r="N28" s="21">
        <f t="shared" si="2"/>
        <v>11</v>
      </c>
      <c r="O28" s="21">
        <f t="shared" si="2"/>
        <v>12</v>
      </c>
      <c r="P28" s="21">
        <f t="shared" si="2"/>
        <v>13</v>
      </c>
      <c r="Q28" s="21">
        <f t="shared" si="2"/>
        <v>14</v>
      </c>
      <c r="R28" s="21">
        <f t="shared" si="2"/>
        <v>15</v>
      </c>
      <c r="S28" s="21">
        <f t="shared" si="2"/>
        <v>16</v>
      </c>
      <c r="T28" s="21">
        <f t="shared" si="2"/>
        <v>17</v>
      </c>
    </row>
    <row r="29" spans="1:20" x14ac:dyDescent="0.2">
      <c r="C29" s="25" t="s">
        <v>219</v>
      </c>
      <c r="D29" s="25" t="s">
        <v>219</v>
      </c>
      <c r="E29" s="25" t="s">
        <v>219</v>
      </c>
      <c r="F29" s="25" t="s">
        <v>219</v>
      </c>
      <c r="G29" s="25" t="s">
        <v>219</v>
      </c>
      <c r="H29" s="25" t="s">
        <v>219</v>
      </c>
      <c r="I29" s="25" t="s">
        <v>219</v>
      </c>
      <c r="J29" s="25" t="s">
        <v>219</v>
      </c>
      <c r="K29" s="25" t="s">
        <v>219</v>
      </c>
      <c r="L29" s="25" t="s">
        <v>219</v>
      </c>
      <c r="M29" s="25" t="s">
        <v>219</v>
      </c>
      <c r="N29" s="25" t="s">
        <v>219</v>
      </c>
      <c r="O29" s="25" t="s">
        <v>219</v>
      </c>
      <c r="P29" s="25" t="s">
        <v>219</v>
      </c>
      <c r="Q29" s="25" t="s">
        <v>219</v>
      </c>
      <c r="R29" s="25" t="s">
        <v>219</v>
      </c>
      <c r="S29" s="25" t="s">
        <v>219</v>
      </c>
      <c r="T29" s="25" t="s">
        <v>219</v>
      </c>
    </row>
    <row r="31" spans="1:20" x14ac:dyDescent="0.2">
      <c r="A31" s="18">
        <f t="shared" ref="A31:A48" si="3">A8</f>
        <v>1978</v>
      </c>
      <c r="B31" s="27">
        <v>1</v>
      </c>
      <c r="C31" s="26">
        <f t="shared" ref="C31:C48" si="4">C8*B31</f>
        <v>9268</v>
      </c>
      <c r="D31" s="26">
        <f t="shared" ref="D31:D47" si="5">D8*B32</f>
        <v>18263</v>
      </c>
      <c r="E31" s="26">
        <f t="shared" ref="E31:E45" si="6">E8*B33</f>
        <v>20182</v>
      </c>
      <c r="F31" s="26">
        <f t="shared" ref="F31:F45" si="7">F8*B34</f>
        <v>22383</v>
      </c>
      <c r="G31" s="26">
        <f t="shared" ref="G31:G44" si="8">G8*B35</f>
        <v>22782</v>
      </c>
      <c r="H31" s="26">
        <f t="shared" ref="H31:H43" si="9">H8*B36</f>
        <v>26348</v>
      </c>
      <c r="I31" s="26">
        <f t="shared" ref="I31:I42" si="10">I8*B37</f>
        <v>26172</v>
      </c>
      <c r="J31" s="26">
        <f t="shared" ref="J31:J41" si="11">J8*B38</f>
        <v>26184</v>
      </c>
      <c r="K31" s="26">
        <f t="shared" ref="K31:K40" si="12">K8*B39</f>
        <v>25455</v>
      </c>
      <c r="L31" s="26">
        <f t="shared" ref="L31:L39" si="13">L8*B40</f>
        <v>25740</v>
      </c>
      <c r="M31" s="26">
        <f t="shared" ref="M31:M38" si="14">M8*B41</f>
        <v>25711</v>
      </c>
      <c r="N31" s="26">
        <f t="shared" ref="N31:N37" si="15">N8*B42</f>
        <v>25452</v>
      </c>
      <c r="O31" s="26">
        <f t="shared" ref="O31:O36" si="16">O8*B43</f>
        <v>25460</v>
      </c>
      <c r="P31" s="26">
        <f>P8*B44</f>
        <v>25422</v>
      </c>
      <c r="Q31" s="26">
        <f>Q8*B45</f>
        <v>25386</v>
      </c>
      <c r="R31" s="26">
        <f>R8*B46</f>
        <v>25520</v>
      </c>
      <c r="S31" s="26">
        <f>S8*B47</f>
        <v>25646</v>
      </c>
      <c r="T31" s="26">
        <f>T8*B48</f>
        <v>25469</v>
      </c>
    </row>
    <row r="32" spans="1:20" x14ac:dyDescent="0.2">
      <c r="A32" s="18">
        <f t="shared" si="3"/>
        <v>1979</v>
      </c>
      <c r="B32" s="27">
        <f>B31</f>
        <v>1</v>
      </c>
      <c r="C32" s="26">
        <f t="shared" si="4"/>
        <v>9848</v>
      </c>
      <c r="D32" s="26">
        <f t="shared" si="5"/>
        <v>16123</v>
      </c>
      <c r="E32" s="26">
        <f t="shared" si="6"/>
        <v>17099</v>
      </c>
      <c r="F32" s="26">
        <f t="shared" si="7"/>
        <v>18544</v>
      </c>
      <c r="G32" s="26">
        <f t="shared" si="8"/>
        <v>20534</v>
      </c>
      <c r="H32" s="26">
        <f t="shared" si="9"/>
        <v>21554</v>
      </c>
      <c r="I32" s="26">
        <f t="shared" si="10"/>
        <v>23219</v>
      </c>
      <c r="J32" s="26">
        <f t="shared" si="11"/>
        <v>22381</v>
      </c>
      <c r="K32" s="26">
        <f t="shared" si="12"/>
        <v>21584</v>
      </c>
      <c r="L32" s="26">
        <f t="shared" si="13"/>
        <v>21408</v>
      </c>
      <c r="M32" s="26">
        <f t="shared" si="14"/>
        <v>20857</v>
      </c>
      <c r="N32" s="26">
        <f t="shared" si="15"/>
        <v>21163</v>
      </c>
      <c r="O32" s="26">
        <f t="shared" si="16"/>
        <v>20482</v>
      </c>
      <c r="P32" s="26">
        <f>P9*B45</f>
        <v>19971</v>
      </c>
      <c r="Q32" s="26">
        <f>Q9*B46</f>
        <v>19958</v>
      </c>
      <c r="R32" s="26">
        <f>R9*B47</f>
        <v>19947</v>
      </c>
      <c r="S32" s="26">
        <f>S9*B48</f>
        <v>19991</v>
      </c>
      <c r="T32" s="26"/>
    </row>
    <row r="33" spans="1:20" x14ac:dyDescent="0.2">
      <c r="A33" s="18">
        <f t="shared" si="3"/>
        <v>1980</v>
      </c>
      <c r="B33" s="27">
        <f t="shared" ref="B33:B48" si="17">B32</f>
        <v>1</v>
      </c>
      <c r="C33" s="26">
        <f t="shared" si="4"/>
        <v>13990</v>
      </c>
      <c r="D33" s="26">
        <f t="shared" si="5"/>
        <v>22484</v>
      </c>
      <c r="E33" s="26">
        <f t="shared" si="6"/>
        <v>24950</v>
      </c>
      <c r="F33" s="26">
        <f t="shared" si="7"/>
        <v>33255</v>
      </c>
      <c r="G33" s="26">
        <f t="shared" si="8"/>
        <v>33295</v>
      </c>
      <c r="H33" s="26">
        <f t="shared" si="9"/>
        <v>34308</v>
      </c>
      <c r="I33" s="26">
        <f t="shared" si="10"/>
        <v>34022</v>
      </c>
      <c r="J33" s="26">
        <f t="shared" si="11"/>
        <v>34023</v>
      </c>
      <c r="K33" s="26">
        <f t="shared" si="12"/>
        <v>33842</v>
      </c>
      <c r="L33" s="26">
        <f t="shared" si="13"/>
        <v>33933</v>
      </c>
      <c r="M33" s="26">
        <f t="shared" si="14"/>
        <v>33570</v>
      </c>
      <c r="N33" s="26">
        <f t="shared" si="15"/>
        <v>31881</v>
      </c>
      <c r="O33" s="26">
        <f t="shared" si="16"/>
        <v>32203</v>
      </c>
      <c r="P33" s="26">
        <f>P10*B46</f>
        <v>32345</v>
      </c>
      <c r="Q33" s="26">
        <f>Q10*B47</f>
        <v>32250</v>
      </c>
      <c r="R33" s="26">
        <f>R10*B48</f>
        <v>32168</v>
      </c>
      <c r="S33" s="26"/>
      <c r="T33" s="26"/>
    </row>
    <row r="34" spans="1:20" x14ac:dyDescent="0.2">
      <c r="A34" s="18">
        <f t="shared" si="3"/>
        <v>1981</v>
      </c>
      <c r="B34" s="27">
        <f t="shared" si="17"/>
        <v>1</v>
      </c>
      <c r="C34" s="26">
        <f t="shared" si="4"/>
        <v>16550</v>
      </c>
      <c r="D34" s="26">
        <f t="shared" si="5"/>
        <v>28056</v>
      </c>
      <c r="E34" s="26">
        <f t="shared" si="6"/>
        <v>39995</v>
      </c>
      <c r="F34" s="26">
        <f t="shared" si="7"/>
        <v>42459</v>
      </c>
      <c r="G34" s="26">
        <f t="shared" si="8"/>
        <v>42797</v>
      </c>
      <c r="H34" s="26">
        <f t="shared" si="9"/>
        <v>42755</v>
      </c>
      <c r="I34" s="26">
        <f t="shared" si="10"/>
        <v>42435</v>
      </c>
      <c r="J34" s="26">
        <f t="shared" si="11"/>
        <v>42302</v>
      </c>
      <c r="K34" s="26">
        <f t="shared" si="12"/>
        <v>42095</v>
      </c>
      <c r="L34" s="26">
        <f t="shared" si="13"/>
        <v>41606</v>
      </c>
      <c r="M34" s="26">
        <f t="shared" si="14"/>
        <v>40440</v>
      </c>
      <c r="N34" s="26">
        <f t="shared" si="15"/>
        <v>40432</v>
      </c>
      <c r="O34" s="26">
        <f t="shared" si="16"/>
        <v>40326</v>
      </c>
      <c r="P34" s="26">
        <f>P11*B47</f>
        <v>40337</v>
      </c>
      <c r="Q34" s="26">
        <f>Q11*B48</f>
        <v>40096</v>
      </c>
      <c r="R34" s="26"/>
      <c r="S34" s="26"/>
      <c r="T34" s="26"/>
    </row>
    <row r="35" spans="1:20" x14ac:dyDescent="0.2">
      <c r="A35" s="18">
        <f t="shared" si="3"/>
        <v>1982</v>
      </c>
      <c r="B35" s="27">
        <f t="shared" si="17"/>
        <v>1</v>
      </c>
      <c r="C35" s="26">
        <f t="shared" si="4"/>
        <v>11100</v>
      </c>
      <c r="D35" s="26">
        <f t="shared" si="5"/>
        <v>31620</v>
      </c>
      <c r="E35" s="26">
        <f t="shared" si="6"/>
        <v>40852</v>
      </c>
      <c r="F35" s="26">
        <f t="shared" si="7"/>
        <v>38831</v>
      </c>
      <c r="G35" s="26">
        <f t="shared" si="8"/>
        <v>39516</v>
      </c>
      <c r="H35" s="26">
        <f t="shared" si="9"/>
        <v>39870</v>
      </c>
      <c r="I35" s="26">
        <f t="shared" si="10"/>
        <v>40358</v>
      </c>
      <c r="J35" s="26">
        <f t="shared" si="11"/>
        <v>40355</v>
      </c>
      <c r="K35" s="26">
        <f t="shared" si="12"/>
        <v>40116</v>
      </c>
      <c r="L35" s="26">
        <f t="shared" si="13"/>
        <v>39888</v>
      </c>
      <c r="M35" s="26">
        <f t="shared" si="14"/>
        <v>39898</v>
      </c>
      <c r="N35" s="26">
        <f t="shared" si="15"/>
        <v>40147</v>
      </c>
      <c r="O35" s="26">
        <f t="shared" si="16"/>
        <v>39827</v>
      </c>
      <c r="P35" s="26">
        <f>P12*B48</f>
        <v>40200</v>
      </c>
      <c r="Q35" s="26"/>
      <c r="R35" s="26"/>
      <c r="S35" s="26"/>
      <c r="T35" s="26"/>
    </row>
    <row r="36" spans="1:20" x14ac:dyDescent="0.2">
      <c r="A36" s="18">
        <f t="shared" si="3"/>
        <v>1983</v>
      </c>
      <c r="B36" s="27">
        <f t="shared" si="17"/>
        <v>1</v>
      </c>
      <c r="C36" s="26">
        <f t="shared" si="4"/>
        <v>15677</v>
      </c>
      <c r="D36" s="26">
        <f t="shared" si="5"/>
        <v>33074</v>
      </c>
      <c r="E36" s="26">
        <f t="shared" si="6"/>
        <v>35592</v>
      </c>
      <c r="F36" s="26">
        <f t="shared" si="7"/>
        <v>35721</v>
      </c>
      <c r="G36" s="26">
        <f t="shared" si="8"/>
        <v>38652</v>
      </c>
      <c r="H36" s="26">
        <f t="shared" si="9"/>
        <v>39418</v>
      </c>
      <c r="I36" s="26">
        <f t="shared" si="10"/>
        <v>39223</v>
      </c>
      <c r="J36" s="26">
        <f t="shared" si="11"/>
        <v>39696</v>
      </c>
      <c r="K36" s="26">
        <f t="shared" si="12"/>
        <v>37769</v>
      </c>
      <c r="L36" s="26">
        <f t="shared" si="13"/>
        <v>37894</v>
      </c>
      <c r="M36" s="26">
        <f t="shared" si="14"/>
        <v>37369</v>
      </c>
      <c r="N36" s="26">
        <f t="shared" si="15"/>
        <v>37345</v>
      </c>
      <c r="O36" s="26">
        <f t="shared" si="16"/>
        <v>37075</v>
      </c>
      <c r="P36" s="26"/>
      <c r="Q36" s="26"/>
      <c r="R36" s="26"/>
      <c r="S36" s="26"/>
      <c r="T36" s="26"/>
    </row>
    <row r="37" spans="1:20" x14ac:dyDescent="0.2">
      <c r="A37" s="18">
        <f t="shared" si="3"/>
        <v>1984</v>
      </c>
      <c r="B37" s="27">
        <f t="shared" si="17"/>
        <v>1</v>
      </c>
      <c r="C37" s="26">
        <f t="shared" si="4"/>
        <v>20375</v>
      </c>
      <c r="D37" s="26">
        <f t="shared" si="5"/>
        <v>33555</v>
      </c>
      <c r="E37" s="26">
        <f t="shared" si="6"/>
        <v>41756</v>
      </c>
      <c r="F37" s="26">
        <f t="shared" si="7"/>
        <v>45125</v>
      </c>
      <c r="G37" s="26">
        <f t="shared" si="8"/>
        <v>47284</v>
      </c>
      <c r="H37" s="26">
        <f t="shared" si="9"/>
        <v>51710</v>
      </c>
      <c r="I37" s="26">
        <f t="shared" si="10"/>
        <v>52147</v>
      </c>
      <c r="J37" s="26">
        <f t="shared" si="11"/>
        <v>51187</v>
      </c>
      <c r="K37" s="26">
        <f t="shared" si="12"/>
        <v>51950</v>
      </c>
      <c r="L37" s="26">
        <f t="shared" si="13"/>
        <v>50967</v>
      </c>
      <c r="M37" s="26">
        <f t="shared" si="14"/>
        <v>51461</v>
      </c>
      <c r="N37" s="26">
        <f t="shared" si="15"/>
        <v>51382</v>
      </c>
      <c r="O37" s="26"/>
      <c r="P37" s="26"/>
      <c r="Q37" s="26"/>
      <c r="R37" s="26"/>
      <c r="S37" s="26"/>
      <c r="T37" s="26"/>
    </row>
    <row r="38" spans="1:20" x14ac:dyDescent="0.2">
      <c r="A38" s="18">
        <f t="shared" si="3"/>
        <v>1985</v>
      </c>
      <c r="B38" s="27">
        <f t="shared" si="17"/>
        <v>1</v>
      </c>
      <c r="C38" s="26">
        <f t="shared" si="4"/>
        <v>9800</v>
      </c>
      <c r="D38" s="26">
        <f t="shared" si="5"/>
        <v>24663</v>
      </c>
      <c r="E38" s="26">
        <f t="shared" si="6"/>
        <v>36061</v>
      </c>
      <c r="F38" s="26">
        <f t="shared" si="7"/>
        <v>37927</v>
      </c>
      <c r="G38" s="26">
        <f t="shared" si="8"/>
        <v>40042</v>
      </c>
      <c r="H38" s="26">
        <f t="shared" si="9"/>
        <v>40562</v>
      </c>
      <c r="I38" s="26">
        <f t="shared" si="10"/>
        <v>40362</v>
      </c>
      <c r="J38" s="26">
        <f t="shared" si="11"/>
        <v>40884</v>
      </c>
      <c r="K38" s="26">
        <f t="shared" si="12"/>
        <v>40597</v>
      </c>
      <c r="L38" s="26">
        <f t="shared" si="13"/>
        <v>41304</v>
      </c>
      <c r="M38" s="26">
        <f t="shared" si="14"/>
        <v>42378</v>
      </c>
      <c r="N38" s="26"/>
      <c r="O38" s="26"/>
      <c r="P38" s="26"/>
      <c r="Q38" s="26"/>
      <c r="R38" s="26"/>
      <c r="S38" s="26"/>
      <c r="T38" s="26"/>
    </row>
    <row r="39" spans="1:20" x14ac:dyDescent="0.2">
      <c r="A39" s="18">
        <f t="shared" si="3"/>
        <v>1986</v>
      </c>
      <c r="B39" s="27">
        <f t="shared" si="17"/>
        <v>1</v>
      </c>
      <c r="C39" s="26">
        <f t="shared" si="4"/>
        <v>11380</v>
      </c>
      <c r="D39" s="26">
        <f t="shared" si="5"/>
        <v>26843</v>
      </c>
      <c r="E39" s="26">
        <f t="shared" si="6"/>
        <v>34931</v>
      </c>
      <c r="F39" s="26">
        <f t="shared" si="7"/>
        <v>37805</v>
      </c>
      <c r="G39" s="26">
        <f t="shared" si="8"/>
        <v>41277</v>
      </c>
      <c r="H39" s="26">
        <f t="shared" si="9"/>
        <v>44901</v>
      </c>
      <c r="I39" s="26">
        <f t="shared" si="10"/>
        <v>45867</v>
      </c>
      <c r="J39" s="26">
        <f t="shared" si="11"/>
        <v>45404</v>
      </c>
      <c r="K39" s="26">
        <f t="shared" si="12"/>
        <v>45347</v>
      </c>
      <c r="L39" s="26">
        <f t="shared" si="13"/>
        <v>44383</v>
      </c>
      <c r="M39" s="26"/>
      <c r="N39" s="26"/>
      <c r="O39" s="26"/>
      <c r="P39" s="26"/>
      <c r="Q39" s="26"/>
      <c r="R39" s="26"/>
      <c r="S39" s="26"/>
      <c r="T39" s="26"/>
    </row>
    <row r="40" spans="1:20" x14ac:dyDescent="0.2">
      <c r="A40" s="18">
        <f t="shared" si="3"/>
        <v>1987</v>
      </c>
      <c r="B40" s="27">
        <f t="shared" si="17"/>
        <v>1</v>
      </c>
      <c r="C40" s="26">
        <f t="shared" si="4"/>
        <v>10226</v>
      </c>
      <c r="D40" s="26">
        <f t="shared" si="5"/>
        <v>20511</v>
      </c>
      <c r="E40" s="26">
        <f>E17*B42</f>
        <v>26882</v>
      </c>
      <c r="F40" s="26">
        <f t="shared" si="7"/>
        <v>32326</v>
      </c>
      <c r="G40" s="26">
        <f t="shared" si="8"/>
        <v>35257</v>
      </c>
      <c r="H40" s="26">
        <f t="shared" si="9"/>
        <v>40557</v>
      </c>
      <c r="I40" s="26">
        <f t="shared" si="10"/>
        <v>43753</v>
      </c>
      <c r="J40" s="26">
        <f t="shared" si="11"/>
        <v>44609</v>
      </c>
      <c r="K40" s="26">
        <f t="shared" si="12"/>
        <v>44196</v>
      </c>
      <c r="L40" s="26"/>
      <c r="M40" s="26"/>
      <c r="N40" s="26"/>
      <c r="O40" s="26"/>
      <c r="P40" s="26"/>
      <c r="Q40" s="26"/>
      <c r="R40" s="26"/>
      <c r="S40" s="26"/>
      <c r="T40" s="26"/>
    </row>
    <row r="41" spans="1:20" x14ac:dyDescent="0.2">
      <c r="A41" s="18">
        <f t="shared" si="3"/>
        <v>1988</v>
      </c>
      <c r="B41" s="27">
        <f t="shared" si="17"/>
        <v>1</v>
      </c>
      <c r="C41" s="26">
        <f t="shared" si="4"/>
        <v>8170</v>
      </c>
      <c r="D41" s="26">
        <f t="shared" si="5"/>
        <v>18567</v>
      </c>
      <c r="E41" s="26">
        <f t="shared" si="6"/>
        <v>26472</v>
      </c>
      <c r="F41" s="26">
        <f t="shared" si="7"/>
        <v>33002</v>
      </c>
      <c r="G41" s="26">
        <f t="shared" si="8"/>
        <v>36321</v>
      </c>
      <c r="H41" s="26">
        <f t="shared" si="9"/>
        <v>37047</v>
      </c>
      <c r="I41" s="26">
        <f t="shared" si="10"/>
        <v>39675</v>
      </c>
      <c r="J41" s="26">
        <f t="shared" si="11"/>
        <v>40398</v>
      </c>
      <c r="K41" s="26"/>
      <c r="L41" s="26"/>
      <c r="M41" s="26"/>
      <c r="N41" s="26"/>
      <c r="O41" s="26"/>
      <c r="P41" s="26"/>
      <c r="Q41" s="26"/>
      <c r="R41" s="26"/>
      <c r="S41" s="26"/>
      <c r="T41" s="26"/>
    </row>
    <row r="42" spans="1:20" x14ac:dyDescent="0.2">
      <c r="A42" s="18">
        <f t="shared" si="3"/>
        <v>1989</v>
      </c>
      <c r="B42" s="27">
        <f t="shared" si="17"/>
        <v>1</v>
      </c>
      <c r="C42" s="26">
        <f t="shared" si="4"/>
        <v>10433</v>
      </c>
      <c r="D42" s="26">
        <f t="shared" si="5"/>
        <v>19484</v>
      </c>
      <c r="E42" s="26">
        <f t="shared" si="6"/>
        <v>32103</v>
      </c>
      <c r="F42" s="26">
        <f t="shared" si="7"/>
        <v>38936</v>
      </c>
      <c r="G42" s="26">
        <f t="shared" si="8"/>
        <v>45851</v>
      </c>
      <c r="H42" s="26">
        <f t="shared" si="9"/>
        <v>45133</v>
      </c>
      <c r="I42" s="26">
        <f t="shared" si="10"/>
        <v>45501</v>
      </c>
      <c r="J42" s="26"/>
      <c r="K42" s="26"/>
      <c r="L42" s="26"/>
      <c r="M42" s="26"/>
      <c r="N42" s="26"/>
      <c r="O42" s="26"/>
      <c r="P42" s="26"/>
      <c r="Q42" s="26"/>
      <c r="R42" s="26"/>
      <c r="S42" s="26"/>
      <c r="T42" s="26"/>
    </row>
    <row r="43" spans="1:20" x14ac:dyDescent="0.2">
      <c r="A43" s="18">
        <f t="shared" si="3"/>
        <v>1990</v>
      </c>
      <c r="B43" s="27">
        <f t="shared" si="17"/>
        <v>1</v>
      </c>
      <c r="C43" s="26">
        <f t="shared" si="4"/>
        <v>9661</v>
      </c>
      <c r="D43" s="26">
        <f t="shared" si="5"/>
        <v>23808</v>
      </c>
      <c r="E43" s="26">
        <f t="shared" si="6"/>
        <v>32966</v>
      </c>
      <c r="F43" s="26">
        <f t="shared" si="7"/>
        <v>42907</v>
      </c>
      <c r="G43" s="26">
        <f t="shared" si="8"/>
        <v>46930</v>
      </c>
      <c r="H43" s="26">
        <f t="shared" si="9"/>
        <v>49300</v>
      </c>
      <c r="I43" s="26"/>
      <c r="J43" s="26"/>
      <c r="K43" s="26"/>
      <c r="L43" s="26"/>
      <c r="M43" s="26"/>
      <c r="N43" s="26"/>
      <c r="O43" s="26"/>
      <c r="P43" s="26"/>
      <c r="Q43" s="26"/>
      <c r="R43" s="26"/>
      <c r="S43" s="26"/>
      <c r="T43" s="26"/>
    </row>
    <row r="44" spans="1:20" x14ac:dyDescent="0.2">
      <c r="A44" s="18">
        <f t="shared" si="3"/>
        <v>1991</v>
      </c>
      <c r="B44" s="27">
        <f t="shared" si="17"/>
        <v>1</v>
      </c>
      <c r="C44" s="26">
        <f t="shared" si="4"/>
        <v>14275</v>
      </c>
      <c r="D44" s="26">
        <f t="shared" si="5"/>
        <v>25551</v>
      </c>
      <c r="E44" s="26">
        <f t="shared" si="6"/>
        <v>33754</v>
      </c>
      <c r="F44" s="26">
        <f t="shared" si="7"/>
        <v>38674</v>
      </c>
      <c r="G44" s="26">
        <f t="shared" si="8"/>
        <v>41132</v>
      </c>
      <c r="H44" s="26"/>
      <c r="I44" s="26"/>
      <c r="J44" s="26"/>
      <c r="K44" s="26"/>
      <c r="L44" s="26"/>
      <c r="M44" s="26"/>
      <c r="N44" s="26"/>
      <c r="O44" s="26"/>
      <c r="P44" s="26"/>
      <c r="Q44" s="26"/>
      <c r="R44" s="26"/>
      <c r="S44" s="26"/>
      <c r="T44" s="26"/>
    </row>
    <row r="45" spans="1:20" x14ac:dyDescent="0.2">
      <c r="A45" s="18">
        <f t="shared" si="3"/>
        <v>1992</v>
      </c>
      <c r="B45" s="27">
        <f t="shared" si="17"/>
        <v>1</v>
      </c>
      <c r="C45" s="26">
        <f t="shared" si="4"/>
        <v>13245</v>
      </c>
      <c r="D45" s="26">
        <f t="shared" si="5"/>
        <v>29206</v>
      </c>
      <c r="E45" s="26">
        <f t="shared" si="6"/>
        <v>36987</v>
      </c>
      <c r="F45" s="26">
        <f t="shared" si="7"/>
        <v>44075</v>
      </c>
      <c r="G45" s="26"/>
      <c r="H45" s="26"/>
      <c r="I45" s="26"/>
      <c r="J45" s="26"/>
      <c r="K45" s="26"/>
      <c r="L45" s="26"/>
      <c r="M45" s="26"/>
      <c r="N45" s="26"/>
      <c r="O45" s="26"/>
      <c r="P45" s="26"/>
      <c r="Q45" s="26"/>
      <c r="R45" s="26"/>
      <c r="S45" s="26"/>
      <c r="T45" s="26"/>
    </row>
    <row r="46" spans="1:20" x14ac:dyDescent="0.2">
      <c r="A46" s="18">
        <f t="shared" si="3"/>
        <v>1993</v>
      </c>
      <c r="B46" s="27">
        <f t="shared" si="17"/>
        <v>1</v>
      </c>
      <c r="C46" s="26">
        <f t="shared" si="4"/>
        <v>14711</v>
      </c>
      <c r="D46" s="26">
        <f t="shared" si="5"/>
        <v>27082</v>
      </c>
      <c r="E46" s="26">
        <f>E23*B48</f>
        <v>34230</v>
      </c>
      <c r="F46" s="26"/>
      <c r="G46" s="26"/>
      <c r="H46" s="26"/>
      <c r="I46" s="26"/>
      <c r="J46" s="26"/>
      <c r="K46" s="26"/>
      <c r="L46" s="26"/>
      <c r="M46" s="26"/>
      <c r="N46" s="26"/>
      <c r="O46" s="26"/>
      <c r="P46" s="26"/>
      <c r="Q46" s="26"/>
      <c r="R46" s="26"/>
      <c r="S46" s="26"/>
      <c r="T46" s="26"/>
    </row>
    <row r="47" spans="1:20" x14ac:dyDescent="0.2">
      <c r="A47" s="18">
        <f t="shared" si="3"/>
        <v>1994</v>
      </c>
      <c r="B47" s="27">
        <f t="shared" si="17"/>
        <v>1</v>
      </c>
      <c r="C47" s="26">
        <f t="shared" si="4"/>
        <v>12476</v>
      </c>
      <c r="D47" s="26">
        <f t="shared" si="5"/>
        <v>23126</v>
      </c>
      <c r="E47" s="26"/>
      <c r="F47" s="26"/>
      <c r="G47" s="26"/>
      <c r="H47" s="26"/>
      <c r="I47" s="26"/>
      <c r="J47" s="26"/>
      <c r="K47" s="26"/>
      <c r="L47" s="26"/>
      <c r="M47" s="26"/>
      <c r="N47" s="26"/>
      <c r="O47" s="26"/>
      <c r="P47" s="26"/>
      <c r="Q47" s="26"/>
      <c r="R47" s="26"/>
      <c r="S47" s="26"/>
      <c r="T47" s="26"/>
    </row>
    <row r="48" spans="1:20" x14ac:dyDescent="0.2">
      <c r="A48" s="18">
        <f t="shared" si="3"/>
        <v>1995</v>
      </c>
      <c r="B48" s="27">
        <f t="shared" si="17"/>
        <v>1</v>
      </c>
      <c r="C48" s="26">
        <f t="shared" si="4"/>
        <v>9715</v>
      </c>
      <c r="D48" s="26"/>
      <c r="E48" s="26"/>
      <c r="F48" s="26"/>
      <c r="G48" s="26"/>
      <c r="H48" s="26"/>
      <c r="I48" s="26"/>
      <c r="J48" s="26"/>
      <c r="K48" s="26"/>
      <c r="L48" s="26"/>
      <c r="M48" s="26"/>
      <c r="N48" s="26"/>
      <c r="O48" s="26"/>
      <c r="P48" s="26"/>
      <c r="Q48" s="26"/>
      <c r="R48" s="26"/>
      <c r="S48" s="26"/>
      <c r="T48" s="26"/>
    </row>
    <row r="51" spans="1:16" x14ac:dyDescent="0.2">
      <c r="A51" s="22" t="s">
        <v>223</v>
      </c>
    </row>
    <row r="52" spans="1:16" x14ac:dyDescent="0.2">
      <c r="A52" s="22" t="s">
        <v>224</v>
      </c>
    </row>
    <row r="54" spans="1:16" x14ac:dyDescent="0.2">
      <c r="A54" s="19" t="s">
        <v>216</v>
      </c>
      <c r="B54" s="22" t="s">
        <v>225</v>
      </c>
      <c r="C54" s="22"/>
      <c r="D54" s="22"/>
      <c r="E54" s="22"/>
      <c r="F54" s="22"/>
      <c r="G54" s="22"/>
      <c r="H54" s="22"/>
      <c r="I54" s="22"/>
      <c r="J54" s="22"/>
      <c r="K54" s="22"/>
      <c r="L54" s="22"/>
      <c r="N54" s="28"/>
      <c r="O54" s="22" t="s">
        <v>226</v>
      </c>
      <c r="P54" s="22"/>
    </row>
    <row r="55" spans="1:16" x14ac:dyDescent="0.2">
      <c r="A55" s="19" t="s">
        <v>218</v>
      </c>
      <c r="B55" s="22">
        <v>0</v>
      </c>
      <c r="C55" s="22">
        <v>1</v>
      </c>
      <c r="D55" s="22">
        <v>2</v>
      </c>
      <c r="E55" s="22">
        <v>3</v>
      </c>
      <c r="F55" s="22">
        <v>4</v>
      </c>
      <c r="G55" s="22">
        <v>5</v>
      </c>
      <c r="H55" s="22">
        <v>6</v>
      </c>
      <c r="I55" s="22">
        <v>7</v>
      </c>
      <c r="J55" s="22">
        <v>8</v>
      </c>
      <c r="K55" s="22">
        <v>9</v>
      </c>
      <c r="L55" s="22">
        <v>10</v>
      </c>
      <c r="M55" s="29" t="s">
        <v>227</v>
      </c>
      <c r="N55" s="28" t="s">
        <v>228</v>
      </c>
      <c r="O55" s="22" t="s">
        <v>229</v>
      </c>
      <c r="P55" s="22" t="s">
        <v>230</v>
      </c>
    </row>
    <row r="56" spans="1:16" x14ac:dyDescent="0.2">
      <c r="A56" s="30"/>
      <c r="N56" s="31"/>
    </row>
    <row r="57" spans="1:16" x14ac:dyDescent="0.2">
      <c r="A57" s="18">
        <v>1978</v>
      </c>
      <c r="B57" s="32">
        <v>368</v>
      </c>
      <c r="C57" s="32">
        <v>191</v>
      </c>
      <c r="D57" s="32">
        <v>28</v>
      </c>
      <c r="E57" s="32">
        <v>8</v>
      </c>
      <c r="F57" s="32">
        <v>6</v>
      </c>
      <c r="G57" s="32">
        <v>5</v>
      </c>
      <c r="H57" s="32">
        <v>3</v>
      </c>
      <c r="I57" s="32">
        <v>1</v>
      </c>
      <c r="J57" s="32">
        <v>0</v>
      </c>
      <c r="K57" s="32">
        <v>0</v>
      </c>
      <c r="L57" s="32">
        <v>1</v>
      </c>
      <c r="M57" s="33">
        <v>0.14487865899107327</v>
      </c>
      <c r="N57" s="34">
        <f>SUM(B57:L57)</f>
        <v>611</v>
      </c>
      <c r="O57" s="33">
        <f>P57-N57</f>
        <v>0.1448786589910469</v>
      </c>
      <c r="P57" s="33">
        <f>SUM(B57:M57)</f>
        <v>611.14487865899105</v>
      </c>
    </row>
    <row r="58" spans="1:16" x14ac:dyDescent="0.2">
      <c r="A58" s="18">
        <v>1979</v>
      </c>
      <c r="B58" s="32">
        <v>393</v>
      </c>
      <c r="C58" s="32">
        <v>151</v>
      </c>
      <c r="D58" s="32">
        <v>25</v>
      </c>
      <c r="E58" s="32">
        <v>6</v>
      </c>
      <c r="F58" s="32">
        <v>4</v>
      </c>
      <c r="G58" s="32">
        <v>5</v>
      </c>
      <c r="H58" s="32">
        <v>4</v>
      </c>
      <c r="I58" s="32">
        <v>1</v>
      </c>
      <c r="J58" s="32">
        <v>2</v>
      </c>
      <c r="K58" s="32">
        <v>1</v>
      </c>
      <c r="L58" s="32">
        <v>0</v>
      </c>
      <c r="M58" s="33">
        <v>0.15325834520642714</v>
      </c>
      <c r="N58" s="34">
        <f t="shared" ref="N58:N64" si="18">SUM(B58:L58)</f>
        <v>592</v>
      </c>
      <c r="O58" s="33">
        <f t="shared" ref="O58:O74" si="19">P58-N58</f>
        <v>0.15325834520638182</v>
      </c>
      <c r="P58" s="33">
        <f t="shared" ref="P58:P73" si="20">SUM(B58:M58)</f>
        <v>592.15325834520638</v>
      </c>
    </row>
    <row r="59" spans="1:16" x14ac:dyDescent="0.2">
      <c r="A59" s="18">
        <v>1980</v>
      </c>
      <c r="B59" s="32">
        <v>517</v>
      </c>
      <c r="C59" s="32">
        <v>185</v>
      </c>
      <c r="D59" s="32">
        <v>29</v>
      </c>
      <c r="E59" s="32">
        <v>17</v>
      </c>
      <c r="F59" s="32">
        <v>11</v>
      </c>
      <c r="G59" s="32">
        <v>10</v>
      </c>
      <c r="H59" s="32">
        <v>8</v>
      </c>
      <c r="I59" s="32">
        <v>1</v>
      </c>
      <c r="J59" s="32">
        <v>0</v>
      </c>
      <c r="K59" s="32">
        <v>0</v>
      </c>
      <c r="L59" s="32">
        <v>1</v>
      </c>
      <c r="M59" s="33">
        <v>0.20039964907477475</v>
      </c>
      <c r="N59" s="34">
        <f t="shared" si="18"/>
        <v>779</v>
      </c>
      <c r="O59" s="33">
        <f t="shared" si="19"/>
        <v>0.20039964907482499</v>
      </c>
      <c r="P59" s="33">
        <f t="shared" si="20"/>
        <v>779.20039964907482</v>
      </c>
    </row>
    <row r="60" spans="1:16" x14ac:dyDescent="0.2">
      <c r="A60" s="18">
        <v>1981</v>
      </c>
      <c r="B60" s="32">
        <v>578</v>
      </c>
      <c r="C60" s="32">
        <v>254</v>
      </c>
      <c r="D60" s="32">
        <v>49</v>
      </c>
      <c r="E60" s="32">
        <v>22</v>
      </c>
      <c r="F60" s="32">
        <v>17</v>
      </c>
      <c r="G60" s="32">
        <v>6</v>
      </c>
      <c r="H60" s="32">
        <v>3</v>
      </c>
      <c r="I60" s="32">
        <v>0</v>
      </c>
      <c r="J60" s="32">
        <v>1</v>
      </c>
      <c r="K60" s="32">
        <v>0</v>
      </c>
      <c r="L60" s="32">
        <v>0</v>
      </c>
      <c r="M60" s="33">
        <v>0.20852822821165981</v>
      </c>
      <c r="N60" s="34">
        <f t="shared" si="18"/>
        <v>930</v>
      </c>
      <c r="O60" s="33">
        <f t="shared" si="19"/>
        <v>0.20852822821166228</v>
      </c>
      <c r="P60" s="33">
        <f t="shared" si="20"/>
        <v>930.20852822821166</v>
      </c>
    </row>
    <row r="61" spans="1:16" x14ac:dyDescent="0.2">
      <c r="A61" s="18">
        <v>1982</v>
      </c>
      <c r="B61" s="32">
        <v>622</v>
      </c>
      <c r="C61" s="32">
        <v>206</v>
      </c>
      <c r="D61" s="32">
        <v>39</v>
      </c>
      <c r="E61" s="32">
        <v>16</v>
      </c>
      <c r="F61" s="32">
        <v>3</v>
      </c>
      <c r="G61" s="32">
        <v>7</v>
      </c>
      <c r="H61" s="32">
        <v>0</v>
      </c>
      <c r="I61" s="32">
        <v>1</v>
      </c>
      <c r="J61" s="32">
        <v>0</v>
      </c>
      <c r="K61" s="32">
        <v>0</v>
      </c>
      <c r="L61" s="32">
        <v>0</v>
      </c>
      <c r="M61" s="33">
        <v>0.21629634718751709</v>
      </c>
      <c r="N61" s="34">
        <f t="shared" si="18"/>
        <v>894</v>
      </c>
      <c r="O61" s="33">
        <f t="shared" si="19"/>
        <v>0.21629634718749458</v>
      </c>
      <c r="P61" s="33">
        <f t="shared" si="20"/>
        <v>894.21629634718749</v>
      </c>
    </row>
    <row r="62" spans="1:16" x14ac:dyDescent="0.2">
      <c r="A62" s="18">
        <v>1983</v>
      </c>
      <c r="B62" s="32">
        <v>660</v>
      </c>
      <c r="C62" s="32">
        <v>243</v>
      </c>
      <c r="D62" s="32">
        <v>28</v>
      </c>
      <c r="E62" s="32">
        <v>12</v>
      </c>
      <c r="F62" s="32">
        <v>12</v>
      </c>
      <c r="G62" s="32">
        <v>4</v>
      </c>
      <c r="H62" s="32">
        <v>4</v>
      </c>
      <c r="I62" s="32">
        <v>1</v>
      </c>
      <c r="J62" s="32">
        <v>0</v>
      </c>
      <c r="K62" s="32">
        <v>0</v>
      </c>
      <c r="L62" s="32">
        <v>0</v>
      </c>
      <c r="M62" s="33">
        <v>0.22433379875560297</v>
      </c>
      <c r="N62" s="34">
        <f t="shared" si="18"/>
        <v>964</v>
      </c>
      <c r="O62" s="33">
        <f t="shared" si="19"/>
        <v>0.22433379875565151</v>
      </c>
      <c r="P62" s="33">
        <f t="shared" si="20"/>
        <v>964.22433379875565</v>
      </c>
    </row>
    <row r="63" spans="1:16" x14ac:dyDescent="0.2">
      <c r="A63" s="18">
        <v>1984</v>
      </c>
      <c r="B63" s="32">
        <v>666</v>
      </c>
      <c r="C63" s="32">
        <v>234</v>
      </c>
      <c r="D63" s="32">
        <v>53</v>
      </c>
      <c r="E63" s="32">
        <v>10</v>
      </c>
      <c r="F63" s="32">
        <v>8</v>
      </c>
      <c r="G63" s="32">
        <v>4</v>
      </c>
      <c r="H63" s="32">
        <v>6</v>
      </c>
      <c r="I63" s="32">
        <v>1</v>
      </c>
      <c r="J63" s="32">
        <v>0</v>
      </c>
      <c r="K63" s="32">
        <v>0</v>
      </c>
      <c r="L63" s="32">
        <v>0</v>
      </c>
      <c r="M63" s="33">
        <v>0.23147820014945716</v>
      </c>
      <c r="N63" s="34">
        <f t="shared" si="18"/>
        <v>982</v>
      </c>
      <c r="O63" s="33">
        <f t="shared" si="19"/>
        <v>0.23147820014946774</v>
      </c>
      <c r="P63" s="33">
        <f t="shared" si="20"/>
        <v>982.23147820014947</v>
      </c>
    </row>
    <row r="64" spans="1:16" x14ac:dyDescent="0.2">
      <c r="A64" s="18">
        <v>1985</v>
      </c>
      <c r="B64" s="32">
        <v>573</v>
      </c>
      <c r="C64" s="32">
        <v>266</v>
      </c>
      <c r="D64" s="32">
        <v>62</v>
      </c>
      <c r="E64" s="32">
        <v>12</v>
      </c>
      <c r="F64" s="32">
        <v>5</v>
      </c>
      <c r="G64" s="32">
        <v>7</v>
      </c>
      <c r="H64" s="32">
        <v>6</v>
      </c>
      <c r="I64" s="32">
        <v>5</v>
      </c>
      <c r="J64" s="32">
        <v>1</v>
      </c>
      <c r="K64" s="32">
        <v>0</v>
      </c>
      <c r="L64" s="32">
        <v>1</v>
      </c>
      <c r="M64" s="33">
        <v>0.23755134634565006</v>
      </c>
      <c r="N64" s="34">
        <f t="shared" si="18"/>
        <v>938</v>
      </c>
      <c r="O64" s="33">
        <f t="shared" si="19"/>
        <v>0.23755134634564001</v>
      </c>
      <c r="P64" s="33">
        <f t="shared" si="20"/>
        <v>938.23755134634564</v>
      </c>
    </row>
    <row r="65" spans="1:16" x14ac:dyDescent="0.2">
      <c r="A65" s="18">
        <v>1986</v>
      </c>
      <c r="B65" s="32">
        <v>582</v>
      </c>
      <c r="C65" s="32">
        <v>281</v>
      </c>
      <c r="D65" s="32">
        <v>32</v>
      </c>
      <c r="E65" s="32">
        <v>27</v>
      </c>
      <c r="F65" s="32">
        <v>12</v>
      </c>
      <c r="G65" s="32">
        <v>13</v>
      </c>
      <c r="H65" s="32">
        <v>6</v>
      </c>
      <c r="I65" s="32">
        <v>2</v>
      </c>
      <c r="J65" s="32">
        <v>1</v>
      </c>
      <c r="K65" s="32">
        <v>0</v>
      </c>
      <c r="L65" s="33">
        <v>0.21468404966480767</v>
      </c>
      <c r="M65" s="33">
        <v>0.24969763873803585</v>
      </c>
      <c r="N65" s="34">
        <f>SUM(B65:K65)</f>
        <v>956</v>
      </c>
      <c r="O65" s="33">
        <f t="shared" si="19"/>
        <v>0.46438168840279559</v>
      </c>
      <c r="P65" s="33">
        <f t="shared" si="20"/>
        <v>956.4643816884028</v>
      </c>
    </row>
    <row r="66" spans="1:16" x14ac:dyDescent="0.2">
      <c r="A66" s="18">
        <v>1987</v>
      </c>
      <c r="B66" s="32">
        <v>545</v>
      </c>
      <c r="C66" s="32">
        <v>220</v>
      </c>
      <c r="D66" s="32">
        <v>43</v>
      </c>
      <c r="E66" s="32">
        <v>18</v>
      </c>
      <c r="F66" s="32">
        <v>12</v>
      </c>
      <c r="G66" s="32">
        <v>9</v>
      </c>
      <c r="H66" s="32">
        <v>5</v>
      </c>
      <c r="I66" s="32">
        <v>2</v>
      </c>
      <c r="J66" s="32">
        <v>0</v>
      </c>
      <c r="K66" s="33">
        <v>0.40648186269287712</v>
      </c>
      <c r="L66" s="33">
        <v>0.21856495171748125</v>
      </c>
      <c r="M66" s="33">
        <v>0.25421149097922091</v>
      </c>
      <c r="N66" s="34">
        <f>SUM(B66:J66)</f>
        <v>854</v>
      </c>
      <c r="O66" s="33">
        <f t="shared" si="19"/>
        <v>0.87925830538949867</v>
      </c>
      <c r="P66" s="33">
        <f t="shared" si="20"/>
        <v>854.8792583053895</v>
      </c>
    </row>
    <row r="67" spans="1:16" x14ac:dyDescent="0.2">
      <c r="A67" s="18">
        <v>1988</v>
      </c>
      <c r="B67" s="32">
        <v>509</v>
      </c>
      <c r="C67" s="32">
        <v>266</v>
      </c>
      <c r="D67" s="32">
        <v>49</v>
      </c>
      <c r="E67" s="32">
        <v>22</v>
      </c>
      <c r="F67" s="32">
        <v>15</v>
      </c>
      <c r="G67" s="32">
        <v>4</v>
      </c>
      <c r="H67" s="32">
        <v>8</v>
      </c>
      <c r="I67" s="32">
        <v>0</v>
      </c>
      <c r="J67" s="33">
        <v>0.79048358868418134</v>
      </c>
      <c r="K67" s="33">
        <v>0.42504235305760646</v>
      </c>
      <c r="L67" s="33">
        <v>0.22854491159452234</v>
      </c>
      <c r="M67" s="33">
        <v>0.26581911818714943</v>
      </c>
      <c r="N67" s="34">
        <f>SUM(B67:I67)</f>
        <v>873</v>
      </c>
      <c r="O67" s="33">
        <f t="shared" si="19"/>
        <v>1.7098899715234666</v>
      </c>
      <c r="P67" s="33">
        <f t="shared" si="20"/>
        <v>874.70988997152347</v>
      </c>
    </row>
    <row r="68" spans="1:16" x14ac:dyDescent="0.2">
      <c r="A68" s="18">
        <v>1989</v>
      </c>
      <c r="B68" s="32">
        <v>589</v>
      </c>
      <c r="C68" s="32">
        <v>210</v>
      </c>
      <c r="D68" s="32">
        <v>29</v>
      </c>
      <c r="E68" s="32">
        <v>17</v>
      </c>
      <c r="F68" s="32">
        <v>12</v>
      </c>
      <c r="G68" s="32">
        <v>4</v>
      </c>
      <c r="H68" s="32">
        <v>9</v>
      </c>
      <c r="I68" s="33">
        <v>1.5641547328870478</v>
      </c>
      <c r="J68" s="33">
        <v>0.84104466902237041</v>
      </c>
      <c r="K68" s="33">
        <v>0.45222900293588064</v>
      </c>
      <c r="L68" s="33">
        <v>0.24316315010248418</v>
      </c>
      <c r="M68" s="33">
        <v>0.28282149746798829</v>
      </c>
      <c r="N68" s="34">
        <f>SUM(B68:H68)</f>
        <v>870</v>
      </c>
      <c r="O68" s="33">
        <f t="shared" si="19"/>
        <v>3.3834130524157899</v>
      </c>
      <c r="P68" s="33">
        <f t="shared" si="20"/>
        <v>873.38341305241579</v>
      </c>
    </row>
    <row r="69" spans="1:16" x14ac:dyDescent="0.2">
      <c r="A69" s="18">
        <v>1990</v>
      </c>
      <c r="B69" s="32">
        <v>564</v>
      </c>
      <c r="C69" s="32">
        <v>196</v>
      </c>
      <c r="D69" s="32">
        <v>23</v>
      </c>
      <c r="E69" s="32">
        <v>12</v>
      </c>
      <c r="F69" s="32">
        <v>9</v>
      </c>
      <c r="G69" s="32">
        <v>5</v>
      </c>
      <c r="H69" s="33">
        <v>3.1846264643077506</v>
      </c>
      <c r="I69" s="33">
        <v>1.7123709402393308</v>
      </c>
      <c r="J69" s="33">
        <v>0.92074039760688609</v>
      </c>
      <c r="K69" s="33">
        <v>0.49508132838717661</v>
      </c>
      <c r="L69" s="33">
        <v>0.26620480903702048</v>
      </c>
      <c r="M69" s="33">
        <v>0.30962110292327893</v>
      </c>
      <c r="N69" s="34">
        <f>SUM(B69:G69)</f>
        <v>809</v>
      </c>
      <c r="O69" s="33">
        <f t="shared" si="19"/>
        <v>6.88864504250148</v>
      </c>
      <c r="P69" s="33">
        <f t="shared" si="20"/>
        <v>815.88864504250148</v>
      </c>
    </row>
    <row r="70" spans="1:16" x14ac:dyDescent="0.2">
      <c r="A70" s="18">
        <v>1991</v>
      </c>
      <c r="B70" s="32">
        <v>607</v>
      </c>
      <c r="C70" s="32">
        <v>203</v>
      </c>
      <c r="D70" s="32">
        <v>29</v>
      </c>
      <c r="E70" s="32">
        <v>9</v>
      </c>
      <c r="F70" s="32">
        <v>7</v>
      </c>
      <c r="G70" s="33">
        <v>6.2107402830831058</v>
      </c>
      <c r="H70" s="33">
        <v>3.3395097658453574</v>
      </c>
      <c r="I70" s="33">
        <v>1.795651559694641</v>
      </c>
      <c r="J70" s="33">
        <v>0.96552031582922693</v>
      </c>
      <c r="K70" s="33">
        <v>0.5191594523146239</v>
      </c>
      <c r="L70" s="33">
        <v>0.27915159578609194</v>
      </c>
      <c r="M70" s="33">
        <v>0.32467942740306904</v>
      </c>
      <c r="N70" s="34">
        <f>SUM(B70:F70)</f>
        <v>855</v>
      </c>
      <c r="O70" s="33">
        <f t="shared" si="19"/>
        <v>13.434412399956159</v>
      </c>
      <c r="P70" s="33">
        <f t="shared" si="20"/>
        <v>868.43441239995616</v>
      </c>
    </row>
    <row r="71" spans="1:16" x14ac:dyDescent="0.2">
      <c r="A71" s="18">
        <v>1992</v>
      </c>
      <c r="B71" s="32">
        <v>674</v>
      </c>
      <c r="C71" s="32">
        <v>169</v>
      </c>
      <c r="D71" s="32">
        <v>20</v>
      </c>
      <c r="E71" s="32">
        <v>12</v>
      </c>
      <c r="F71" s="33">
        <v>10.071386460640293</v>
      </c>
      <c r="G71" s="33">
        <v>6.3102556094219953</v>
      </c>
      <c r="H71" s="33">
        <v>3.3930190721458029</v>
      </c>
      <c r="I71" s="33">
        <v>1.8244234681643414</v>
      </c>
      <c r="J71" s="33">
        <v>0.98099094653299146</v>
      </c>
      <c r="K71" s="33">
        <v>0.52747799728095146</v>
      </c>
      <c r="L71" s="33">
        <v>0.28362447033670579</v>
      </c>
      <c r="M71" s="33">
        <v>0.32988179905295889</v>
      </c>
      <c r="N71" s="34">
        <f>SUM(B71:E71)</f>
        <v>875</v>
      </c>
      <c r="O71" s="33">
        <f t="shared" si="19"/>
        <v>23.721059823575956</v>
      </c>
      <c r="P71" s="33">
        <f t="shared" si="20"/>
        <v>898.72105982357596</v>
      </c>
    </row>
    <row r="72" spans="1:16" x14ac:dyDescent="0.2">
      <c r="A72" s="18">
        <v>1993</v>
      </c>
      <c r="B72" s="32">
        <v>619</v>
      </c>
      <c r="C72" s="32">
        <v>190</v>
      </c>
      <c r="D72" s="32">
        <v>41</v>
      </c>
      <c r="E72" s="33">
        <v>11.785714285714286</v>
      </c>
      <c r="F72" s="33">
        <v>10.513130206872798</v>
      </c>
      <c r="G72" s="33">
        <v>6.5870314002711057</v>
      </c>
      <c r="H72" s="33">
        <v>3.5418411793924682</v>
      </c>
      <c r="I72" s="33">
        <v>1.9044449886065404</v>
      </c>
      <c r="J72" s="33">
        <v>1.024018449988966</v>
      </c>
      <c r="K72" s="33">
        <v>0.55061384927955426</v>
      </c>
      <c r="L72" s="33">
        <v>0.29606459827136367</v>
      </c>
      <c r="M72" s="33">
        <v>0.34435083192118099</v>
      </c>
      <c r="N72" s="34">
        <f>SUM(B72:D72)</f>
        <v>850</v>
      </c>
      <c r="O72" s="33">
        <f t="shared" si="19"/>
        <v>36.547209790318334</v>
      </c>
      <c r="P72" s="33">
        <f t="shared" si="20"/>
        <v>886.54720979031833</v>
      </c>
    </row>
    <row r="73" spans="1:16" x14ac:dyDescent="0.2">
      <c r="A73" s="18">
        <v>1994</v>
      </c>
      <c r="B73" s="32">
        <v>660</v>
      </c>
      <c r="C73" s="32">
        <v>161</v>
      </c>
      <c r="D73" s="33">
        <v>31.609727616993325</v>
      </c>
      <c r="E73" s="33">
        <v>12.007712244237869</v>
      </c>
      <c r="F73" s="33">
        <v>10.71115752936163</v>
      </c>
      <c r="G73" s="33">
        <v>6.7111059780303366</v>
      </c>
      <c r="H73" s="33">
        <v>3.60855597428555</v>
      </c>
      <c r="I73" s="33">
        <v>1.9403174770566964</v>
      </c>
      <c r="J73" s="33">
        <v>1.0433070565067386</v>
      </c>
      <c r="K73" s="33">
        <v>0.56098531659257378</v>
      </c>
      <c r="L73" s="33">
        <v>0.30164132742107802</v>
      </c>
      <c r="M73" s="33">
        <v>0.35083708976259681</v>
      </c>
      <c r="N73" s="34">
        <f>SUM(B73:C73)</f>
        <v>821</v>
      </c>
      <c r="O73" s="33">
        <f t="shared" si="19"/>
        <v>68.845347610248382</v>
      </c>
      <c r="P73" s="33">
        <f t="shared" si="20"/>
        <v>889.84534761024838</v>
      </c>
    </row>
    <row r="74" spans="1:16" x14ac:dyDescent="0.2">
      <c r="A74" s="18">
        <v>1995</v>
      </c>
      <c r="B74" s="32">
        <v>660</v>
      </c>
      <c r="C74" s="33">
        <v>180.73999442900237</v>
      </c>
      <c r="D74" s="33">
        <v>32.101075260097794</v>
      </c>
      <c r="E74" s="33">
        <v>12.194362416671217</v>
      </c>
      <c r="F74" s="33">
        <v>10.877653807682712</v>
      </c>
      <c r="G74" s="33">
        <v>6.8154246910823533</v>
      </c>
      <c r="H74" s="33">
        <v>3.6646480575347127</v>
      </c>
      <c r="I74" s="33">
        <v>1.9704781424941831</v>
      </c>
      <c r="J74" s="33">
        <v>1.059524420650467</v>
      </c>
      <c r="K74" s="33">
        <v>0.56970537949421651</v>
      </c>
      <c r="L74" s="33">
        <v>0.30633009782388188</v>
      </c>
      <c r="M74" s="33">
        <v>0.35629056849095542</v>
      </c>
      <c r="N74" s="34">
        <f>SUM(B74)</f>
        <v>660</v>
      </c>
      <c r="O74" s="33">
        <f t="shared" si="19"/>
        <v>250.65548727102475</v>
      </c>
      <c r="P74" s="33">
        <f>SUM(B74:M74)</f>
        <v>910.65548727102475</v>
      </c>
    </row>
    <row r="75" spans="1:16" x14ac:dyDescent="0.2">
      <c r="O75" s="22"/>
      <c r="P75" s="22"/>
    </row>
    <row r="76" spans="1:16" ht="17" thickBot="1" x14ac:dyDescent="0.25">
      <c r="O76" s="35">
        <f>SUM(O57:O74)</f>
        <v>408.14582952927879</v>
      </c>
      <c r="P76" s="22"/>
    </row>
    <row r="77" spans="1:16" ht="17" thickTop="1" x14ac:dyDescent="0.2"/>
    <row r="78" spans="1:16" x14ac:dyDescent="0.2">
      <c r="A78" s="22"/>
    </row>
    <row r="79" spans="1:16" x14ac:dyDescent="0.2">
      <c r="A79" s="22" t="s">
        <v>231</v>
      </c>
    </row>
    <row r="81" spans="1:19" x14ac:dyDescent="0.2">
      <c r="A81" s="19" t="s">
        <v>216</v>
      </c>
      <c r="B81" s="22" t="s">
        <v>225</v>
      </c>
      <c r="C81" s="22"/>
      <c r="D81" s="22"/>
      <c r="E81" s="22"/>
      <c r="F81" s="22"/>
      <c r="G81" s="22"/>
      <c r="H81" s="22"/>
      <c r="I81" s="22"/>
      <c r="J81" s="22"/>
      <c r="K81" s="22"/>
      <c r="L81" s="22"/>
    </row>
    <row r="82" spans="1:19" x14ac:dyDescent="0.2">
      <c r="A82" s="19" t="s">
        <v>218</v>
      </c>
      <c r="B82" s="22">
        <v>0</v>
      </c>
      <c r="C82" s="22">
        <v>1</v>
      </c>
      <c r="D82" s="22">
        <v>2</v>
      </c>
      <c r="E82" s="22">
        <v>3</v>
      </c>
      <c r="F82" s="22">
        <v>4</v>
      </c>
      <c r="G82" s="22">
        <v>5</v>
      </c>
      <c r="H82" s="22">
        <v>6</v>
      </c>
      <c r="I82" s="22">
        <v>7</v>
      </c>
      <c r="J82" s="22">
        <v>8</v>
      </c>
      <c r="K82" s="22">
        <v>9</v>
      </c>
      <c r="L82" s="22">
        <v>10</v>
      </c>
      <c r="M82" s="22">
        <v>11</v>
      </c>
      <c r="N82" s="22">
        <v>12</v>
      </c>
      <c r="O82" s="22">
        <v>13</v>
      </c>
      <c r="P82" s="22">
        <v>14</v>
      </c>
      <c r="Q82" s="22">
        <v>15</v>
      </c>
      <c r="R82" s="22">
        <v>16</v>
      </c>
      <c r="S82" s="22">
        <v>17</v>
      </c>
    </row>
    <row r="83" spans="1:19" x14ac:dyDescent="0.2">
      <c r="A83" s="30"/>
    </row>
    <row r="84" spans="1:19" x14ac:dyDescent="0.2">
      <c r="A84" s="18">
        <v>1978</v>
      </c>
      <c r="B84" s="32">
        <f>SUM($B57:B57)</f>
        <v>368</v>
      </c>
      <c r="C84" s="32">
        <f>SUM($B57:C57)</f>
        <v>559</v>
      </c>
      <c r="D84" s="32">
        <f>SUM($B57:D57)</f>
        <v>587</v>
      </c>
      <c r="E84" s="32">
        <f>SUM($B57:E57)</f>
        <v>595</v>
      </c>
      <c r="F84" s="32">
        <f>SUM($B57:F57)</f>
        <v>601</v>
      </c>
      <c r="G84" s="32">
        <f>SUM($B57:G57)</f>
        <v>606</v>
      </c>
      <c r="H84" s="32">
        <f>SUM($B57:H57)</f>
        <v>609</v>
      </c>
      <c r="I84" s="32">
        <f>SUM($B57:I57)</f>
        <v>610</v>
      </c>
      <c r="J84" s="32">
        <f>SUM($B57:J57)</f>
        <v>610</v>
      </c>
      <c r="K84" s="32">
        <f>SUM($B57:K57)</f>
        <v>610</v>
      </c>
      <c r="L84" s="32">
        <f>SUM($B57:L57)</f>
        <v>611</v>
      </c>
      <c r="M84" s="32">
        <f>SUM($B57:M57)</f>
        <v>611.14487865899105</v>
      </c>
      <c r="N84" s="32">
        <f>M84</f>
        <v>611.14487865899105</v>
      </c>
      <c r="O84" s="32">
        <f t="shared" ref="O84:S88" si="21">N84</f>
        <v>611.14487865899105</v>
      </c>
      <c r="P84" s="32">
        <f t="shared" si="21"/>
        <v>611.14487865899105</v>
      </c>
      <c r="Q84" s="32">
        <f t="shared" si="21"/>
        <v>611.14487865899105</v>
      </c>
      <c r="R84" s="32">
        <f t="shared" si="21"/>
        <v>611.14487865899105</v>
      </c>
      <c r="S84" s="32">
        <f t="shared" si="21"/>
        <v>611.14487865899105</v>
      </c>
    </row>
    <row r="85" spans="1:19" x14ac:dyDescent="0.2">
      <c r="A85" s="18">
        <v>1979</v>
      </c>
      <c r="B85" s="32">
        <v>393</v>
      </c>
      <c r="C85" s="32">
        <f>SUM($B58:C58)</f>
        <v>544</v>
      </c>
      <c r="D85" s="32">
        <f>SUM($B58:D58)</f>
        <v>569</v>
      </c>
      <c r="E85" s="32">
        <f>SUM($B58:E58)</f>
        <v>575</v>
      </c>
      <c r="F85" s="32">
        <f>SUM($B58:F58)</f>
        <v>579</v>
      </c>
      <c r="G85" s="32">
        <f>SUM($B58:G58)</f>
        <v>584</v>
      </c>
      <c r="H85" s="32">
        <f>SUM($B58:H58)</f>
        <v>588</v>
      </c>
      <c r="I85" s="32">
        <f>SUM($B58:I58)</f>
        <v>589</v>
      </c>
      <c r="J85" s="32">
        <f>SUM($B58:J58)</f>
        <v>591</v>
      </c>
      <c r="K85" s="32">
        <f>SUM($B58:K58)</f>
        <v>592</v>
      </c>
      <c r="L85" s="32">
        <f>SUM($B58:L58)</f>
        <v>592</v>
      </c>
      <c r="M85" s="32">
        <f>SUM($B58:M58)</f>
        <v>592.15325834520638</v>
      </c>
      <c r="N85" s="32">
        <f t="shared" ref="N85:N89" si="22">M85</f>
        <v>592.15325834520638</v>
      </c>
      <c r="O85" s="32">
        <f t="shared" si="21"/>
        <v>592.15325834520638</v>
      </c>
      <c r="P85" s="32">
        <f t="shared" si="21"/>
        <v>592.15325834520638</v>
      </c>
      <c r="Q85" s="32">
        <f t="shared" si="21"/>
        <v>592.15325834520638</v>
      </c>
      <c r="R85" s="32">
        <f t="shared" si="21"/>
        <v>592.15325834520638</v>
      </c>
    </row>
    <row r="86" spans="1:19" x14ac:dyDescent="0.2">
      <c r="A86" s="18">
        <v>1980</v>
      </c>
      <c r="B86" s="32">
        <v>517</v>
      </c>
      <c r="C86" s="32">
        <f>SUM($B59:C59)</f>
        <v>702</v>
      </c>
      <c r="D86" s="32">
        <f>SUM($B59:D59)</f>
        <v>731</v>
      </c>
      <c r="E86" s="32">
        <f>SUM($B59:E59)</f>
        <v>748</v>
      </c>
      <c r="F86" s="32">
        <f>SUM($B59:F59)</f>
        <v>759</v>
      </c>
      <c r="G86" s="32">
        <f>SUM($B59:G59)</f>
        <v>769</v>
      </c>
      <c r="H86" s="32">
        <f>SUM($B59:H59)</f>
        <v>777</v>
      </c>
      <c r="I86" s="32">
        <f>SUM($B59:I59)</f>
        <v>778</v>
      </c>
      <c r="J86" s="32">
        <f>SUM($B59:J59)</f>
        <v>778</v>
      </c>
      <c r="K86" s="32">
        <f>SUM($B59:K59)</f>
        <v>778</v>
      </c>
      <c r="L86" s="32">
        <f>SUM($B59:L59)</f>
        <v>779</v>
      </c>
      <c r="M86" s="32">
        <f>SUM($B59:M59)</f>
        <v>779.20039964907482</v>
      </c>
      <c r="N86" s="32">
        <f t="shared" si="22"/>
        <v>779.20039964907482</v>
      </c>
      <c r="O86" s="32">
        <f t="shared" si="21"/>
        <v>779.20039964907482</v>
      </c>
      <c r="P86" s="32">
        <f t="shared" si="21"/>
        <v>779.20039964907482</v>
      </c>
      <c r="Q86" s="32">
        <f t="shared" si="21"/>
        <v>779.20039964907482</v>
      </c>
    </row>
    <row r="87" spans="1:19" x14ac:dyDescent="0.2">
      <c r="A87" s="18">
        <v>1981</v>
      </c>
      <c r="B87" s="32">
        <v>578</v>
      </c>
      <c r="C87" s="32">
        <f>SUM($B60:C60)</f>
        <v>832</v>
      </c>
      <c r="D87" s="32">
        <f>SUM($B60:D60)</f>
        <v>881</v>
      </c>
      <c r="E87" s="32">
        <f>SUM($B60:E60)</f>
        <v>903</v>
      </c>
      <c r="F87" s="32">
        <f>SUM($B60:F60)</f>
        <v>920</v>
      </c>
      <c r="G87" s="32">
        <f>SUM($B60:G60)</f>
        <v>926</v>
      </c>
      <c r="H87" s="32">
        <f>SUM($B60:H60)</f>
        <v>929</v>
      </c>
      <c r="I87" s="32">
        <f>SUM($B60:I60)</f>
        <v>929</v>
      </c>
      <c r="J87" s="32">
        <f>SUM($B60:J60)</f>
        <v>930</v>
      </c>
      <c r="K87" s="32">
        <f>SUM($B60:K60)</f>
        <v>930</v>
      </c>
      <c r="L87" s="32">
        <f>SUM($B60:L60)</f>
        <v>930</v>
      </c>
      <c r="M87" s="32">
        <f>SUM($B60:M60)</f>
        <v>930.20852822821166</v>
      </c>
      <c r="N87" s="32">
        <f t="shared" si="22"/>
        <v>930.20852822821166</v>
      </c>
      <c r="O87" s="32">
        <f t="shared" si="21"/>
        <v>930.20852822821166</v>
      </c>
      <c r="P87" s="32">
        <f t="shared" si="21"/>
        <v>930.20852822821166</v>
      </c>
    </row>
    <row r="88" spans="1:19" x14ac:dyDescent="0.2">
      <c r="A88" s="18">
        <v>1982</v>
      </c>
      <c r="B88" s="32">
        <v>622</v>
      </c>
      <c r="C88" s="32">
        <f>SUM($B61:C61)</f>
        <v>828</v>
      </c>
      <c r="D88" s="32">
        <f>SUM($B61:D61)</f>
        <v>867</v>
      </c>
      <c r="E88" s="32">
        <f>SUM($B61:E61)</f>
        <v>883</v>
      </c>
      <c r="F88" s="32">
        <f>SUM($B61:F61)</f>
        <v>886</v>
      </c>
      <c r="G88" s="32">
        <f>SUM($B61:G61)</f>
        <v>893</v>
      </c>
      <c r="H88" s="32">
        <f>SUM($B61:H61)</f>
        <v>893</v>
      </c>
      <c r="I88" s="32">
        <f>SUM($B61:I61)</f>
        <v>894</v>
      </c>
      <c r="J88" s="32">
        <f>SUM($B61:J61)</f>
        <v>894</v>
      </c>
      <c r="K88" s="32">
        <f>SUM($B61:K61)</f>
        <v>894</v>
      </c>
      <c r="L88" s="32">
        <f>SUM($B61:L61)</f>
        <v>894</v>
      </c>
      <c r="M88" s="32">
        <f>SUM($B61:M61)</f>
        <v>894.21629634718749</v>
      </c>
      <c r="N88" s="32">
        <f t="shared" si="22"/>
        <v>894.21629634718749</v>
      </c>
      <c r="O88" s="32">
        <f t="shared" si="21"/>
        <v>894.21629634718749</v>
      </c>
    </row>
    <row r="89" spans="1:19" x14ac:dyDescent="0.2">
      <c r="A89" s="18">
        <v>1983</v>
      </c>
      <c r="B89" s="32">
        <v>660</v>
      </c>
      <c r="C89" s="32">
        <f>SUM($B62:C62)</f>
        <v>903</v>
      </c>
      <c r="D89" s="32">
        <f>SUM($B62:D62)</f>
        <v>931</v>
      </c>
      <c r="E89" s="32">
        <f>SUM($B62:E62)</f>
        <v>943</v>
      </c>
      <c r="F89" s="32">
        <f>SUM($B62:F62)</f>
        <v>955</v>
      </c>
      <c r="G89" s="32">
        <f>SUM($B62:G62)</f>
        <v>959</v>
      </c>
      <c r="H89" s="32">
        <f>SUM($B62:H62)</f>
        <v>963</v>
      </c>
      <c r="I89" s="32">
        <f>SUM($B62:I62)</f>
        <v>964</v>
      </c>
      <c r="J89" s="32">
        <f>SUM($B62:J62)</f>
        <v>964</v>
      </c>
      <c r="K89" s="32">
        <f>SUM($B62:K62)</f>
        <v>964</v>
      </c>
      <c r="L89" s="32">
        <f>SUM($B62:L62)</f>
        <v>964</v>
      </c>
      <c r="M89" s="32">
        <f>SUM($B62:M62)</f>
        <v>964.22433379875565</v>
      </c>
      <c r="N89" s="32">
        <f t="shared" si="22"/>
        <v>964.22433379875565</v>
      </c>
    </row>
    <row r="90" spans="1:19" x14ac:dyDescent="0.2">
      <c r="A90" s="18">
        <v>1984</v>
      </c>
      <c r="B90" s="32">
        <v>666</v>
      </c>
      <c r="C90" s="32">
        <f>SUM($B63:C63)</f>
        <v>900</v>
      </c>
      <c r="D90" s="32">
        <f>SUM($B63:D63)</f>
        <v>953</v>
      </c>
      <c r="E90" s="32">
        <f>SUM($B63:E63)</f>
        <v>963</v>
      </c>
      <c r="F90" s="32">
        <f>SUM($B63:F63)</f>
        <v>971</v>
      </c>
      <c r="G90" s="32">
        <f>SUM($B63:G63)</f>
        <v>975</v>
      </c>
      <c r="H90" s="32">
        <f>SUM($B63:H63)</f>
        <v>981</v>
      </c>
      <c r="I90" s="32">
        <f>SUM($B63:I63)</f>
        <v>982</v>
      </c>
      <c r="J90" s="32">
        <f>SUM($B63:J63)</f>
        <v>982</v>
      </c>
      <c r="K90" s="32">
        <f>SUM($B63:K63)</f>
        <v>982</v>
      </c>
      <c r="L90" s="32">
        <f>SUM($B63:L63)</f>
        <v>982</v>
      </c>
      <c r="M90" s="32">
        <f>SUM($B63:M63)</f>
        <v>982.23147820014947</v>
      </c>
    </row>
    <row r="91" spans="1:19" x14ac:dyDescent="0.2">
      <c r="A91" s="18">
        <v>1985</v>
      </c>
      <c r="B91" s="32">
        <v>573</v>
      </c>
      <c r="C91" s="32">
        <f>SUM($B64:C64)</f>
        <v>839</v>
      </c>
      <c r="D91" s="32">
        <f>SUM($B64:D64)</f>
        <v>901</v>
      </c>
      <c r="E91" s="32">
        <f>SUM($B64:E64)</f>
        <v>913</v>
      </c>
      <c r="F91" s="32">
        <f>SUM($B64:F64)</f>
        <v>918</v>
      </c>
      <c r="G91" s="32">
        <f>SUM($B64:G64)</f>
        <v>925</v>
      </c>
      <c r="H91" s="32">
        <f>SUM($B64:H64)</f>
        <v>931</v>
      </c>
      <c r="I91" s="32">
        <f>SUM($B64:I64)</f>
        <v>936</v>
      </c>
      <c r="J91" s="32">
        <f>SUM($B64:J64)</f>
        <v>937</v>
      </c>
      <c r="K91" s="32">
        <f>SUM($B64:K64)</f>
        <v>937</v>
      </c>
      <c r="L91" s="32">
        <f>SUM($B64:L64)</f>
        <v>938</v>
      </c>
    </row>
    <row r="92" spans="1:19" x14ac:dyDescent="0.2">
      <c r="A92" s="18">
        <v>1986</v>
      </c>
      <c r="B92" s="32">
        <v>582</v>
      </c>
      <c r="C92" s="32">
        <f>SUM($B65:C65)</f>
        <v>863</v>
      </c>
      <c r="D92" s="32">
        <f>SUM($B65:D65)</f>
        <v>895</v>
      </c>
      <c r="E92" s="32">
        <f>SUM($B65:E65)</f>
        <v>922</v>
      </c>
      <c r="F92" s="32">
        <f>SUM($B65:F65)</f>
        <v>934</v>
      </c>
      <c r="G92" s="32">
        <f>SUM($B65:G65)</f>
        <v>947</v>
      </c>
      <c r="H92" s="32">
        <f>SUM($B65:H65)</f>
        <v>953</v>
      </c>
      <c r="I92" s="32">
        <f>SUM($B65:I65)</f>
        <v>955</v>
      </c>
      <c r="J92" s="32">
        <f>SUM($B65:J65)</f>
        <v>956</v>
      </c>
      <c r="K92" s="32">
        <f>SUM($B65:K65)</f>
        <v>956</v>
      </c>
      <c r="L92" s="33"/>
    </row>
    <row r="93" spans="1:19" x14ac:dyDescent="0.2">
      <c r="A93" s="18">
        <v>1987</v>
      </c>
      <c r="B93" s="32">
        <v>545</v>
      </c>
      <c r="C93" s="32">
        <f>SUM($B66:C66)</f>
        <v>765</v>
      </c>
      <c r="D93" s="32">
        <f>SUM($B66:D66)</f>
        <v>808</v>
      </c>
      <c r="E93" s="32">
        <f>SUM($B66:E66)</f>
        <v>826</v>
      </c>
      <c r="F93" s="32">
        <f>SUM($B66:F66)</f>
        <v>838</v>
      </c>
      <c r="G93" s="32">
        <f>SUM($B66:G66)</f>
        <v>847</v>
      </c>
      <c r="H93" s="32">
        <f>SUM($B66:H66)</f>
        <v>852</v>
      </c>
      <c r="I93" s="32">
        <f>SUM($B66:I66)</f>
        <v>854</v>
      </c>
      <c r="J93" s="32">
        <f>SUM($B66:J66)</f>
        <v>854</v>
      </c>
      <c r="K93" s="33"/>
      <c r="L93" s="33"/>
    </row>
    <row r="94" spans="1:19" x14ac:dyDescent="0.2">
      <c r="A94" s="18">
        <v>1988</v>
      </c>
      <c r="B94" s="32">
        <v>509</v>
      </c>
      <c r="C94" s="32">
        <f>SUM($B67:C67)</f>
        <v>775</v>
      </c>
      <c r="D94" s="32">
        <f>SUM($B67:D67)</f>
        <v>824</v>
      </c>
      <c r="E94" s="32">
        <f>SUM($B67:E67)</f>
        <v>846</v>
      </c>
      <c r="F94" s="32">
        <f>SUM($B67:F67)</f>
        <v>861</v>
      </c>
      <c r="G94" s="32">
        <f>SUM($B67:G67)</f>
        <v>865</v>
      </c>
      <c r="H94" s="32">
        <f>SUM($B67:H67)</f>
        <v>873</v>
      </c>
      <c r="I94" s="32">
        <f>SUM($B67:I67)</f>
        <v>873</v>
      </c>
      <c r="J94" s="33"/>
      <c r="K94" s="33"/>
      <c r="L94" s="33"/>
    </row>
    <row r="95" spans="1:19" x14ac:dyDescent="0.2">
      <c r="A95" s="18">
        <v>1989</v>
      </c>
      <c r="B95" s="32">
        <v>589</v>
      </c>
      <c r="C95" s="32">
        <f>SUM($B68:C68)</f>
        <v>799</v>
      </c>
      <c r="D95" s="32">
        <f>SUM($B68:D68)</f>
        <v>828</v>
      </c>
      <c r="E95" s="32">
        <f>SUM($B68:E68)</f>
        <v>845</v>
      </c>
      <c r="F95" s="32">
        <f>SUM($B68:F68)</f>
        <v>857</v>
      </c>
      <c r="G95" s="32">
        <f>SUM($B68:G68)</f>
        <v>861</v>
      </c>
      <c r="H95" s="32">
        <f>SUM($B68:H68)</f>
        <v>870</v>
      </c>
      <c r="I95" s="33"/>
      <c r="J95" s="33"/>
      <c r="K95" s="33"/>
      <c r="L95" s="33"/>
    </row>
    <row r="96" spans="1:19" x14ac:dyDescent="0.2">
      <c r="A96" s="18">
        <v>1990</v>
      </c>
      <c r="B96" s="32">
        <v>564</v>
      </c>
      <c r="C96" s="32">
        <f>SUM($B69:C69)</f>
        <v>760</v>
      </c>
      <c r="D96" s="32">
        <f>SUM($B69:D69)</f>
        <v>783</v>
      </c>
      <c r="E96" s="32">
        <f>SUM($B69:E69)</f>
        <v>795</v>
      </c>
      <c r="F96" s="32">
        <f>SUM($B69:F69)</f>
        <v>804</v>
      </c>
      <c r="G96" s="32">
        <f>SUM($B69:G69)</f>
        <v>809</v>
      </c>
      <c r="H96" s="33"/>
      <c r="I96" s="33"/>
      <c r="J96" s="33"/>
      <c r="K96" s="33"/>
      <c r="L96" s="33"/>
    </row>
    <row r="97" spans="1:19" x14ac:dyDescent="0.2">
      <c r="A97" s="18">
        <v>1991</v>
      </c>
      <c r="B97" s="32">
        <v>607</v>
      </c>
      <c r="C97" s="32">
        <f>SUM($B70:C70)</f>
        <v>810</v>
      </c>
      <c r="D97" s="32">
        <f>SUM($B70:D70)</f>
        <v>839</v>
      </c>
      <c r="E97" s="32">
        <f>SUM($B70:E70)</f>
        <v>848</v>
      </c>
      <c r="F97" s="32">
        <f>SUM($B70:F70)</f>
        <v>855</v>
      </c>
      <c r="G97" s="33"/>
      <c r="H97" s="33"/>
      <c r="I97" s="33"/>
      <c r="J97" s="33"/>
      <c r="K97" s="33"/>
      <c r="L97" s="33"/>
    </row>
    <row r="98" spans="1:19" x14ac:dyDescent="0.2">
      <c r="A98" s="18">
        <v>1992</v>
      </c>
      <c r="B98" s="32">
        <v>674</v>
      </c>
      <c r="C98" s="32">
        <f>SUM($B71:C71)</f>
        <v>843</v>
      </c>
      <c r="D98" s="32">
        <f>SUM($B71:D71)</f>
        <v>863</v>
      </c>
      <c r="E98" s="32">
        <f>SUM($B71:E71)</f>
        <v>875</v>
      </c>
      <c r="F98" s="33"/>
      <c r="G98" s="33"/>
      <c r="H98" s="33"/>
      <c r="I98" s="33"/>
      <c r="J98" s="33"/>
      <c r="K98" s="33"/>
      <c r="L98" s="33"/>
    </row>
    <row r="99" spans="1:19" x14ac:dyDescent="0.2">
      <c r="A99" s="18">
        <v>1993</v>
      </c>
      <c r="B99" s="32">
        <v>619</v>
      </c>
      <c r="C99" s="32">
        <f>SUM($B72:C72)</f>
        <v>809</v>
      </c>
      <c r="D99" s="32">
        <f>SUM($B72:D72)</f>
        <v>850</v>
      </c>
      <c r="E99" s="33"/>
      <c r="F99" s="33"/>
      <c r="G99" s="33"/>
      <c r="H99" s="33"/>
      <c r="I99" s="33"/>
      <c r="J99" s="33"/>
      <c r="K99" s="33"/>
      <c r="L99" s="33"/>
    </row>
    <row r="100" spans="1:19" x14ac:dyDescent="0.2">
      <c r="A100" s="18">
        <v>1994</v>
      </c>
      <c r="B100" s="32">
        <v>660</v>
      </c>
      <c r="C100" s="32">
        <f>SUM($B73:C73)</f>
        <v>821</v>
      </c>
      <c r="D100" s="33"/>
      <c r="E100" s="33"/>
      <c r="F100" s="33"/>
      <c r="G100" s="33"/>
      <c r="H100" s="33"/>
      <c r="I100" s="33"/>
      <c r="J100" s="33"/>
      <c r="K100" s="33"/>
      <c r="L100" s="33"/>
    </row>
    <row r="101" spans="1:19" x14ac:dyDescent="0.2">
      <c r="A101" s="18">
        <v>1995</v>
      </c>
      <c r="B101" s="32">
        <v>660</v>
      </c>
      <c r="C101" s="33"/>
      <c r="D101" s="33"/>
      <c r="E101" s="33"/>
      <c r="F101" s="33"/>
      <c r="G101" s="33"/>
      <c r="H101" s="33"/>
      <c r="I101" s="33"/>
      <c r="J101" s="33"/>
      <c r="K101" s="33"/>
      <c r="L101" s="33"/>
    </row>
    <row r="103" spans="1:19" x14ac:dyDescent="0.2">
      <c r="A103" s="19" t="s">
        <v>216</v>
      </c>
      <c r="B103" s="16" t="s">
        <v>232</v>
      </c>
      <c r="C103" s="21"/>
      <c r="D103" s="21"/>
      <c r="E103" s="21"/>
      <c r="F103" s="21"/>
      <c r="G103" s="21"/>
      <c r="H103" s="21"/>
      <c r="I103" s="21"/>
      <c r="J103" s="21"/>
      <c r="K103" s="21"/>
      <c r="L103" s="21"/>
      <c r="M103" s="21"/>
      <c r="N103" s="21"/>
      <c r="O103" s="21"/>
      <c r="P103" s="21"/>
      <c r="Q103" s="21"/>
      <c r="R103" s="21"/>
      <c r="S103" s="21"/>
    </row>
    <row r="104" spans="1:19" x14ac:dyDescent="0.2">
      <c r="A104" s="23" t="s">
        <v>218</v>
      </c>
      <c r="B104" s="21">
        <v>0</v>
      </c>
      <c r="C104" s="21">
        <f t="shared" ref="C104:S104" si="23">B104+1</f>
        <v>1</v>
      </c>
      <c r="D104" s="21">
        <f t="shared" si="23"/>
        <v>2</v>
      </c>
      <c r="E104" s="21">
        <f t="shared" si="23"/>
        <v>3</v>
      </c>
      <c r="F104" s="21">
        <f t="shared" si="23"/>
        <v>4</v>
      </c>
      <c r="G104" s="21">
        <f t="shared" si="23"/>
        <v>5</v>
      </c>
      <c r="H104" s="21">
        <f t="shared" si="23"/>
        <v>6</v>
      </c>
      <c r="I104" s="21">
        <f t="shared" si="23"/>
        <v>7</v>
      </c>
      <c r="J104" s="21">
        <f t="shared" si="23"/>
        <v>8</v>
      </c>
      <c r="K104" s="21">
        <f t="shared" si="23"/>
        <v>9</v>
      </c>
      <c r="L104" s="21">
        <f t="shared" si="23"/>
        <v>10</v>
      </c>
      <c r="M104" s="21">
        <f t="shared" si="23"/>
        <v>11</v>
      </c>
      <c r="N104" s="21">
        <f t="shared" si="23"/>
        <v>12</v>
      </c>
      <c r="O104" s="21">
        <f t="shared" si="23"/>
        <v>13</v>
      </c>
      <c r="P104" s="21">
        <f t="shared" si="23"/>
        <v>14</v>
      </c>
      <c r="Q104" s="21">
        <f t="shared" si="23"/>
        <v>15</v>
      </c>
      <c r="R104" s="21">
        <f t="shared" si="23"/>
        <v>16</v>
      </c>
      <c r="S104" s="21">
        <f t="shared" si="23"/>
        <v>17</v>
      </c>
    </row>
    <row r="105" spans="1:19" x14ac:dyDescent="0.2">
      <c r="B105" s="25" t="s">
        <v>219</v>
      </c>
      <c r="C105" s="25" t="s">
        <v>219</v>
      </c>
      <c r="D105" s="25" t="s">
        <v>219</v>
      </c>
      <c r="E105" s="25" t="s">
        <v>219</v>
      </c>
      <c r="F105" s="25" t="s">
        <v>219</v>
      </c>
      <c r="G105" s="25" t="s">
        <v>219</v>
      </c>
      <c r="H105" s="25" t="s">
        <v>219</v>
      </c>
      <c r="I105" s="25" t="s">
        <v>219</v>
      </c>
      <c r="J105" s="25" t="s">
        <v>219</v>
      </c>
      <c r="K105" s="25" t="s">
        <v>219</v>
      </c>
      <c r="L105" s="25" t="s">
        <v>219</v>
      </c>
      <c r="M105" s="25" t="s">
        <v>219</v>
      </c>
      <c r="N105" s="25" t="s">
        <v>219</v>
      </c>
      <c r="O105" s="25" t="s">
        <v>219</v>
      </c>
      <c r="P105" s="25" t="s">
        <v>219</v>
      </c>
      <c r="Q105" s="25" t="s">
        <v>219</v>
      </c>
      <c r="R105" s="25" t="s">
        <v>219</v>
      </c>
      <c r="S105" s="25" t="s">
        <v>219</v>
      </c>
    </row>
    <row r="107" spans="1:19" x14ac:dyDescent="0.2">
      <c r="A107" s="18">
        <f>A84</f>
        <v>1978</v>
      </c>
      <c r="B107" s="26">
        <f t="shared" ref="B107:S119" si="24">C31/B84</f>
        <v>25.184782608695652</v>
      </c>
      <c r="C107" s="26">
        <f t="shared" si="24"/>
        <v>32.670840787119857</v>
      </c>
      <c r="D107" s="26">
        <f t="shared" si="24"/>
        <v>34.381601362862007</v>
      </c>
      <c r="E107" s="26">
        <f t="shared" si="24"/>
        <v>37.618487394957981</v>
      </c>
      <c r="F107" s="26">
        <f t="shared" si="24"/>
        <v>37.906821963394343</v>
      </c>
      <c r="G107" s="26">
        <f t="shared" si="24"/>
        <v>43.478547854785475</v>
      </c>
      <c r="H107" s="26">
        <f t="shared" si="24"/>
        <v>42.975369458128078</v>
      </c>
      <c r="I107" s="26">
        <f t="shared" si="24"/>
        <v>42.924590163934425</v>
      </c>
      <c r="J107" s="26">
        <f t="shared" si="24"/>
        <v>41.729508196721312</v>
      </c>
      <c r="K107" s="26">
        <f t="shared" si="24"/>
        <v>42.196721311475407</v>
      </c>
      <c r="L107" s="26">
        <f t="shared" si="24"/>
        <v>42.080196399345333</v>
      </c>
      <c r="M107" s="26">
        <f t="shared" si="24"/>
        <v>41.646426058332075</v>
      </c>
      <c r="N107" s="26">
        <f t="shared" si="24"/>
        <v>41.659516244111842</v>
      </c>
      <c r="O107" s="26">
        <f t="shared" si="24"/>
        <v>41.597337861657948</v>
      </c>
      <c r="P107" s="26">
        <f t="shared" si="24"/>
        <v>41.538432025648987</v>
      </c>
      <c r="Q107" s="26">
        <f t="shared" si="24"/>
        <v>41.757692637460103</v>
      </c>
      <c r="R107" s="26">
        <f t="shared" si="24"/>
        <v>41.963863063491452</v>
      </c>
      <c r="S107" s="26">
        <f t="shared" si="24"/>
        <v>41.674242703114082</v>
      </c>
    </row>
    <row r="108" spans="1:19" x14ac:dyDescent="0.2">
      <c r="A108" s="18">
        <f t="shared" ref="A108:A124" si="25">A85</f>
        <v>1979</v>
      </c>
      <c r="B108" s="26">
        <f t="shared" si="24"/>
        <v>25.05852417302799</v>
      </c>
      <c r="C108" s="26">
        <f t="shared" si="24"/>
        <v>29.637867647058822</v>
      </c>
      <c r="D108" s="26">
        <f t="shared" si="24"/>
        <v>30.050966608084359</v>
      </c>
      <c r="E108" s="26">
        <f t="shared" si="24"/>
        <v>32.250434782608693</v>
      </c>
      <c r="F108" s="26">
        <f t="shared" si="24"/>
        <v>35.464594127806564</v>
      </c>
      <c r="G108" s="26">
        <f t="shared" si="24"/>
        <v>36.907534246575345</v>
      </c>
      <c r="H108" s="26">
        <f t="shared" si="24"/>
        <v>39.488095238095241</v>
      </c>
      <c r="I108" s="26">
        <f t="shared" si="24"/>
        <v>37.998302207130727</v>
      </c>
      <c r="J108" s="26">
        <f t="shared" si="24"/>
        <v>36.521150592216586</v>
      </c>
      <c r="K108" s="26">
        <f t="shared" si="24"/>
        <v>36.162162162162161</v>
      </c>
      <c r="L108" s="26">
        <f t="shared" si="24"/>
        <v>35.231418918918919</v>
      </c>
      <c r="M108" s="26">
        <f t="shared" si="24"/>
        <v>35.739058599695568</v>
      </c>
      <c r="N108" s="26">
        <f t="shared" si="24"/>
        <v>34.589018486933071</v>
      </c>
      <c r="O108" s="26">
        <f t="shared" si="24"/>
        <v>33.72606621436092</v>
      </c>
      <c r="P108" s="26">
        <f t="shared" si="24"/>
        <v>33.704112438346364</v>
      </c>
      <c r="Q108" s="26">
        <f t="shared" si="24"/>
        <v>33.685536166334053</v>
      </c>
      <c r="R108" s="26">
        <f t="shared" si="24"/>
        <v>33.759841254383318</v>
      </c>
      <c r="S108" s="26"/>
    </row>
    <row r="109" spans="1:19" x14ac:dyDescent="0.2">
      <c r="A109" s="18">
        <f t="shared" si="25"/>
        <v>1980</v>
      </c>
      <c r="B109" s="26">
        <f t="shared" si="24"/>
        <v>27.059961315280464</v>
      </c>
      <c r="C109" s="26">
        <f t="shared" si="24"/>
        <v>32.028490028490026</v>
      </c>
      <c r="D109" s="26">
        <f t="shared" si="24"/>
        <v>34.131326949384402</v>
      </c>
      <c r="E109" s="26">
        <f t="shared" si="24"/>
        <v>44.458556149732622</v>
      </c>
      <c r="F109" s="26">
        <f t="shared" si="24"/>
        <v>43.866930171278</v>
      </c>
      <c r="G109" s="26">
        <f t="shared" si="24"/>
        <v>44.613784135240572</v>
      </c>
      <c r="H109" s="26">
        <f t="shared" si="24"/>
        <v>43.786357786357783</v>
      </c>
      <c r="I109" s="26">
        <f t="shared" si="24"/>
        <v>43.731362467866326</v>
      </c>
      <c r="J109" s="26">
        <f t="shared" si="24"/>
        <v>43.498714652956295</v>
      </c>
      <c r="K109" s="26">
        <f t="shared" si="24"/>
        <v>43.615681233933159</v>
      </c>
      <c r="L109" s="26">
        <f t="shared" si="24"/>
        <v>43.093709884467266</v>
      </c>
      <c r="M109" s="26">
        <f t="shared" si="24"/>
        <v>40.915020082584803</v>
      </c>
      <c r="N109" s="26">
        <f t="shared" si="24"/>
        <v>41.328264223816014</v>
      </c>
      <c r="O109" s="26">
        <f t="shared" si="24"/>
        <v>41.510502323365181</v>
      </c>
      <c r="P109" s="26">
        <f t="shared" si="24"/>
        <v>41.388582468032993</v>
      </c>
      <c r="Q109" s="26">
        <f t="shared" si="24"/>
        <v>41.283346382377843</v>
      </c>
      <c r="R109" s="26"/>
      <c r="S109" s="26"/>
    </row>
    <row r="110" spans="1:19" x14ac:dyDescent="0.2">
      <c r="A110" s="18">
        <f t="shared" si="25"/>
        <v>1981</v>
      </c>
      <c r="B110" s="26">
        <f t="shared" si="24"/>
        <v>28.633217993079583</v>
      </c>
      <c r="C110" s="26">
        <f t="shared" si="24"/>
        <v>33.721153846153847</v>
      </c>
      <c r="D110" s="26">
        <f t="shared" si="24"/>
        <v>45.397275822928492</v>
      </c>
      <c r="E110" s="26">
        <f t="shared" si="24"/>
        <v>47.019933554817278</v>
      </c>
      <c r="F110" s="26">
        <f t="shared" si="24"/>
        <v>46.518478260869564</v>
      </c>
      <c r="G110" s="26">
        <f t="shared" si="24"/>
        <v>46.171706263498919</v>
      </c>
      <c r="H110" s="26">
        <f t="shared" si="24"/>
        <v>45.678148546824545</v>
      </c>
      <c r="I110" s="26">
        <f t="shared" si="24"/>
        <v>45.534983853606029</v>
      </c>
      <c r="J110" s="26">
        <f t="shared" si="24"/>
        <v>45.263440860215056</v>
      </c>
      <c r="K110" s="26">
        <f t="shared" si="24"/>
        <v>44.737634408602148</v>
      </c>
      <c r="L110" s="26">
        <f t="shared" si="24"/>
        <v>43.483870967741936</v>
      </c>
      <c r="M110" s="26">
        <f t="shared" si="24"/>
        <v>43.465522808108098</v>
      </c>
      <c r="N110" s="26">
        <f t="shared" si="24"/>
        <v>43.351569864458035</v>
      </c>
      <c r="O110" s="26">
        <f t="shared" si="24"/>
        <v>43.363395169931152</v>
      </c>
      <c r="P110" s="26">
        <f t="shared" si="24"/>
        <v>43.104313477292798</v>
      </c>
      <c r="Q110" s="26"/>
      <c r="R110" s="26"/>
      <c r="S110" s="26"/>
    </row>
    <row r="111" spans="1:19" x14ac:dyDescent="0.2">
      <c r="A111" s="18">
        <f t="shared" si="25"/>
        <v>1982</v>
      </c>
      <c r="B111" s="26">
        <f t="shared" si="24"/>
        <v>17.84565916398714</v>
      </c>
      <c r="C111" s="26">
        <f t="shared" si="24"/>
        <v>38.188405797101453</v>
      </c>
      <c r="D111" s="26">
        <f t="shared" si="24"/>
        <v>47.118800461361012</v>
      </c>
      <c r="E111" s="26">
        <f t="shared" si="24"/>
        <v>43.9762174405436</v>
      </c>
      <c r="F111" s="26">
        <f t="shared" si="24"/>
        <v>44.60045146726862</v>
      </c>
      <c r="G111" s="26">
        <f t="shared" si="24"/>
        <v>44.647256438969762</v>
      </c>
      <c r="H111" s="26">
        <f t="shared" si="24"/>
        <v>45.193729003359465</v>
      </c>
      <c r="I111" s="26">
        <f t="shared" si="24"/>
        <v>45.139821029082775</v>
      </c>
      <c r="J111" s="26">
        <f t="shared" si="24"/>
        <v>44.872483221476507</v>
      </c>
      <c r="K111" s="26">
        <f t="shared" si="24"/>
        <v>44.617449664429529</v>
      </c>
      <c r="L111" s="26">
        <f t="shared" si="24"/>
        <v>44.628635346756155</v>
      </c>
      <c r="M111" s="26">
        <f t="shared" si="24"/>
        <v>44.896296526911613</v>
      </c>
      <c r="N111" s="26">
        <f t="shared" si="24"/>
        <v>44.538441272755342</v>
      </c>
      <c r="O111" s="26">
        <f t="shared" si="24"/>
        <v>44.955566303381246</v>
      </c>
      <c r="P111" s="26"/>
      <c r="Q111" s="26"/>
      <c r="R111" s="26"/>
      <c r="S111" s="26"/>
    </row>
    <row r="112" spans="1:19" x14ac:dyDescent="0.2">
      <c r="A112" s="18">
        <f t="shared" si="25"/>
        <v>1983</v>
      </c>
      <c r="B112" s="26">
        <f t="shared" si="24"/>
        <v>23.753030303030304</v>
      </c>
      <c r="C112" s="26">
        <f t="shared" si="24"/>
        <v>36.626799557032115</v>
      </c>
      <c r="D112" s="26">
        <f t="shared" si="24"/>
        <v>38.229860365198711</v>
      </c>
      <c r="E112" s="26">
        <f t="shared" si="24"/>
        <v>37.880169671261932</v>
      </c>
      <c r="F112" s="26">
        <f t="shared" si="24"/>
        <v>40.473298429319371</v>
      </c>
      <c r="G112" s="26">
        <f t="shared" si="24"/>
        <v>41.103232533889468</v>
      </c>
      <c r="H112" s="26">
        <f t="shared" si="24"/>
        <v>40.730010384215994</v>
      </c>
      <c r="I112" s="26">
        <f t="shared" si="24"/>
        <v>41.178423236514526</v>
      </c>
      <c r="J112" s="26">
        <f t="shared" si="24"/>
        <v>39.17946058091286</v>
      </c>
      <c r="K112" s="26">
        <f t="shared" si="24"/>
        <v>39.309128630705395</v>
      </c>
      <c r="L112" s="26">
        <f t="shared" si="24"/>
        <v>38.764522821576762</v>
      </c>
      <c r="M112" s="26">
        <f t="shared" si="24"/>
        <v>38.730613500358224</v>
      </c>
      <c r="N112" s="26">
        <f t="shared" si="24"/>
        <v>38.450595676148914</v>
      </c>
      <c r="O112" s="26"/>
      <c r="P112" s="26"/>
      <c r="Q112" s="26"/>
      <c r="R112" s="26"/>
      <c r="S112" s="26"/>
    </row>
    <row r="113" spans="1:19" x14ac:dyDescent="0.2">
      <c r="A113" s="18">
        <f t="shared" si="25"/>
        <v>1984</v>
      </c>
      <c r="B113" s="26">
        <f t="shared" si="24"/>
        <v>30.593093093093092</v>
      </c>
      <c r="C113" s="26">
        <f t="shared" si="24"/>
        <v>37.283333333333331</v>
      </c>
      <c r="D113" s="26">
        <f t="shared" si="24"/>
        <v>43.815320041972718</v>
      </c>
      <c r="E113" s="26">
        <f t="shared" si="24"/>
        <v>46.858774662512978</v>
      </c>
      <c r="F113" s="26">
        <f t="shared" si="24"/>
        <v>48.696189495365601</v>
      </c>
      <c r="G113" s="26">
        <f t="shared" si="24"/>
        <v>53.035897435897439</v>
      </c>
      <c r="H113" s="26">
        <f t="shared" si="24"/>
        <v>53.156982670744142</v>
      </c>
      <c r="I113" s="26">
        <f t="shared" si="24"/>
        <v>52.125254582484722</v>
      </c>
      <c r="J113" s="26">
        <f t="shared" si="24"/>
        <v>52.902240325865577</v>
      </c>
      <c r="K113" s="26">
        <f t="shared" si="24"/>
        <v>51.901221995926683</v>
      </c>
      <c r="L113" s="26">
        <f t="shared" si="24"/>
        <v>52.40427698574338</v>
      </c>
      <c r="M113" s="26">
        <f t="shared" si="24"/>
        <v>52.311497992461895</v>
      </c>
      <c r="N113" s="26"/>
      <c r="O113" s="26"/>
      <c r="P113" s="26"/>
      <c r="Q113" s="26"/>
      <c r="R113" s="26"/>
      <c r="S113" s="26"/>
    </row>
    <row r="114" spans="1:19" x14ac:dyDescent="0.2">
      <c r="A114" s="18">
        <f t="shared" si="25"/>
        <v>1985</v>
      </c>
      <c r="B114" s="26">
        <f t="shared" si="24"/>
        <v>17.102966841186735</v>
      </c>
      <c r="C114" s="26">
        <f t="shared" si="24"/>
        <v>29.395709177592373</v>
      </c>
      <c r="D114" s="26">
        <f t="shared" si="24"/>
        <v>40.023307436182023</v>
      </c>
      <c r="E114" s="26">
        <f t="shared" si="24"/>
        <v>41.541073384446875</v>
      </c>
      <c r="F114" s="26">
        <f t="shared" si="24"/>
        <v>43.618736383442268</v>
      </c>
      <c r="G114" s="26">
        <f t="shared" si="24"/>
        <v>43.850810810810813</v>
      </c>
      <c r="H114" s="26">
        <f t="shared" si="24"/>
        <v>43.353383458646618</v>
      </c>
      <c r="I114" s="26">
        <f t="shared" si="24"/>
        <v>43.679487179487182</v>
      </c>
      <c r="J114" s="26">
        <f t="shared" si="24"/>
        <v>43.326574172892208</v>
      </c>
      <c r="K114" s="26">
        <f t="shared" si="24"/>
        <v>44.081109925293489</v>
      </c>
      <c r="L114" s="26">
        <f t="shared" si="24"/>
        <v>45.179104477611943</v>
      </c>
      <c r="M114" s="26"/>
      <c r="N114" s="26"/>
      <c r="O114" s="26"/>
      <c r="P114" s="26"/>
      <c r="Q114" s="26"/>
      <c r="R114" s="26"/>
      <c r="S114" s="26"/>
    </row>
    <row r="115" spans="1:19" x14ac:dyDescent="0.2">
      <c r="A115" s="18">
        <f t="shared" si="25"/>
        <v>1986</v>
      </c>
      <c r="B115" s="26">
        <f t="shared" si="24"/>
        <v>19.553264604810998</v>
      </c>
      <c r="C115" s="26">
        <f t="shared" si="24"/>
        <v>31.104287369640787</v>
      </c>
      <c r="D115" s="26">
        <f t="shared" si="24"/>
        <v>39.02905027932961</v>
      </c>
      <c r="E115" s="26">
        <f t="shared" si="24"/>
        <v>41.003253796095443</v>
      </c>
      <c r="F115" s="26">
        <f t="shared" si="24"/>
        <v>44.193790149892934</v>
      </c>
      <c r="G115" s="26">
        <f t="shared" si="24"/>
        <v>47.413938753959876</v>
      </c>
      <c r="H115" s="26">
        <f t="shared" si="24"/>
        <v>48.129066107030432</v>
      </c>
      <c r="I115" s="26">
        <f t="shared" si="24"/>
        <v>47.543455497382197</v>
      </c>
      <c r="J115" s="26">
        <f t="shared" si="24"/>
        <v>47.43410041841004</v>
      </c>
      <c r="K115" s="26">
        <f t="shared" si="24"/>
        <v>46.42573221757322</v>
      </c>
      <c r="L115" s="26"/>
      <c r="M115" s="26"/>
      <c r="N115" s="26"/>
      <c r="O115" s="26"/>
      <c r="P115" s="26"/>
      <c r="Q115" s="26"/>
      <c r="R115" s="26"/>
      <c r="S115" s="26"/>
    </row>
    <row r="116" spans="1:19" x14ac:dyDescent="0.2">
      <c r="A116" s="18">
        <f t="shared" si="25"/>
        <v>1987</v>
      </c>
      <c r="B116" s="26">
        <f t="shared" si="24"/>
        <v>18.763302752293576</v>
      </c>
      <c r="C116" s="26">
        <f t="shared" si="24"/>
        <v>26.811764705882354</v>
      </c>
      <c r="D116" s="26">
        <f t="shared" si="24"/>
        <v>33.269801980198018</v>
      </c>
      <c r="E116" s="26">
        <f t="shared" si="24"/>
        <v>39.135593220338983</v>
      </c>
      <c r="F116" s="26">
        <f t="shared" si="24"/>
        <v>42.072792362768496</v>
      </c>
      <c r="G116" s="26">
        <f t="shared" si="24"/>
        <v>47.883116883116884</v>
      </c>
      <c r="H116" s="26">
        <f t="shared" si="24"/>
        <v>51.353286384976528</v>
      </c>
      <c r="I116" s="26">
        <f t="shared" si="24"/>
        <v>52.235362997658079</v>
      </c>
      <c r="J116" s="26">
        <f t="shared" si="24"/>
        <v>51.751756440281028</v>
      </c>
      <c r="K116" s="26"/>
      <c r="L116" s="26"/>
      <c r="M116" s="26"/>
      <c r="N116" s="26"/>
      <c r="O116" s="26"/>
      <c r="P116" s="26"/>
      <c r="Q116" s="26"/>
      <c r="R116" s="26"/>
      <c r="S116" s="26"/>
    </row>
    <row r="117" spans="1:19" x14ac:dyDescent="0.2">
      <c r="A117" s="18">
        <f t="shared" si="25"/>
        <v>1988</v>
      </c>
      <c r="B117" s="26">
        <f t="shared" si="24"/>
        <v>16.051080550098231</v>
      </c>
      <c r="C117" s="26">
        <f t="shared" si="24"/>
        <v>23.957419354838709</v>
      </c>
      <c r="D117" s="26">
        <f t="shared" si="24"/>
        <v>32.126213592233007</v>
      </c>
      <c r="E117" s="26">
        <f t="shared" si="24"/>
        <v>39.009456264775416</v>
      </c>
      <c r="F117" s="26">
        <f t="shared" si="24"/>
        <v>42.184668989547035</v>
      </c>
      <c r="G117" s="26">
        <f t="shared" si="24"/>
        <v>42.828901734104043</v>
      </c>
      <c r="H117" s="26">
        <f t="shared" si="24"/>
        <v>45.446735395189002</v>
      </c>
      <c r="I117" s="26">
        <f t="shared" si="24"/>
        <v>46.274914089347078</v>
      </c>
      <c r="J117" s="26"/>
      <c r="K117" s="26"/>
      <c r="L117" s="26"/>
      <c r="M117" s="26"/>
      <c r="N117" s="26"/>
      <c r="O117" s="26"/>
      <c r="P117" s="26"/>
      <c r="Q117" s="26"/>
      <c r="R117" s="26"/>
      <c r="S117" s="26"/>
    </row>
    <row r="118" spans="1:19" x14ac:dyDescent="0.2">
      <c r="A118" s="18">
        <f t="shared" si="25"/>
        <v>1989</v>
      </c>
      <c r="B118" s="26">
        <f t="shared" si="24"/>
        <v>17.713073005093378</v>
      </c>
      <c r="C118" s="26">
        <f t="shared" si="24"/>
        <v>24.385481852315394</v>
      </c>
      <c r="D118" s="26">
        <f t="shared" si="24"/>
        <v>38.771739130434781</v>
      </c>
      <c r="E118" s="26">
        <f t="shared" si="24"/>
        <v>46.078106508875742</v>
      </c>
      <c r="F118" s="26">
        <f t="shared" si="24"/>
        <v>53.501750291715283</v>
      </c>
      <c r="G118" s="26">
        <f t="shared" si="24"/>
        <v>52.419279907084785</v>
      </c>
      <c r="H118" s="26">
        <f t="shared" si="24"/>
        <v>52.3</v>
      </c>
      <c r="I118" s="26"/>
      <c r="J118" s="26"/>
      <c r="K118" s="26"/>
      <c r="L118" s="26"/>
      <c r="M118" s="26"/>
      <c r="N118" s="26"/>
      <c r="O118" s="26"/>
      <c r="P118" s="26"/>
      <c r="Q118" s="26"/>
      <c r="R118" s="26"/>
      <c r="S118" s="26"/>
    </row>
    <row r="119" spans="1:19" x14ac:dyDescent="0.2">
      <c r="A119" s="18">
        <f t="shared" si="25"/>
        <v>1990</v>
      </c>
      <c r="B119" s="26">
        <f t="shared" si="24"/>
        <v>17.129432624113477</v>
      </c>
      <c r="C119" s="26">
        <f t="shared" si="24"/>
        <v>31.326315789473686</v>
      </c>
      <c r="D119" s="26">
        <f t="shared" si="24"/>
        <v>42.102171136653894</v>
      </c>
      <c r="E119" s="26">
        <f t="shared" si="24"/>
        <v>53.97106918238994</v>
      </c>
      <c r="F119" s="26">
        <f t="shared" si="24"/>
        <v>58.370646766169152</v>
      </c>
      <c r="G119" s="26">
        <f t="shared" si="24"/>
        <v>60.939431396786155</v>
      </c>
      <c r="H119" s="26"/>
      <c r="I119" s="26"/>
      <c r="J119" s="26"/>
      <c r="K119" s="26"/>
      <c r="L119" s="26"/>
      <c r="M119" s="26"/>
      <c r="N119" s="26"/>
      <c r="O119" s="26"/>
      <c r="P119" s="26"/>
      <c r="Q119" s="26"/>
      <c r="R119" s="26"/>
      <c r="S119" s="26"/>
    </row>
    <row r="120" spans="1:19" x14ac:dyDescent="0.2">
      <c r="A120" s="18">
        <f t="shared" si="25"/>
        <v>1991</v>
      </c>
      <c r="B120" s="26">
        <f>C44/B97</f>
        <v>23.517298187808898</v>
      </c>
      <c r="C120" s="26">
        <f>D44/C97</f>
        <v>31.544444444444444</v>
      </c>
      <c r="D120" s="26">
        <f>E44/D97</f>
        <v>40.231227651966627</v>
      </c>
      <c r="E120" s="26">
        <f>F44/E97</f>
        <v>45.606132075471699</v>
      </c>
      <c r="F120" s="26">
        <f>G44/F97</f>
        <v>48.107602339181284</v>
      </c>
      <c r="G120" s="26"/>
      <c r="H120" s="26"/>
      <c r="I120" s="26"/>
      <c r="J120" s="26"/>
      <c r="K120" s="26"/>
      <c r="L120" s="26"/>
      <c r="M120" s="26"/>
      <c r="N120" s="26"/>
      <c r="O120" s="26"/>
      <c r="P120" s="26"/>
      <c r="Q120" s="26"/>
      <c r="R120" s="26"/>
      <c r="S120" s="26"/>
    </row>
    <row r="121" spans="1:19" x14ac:dyDescent="0.2">
      <c r="A121" s="18">
        <f t="shared" si="25"/>
        <v>1992</v>
      </c>
      <c r="B121" s="26">
        <f>C45/B98</f>
        <v>19.651335311572701</v>
      </c>
      <c r="C121" s="26">
        <f>D45/C98</f>
        <v>34.645314353499408</v>
      </c>
      <c r="D121" s="26">
        <f>E45/D98</f>
        <v>42.858632676709156</v>
      </c>
      <c r="E121" s="26">
        <f>F45/E98</f>
        <v>50.371428571428574</v>
      </c>
      <c r="F121" s="26"/>
      <c r="G121" s="26"/>
      <c r="H121" s="26"/>
      <c r="I121" s="26"/>
      <c r="J121" s="26"/>
      <c r="K121" s="26"/>
      <c r="L121" s="26"/>
      <c r="M121" s="26"/>
      <c r="N121" s="26"/>
      <c r="O121" s="26"/>
      <c r="P121" s="26"/>
      <c r="Q121" s="26"/>
      <c r="R121" s="26"/>
      <c r="S121" s="26"/>
    </row>
    <row r="122" spans="1:19" x14ac:dyDescent="0.2">
      <c r="A122" s="18">
        <f t="shared" si="25"/>
        <v>1993</v>
      </c>
      <c r="B122" s="26">
        <f>C46/B99</f>
        <v>23.765751211631663</v>
      </c>
      <c r="C122" s="26">
        <f>D46/C99</f>
        <v>33.475896168108775</v>
      </c>
      <c r="D122" s="26">
        <f>E46/D99</f>
        <v>40.27058823529412</v>
      </c>
      <c r="E122" s="26"/>
      <c r="F122" s="26"/>
      <c r="G122" s="26"/>
      <c r="H122" s="26"/>
      <c r="I122" s="26"/>
      <c r="J122" s="26"/>
      <c r="K122" s="26"/>
      <c r="L122" s="26"/>
      <c r="M122" s="26"/>
      <c r="N122" s="26"/>
      <c r="O122" s="26"/>
      <c r="P122" s="26"/>
      <c r="Q122" s="26"/>
      <c r="R122" s="26"/>
      <c r="S122" s="26"/>
    </row>
    <row r="123" spans="1:19" x14ac:dyDescent="0.2">
      <c r="A123" s="18">
        <f t="shared" si="25"/>
        <v>1994</v>
      </c>
      <c r="B123" s="26">
        <f>C47/B100</f>
        <v>18.903030303030302</v>
      </c>
      <c r="C123" s="26">
        <f>D47/C100</f>
        <v>28.168087697929355</v>
      </c>
      <c r="D123" s="26"/>
      <c r="E123" s="26"/>
      <c r="F123" s="26"/>
      <c r="G123" s="26"/>
      <c r="H123" s="26"/>
      <c r="I123" s="26"/>
      <c r="J123" s="26"/>
      <c r="K123" s="26"/>
      <c r="L123" s="26"/>
      <c r="M123" s="26"/>
      <c r="N123" s="26"/>
      <c r="O123" s="26"/>
      <c r="P123" s="26"/>
      <c r="Q123" s="26"/>
      <c r="R123" s="26"/>
      <c r="S123" s="26"/>
    </row>
    <row r="124" spans="1:19" x14ac:dyDescent="0.2">
      <c r="A124" s="18">
        <f t="shared" si="25"/>
        <v>1995</v>
      </c>
      <c r="B124" s="26">
        <f>C48/B101</f>
        <v>14.719696969696969</v>
      </c>
      <c r="C124" s="26"/>
      <c r="D124" s="26"/>
      <c r="E124" s="26"/>
      <c r="F124" s="26"/>
      <c r="G124" s="26"/>
      <c r="H124" s="26"/>
      <c r="I124" s="26"/>
      <c r="J124" s="26"/>
      <c r="K124" s="26"/>
      <c r="L124" s="26"/>
      <c r="M124" s="26"/>
      <c r="N124" s="26"/>
      <c r="O124" s="26"/>
      <c r="P124" s="26"/>
      <c r="Q124" s="26"/>
      <c r="R124" s="26"/>
      <c r="S124" s="26"/>
    </row>
    <row r="129" spans="1:18" x14ac:dyDescent="0.2">
      <c r="A129" s="16" t="s">
        <v>233</v>
      </c>
      <c r="C129" s="18"/>
      <c r="D129" s="18"/>
      <c r="E129" s="18"/>
      <c r="F129" s="18"/>
      <c r="G129" s="18"/>
      <c r="H129" s="18"/>
      <c r="I129" s="18"/>
      <c r="J129" s="18"/>
      <c r="K129" s="18"/>
      <c r="L129" s="18"/>
      <c r="M129" s="18"/>
      <c r="N129" s="18"/>
      <c r="O129" s="18"/>
      <c r="P129" s="18"/>
      <c r="Q129" s="18"/>
      <c r="R129" s="18"/>
    </row>
    <row r="131" spans="1:18" x14ac:dyDescent="0.2">
      <c r="A131" s="25" t="s">
        <v>216</v>
      </c>
      <c r="B131" s="36" t="s">
        <v>234</v>
      </c>
      <c r="C131" s="18"/>
      <c r="D131" s="18"/>
      <c r="E131" s="18"/>
      <c r="F131" s="18"/>
      <c r="G131" s="18"/>
      <c r="H131" s="18"/>
      <c r="I131" s="18"/>
      <c r="J131" s="18"/>
      <c r="K131" s="18"/>
      <c r="L131" s="18"/>
      <c r="M131" s="18"/>
      <c r="N131" s="18"/>
      <c r="O131" s="18"/>
      <c r="P131" s="18"/>
      <c r="Q131" s="18"/>
      <c r="R131" s="18"/>
    </row>
    <row r="132" spans="1:18" x14ac:dyDescent="0.2">
      <c r="A132" s="37" t="s">
        <v>218</v>
      </c>
      <c r="B132" s="38" t="s">
        <v>235</v>
      </c>
      <c r="C132" s="39"/>
      <c r="D132" s="39"/>
      <c r="E132" s="39"/>
      <c r="F132" s="39"/>
      <c r="G132" s="39"/>
      <c r="H132" s="39"/>
      <c r="I132" s="39"/>
      <c r="J132" s="39"/>
      <c r="K132" s="39"/>
      <c r="L132" s="39"/>
      <c r="M132" s="39"/>
      <c r="N132" s="39"/>
      <c r="O132" s="39"/>
      <c r="P132" s="39"/>
      <c r="Q132" s="39"/>
      <c r="R132" s="39"/>
    </row>
    <row r="133" spans="1:18" x14ac:dyDescent="0.2">
      <c r="B133" s="39">
        <v>0</v>
      </c>
      <c r="C133" s="39">
        <f t="shared" ref="C133:R133" si="26">B133+1</f>
        <v>1</v>
      </c>
      <c r="D133" s="39">
        <f t="shared" si="26"/>
        <v>2</v>
      </c>
      <c r="E133" s="39">
        <f t="shared" si="26"/>
        <v>3</v>
      </c>
      <c r="F133" s="39">
        <f t="shared" si="26"/>
        <v>4</v>
      </c>
      <c r="G133" s="39">
        <f t="shared" si="26"/>
        <v>5</v>
      </c>
      <c r="H133" s="39">
        <f t="shared" si="26"/>
        <v>6</v>
      </c>
      <c r="I133" s="39">
        <f t="shared" si="26"/>
        <v>7</v>
      </c>
      <c r="J133" s="39">
        <f t="shared" si="26"/>
        <v>8</v>
      </c>
      <c r="K133" s="39">
        <f t="shared" si="26"/>
        <v>9</v>
      </c>
      <c r="L133" s="39">
        <f t="shared" si="26"/>
        <v>10</v>
      </c>
      <c r="M133" s="39">
        <f t="shared" si="26"/>
        <v>11</v>
      </c>
      <c r="N133" s="39">
        <f t="shared" si="26"/>
        <v>12</v>
      </c>
      <c r="O133" s="39">
        <f t="shared" si="26"/>
        <v>13</v>
      </c>
      <c r="P133" s="39">
        <f t="shared" si="26"/>
        <v>14</v>
      </c>
      <c r="Q133" s="39">
        <f t="shared" si="26"/>
        <v>15</v>
      </c>
      <c r="R133" s="39">
        <f t="shared" si="26"/>
        <v>16</v>
      </c>
    </row>
    <row r="135" spans="1:18" x14ac:dyDescent="0.2">
      <c r="A135" s="18">
        <f>A107</f>
        <v>1978</v>
      </c>
      <c r="B135" s="40">
        <f t="shared" ref="B135:R146" si="27">C107/B107</f>
        <v>1.2972452966832226</v>
      </c>
      <c r="C135" s="40">
        <f t="shared" si="27"/>
        <v>1.0523635307364541</v>
      </c>
      <c r="D135" s="40">
        <f t="shared" si="27"/>
        <v>1.0941458775562549</v>
      </c>
      <c r="E135" s="40">
        <f t="shared" si="27"/>
        <v>1.0076647039369002</v>
      </c>
      <c r="F135" s="40">
        <f t="shared" si="27"/>
        <v>1.1469847801214148</v>
      </c>
      <c r="G135" s="40">
        <f t="shared" si="27"/>
        <v>0.98842697326649531</v>
      </c>
      <c r="H135" s="40">
        <f t="shared" si="27"/>
        <v>0.9988184093625273</v>
      </c>
      <c r="I135" s="40">
        <f t="shared" si="27"/>
        <v>0.97215857011915674</v>
      </c>
      <c r="J135" s="40">
        <f t="shared" si="27"/>
        <v>1.0111962286387743</v>
      </c>
      <c r="K135" s="40">
        <f t="shared" si="27"/>
        <v>0.99723853160841702</v>
      </c>
      <c r="L135" s="40">
        <f t="shared" si="27"/>
        <v>0.98969181757383606</v>
      </c>
      <c r="M135" s="40">
        <f t="shared" si="27"/>
        <v>1.0003143171460003</v>
      </c>
      <c r="N135" s="40">
        <f t="shared" si="27"/>
        <v>0.99850746268656732</v>
      </c>
      <c r="O135" s="40">
        <f t="shared" si="27"/>
        <v>0.9985839037054518</v>
      </c>
      <c r="P135" s="40">
        <f t="shared" si="27"/>
        <v>1.0052784999606081</v>
      </c>
      <c r="Q135" s="40">
        <f t="shared" si="27"/>
        <v>1.0049373040752352</v>
      </c>
      <c r="R135" s="40">
        <f t="shared" si="27"/>
        <v>0.99309833892224908</v>
      </c>
    </row>
    <row r="136" spans="1:18" x14ac:dyDescent="0.2">
      <c r="A136" s="18">
        <f t="shared" ref="A136:A151" si="28">A108</f>
        <v>1979</v>
      </c>
      <c r="B136" s="40">
        <f t="shared" si="27"/>
        <v>1.1827459367682898</v>
      </c>
      <c r="C136" s="40">
        <f t="shared" si="27"/>
        <v>1.0139382146497482</v>
      </c>
      <c r="D136" s="40">
        <f t="shared" si="27"/>
        <v>1.073191262138391</v>
      </c>
      <c r="E136" s="40">
        <f t="shared" si="27"/>
        <v>1.0996625120518106</v>
      </c>
      <c r="F136" s="40">
        <f t="shared" si="27"/>
        <v>1.0406867794276382</v>
      </c>
      <c r="G136" s="40">
        <f t="shared" si="27"/>
        <v>1.0699196260113026</v>
      </c>
      <c r="H136" s="40">
        <f t="shared" si="27"/>
        <v>0.9622723501353575</v>
      </c>
      <c r="I136" s="40">
        <f t="shared" si="27"/>
        <v>0.96112585223249947</v>
      </c>
      <c r="J136" s="40">
        <f t="shared" si="27"/>
        <v>0.99017039648989225</v>
      </c>
      <c r="K136" s="40">
        <f t="shared" si="27"/>
        <v>0.97426195814648731</v>
      </c>
      <c r="L136" s="40">
        <f t="shared" si="27"/>
        <v>1.01440872086205</v>
      </c>
      <c r="M136" s="40">
        <f t="shared" si="27"/>
        <v>0.96782119737277317</v>
      </c>
      <c r="N136" s="40">
        <f t="shared" si="27"/>
        <v>0.97505126452494872</v>
      </c>
      <c r="O136" s="40">
        <f t="shared" si="27"/>
        <v>0.99934905613139047</v>
      </c>
      <c r="P136" s="40">
        <f t="shared" si="27"/>
        <v>0.99944884256939592</v>
      </c>
      <c r="Q136" s="40">
        <f t="shared" si="27"/>
        <v>1.00220584549055</v>
      </c>
      <c r="R136" s="40"/>
    </row>
    <row r="137" spans="1:18" x14ac:dyDescent="0.2">
      <c r="A137" s="18">
        <f t="shared" si="28"/>
        <v>1980</v>
      </c>
      <c r="B137" s="40">
        <f t="shared" si="27"/>
        <v>1.1836118187797957</v>
      </c>
      <c r="C137" s="40">
        <f t="shared" si="27"/>
        <v>1.0656552000741795</v>
      </c>
      <c r="D137" s="40">
        <f t="shared" si="27"/>
        <v>1.3025733284751322</v>
      </c>
      <c r="E137" s="40">
        <f t="shared" si="27"/>
        <v>0.98669264074923901</v>
      </c>
      <c r="F137" s="40">
        <f t="shared" si="27"/>
        <v>1.0170254440200508</v>
      </c>
      <c r="G137" s="40">
        <f t="shared" si="27"/>
        <v>0.98145357169491476</v>
      </c>
      <c r="H137" s="40">
        <f t="shared" si="27"/>
        <v>0.99874400792228968</v>
      </c>
      <c r="I137" s="40">
        <f t="shared" si="27"/>
        <v>0.99468006936484132</v>
      </c>
      <c r="J137" s="40">
        <f t="shared" si="27"/>
        <v>1.0026889663731458</v>
      </c>
      <c r="K137" s="40">
        <f t="shared" si="27"/>
        <v>0.98803248431071622</v>
      </c>
      <c r="L137" s="40">
        <f t="shared" si="27"/>
        <v>0.94944297421309387</v>
      </c>
      <c r="M137" s="40">
        <f t="shared" si="27"/>
        <v>1.010100059596625</v>
      </c>
      <c r="N137" s="40">
        <f t="shared" si="27"/>
        <v>1.004409527062696</v>
      </c>
      <c r="O137" s="40">
        <f t="shared" si="27"/>
        <v>0.9970629154428815</v>
      </c>
      <c r="P137" s="40">
        <f t="shared" si="27"/>
        <v>0.99745736434108534</v>
      </c>
      <c r="Q137" s="40"/>
      <c r="R137" s="40"/>
    </row>
    <row r="138" spans="1:18" x14ac:dyDescent="0.2">
      <c r="A138" s="18">
        <f t="shared" si="28"/>
        <v>1981</v>
      </c>
      <c r="B138" s="40">
        <f t="shared" si="27"/>
        <v>1.1776934696723218</v>
      </c>
      <c r="C138" s="40">
        <f t="shared" si="27"/>
        <v>1.3462551142242838</v>
      </c>
      <c r="D138" s="40">
        <f t="shared" si="27"/>
        <v>1.0357435044829109</v>
      </c>
      <c r="E138" s="40">
        <f t="shared" si="27"/>
        <v>0.98933526153619289</v>
      </c>
      <c r="F138" s="40">
        <f t="shared" si="27"/>
        <v>0.9925454999747414</v>
      </c>
      <c r="G138" s="40">
        <f t="shared" si="27"/>
        <v>0.98931038602174082</v>
      </c>
      <c r="H138" s="40">
        <f t="shared" si="27"/>
        <v>0.99686579474490389</v>
      </c>
      <c r="I138" s="40">
        <f t="shared" si="27"/>
        <v>0.99403660723227705</v>
      </c>
      <c r="J138" s="40">
        <f t="shared" si="27"/>
        <v>0.98838341845824906</v>
      </c>
      <c r="K138" s="40">
        <f t="shared" si="27"/>
        <v>0.97197519588520898</v>
      </c>
      <c r="L138" s="40">
        <f t="shared" si="27"/>
        <v>0.99957804677399931</v>
      </c>
      <c r="M138" s="40">
        <f t="shared" si="27"/>
        <v>0.99737831420656908</v>
      </c>
      <c r="N138" s="40">
        <f t="shared" si="27"/>
        <v>1.0002727768685216</v>
      </c>
      <c r="O138" s="40">
        <f t="shared" si="27"/>
        <v>0.99402533653965353</v>
      </c>
    </row>
    <row r="139" spans="1:18" x14ac:dyDescent="0.2">
      <c r="A139" s="18">
        <f t="shared" si="28"/>
        <v>1982</v>
      </c>
      <c r="B139" s="40">
        <f t="shared" si="27"/>
        <v>2.1399268834051441</v>
      </c>
      <c r="C139" s="40">
        <f t="shared" si="27"/>
        <v>1.2338509418724515</v>
      </c>
      <c r="D139" s="40">
        <f t="shared" si="27"/>
        <v>0.93330511409358918</v>
      </c>
      <c r="E139" s="40">
        <f t="shared" si="27"/>
        <v>1.0141948094460147</v>
      </c>
      <c r="F139" s="40">
        <f t="shared" si="27"/>
        <v>1.0010494282044542</v>
      </c>
      <c r="G139" s="40">
        <f t="shared" si="27"/>
        <v>1.0122397792826687</v>
      </c>
      <c r="H139" s="40">
        <f t="shared" si="27"/>
        <v>0.99880718021138104</v>
      </c>
      <c r="I139" s="40">
        <f t="shared" si="27"/>
        <v>0.99407756164044103</v>
      </c>
      <c r="J139" s="40">
        <f t="shared" si="27"/>
        <v>0.99431648220161539</v>
      </c>
      <c r="K139" s="40">
        <f t="shared" si="27"/>
        <v>1.0002507019655036</v>
      </c>
      <c r="L139" s="40">
        <f t="shared" si="27"/>
        <v>1.005997521055165</v>
      </c>
      <c r="M139" s="40">
        <f t="shared" si="27"/>
        <v>0.99202929235061144</v>
      </c>
      <c r="N139" s="40">
        <f t="shared" si="27"/>
        <v>1.0093655058126398</v>
      </c>
      <c r="O139" s="40"/>
    </row>
    <row r="140" spans="1:18" x14ac:dyDescent="0.2">
      <c r="A140" s="18">
        <f t="shared" si="28"/>
        <v>1983</v>
      </c>
      <c r="B140" s="40">
        <f t="shared" si="27"/>
        <v>1.5419842895733364</v>
      </c>
      <c r="C140" s="40">
        <f t="shared" si="27"/>
        <v>1.0437674278821563</v>
      </c>
      <c r="D140" s="40">
        <f t="shared" si="27"/>
        <v>0.99085294346889352</v>
      </c>
      <c r="E140" s="40">
        <f t="shared" si="27"/>
        <v>1.0684561019805763</v>
      </c>
      <c r="F140" s="40">
        <f t="shared" si="27"/>
        <v>1.0155641899478538</v>
      </c>
      <c r="G140" s="40">
        <f t="shared" si="27"/>
        <v>0.99091988326305591</v>
      </c>
      <c r="H140" s="40">
        <f t="shared" si="27"/>
        <v>1.0110093969549367</v>
      </c>
      <c r="I140" s="40">
        <f t="shared" si="27"/>
        <v>0.95145606610237787</v>
      </c>
      <c r="J140" s="40">
        <f t="shared" si="27"/>
        <v>1.0033095925229687</v>
      </c>
      <c r="K140" s="40">
        <f t="shared" si="27"/>
        <v>0.98614556394152098</v>
      </c>
      <c r="L140" s="40">
        <f t="shared" si="27"/>
        <v>0.9991252485842631</v>
      </c>
      <c r="M140" s="40">
        <f t="shared" si="27"/>
        <v>0.99277011648145674</v>
      </c>
    </row>
    <row r="141" spans="1:18" x14ac:dyDescent="0.2">
      <c r="A141" s="18">
        <f t="shared" si="28"/>
        <v>1984</v>
      </c>
      <c r="B141" s="40">
        <f t="shared" si="27"/>
        <v>1.2186846625766872</v>
      </c>
      <c r="C141" s="40">
        <f t="shared" si="27"/>
        <v>1.1751985706385173</v>
      </c>
      <c r="D141" s="40">
        <f t="shared" si="27"/>
        <v>1.0694609697618274</v>
      </c>
      <c r="E141" s="40">
        <f t="shared" si="27"/>
        <v>1.039211755878938</v>
      </c>
      <c r="F141" s="40">
        <f t="shared" si="27"/>
        <v>1.089118018997048</v>
      </c>
      <c r="G141" s="40">
        <f t="shared" si="27"/>
        <v>1.0022830807189236</v>
      </c>
      <c r="H141" s="40">
        <f t="shared" si="27"/>
        <v>0.98059092077046639</v>
      </c>
      <c r="I141" s="40">
        <f t="shared" si="27"/>
        <v>1.0149061285091918</v>
      </c>
      <c r="J141" s="40">
        <f t="shared" si="27"/>
        <v>0.981077959576516</v>
      </c>
      <c r="K141" s="40">
        <f t="shared" si="27"/>
        <v>1.0096925461573174</v>
      </c>
      <c r="L141" s="40">
        <f t="shared" si="27"/>
        <v>0.99822955303234651</v>
      </c>
    </row>
    <row r="142" spans="1:18" x14ac:dyDescent="0.2">
      <c r="A142" s="18">
        <f t="shared" si="28"/>
        <v>1985</v>
      </c>
      <c r="B142" s="40">
        <f t="shared" si="27"/>
        <v>1.7187491182408603</v>
      </c>
      <c r="C142" s="40">
        <f t="shared" si="27"/>
        <v>1.3615356987777933</v>
      </c>
      <c r="D142" s="40">
        <f t="shared" si="27"/>
        <v>1.0379220520614134</v>
      </c>
      <c r="E142" s="40">
        <f t="shared" si="27"/>
        <v>1.0500146681277926</v>
      </c>
      <c r="F142" s="40">
        <f t="shared" si="27"/>
        <v>1.0053205215604697</v>
      </c>
      <c r="G142" s="40">
        <f t="shared" si="27"/>
        <v>0.98865637047601496</v>
      </c>
      <c r="H142" s="40">
        <f t="shared" si="27"/>
        <v>1.0075219900922294</v>
      </c>
      <c r="I142" s="40">
        <f t="shared" si="27"/>
        <v>0.99192039491799</v>
      </c>
      <c r="J142" s="40">
        <f t="shared" si="27"/>
        <v>1.0174150799320147</v>
      </c>
      <c r="K142" s="40">
        <f t="shared" si="27"/>
        <v>1.0249085051211115</v>
      </c>
      <c r="L142" s="41"/>
    </row>
    <row r="143" spans="1:18" x14ac:dyDescent="0.2">
      <c r="A143" s="18">
        <f t="shared" si="28"/>
        <v>1986</v>
      </c>
      <c r="B143" s="40">
        <f t="shared" si="27"/>
        <v>1.5907465069535094</v>
      </c>
      <c r="C143" s="40">
        <f t="shared" si="27"/>
        <v>1.2547804042417559</v>
      </c>
      <c r="D143" s="40">
        <f t="shared" si="27"/>
        <v>1.0505829248376921</v>
      </c>
      <c r="E143" s="40">
        <f t="shared" si="27"/>
        <v>1.0778117846369868</v>
      </c>
      <c r="F143" s="40">
        <f t="shared" si="27"/>
        <v>1.0728642778350783</v>
      </c>
      <c r="G143" s="40">
        <f t="shared" si="27"/>
        <v>1.0150826396596471</v>
      </c>
      <c r="H143" s="40">
        <f t="shared" si="27"/>
        <v>0.98783249589040556</v>
      </c>
      <c r="I143" s="40">
        <f t="shared" si="27"/>
        <v>0.99769989207077769</v>
      </c>
      <c r="J143" s="40">
        <f t="shared" si="27"/>
        <v>0.97874170286898798</v>
      </c>
      <c r="K143" s="41"/>
      <c r="L143" s="41"/>
    </row>
    <row r="144" spans="1:18" x14ac:dyDescent="0.2">
      <c r="A144" s="18">
        <f t="shared" si="28"/>
        <v>1987</v>
      </c>
      <c r="B144" s="40">
        <f t="shared" si="27"/>
        <v>1.4289469748392221</v>
      </c>
      <c r="C144" s="40">
        <f t="shared" si="27"/>
        <v>1.2408658044391538</v>
      </c>
      <c r="D144" s="40">
        <f t="shared" si="27"/>
        <v>1.1763097731580203</v>
      </c>
      <c r="E144" s="40">
        <f t="shared" si="27"/>
        <v>1.0750518620196368</v>
      </c>
      <c r="F144" s="40">
        <f t="shared" si="27"/>
        <v>1.1381017088252532</v>
      </c>
      <c r="G144" s="40">
        <f t="shared" si="27"/>
        <v>1.072471671180687</v>
      </c>
      <c r="H144" s="40">
        <f t="shared" si="27"/>
        <v>1.0171766341509081</v>
      </c>
      <c r="I144" s="40">
        <f t="shared" si="27"/>
        <v>0.99074177856486356</v>
      </c>
      <c r="J144" s="41"/>
      <c r="K144" s="41"/>
      <c r="L144" s="41"/>
    </row>
    <row r="145" spans="1:18" x14ac:dyDescent="0.2">
      <c r="A145" s="18">
        <f t="shared" si="28"/>
        <v>1988</v>
      </c>
      <c r="B145" s="40">
        <f t="shared" si="27"/>
        <v>1.4925736170884827</v>
      </c>
      <c r="C145" s="40">
        <f t="shared" si="27"/>
        <v>1.3409713757731772</v>
      </c>
      <c r="D145" s="40">
        <f t="shared" si="27"/>
        <v>1.2142562693477994</v>
      </c>
      <c r="E145" s="40">
        <f t="shared" si="27"/>
        <v>1.0813959749456636</v>
      </c>
      <c r="F145" s="40">
        <f t="shared" si="27"/>
        <v>1.0152717269090494</v>
      </c>
      <c r="G145" s="40">
        <f t="shared" si="27"/>
        <v>1.0611230630506785</v>
      </c>
      <c r="H145" s="40">
        <f t="shared" si="27"/>
        <v>1.0182230623818527</v>
      </c>
      <c r="I145" s="41"/>
      <c r="J145" s="41"/>
      <c r="K145" s="41"/>
      <c r="L145" s="41"/>
    </row>
    <row r="146" spans="1:18" x14ac:dyDescent="0.2">
      <c r="A146" s="18">
        <f t="shared" si="28"/>
        <v>1989</v>
      </c>
      <c r="B146" s="40">
        <f t="shared" si="27"/>
        <v>1.3766940296188792</v>
      </c>
      <c r="C146" s="40">
        <f t="shared" si="27"/>
        <v>1.5899517329715351</v>
      </c>
      <c r="D146" s="40">
        <f t="shared" si="27"/>
        <v>1.1884456963320909</v>
      </c>
      <c r="E146" s="40">
        <f t="shared" si="27"/>
        <v>1.1611100009374207</v>
      </c>
      <c r="F146" s="40">
        <f t="shared" si="27"/>
        <v>0.97976757061725295</v>
      </c>
      <c r="G146" s="40">
        <f t="shared" si="27"/>
        <v>0.99772450313517824</v>
      </c>
      <c r="H146" s="41"/>
      <c r="I146" s="41"/>
      <c r="J146" s="41"/>
      <c r="K146" s="41"/>
      <c r="L146" s="41"/>
    </row>
    <row r="147" spans="1:18" x14ac:dyDescent="0.2">
      <c r="A147" s="18">
        <f t="shared" si="28"/>
        <v>1990</v>
      </c>
      <c r="B147" s="40">
        <f>C119/B119</f>
        <v>1.8288005491422374</v>
      </c>
      <c r="C147" s="40">
        <f>D119/C119</f>
        <v>1.3439873178703359</v>
      </c>
      <c r="D147" s="40">
        <f>E119/D119</f>
        <v>1.2819070305712348</v>
      </c>
      <c r="E147" s="40">
        <f>F119/E119</f>
        <v>1.0815173323491383</v>
      </c>
      <c r="F147" s="40">
        <f>G119/F119</f>
        <v>1.044008157745921</v>
      </c>
      <c r="G147" s="41"/>
      <c r="H147" s="41"/>
      <c r="I147" s="41"/>
      <c r="J147" s="41"/>
      <c r="K147" s="41"/>
      <c r="L147" s="41"/>
    </row>
    <row r="148" spans="1:18" x14ac:dyDescent="0.2">
      <c r="A148" s="18">
        <f t="shared" si="28"/>
        <v>1991</v>
      </c>
      <c r="B148" s="40">
        <f>C120/B120</f>
        <v>1.3413294415255885</v>
      </c>
      <c r="C148" s="40">
        <f>D120/C120</f>
        <v>1.2753823489527991</v>
      </c>
      <c r="D148" s="40">
        <f>E120/D120</f>
        <v>1.1336003084470212</v>
      </c>
      <c r="E148" s="40">
        <f>F120/E120</f>
        <v>1.0548494281332608</v>
      </c>
      <c r="F148" s="41"/>
      <c r="G148" s="41"/>
      <c r="H148" s="41"/>
      <c r="I148" s="41"/>
      <c r="J148" s="41"/>
      <c r="K148" s="41"/>
      <c r="L148" s="41"/>
    </row>
    <row r="149" spans="1:18" x14ac:dyDescent="0.2">
      <c r="A149" s="18">
        <f t="shared" si="28"/>
        <v>1992</v>
      </c>
      <c r="B149" s="40">
        <f>C121/B121</f>
        <v>1.7630005190078217</v>
      </c>
      <c r="C149" s="40">
        <f>D121/C121</f>
        <v>1.2370686621401705</v>
      </c>
      <c r="D149" s="40">
        <f>E121/D121</f>
        <v>1.175292477279662</v>
      </c>
      <c r="E149" s="41"/>
      <c r="F149" s="41"/>
      <c r="G149" s="41"/>
      <c r="H149" s="41"/>
      <c r="I149" s="41"/>
      <c r="J149" s="41"/>
      <c r="K149" s="41"/>
      <c r="L149" s="41"/>
    </row>
    <row r="150" spans="1:18" x14ac:dyDescent="0.2">
      <c r="A150" s="18">
        <f t="shared" si="28"/>
        <v>1993</v>
      </c>
      <c r="B150" s="40">
        <f>C122/B122</f>
        <v>1.4085772366296876</v>
      </c>
      <c r="C150" s="40">
        <f>D122/C122</f>
        <v>1.2029726712337694</v>
      </c>
      <c r="D150" s="41"/>
      <c r="E150" s="41"/>
      <c r="F150" s="41"/>
      <c r="G150" s="41"/>
      <c r="H150" s="41"/>
      <c r="I150" s="41"/>
      <c r="J150" s="41"/>
      <c r="K150" s="41"/>
      <c r="L150" s="41"/>
    </row>
    <row r="151" spans="1:18" x14ac:dyDescent="0.2">
      <c r="A151" s="18">
        <f t="shared" si="28"/>
        <v>1994</v>
      </c>
      <c r="B151" s="40">
        <f>C123/B123</f>
        <v>1.4901360917468238</v>
      </c>
      <c r="C151" s="40"/>
      <c r="D151" s="41"/>
      <c r="E151" s="41"/>
      <c r="F151" s="41"/>
      <c r="G151" s="41"/>
      <c r="H151" s="41"/>
      <c r="I151" s="41"/>
      <c r="J151" s="41"/>
      <c r="K151" s="41"/>
      <c r="L151" s="41"/>
    </row>
    <row r="152" spans="1:18" x14ac:dyDescent="0.2">
      <c r="A152" s="18"/>
      <c r="B152" s="40"/>
      <c r="C152" s="40"/>
      <c r="D152" s="41"/>
      <c r="E152" s="41"/>
      <c r="F152" s="41"/>
      <c r="G152" s="41"/>
      <c r="H152" s="41"/>
      <c r="I152" s="41"/>
      <c r="J152" s="41"/>
      <c r="K152" s="41"/>
      <c r="L152" s="41"/>
    </row>
    <row r="153" spans="1:18" x14ac:dyDescent="0.2">
      <c r="A153" s="18"/>
    </row>
    <row r="154" spans="1:18" x14ac:dyDescent="0.2">
      <c r="A154" s="25" t="s">
        <v>236</v>
      </c>
    </row>
    <row r="155" spans="1:18" x14ac:dyDescent="0.2">
      <c r="A155" s="25" t="s">
        <v>237</v>
      </c>
    </row>
    <row r="157" spans="1:18" x14ac:dyDescent="0.2">
      <c r="A157" s="25" t="s">
        <v>238</v>
      </c>
      <c r="B157" s="42">
        <f>SUM(C107:C123)/SUM(B107:B123)</f>
        <v>1.4447805439319004</v>
      </c>
      <c r="C157" s="42">
        <f>SUM(D107:D122)/SUM(C107:C122)</f>
        <v>1.2269209940824739</v>
      </c>
      <c r="D157" s="42">
        <f>SUM(E107:E121)/SUM(D107:D121)</f>
        <v>1.1121878023475176</v>
      </c>
      <c r="E157" s="42">
        <f>SUM(F107:F120)/SUM(E107:E120)</f>
        <v>1.055615508797596</v>
      </c>
      <c r="F157" s="42">
        <f>SUM(G107:G119)/SUM(F107:F119)</f>
        <v>1.0409725771051459</v>
      </c>
      <c r="G157" s="42">
        <f>SUM(H107:H118)/SUM(G107:G118)</f>
        <v>1.0132949465652819</v>
      </c>
      <c r="H157" s="42">
        <f>SUM(I107:I117)/SUM(H107:H117)</f>
        <v>0.99814695873874826</v>
      </c>
      <c r="I157" s="42">
        <f>SUM(J107:J116)/SUM(I107:I116)</f>
        <v>0.98758742550329859</v>
      </c>
      <c r="J157" s="42">
        <f>SUM(K107:K115)/SUM(J107:J115)</f>
        <v>0.99574179469430579</v>
      </c>
      <c r="K157" s="42">
        <f>SUM(L107:L114)/SUM(K107:K114)</f>
        <v>0.99493575698910364</v>
      </c>
      <c r="L157" s="42">
        <f>SUM(M107:M113)/SUM(L107:L113)</f>
        <v>0.99338577183994992</v>
      </c>
      <c r="M157" s="42">
        <f>SUM(N107:N112)/SUM(M107:M112)</f>
        <v>0.99398706489949296</v>
      </c>
      <c r="N157" s="42">
        <f>SUM(O107:O111)/SUM(N107:N111)</f>
        <v>0.99847205386000215</v>
      </c>
      <c r="O157" s="42">
        <f>SUM(P107:P110)/SUM(O107:O110)</f>
        <v>0.99711692297267418</v>
      </c>
      <c r="P157" s="42">
        <f>SUM(Q107:Q109)/SUM(P107:P109)</f>
        <v>1.0008183771918733</v>
      </c>
      <c r="Q157" s="42">
        <f>SUM(R107:R108)/SUM(Q107:Q108)</f>
        <v>1.0037177029473385</v>
      </c>
      <c r="R157" s="42">
        <f>SUM(S107)/SUM(R107)</f>
        <v>0.99309833892224908</v>
      </c>
    </row>
    <row r="158" spans="1:18" x14ac:dyDescent="0.2">
      <c r="A158" s="18"/>
      <c r="B158" s="40"/>
    </row>
    <row r="159" spans="1:18" x14ac:dyDescent="0.2">
      <c r="A159" s="25" t="s">
        <v>239</v>
      </c>
    </row>
    <row r="160" spans="1:18" x14ac:dyDescent="0.2">
      <c r="A160" s="25" t="s">
        <v>240</v>
      </c>
      <c r="B160" s="43">
        <f>SUM(C118:C123)/SUM(B118:B123)</f>
        <v>1.5209285797291969</v>
      </c>
      <c r="C160" s="43">
        <f>SUM(D117:D122)/SUM(C117:C122)</f>
        <v>1.3179844490728956</v>
      </c>
      <c r="D160" s="43">
        <f>SUM(E116:E121)/SUM(D116:D121)</f>
        <v>1.1953786250141645</v>
      </c>
      <c r="E160" s="43">
        <f>SUM(F115:F120)/SUM(E115:E120)</f>
        <v>1.0892270303936633</v>
      </c>
      <c r="F160" s="43">
        <f>SUM(G114:G119)/SUM(F114:F119)</f>
        <v>1.0401246701671292</v>
      </c>
      <c r="G160" s="43">
        <f>SUM(H113:H118)/SUM(G113:G118)</f>
        <v>1.021944354445685</v>
      </c>
      <c r="H160" s="43">
        <f>SUM(I112:I117)/SUM(H112:H117)</f>
        <v>1.0030741568153487</v>
      </c>
      <c r="I160" s="43">
        <f>SUM(J111:J116)/SUM(I111:I116)</f>
        <v>0.99136156873172521</v>
      </c>
      <c r="J160" s="43">
        <f>SUM(K110:K115)/SUM(J110:J115)</f>
        <v>0.99301767671578323</v>
      </c>
      <c r="K160" s="43">
        <f>SUM(L109:L114)/SUM(K109:K114)</f>
        <v>0.99736039849544278</v>
      </c>
      <c r="L160" s="43">
        <f>SUM(M108:M113)/SUM(L108:L113)</f>
        <v>0.99398918192577845</v>
      </c>
      <c r="M160" s="43">
        <f>SUM(N107:N112)/SUM(M107:M112)</f>
        <v>0.99398706489949296</v>
      </c>
      <c r="N160" s="40"/>
      <c r="O160" s="40"/>
      <c r="P160" s="40"/>
      <c r="Q160" s="40"/>
      <c r="R160" s="40"/>
    </row>
    <row r="161" spans="1:23" x14ac:dyDescent="0.2">
      <c r="A161" s="25" t="s">
        <v>241</v>
      </c>
    </row>
    <row r="162" spans="1:23" x14ac:dyDescent="0.2">
      <c r="A162" s="18"/>
      <c r="B162" s="18"/>
      <c r="C162" s="18"/>
      <c r="D162" s="18"/>
      <c r="E162" s="18"/>
      <c r="F162" s="18"/>
      <c r="G162" s="18"/>
      <c r="H162" s="18"/>
      <c r="I162" s="18"/>
      <c r="J162" s="18"/>
      <c r="K162" s="18"/>
      <c r="L162" s="18"/>
      <c r="M162" s="18"/>
      <c r="N162" s="18"/>
      <c r="O162" s="18"/>
      <c r="P162" s="18"/>
      <c r="Q162" s="18"/>
      <c r="R162" s="18"/>
    </row>
    <row r="163" spans="1:23" x14ac:dyDescent="0.2">
      <c r="A163" s="25" t="s">
        <v>242</v>
      </c>
      <c r="B163" s="44">
        <f>SUM(C121:C123)/SUM(B121:B123)</f>
        <v>1.5450757014467438</v>
      </c>
      <c r="C163" s="44">
        <f>SUM(D120:D122)/SUM(C120:C122)</f>
        <v>1.2377428172823226</v>
      </c>
      <c r="D163" s="44">
        <f>SUM(E119:E121)/SUM(D119:D121)</f>
        <v>1.1977489946779605</v>
      </c>
      <c r="E163" s="44">
        <f>SUM(F118:F120)/SUM(E118:E120)</f>
        <v>1.0983465130791452</v>
      </c>
      <c r="F163" s="44">
        <f>SUM(G117:G119)/SUM(F117:F119)</f>
        <v>1.0138295960399994</v>
      </c>
      <c r="G163" s="44">
        <f>SUM(H116:H118)/SUM(G116:G118)</f>
        <v>1.0417010347659652</v>
      </c>
      <c r="H163" s="44">
        <f>SUM(I115:I117)/SUM(H115:H117)</f>
        <v>1.0077599653291598</v>
      </c>
      <c r="I163" s="44">
        <f>SUM(J114:J116)/SUM(I114:I116)</f>
        <v>0.99340662334957353</v>
      </c>
      <c r="J163" s="44">
        <f>SUM(K113:K115)/SUM(J113:J115)</f>
        <v>0.99126531172573007</v>
      </c>
      <c r="K163" s="44">
        <f>SUM(L112:L114)/SUM(K112:K114)</f>
        <v>1.0078086505142063</v>
      </c>
      <c r="L163" s="44">
        <f>SUM(M111:M113)/SUM(L111:L113)</f>
        <v>1.0010381114009663</v>
      </c>
      <c r="M163" s="44">
        <f>SUM(N110:N112)/SUM(M110:M112)</f>
        <v>0.99408441552936921</v>
      </c>
      <c r="N163" s="44">
        <f>SUM(O109:O111)/SUM(N109:N111)</f>
        <v>1.0047298916034948</v>
      </c>
      <c r="O163" s="44">
        <f>SUM(P108:P110)/SUM(O108:O110)</f>
        <v>0.99660239926397998</v>
      </c>
      <c r="P163" s="44">
        <f>SUM(Q107:Q109)/SUM(P107:P109)</f>
        <v>1.0008183771918733</v>
      </c>
      <c r="Q163" s="40"/>
      <c r="R163" s="40"/>
    </row>
    <row r="164" spans="1:23" x14ac:dyDescent="0.2">
      <c r="A164" s="18"/>
      <c r="B164" s="18"/>
      <c r="C164" s="18"/>
      <c r="D164" s="18"/>
      <c r="E164" s="18"/>
      <c r="F164" s="18"/>
      <c r="G164" s="18"/>
      <c r="H164" s="18"/>
      <c r="I164" s="18"/>
      <c r="J164" s="18"/>
      <c r="K164" s="18"/>
      <c r="L164" s="18"/>
      <c r="M164" s="18"/>
      <c r="N164" s="18"/>
      <c r="O164" s="18"/>
      <c r="P164" s="18"/>
      <c r="Q164" s="18"/>
      <c r="R164" s="18"/>
    </row>
    <row r="165" spans="1:23" x14ac:dyDescent="0.2">
      <c r="A165" s="25" t="s">
        <v>243</v>
      </c>
      <c r="B165" s="18"/>
      <c r="C165" s="18"/>
      <c r="D165" s="18"/>
      <c r="E165" s="18"/>
      <c r="F165" s="18"/>
      <c r="G165" s="18"/>
      <c r="H165" s="18"/>
      <c r="I165" s="18"/>
      <c r="J165" s="18"/>
      <c r="K165" s="18"/>
      <c r="L165" s="18"/>
      <c r="M165" s="18"/>
      <c r="N165" s="18"/>
      <c r="O165" s="18"/>
      <c r="P165" s="18"/>
      <c r="Q165" s="18"/>
      <c r="R165" s="18"/>
    </row>
    <row r="166" spans="1:23" x14ac:dyDescent="0.2">
      <c r="A166" s="25" t="s">
        <v>244</v>
      </c>
      <c r="B166" s="43">
        <f>B160</f>
        <v>1.5209285797291969</v>
      </c>
      <c r="C166" s="43">
        <f t="shared" ref="C166:H166" si="29">C160</f>
        <v>1.3179844490728956</v>
      </c>
      <c r="D166" s="43">
        <f t="shared" si="29"/>
        <v>1.1953786250141645</v>
      </c>
      <c r="E166" s="43">
        <f t="shared" si="29"/>
        <v>1.0892270303936633</v>
      </c>
      <c r="F166" s="43">
        <f t="shared" si="29"/>
        <v>1.0401246701671292</v>
      </c>
      <c r="G166" s="43">
        <f t="shared" si="29"/>
        <v>1.021944354445685</v>
      </c>
      <c r="H166" s="43">
        <f t="shared" si="29"/>
        <v>1.0030741568153487</v>
      </c>
      <c r="I166" s="44">
        <f>I163</f>
        <v>0.99340662334957353</v>
      </c>
      <c r="J166" s="44">
        <f t="shared" ref="J166:P166" si="30">J163</f>
        <v>0.99126531172573007</v>
      </c>
      <c r="K166" s="44">
        <f t="shared" si="30"/>
        <v>1.0078086505142063</v>
      </c>
      <c r="L166" s="44">
        <f t="shared" si="30"/>
        <v>1.0010381114009663</v>
      </c>
      <c r="M166" s="44">
        <f t="shared" si="30"/>
        <v>0.99408441552936921</v>
      </c>
      <c r="N166" s="44">
        <f t="shared" si="30"/>
        <v>1.0047298916034948</v>
      </c>
      <c r="O166" s="44">
        <f t="shared" si="30"/>
        <v>0.99660239926397998</v>
      </c>
      <c r="P166" s="44">
        <f t="shared" si="30"/>
        <v>1.0008183771918733</v>
      </c>
      <c r="Q166" s="42">
        <f t="shared" ref="Q166:R166" si="31">Q157</f>
        <v>1.0037177029473385</v>
      </c>
      <c r="R166" s="42">
        <f t="shared" si="31"/>
        <v>0.99309833892224908</v>
      </c>
      <c r="S166" s="45" t="s">
        <v>245</v>
      </c>
      <c r="T166" s="45"/>
      <c r="U166" s="45"/>
      <c r="V166" s="45"/>
      <c r="W166" s="45"/>
    </row>
    <row r="167" spans="1:23" x14ac:dyDescent="0.2">
      <c r="A167" s="18"/>
      <c r="B167" s="18"/>
      <c r="C167" s="18"/>
      <c r="D167" s="18"/>
      <c r="E167" s="18"/>
      <c r="F167" s="18"/>
      <c r="G167" s="18"/>
      <c r="H167" s="18"/>
      <c r="I167" s="18"/>
      <c r="J167" s="18"/>
      <c r="K167" s="18"/>
      <c r="L167" s="18"/>
      <c r="M167" s="18"/>
      <c r="N167" s="18"/>
      <c r="O167" s="18"/>
      <c r="P167" s="18"/>
      <c r="Q167" s="18"/>
      <c r="R167" s="18"/>
    </row>
    <row r="168" spans="1:23" x14ac:dyDescent="0.2">
      <c r="A168" s="25"/>
      <c r="B168" s="18"/>
      <c r="C168" s="18"/>
      <c r="D168" s="18"/>
      <c r="E168" s="18"/>
      <c r="F168" s="18"/>
      <c r="G168" s="18"/>
      <c r="H168" s="18"/>
      <c r="I168" s="18"/>
      <c r="J168" s="18"/>
      <c r="K168" s="18"/>
      <c r="L168" s="18"/>
      <c r="M168" s="18"/>
      <c r="N168" s="18"/>
      <c r="O168" s="18"/>
      <c r="P168" s="18"/>
      <c r="Q168" s="18"/>
      <c r="R168" s="18"/>
    </row>
    <row r="169" spans="1:23" x14ac:dyDescent="0.2">
      <c r="A169" s="25" t="s">
        <v>246</v>
      </c>
      <c r="B169" s="40">
        <f>PRODUCT(B166:$R166)</f>
        <v>2.7452883817814859</v>
      </c>
      <c r="C169" s="40">
        <f>PRODUCT(C166:$R166)</f>
        <v>1.8050080841207468</v>
      </c>
      <c r="D169" s="40">
        <f>PRODUCT(D166:$R166)</f>
        <v>1.3695215337255582</v>
      </c>
      <c r="E169" s="40">
        <f>PRODUCT(E166:$R166)</f>
        <v>1.1456801260013583</v>
      </c>
      <c r="F169" s="40">
        <f>PRODUCT(F166:$R166)</f>
        <v>1.0518285848885811</v>
      </c>
      <c r="G169" s="40">
        <f>PRODUCT(G166:$R166)</f>
        <v>1.011252415270153</v>
      </c>
      <c r="H169" s="40">
        <f>PRODUCT(H166:$R166)</f>
        <v>0.98953765033387642</v>
      </c>
      <c r="I169" s="40">
        <f>PRODUCT(I166:$R166)</f>
        <v>0.98650497932829873</v>
      </c>
      <c r="J169" s="40">
        <f>PRODUCT(J166:$R166)</f>
        <v>0.99305254881631067</v>
      </c>
      <c r="K169" s="40">
        <f>PRODUCT(K166:$R166)</f>
        <v>1.0018029856078281</v>
      </c>
      <c r="L169" s="40">
        <f>PRODUCT(L166:$R166)</f>
        <v>0.99404086787376367</v>
      </c>
      <c r="M169" s="40">
        <f>PRODUCT(M166:$R166)</f>
        <v>0.99301001285814183</v>
      </c>
      <c r="N169" s="40">
        <f>PRODUCT(N166:$R166)</f>
        <v>0.998919203787482</v>
      </c>
      <c r="O169" s="40">
        <f>PRODUCT(O166:$R166)</f>
        <v>0.99421666672349196</v>
      </c>
      <c r="P169" s="40">
        <f>PRODUCT(P166:$R166)</f>
        <v>0.99760613405882814</v>
      </c>
      <c r="Q169" s="40">
        <f>PRODUCT(Q166:$R166)</f>
        <v>0.99679038354385729</v>
      </c>
      <c r="R169" s="40">
        <f>PRODUCT(R166:$R166)</f>
        <v>0.99309833892224908</v>
      </c>
    </row>
    <row r="170" spans="1:23" x14ac:dyDescent="0.2">
      <c r="A170" s="46" t="s">
        <v>247</v>
      </c>
    </row>
    <row r="171" spans="1:23" x14ac:dyDescent="0.2">
      <c r="A171" s="17" t="s">
        <v>248</v>
      </c>
      <c r="B171" s="47">
        <f>1/B169</f>
        <v>0.36426045680165486</v>
      </c>
      <c r="C171" s="47">
        <f t="shared" ref="C171:R171" si="32">1/C169</f>
        <v>0.55401413921484943</v>
      </c>
      <c r="D171" s="47">
        <f t="shared" si="32"/>
        <v>0.73018202005167776</v>
      </c>
      <c r="E171" s="47">
        <f t="shared" si="32"/>
        <v>0.87284397913943956</v>
      </c>
      <c r="F171" s="47">
        <f t="shared" si="32"/>
        <v>0.95072525539504016</v>
      </c>
      <c r="G171" s="47">
        <f t="shared" si="32"/>
        <v>0.98887279268732631</v>
      </c>
      <c r="H171" s="47">
        <f t="shared" si="32"/>
        <v>1.010572967751751</v>
      </c>
      <c r="I171" s="47">
        <f t="shared" si="32"/>
        <v>1.0136796275279725</v>
      </c>
      <c r="J171" s="47">
        <f t="shared" si="32"/>
        <v>1.0069960559408164</v>
      </c>
      <c r="K171" s="47">
        <f t="shared" si="32"/>
        <v>0.99820025929875411</v>
      </c>
      <c r="L171" s="47">
        <f t="shared" si="32"/>
        <v>1.005994856266808</v>
      </c>
      <c r="M171" s="47">
        <f t="shared" si="32"/>
        <v>1.0070391909964123</v>
      </c>
      <c r="N171" s="47">
        <f t="shared" si="32"/>
        <v>1.001081965596837</v>
      </c>
      <c r="O171" s="47">
        <f t="shared" si="32"/>
        <v>1.0058169747803236</v>
      </c>
      <c r="P171" s="47">
        <f t="shared" si="32"/>
        <v>1.0023996102865089</v>
      </c>
      <c r="Q171" s="47">
        <f t="shared" si="32"/>
        <v>1.00321995126471</v>
      </c>
      <c r="R171" s="47">
        <f t="shared" si="32"/>
        <v>1.0069496250343555</v>
      </c>
    </row>
    <row r="174" spans="1:23" x14ac:dyDescent="0.2">
      <c r="E174" s="23" t="s">
        <v>249</v>
      </c>
      <c r="F174" s="21"/>
    </row>
    <row r="175" spans="1:23" x14ac:dyDescent="0.2">
      <c r="E175" s="19" t="s">
        <v>250</v>
      </c>
      <c r="F175" s="19" t="s">
        <v>251</v>
      </c>
      <c r="H175" s="22" t="s">
        <v>252</v>
      </c>
      <c r="I175" s="19" t="s">
        <v>253</v>
      </c>
      <c r="K175" s="19" t="s">
        <v>254</v>
      </c>
      <c r="L175" s="19" t="s">
        <v>254</v>
      </c>
      <c r="M175" s="19" t="s">
        <v>255</v>
      </c>
      <c r="N175" s="19"/>
      <c r="O175" s="19"/>
    </row>
    <row r="176" spans="1:23" x14ac:dyDescent="0.2">
      <c r="A176" s="19" t="s">
        <v>216</v>
      </c>
      <c r="B176" s="48" t="s">
        <v>256</v>
      </c>
      <c r="C176" s="48" t="s">
        <v>257</v>
      </c>
      <c r="D176" s="48" t="s">
        <v>258</v>
      </c>
      <c r="E176" s="23" t="s">
        <v>259</v>
      </c>
      <c r="F176" s="23" t="s">
        <v>260</v>
      </c>
      <c r="H176" s="19" t="s">
        <v>261</v>
      </c>
      <c r="I176" s="19" t="s">
        <v>262</v>
      </c>
      <c r="K176" s="23" t="s">
        <v>263</v>
      </c>
      <c r="L176" s="23" t="s">
        <v>264</v>
      </c>
      <c r="M176" s="23" t="s">
        <v>265</v>
      </c>
      <c r="N176" s="19"/>
      <c r="O176" s="19"/>
    </row>
    <row r="177" spans="1:15" x14ac:dyDescent="0.2">
      <c r="A177" s="23" t="s">
        <v>218</v>
      </c>
      <c r="B177" s="19" t="s">
        <v>266</v>
      </c>
      <c r="C177" s="19" t="s">
        <v>267</v>
      </c>
      <c r="D177" s="19" t="s">
        <v>219</v>
      </c>
      <c r="E177" s="19" t="s">
        <v>219</v>
      </c>
      <c r="F177" s="19" t="s">
        <v>219</v>
      </c>
      <c r="H177" s="49" t="s">
        <v>219</v>
      </c>
      <c r="I177" s="49"/>
      <c r="K177" s="19" t="s">
        <v>219</v>
      </c>
      <c r="L177" s="19" t="s">
        <v>219</v>
      </c>
      <c r="M177" s="19" t="s">
        <v>219</v>
      </c>
      <c r="N177" s="19"/>
    </row>
    <row r="178" spans="1:15" x14ac:dyDescent="0.2">
      <c r="L178" s="50"/>
    </row>
    <row r="179" spans="1:15" x14ac:dyDescent="0.2">
      <c r="A179" s="18">
        <f>A107</f>
        <v>1978</v>
      </c>
      <c r="B179" s="51">
        <f>S107</f>
        <v>41.674242703114082</v>
      </c>
      <c r="C179" s="32">
        <f>P57</f>
        <v>611.14487865899105</v>
      </c>
      <c r="D179" s="52">
        <f>B179*C179</f>
        <v>25469</v>
      </c>
      <c r="E179" s="53">
        <v>25469.405999999995</v>
      </c>
      <c r="F179" s="52">
        <f>D179-E179</f>
        <v>-0.40599999999540159</v>
      </c>
      <c r="H179" s="54">
        <v>-0.40599999999540159</v>
      </c>
      <c r="I179" s="55">
        <f>H179/F179</f>
        <v>1</v>
      </c>
      <c r="K179" s="54">
        <v>28.434239916292427</v>
      </c>
      <c r="L179" s="54">
        <v>18.26974680575222</v>
      </c>
      <c r="M179" s="54">
        <v>0</v>
      </c>
      <c r="N179" s="54"/>
      <c r="O179" s="55"/>
    </row>
    <row r="180" spans="1:15" x14ac:dyDescent="0.2">
      <c r="A180" s="18">
        <f t="shared" ref="A180:A196" si="33">A108</f>
        <v>1979</v>
      </c>
      <c r="B180" s="56">
        <f>R108/R171</f>
        <v>33.526842272006888</v>
      </c>
      <c r="C180" s="32">
        <f t="shared" ref="C180:C196" si="34">P58</f>
        <v>592.15325834520638</v>
      </c>
      <c r="D180" s="52">
        <f t="shared" ref="D180:D196" si="35">B180*C180</f>
        <v>19853.028893394679</v>
      </c>
      <c r="E180" s="53">
        <v>19836.829000000005</v>
      </c>
      <c r="F180" s="52">
        <f t="shared" ref="F180:F196" si="36">D180-E180</f>
        <v>16.199893394674291</v>
      </c>
      <c r="H180" s="54">
        <v>154.17099999999482</v>
      </c>
      <c r="I180" s="55">
        <f t="shared" ref="I180:I198" si="37">H180/F180</f>
        <v>9.5167910210247726</v>
      </c>
      <c r="K180" s="54">
        <v>37.405836345264106</v>
      </c>
      <c r="L180" s="54">
        <v>37.090036274461454</v>
      </c>
      <c r="M180" s="54">
        <v>13.892495537419666</v>
      </c>
      <c r="N180" s="54"/>
      <c r="O180" s="55"/>
    </row>
    <row r="181" spans="1:15" x14ac:dyDescent="0.2">
      <c r="A181" s="18">
        <f t="shared" si="33"/>
        <v>1980</v>
      </c>
      <c r="B181" s="56">
        <f>Q109/Q171</f>
        <v>41.150842674464322</v>
      </c>
      <c r="C181" s="32">
        <f t="shared" si="34"/>
        <v>779.20039964907482</v>
      </c>
      <c r="D181" s="52">
        <f t="shared" si="35"/>
        <v>32064.753057838803</v>
      </c>
      <c r="E181" s="53">
        <v>31992.917999999998</v>
      </c>
      <c r="F181" s="52">
        <f t="shared" si="36"/>
        <v>71.835057838805369</v>
      </c>
      <c r="H181" s="54">
        <v>182.4368118111488</v>
      </c>
      <c r="I181" s="55">
        <f t="shared" si="37"/>
        <v>2.5396626285250412</v>
      </c>
      <c r="K181" s="54">
        <v>101.91092869063505</v>
      </c>
      <c r="L181" s="54">
        <v>92.717548743104999</v>
      </c>
      <c r="M181" s="54">
        <v>70.107155537692407</v>
      </c>
      <c r="N181" s="54"/>
      <c r="O181" s="55"/>
    </row>
    <row r="182" spans="1:15" x14ac:dyDescent="0.2">
      <c r="A182" s="18">
        <f t="shared" si="33"/>
        <v>1981</v>
      </c>
      <c r="B182" s="56">
        <f>P110/P171</f>
        <v>43.001127529341908</v>
      </c>
      <c r="C182" s="32">
        <f t="shared" si="34"/>
        <v>930.20852822821166</v>
      </c>
      <c r="D182" s="52">
        <f t="shared" si="35"/>
        <v>40000.015551222772</v>
      </c>
      <c r="E182" s="53">
        <v>39118.252</v>
      </c>
      <c r="F182" s="52">
        <f t="shared" si="36"/>
        <v>881.76355122277164</v>
      </c>
      <c r="H182" s="54">
        <v>957.97618288319791</v>
      </c>
      <c r="I182" s="55">
        <f t="shared" si="37"/>
        <v>1.0864320503549274</v>
      </c>
      <c r="K182" s="54">
        <v>210.55842747081624</v>
      </c>
      <c r="L182" s="54">
        <v>186.63753983119386</v>
      </c>
      <c r="M182" s="54">
        <v>155.18736196278877</v>
      </c>
      <c r="N182" s="54"/>
      <c r="O182" s="55"/>
    </row>
    <row r="183" spans="1:15" x14ac:dyDescent="0.2">
      <c r="A183" s="18">
        <f t="shared" si="33"/>
        <v>1982</v>
      </c>
      <c r="B183" s="56">
        <f>O111/O171</f>
        <v>44.695573280814642</v>
      </c>
      <c r="C183" s="32">
        <f t="shared" si="34"/>
        <v>894.21629634718749</v>
      </c>
      <c r="D183" s="52">
        <f>B183*C183</f>
        <v>39967.510002284384</v>
      </c>
      <c r="E183" s="53">
        <v>39428.586000000003</v>
      </c>
      <c r="F183" s="52">
        <f t="shared" si="36"/>
        <v>538.92400228438055</v>
      </c>
      <c r="H183" s="54">
        <v>709.93129559835506</v>
      </c>
      <c r="I183" s="55">
        <f t="shared" si="37"/>
        <v>1.3173124458905376</v>
      </c>
      <c r="K183" s="54">
        <v>358.80928303716064</v>
      </c>
      <c r="L183" s="54">
        <v>314.85578943147993</v>
      </c>
      <c r="M183" s="54">
        <v>576.17338590803263</v>
      </c>
      <c r="N183" s="54"/>
      <c r="O183" s="55"/>
    </row>
    <row r="184" spans="1:15" x14ac:dyDescent="0.2">
      <c r="A184" s="18">
        <f t="shared" si="33"/>
        <v>1983</v>
      </c>
      <c r="B184" s="56">
        <f>N112/N171</f>
        <v>38.409038417973072</v>
      </c>
      <c r="C184" s="32">
        <f t="shared" si="34"/>
        <v>964.22433379875565</v>
      </c>
      <c r="D184" s="52">
        <f t="shared" si="35"/>
        <v>37034.929480420898</v>
      </c>
      <c r="E184" s="53">
        <v>36354.199000000001</v>
      </c>
      <c r="F184" s="52">
        <f t="shared" si="36"/>
        <v>680.73048042089795</v>
      </c>
      <c r="H184" s="54">
        <v>550.17552824519953</v>
      </c>
      <c r="I184" s="55">
        <f t="shared" si="37"/>
        <v>0.80821344727361721</v>
      </c>
      <c r="K184" s="54">
        <v>559.8493479511817</v>
      </c>
      <c r="L184" s="54">
        <v>490.34687011372444</v>
      </c>
      <c r="M184" s="54">
        <v>1080.7113492642491</v>
      </c>
      <c r="N184" s="54"/>
      <c r="O184" s="55"/>
    </row>
    <row r="185" spans="1:15" x14ac:dyDescent="0.2">
      <c r="A185" s="18">
        <f t="shared" si="33"/>
        <v>1984</v>
      </c>
      <c r="B185" s="56">
        <f>M113/M171</f>
        <v>51.945841294123241</v>
      </c>
      <c r="C185" s="32">
        <f t="shared" si="34"/>
        <v>982.23147820014947</v>
      </c>
      <c r="D185" s="52">
        <f t="shared" si="35"/>
        <v>51022.840480677034</v>
      </c>
      <c r="E185" s="53">
        <v>48560.689000000013</v>
      </c>
      <c r="F185" s="52">
        <f t="shared" si="36"/>
        <v>2462.151480677021</v>
      </c>
      <c r="H185" s="54">
        <v>2366.8896809483776</v>
      </c>
      <c r="I185" s="55">
        <f t="shared" si="37"/>
        <v>0.9613095292973407</v>
      </c>
      <c r="K185" s="54">
        <v>1267.5228116118815</v>
      </c>
      <c r="L185" s="54">
        <v>1084.8296604167263</v>
      </c>
      <c r="M185" s="54">
        <v>1664.2109927822423</v>
      </c>
      <c r="N185" s="54"/>
      <c r="O185" s="55"/>
    </row>
    <row r="186" spans="1:15" x14ac:dyDescent="0.2">
      <c r="A186" s="18">
        <f t="shared" si="33"/>
        <v>1985</v>
      </c>
      <c r="B186" s="56">
        <f>L114/L171</f>
        <v>44.909876224684822</v>
      </c>
      <c r="C186" s="32">
        <f t="shared" si="34"/>
        <v>938.23755134634564</v>
      </c>
      <c r="D186" s="52">
        <f t="shared" si="35"/>
        <v>42136.132300315752</v>
      </c>
      <c r="E186" s="53">
        <v>39959.231</v>
      </c>
      <c r="F186" s="52">
        <f t="shared" si="36"/>
        <v>2176.9013003157525</v>
      </c>
      <c r="H186" s="54">
        <v>1838.81630212452</v>
      </c>
      <c r="I186" s="55">
        <f t="shared" si="37"/>
        <v>0.844694383644222</v>
      </c>
      <c r="K186" s="54">
        <v>1772.602817073348</v>
      </c>
      <c r="L186" s="54">
        <v>1527.1619639316486</v>
      </c>
      <c r="M186" s="54">
        <v>2495.2562650240716</v>
      </c>
      <c r="N186" s="54"/>
      <c r="O186" s="55"/>
    </row>
    <row r="187" spans="1:15" x14ac:dyDescent="0.2">
      <c r="A187" s="18">
        <f t="shared" si="33"/>
        <v>1986</v>
      </c>
      <c r="B187" s="56">
        <f>K115/K171</f>
        <v>46.509437144594386</v>
      </c>
      <c r="C187" s="32">
        <f t="shared" si="34"/>
        <v>956.4643816884028</v>
      </c>
      <c r="D187" s="52">
        <f t="shared" si="35"/>
        <v>44484.620041180104</v>
      </c>
      <c r="E187" s="53">
        <v>41254.536</v>
      </c>
      <c r="F187" s="52">
        <f t="shared" si="36"/>
        <v>3230.0840411801037</v>
      </c>
      <c r="H187" s="54">
        <v>2312.7309729606786</v>
      </c>
      <c r="I187" s="55">
        <f t="shared" si="37"/>
        <v>0.71599715161458388</v>
      </c>
      <c r="K187" s="54">
        <v>3124.3847967215115</v>
      </c>
      <c r="L187" s="54">
        <v>2738.5206642419653</v>
      </c>
      <c r="M187" s="54">
        <v>4267.9234607698609</v>
      </c>
      <c r="N187" s="54"/>
      <c r="O187" s="55"/>
    </row>
    <row r="188" spans="1:15" x14ac:dyDescent="0.2">
      <c r="A188" s="18">
        <f t="shared" si="33"/>
        <v>1987</v>
      </c>
      <c r="B188" s="56">
        <f>J116/J171</f>
        <v>51.392213638742</v>
      </c>
      <c r="C188" s="32">
        <f t="shared" si="34"/>
        <v>854.8792583053895</v>
      </c>
      <c r="D188" s="52">
        <f t="shared" si="35"/>
        <v>43934.137478159886</v>
      </c>
      <c r="E188" s="53">
        <v>40205.614000000001</v>
      </c>
      <c r="F188" s="52">
        <f t="shared" si="36"/>
        <v>3728.5234781598847</v>
      </c>
      <c r="H188" s="54">
        <v>2890.0635634833379</v>
      </c>
      <c r="I188" s="55">
        <f t="shared" si="37"/>
        <v>0.77512280140171019</v>
      </c>
      <c r="K188" s="54">
        <v>4988.4323269274682</v>
      </c>
      <c r="L188" s="54">
        <v>4390.617238392595</v>
      </c>
      <c r="M188" s="54">
        <v>5933.6225262025864</v>
      </c>
      <c r="N188" s="54"/>
      <c r="O188" s="55"/>
    </row>
    <row r="189" spans="1:15" x14ac:dyDescent="0.2">
      <c r="A189" s="18">
        <f t="shared" si="33"/>
        <v>1988</v>
      </c>
      <c r="B189" s="56">
        <f>I117/I171</f>
        <v>45.650433167130139</v>
      </c>
      <c r="C189" s="32">
        <f t="shared" si="34"/>
        <v>874.70988997152347</v>
      </c>
      <c r="D189" s="52">
        <f t="shared" si="35"/>
        <v>39930.885372772791</v>
      </c>
      <c r="E189" s="53">
        <v>33364.098000000005</v>
      </c>
      <c r="F189" s="52">
        <f t="shared" si="36"/>
        <v>6566.7873727727856</v>
      </c>
      <c r="H189" s="54">
        <v>5839.6842253362774</v>
      </c>
      <c r="I189" s="55">
        <f t="shared" si="37"/>
        <v>0.88927566766494937</v>
      </c>
      <c r="K189" s="54">
        <v>6791.7694566274149</v>
      </c>
      <c r="L189" s="54">
        <v>6158.2560471590186</v>
      </c>
      <c r="M189" s="54">
        <v>9816.0509043225102</v>
      </c>
      <c r="N189" s="54"/>
      <c r="O189" s="55"/>
    </row>
    <row r="190" spans="1:15" x14ac:dyDescent="0.2">
      <c r="A190" s="18">
        <f t="shared" si="33"/>
        <v>1989</v>
      </c>
      <c r="B190" s="56">
        <f>H118/H171</f>
        <v>51.752819112461736</v>
      </c>
      <c r="C190" s="32">
        <f t="shared" si="34"/>
        <v>873.38341305241579</v>
      </c>
      <c r="D190" s="52">
        <f t="shared" si="35"/>
        <v>45200.05379152613</v>
      </c>
      <c r="E190" s="53">
        <v>37319.199000000001</v>
      </c>
      <c r="F190" s="52">
        <f t="shared" si="36"/>
        <v>7880.8547915261297</v>
      </c>
      <c r="H190" s="54">
        <v>7031.4376851106572</v>
      </c>
      <c r="I190" s="55">
        <f t="shared" si="37"/>
        <v>0.89221764277032412</v>
      </c>
      <c r="K190" s="54">
        <v>13152.312258232581</v>
      </c>
      <c r="L190" s="54">
        <v>12309.814739663809</v>
      </c>
      <c r="M190" s="54">
        <v>15060.469867494998</v>
      </c>
      <c r="N190" s="54"/>
      <c r="O190" s="55"/>
    </row>
    <row r="191" spans="1:15" x14ac:dyDescent="0.2">
      <c r="A191" s="18">
        <f t="shared" si="33"/>
        <v>1990</v>
      </c>
      <c r="B191" s="56">
        <f>G119/G171</f>
        <v>61.625147185189789</v>
      </c>
      <c r="C191" s="32">
        <f t="shared" si="34"/>
        <v>815.88864504250148</v>
      </c>
      <c r="D191" s="52">
        <f t="shared" si="35"/>
        <v>50279.257837469224</v>
      </c>
      <c r="E191" s="53">
        <v>35744.653000000006</v>
      </c>
      <c r="F191" s="52">
        <f t="shared" si="36"/>
        <v>14534.604837469218</v>
      </c>
      <c r="H191" s="54">
        <v>13676.165037476181</v>
      </c>
      <c r="I191" s="55">
        <f t="shared" si="37"/>
        <v>0.94093820853112997</v>
      </c>
      <c r="K191" s="54">
        <v>22409.830270913488</v>
      </c>
      <c r="L191" s="54">
        <v>21421.018307443781</v>
      </c>
      <c r="M191" s="54">
        <v>21631.212312376581</v>
      </c>
      <c r="N191" s="54"/>
      <c r="O191" s="55"/>
    </row>
    <row r="192" spans="1:15" x14ac:dyDescent="0.2">
      <c r="A192" s="18">
        <f t="shared" si="33"/>
        <v>1991</v>
      </c>
      <c r="B192" s="56">
        <f>F120/F171</f>
        <v>50.60095129080365</v>
      </c>
      <c r="C192" s="32">
        <f t="shared" si="34"/>
        <v>868.43441239995616</v>
      </c>
      <c r="D192" s="52">
        <f t="shared" si="35"/>
        <v>43943.607401107867</v>
      </c>
      <c r="E192" s="53">
        <v>29448.637999999999</v>
      </c>
      <c r="F192" s="52">
        <f t="shared" si="36"/>
        <v>14494.969401107868</v>
      </c>
      <c r="H192" s="54">
        <v>13768.28108998618</v>
      </c>
      <c r="I192" s="55">
        <f t="shared" si="37"/>
        <v>0.94986617142729901</v>
      </c>
      <c r="K192" s="54">
        <v>34842.093490836291</v>
      </c>
      <c r="L192" s="54">
        <v>34066.431031002016</v>
      </c>
      <c r="M192" s="54">
        <v>33309.216128706335</v>
      </c>
      <c r="N192" s="54"/>
      <c r="O192" s="55"/>
    </row>
    <row r="193" spans="1:15" x14ac:dyDescent="0.2">
      <c r="A193" s="18">
        <f t="shared" si="33"/>
        <v>1992</v>
      </c>
      <c r="B193" s="56">
        <f>E121/E171</f>
        <v>57.709544632582706</v>
      </c>
      <c r="C193" s="32">
        <f t="shared" si="34"/>
        <v>898.72105982357596</v>
      </c>
      <c r="D193" s="52">
        <f t="shared" si="35"/>
        <v>51864.783114130689</v>
      </c>
      <c r="E193" s="53">
        <v>28265.431</v>
      </c>
      <c r="F193" s="52">
        <f t="shared" si="36"/>
        <v>23599.352114130688</v>
      </c>
      <c r="H193" s="54">
        <v>22830.490462370039</v>
      </c>
      <c r="I193" s="55">
        <f t="shared" si="37"/>
        <v>0.96742022204498257</v>
      </c>
      <c r="K193" s="54">
        <v>68290.428950017478</v>
      </c>
      <c r="L193" s="54">
        <v>67048.881896215928</v>
      </c>
      <c r="M193" s="54">
        <v>47574.757586317428</v>
      </c>
      <c r="N193" s="54"/>
      <c r="O193" s="55"/>
    </row>
    <row r="194" spans="1:15" x14ac:dyDescent="0.2">
      <c r="A194" s="18">
        <f t="shared" si="33"/>
        <v>1993</v>
      </c>
      <c r="B194" s="56">
        <f>D122/D171</f>
        <v>55.151437764030426</v>
      </c>
      <c r="C194" s="32">
        <f t="shared" si="34"/>
        <v>886.54720979031833</v>
      </c>
      <c r="D194" s="52">
        <f t="shared" si="35"/>
        <v>48894.35326562557</v>
      </c>
      <c r="E194" s="53">
        <v>15165.406999999999</v>
      </c>
      <c r="F194" s="52">
        <f t="shared" si="36"/>
        <v>33728.946265625571</v>
      </c>
      <c r="H194" s="54">
        <v>33067.01555892318</v>
      </c>
      <c r="I194" s="55">
        <f t="shared" si="37"/>
        <v>0.98037499596075461</v>
      </c>
      <c r="K194" s="54">
        <v>78300.924643740407</v>
      </c>
      <c r="L194" s="54">
        <v>77537.056872853456</v>
      </c>
      <c r="M194" s="54">
        <v>61936.455887144271</v>
      </c>
      <c r="N194" s="54"/>
      <c r="O194" s="55"/>
    </row>
    <row r="195" spans="1:15" x14ac:dyDescent="0.2">
      <c r="A195" s="18">
        <f t="shared" si="33"/>
        <v>1994</v>
      </c>
      <c r="B195" s="56">
        <f>C123/C171</f>
        <v>50.843626008984636</v>
      </c>
      <c r="C195" s="32">
        <f t="shared" si="34"/>
        <v>889.84534761024838</v>
      </c>
      <c r="D195" s="52">
        <f t="shared" si="35"/>
        <v>45242.964059730402</v>
      </c>
      <c r="E195" s="53">
        <v>7962.4459999999999</v>
      </c>
      <c r="F195" s="52">
        <f t="shared" si="36"/>
        <v>37280.518059730399</v>
      </c>
      <c r="H195" s="54">
        <v>36600.208193132668</v>
      </c>
      <c r="I195" s="55">
        <f t="shared" si="37"/>
        <v>0.98175159836814108</v>
      </c>
      <c r="K195" s="54">
        <v>92401.488312778907</v>
      </c>
      <c r="L195" s="54">
        <v>91826.717645949597</v>
      </c>
      <c r="M195" s="54">
        <v>75609.67107811528</v>
      </c>
      <c r="N195" s="54"/>
      <c r="O195" s="55"/>
    </row>
    <row r="196" spans="1:15" x14ac:dyDescent="0.2">
      <c r="A196" s="18">
        <f t="shared" si="33"/>
        <v>1995</v>
      </c>
      <c r="B196" s="56">
        <f>B124/B171</f>
        <v>40.409813074253236</v>
      </c>
      <c r="C196" s="32">
        <f t="shared" si="34"/>
        <v>910.65548727102475</v>
      </c>
      <c r="D196" s="52">
        <f t="shared" si="35"/>
        <v>36799.418015665105</v>
      </c>
      <c r="E196" s="53">
        <v>2725.355</v>
      </c>
      <c r="F196" s="52">
        <f t="shared" si="36"/>
        <v>34074.063015665102</v>
      </c>
      <c r="H196" s="54">
        <v>34378.679705557108</v>
      </c>
      <c r="I196" s="55">
        <f t="shared" si="37"/>
        <v>1.0089398405394732</v>
      </c>
      <c r="K196" s="57">
        <v>99802.733250713252</v>
      </c>
      <c r="L196" s="57">
        <v>99822.056395701627</v>
      </c>
      <c r="M196" s="57">
        <v>89993.453365684836</v>
      </c>
      <c r="N196" s="54"/>
      <c r="O196" s="55"/>
    </row>
    <row r="197" spans="1:15" x14ac:dyDescent="0.2">
      <c r="D197" s="53"/>
      <c r="E197" s="53"/>
      <c r="F197" s="53"/>
      <c r="H197" s="58"/>
      <c r="I197" s="55"/>
      <c r="K197" s="58"/>
      <c r="L197" s="54"/>
      <c r="M197" s="58"/>
      <c r="N197" s="58"/>
      <c r="O197" s="55"/>
    </row>
    <row r="198" spans="1:15" x14ac:dyDescent="0.2">
      <c r="D198" s="53"/>
      <c r="E198" s="59"/>
      <c r="F198" s="60">
        <f>SUM(F179:F196)</f>
        <v>185946.80314352206</v>
      </c>
      <c r="H198" s="57">
        <v>179154.74729594711</v>
      </c>
      <c r="I198" s="55">
        <f t="shared" si="37"/>
        <v>0.96347312385718975</v>
      </c>
      <c r="K198" s="57">
        <v>428441.49144960538</v>
      </c>
      <c r="L198" s="57">
        <v>421071.27999417193</v>
      </c>
      <c r="M198" s="57">
        <v>371188.3721231512</v>
      </c>
      <c r="N198" s="54"/>
      <c r="O198" s="55"/>
    </row>
    <row r="200" spans="1:15" x14ac:dyDescent="0.2">
      <c r="F200" s="61" t="s">
        <v>268</v>
      </c>
    </row>
    <row r="201" spans="1:15" x14ac:dyDescent="0.2">
      <c r="F201" s="17" t="s">
        <v>269</v>
      </c>
    </row>
  </sheetData>
  <conditionalFormatting sqref="B135:B151">
    <cfRule type="colorScale" priority="14">
      <colorScale>
        <cfvo type="min"/>
        <cfvo type="percentile" val="50"/>
        <cfvo type="max"/>
        <color rgb="FFF8696B"/>
        <color rgb="FFFCFCFF"/>
        <color rgb="FF63BE7B"/>
      </colorScale>
    </cfRule>
  </conditionalFormatting>
  <conditionalFormatting sqref="B152:R153">
    <cfRule type="colorScale" priority="15">
      <colorScale>
        <cfvo type="min"/>
        <cfvo type="percentile" val="50"/>
        <cfvo type="max"/>
        <color rgb="FFF8696B"/>
        <color rgb="FFFFEB84"/>
        <color rgb="FF63BE7B"/>
      </colorScale>
    </cfRule>
  </conditionalFormatting>
  <conditionalFormatting sqref="B107:S124">
    <cfRule type="colorScale" priority="16">
      <colorScale>
        <cfvo type="min"/>
        <cfvo type="percentile" val="50"/>
        <cfvo type="max"/>
        <color rgb="FFF8696B"/>
        <color rgb="FFFFEB84"/>
        <color rgb="FF63BE7B"/>
      </colorScale>
    </cfRule>
  </conditionalFormatting>
  <conditionalFormatting sqref="C135:C150">
    <cfRule type="colorScale" priority="13">
      <colorScale>
        <cfvo type="min"/>
        <cfvo type="percentile" val="50"/>
        <cfvo type="max"/>
        <color rgb="FFF8696B"/>
        <color rgb="FFFCFCFF"/>
        <color rgb="FF63BE7B"/>
      </colorScale>
    </cfRule>
  </conditionalFormatting>
  <conditionalFormatting sqref="D135:D149">
    <cfRule type="colorScale" priority="12">
      <colorScale>
        <cfvo type="min"/>
        <cfvo type="percentile" val="50"/>
        <cfvo type="max"/>
        <color rgb="FFF8696B"/>
        <color rgb="FFFCFCFF"/>
        <color rgb="FF63BE7B"/>
      </colorScale>
    </cfRule>
  </conditionalFormatting>
  <conditionalFormatting sqref="E135:E148">
    <cfRule type="colorScale" priority="11">
      <colorScale>
        <cfvo type="min"/>
        <cfvo type="percentile" val="50"/>
        <cfvo type="max"/>
        <color rgb="FFF8696B"/>
        <color rgb="FFFCFCFF"/>
        <color rgb="FF63BE7B"/>
      </colorScale>
    </cfRule>
  </conditionalFormatting>
  <conditionalFormatting sqref="F135:F147">
    <cfRule type="colorScale" priority="10">
      <colorScale>
        <cfvo type="min"/>
        <cfvo type="percentile" val="50"/>
        <cfvo type="max"/>
        <color rgb="FFF8696B"/>
        <color rgb="FFFCFCFF"/>
        <color rgb="FF63BE7B"/>
      </colorScale>
    </cfRule>
  </conditionalFormatting>
  <conditionalFormatting sqref="G135:G146">
    <cfRule type="colorScale" priority="9">
      <colorScale>
        <cfvo type="min"/>
        <cfvo type="percentile" val="50"/>
        <cfvo type="max"/>
        <color rgb="FFF8696B"/>
        <color rgb="FFFCFCFF"/>
        <color rgb="FF63BE7B"/>
      </colorScale>
    </cfRule>
  </conditionalFormatting>
  <conditionalFormatting sqref="H135:H145">
    <cfRule type="colorScale" priority="8">
      <colorScale>
        <cfvo type="min"/>
        <cfvo type="percentile" val="50"/>
        <cfvo type="max"/>
        <color rgb="FFF8696B"/>
        <color rgb="FFFCFCFF"/>
        <color rgb="FF63BE7B"/>
      </colorScale>
    </cfRule>
  </conditionalFormatting>
  <conditionalFormatting sqref="I135:I144">
    <cfRule type="colorScale" priority="7">
      <colorScale>
        <cfvo type="min"/>
        <cfvo type="percentile" val="50"/>
        <cfvo type="max"/>
        <color rgb="FFF8696B"/>
        <color rgb="FFFCFCFF"/>
        <color rgb="FF63BE7B"/>
      </colorScale>
    </cfRule>
  </conditionalFormatting>
  <conditionalFormatting sqref="J135:J143">
    <cfRule type="colorScale" priority="6">
      <colorScale>
        <cfvo type="min"/>
        <cfvo type="percentile" val="50"/>
        <cfvo type="max"/>
        <color rgb="FFF8696B"/>
        <color rgb="FFFCFCFF"/>
        <color rgb="FF63BE7B"/>
      </colorScale>
    </cfRule>
  </conditionalFormatting>
  <conditionalFormatting sqref="K135:K142">
    <cfRule type="colorScale" priority="5">
      <colorScale>
        <cfvo type="min"/>
        <cfvo type="percentile" val="50"/>
        <cfvo type="max"/>
        <color rgb="FFF8696B"/>
        <color rgb="FFFCFCFF"/>
        <color rgb="FF63BE7B"/>
      </colorScale>
    </cfRule>
  </conditionalFormatting>
  <conditionalFormatting sqref="L135:L141">
    <cfRule type="colorScale" priority="4">
      <colorScale>
        <cfvo type="min"/>
        <cfvo type="percentile" val="50"/>
        <cfvo type="max"/>
        <color rgb="FFF8696B"/>
        <color rgb="FFFCFCFF"/>
        <color rgb="FF63BE7B"/>
      </colorScale>
    </cfRule>
  </conditionalFormatting>
  <conditionalFormatting sqref="M135:M140">
    <cfRule type="colorScale" priority="3">
      <colorScale>
        <cfvo type="min"/>
        <cfvo type="percentile" val="50"/>
        <cfvo type="max"/>
        <color rgb="FFF8696B"/>
        <color rgb="FFFCFCFF"/>
        <color rgb="FF63BE7B"/>
      </colorScale>
    </cfRule>
  </conditionalFormatting>
  <conditionalFormatting sqref="N135:N139">
    <cfRule type="colorScale" priority="2">
      <colorScale>
        <cfvo type="min"/>
        <cfvo type="percentile" val="50"/>
        <cfvo type="max"/>
        <color rgb="FFF8696B"/>
        <color rgb="FFFCFCFF"/>
        <color rgb="FF63BE7B"/>
      </colorScale>
    </cfRule>
  </conditionalFormatting>
  <conditionalFormatting sqref="O135:O138">
    <cfRule type="colorScale" priority="1">
      <colorScale>
        <cfvo type="min"/>
        <cfvo type="percentile" val="50"/>
        <cfvo type="max"/>
        <color rgb="FFF8696B"/>
        <color rgb="FFFCFCFF"/>
        <color rgb="FF63BE7B"/>
      </colorScale>
    </cfRule>
  </conditionalFormatting>
  <pageMargins left="0.7" right="0.7" top="0.75" bottom="0.75" header="0.3" footer="0.3"/>
  <ignoredErrors>
    <ignoredError sqref="C6:G6" numberStoredAsText="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DFB40-05D3-4A02-B999-7D77921159E4}">
  <sheetPr codeName="Sheet9"/>
  <dimension ref="B1:AL10013"/>
  <sheetViews>
    <sheetView workbookViewId="0">
      <selection activeCell="R23" sqref="R23"/>
    </sheetView>
  </sheetViews>
  <sheetFormatPr baseColWidth="10" defaultColWidth="8.83203125" defaultRowHeight="16" x14ac:dyDescent="0.2"/>
  <cols>
    <col min="13" max="13" width="9" style="79"/>
    <col min="31" max="31" width="9" style="79"/>
    <col min="36" max="36" width="8.1640625" bestFit="1" customWidth="1"/>
    <col min="37" max="37" width="9.6640625" bestFit="1" customWidth="1"/>
    <col min="38" max="38" width="18" bestFit="1" customWidth="1"/>
  </cols>
  <sheetData>
    <row r="1" spans="2:38" x14ac:dyDescent="0.2">
      <c r="B1" s="12" t="s">
        <v>270</v>
      </c>
      <c r="O1" s="12" t="s">
        <v>271</v>
      </c>
      <c r="AG1" s="12" t="s">
        <v>272</v>
      </c>
    </row>
    <row r="2" spans="2:38" x14ac:dyDescent="0.2">
      <c r="AJ2" t="s">
        <v>273</v>
      </c>
      <c r="AK2" t="s">
        <v>274</v>
      </c>
    </row>
    <row r="3" spans="2:38" x14ac:dyDescent="0.2">
      <c r="B3" s="12" t="s">
        <v>275</v>
      </c>
      <c r="D3" s="12" t="s">
        <v>276</v>
      </c>
      <c r="O3" s="67" t="str">
        <f ca="1">_xlfn.FORMULATEXT(O4)</f>
        <v>=NORM.S.INV(RANDARRAY(10000))</v>
      </c>
      <c r="X3" s="67" t="str">
        <f ca="1">_xlfn.FORMULATEXT(X4)</f>
        <v>=GAMMA.INV(RANDARRAY(10000),10,5)</v>
      </c>
      <c r="AJ3" t="s">
        <v>277</v>
      </c>
      <c r="AK3" s="2">
        <v>0.05</v>
      </c>
    </row>
    <row r="4" spans="2:38" x14ac:dyDescent="0.2">
      <c r="B4" s="67" t="str">
        <f ca="1">_xlfn.FORMULATEXT(B5)</f>
        <v>=RAND()</v>
      </c>
      <c r="D4" s="67" t="str">
        <f ca="1">_xlfn.FORMULATEXT(D5)</f>
        <v>=RANDARRAY(6,4,-2,10,TRUE)</v>
      </c>
      <c r="I4" s="67" t="str">
        <f ca="1">_xlfn.FORMULATEXT(I5)</f>
        <v>=RANDARRAY(2,5,0,1000, FALSE)</v>
      </c>
      <c r="O4" s="2" cm="1">
        <f t="array" aca="1" ref="O4:O10003" ca="1">_xlfn.NORM.S.INV(_xlfn.RANDARRAY(10000))</f>
        <v>-1.4703127653269725</v>
      </c>
      <c r="X4" s="2" cm="1">
        <f t="array" aca="1" ref="X4:X10003" ca="1">_xlfn.GAMMA.INV(_xlfn.RANDARRAY(10000),10,5)</f>
        <v>18.686972785877924</v>
      </c>
      <c r="AJ4" t="s">
        <v>278</v>
      </c>
      <c r="AK4" s="2">
        <v>0.35</v>
      </c>
    </row>
    <row r="5" spans="2:38" x14ac:dyDescent="0.2">
      <c r="B5" s="2">
        <f ca="1">RAND()</f>
        <v>0.15088070806634835</v>
      </c>
      <c r="D5" s="2" cm="1">
        <f t="array" aca="1" ref="D5:G10" ca="1">_xlfn.RANDARRAY(6,4,-2,10,TRUE)</f>
        <v>9</v>
      </c>
      <c r="E5" s="2">
        <f ca="1"/>
        <v>9</v>
      </c>
      <c r="F5" s="2">
        <f ca="1"/>
        <v>1</v>
      </c>
      <c r="G5" s="2">
        <f ca="1"/>
        <v>-1</v>
      </c>
      <c r="I5" s="2" cm="1">
        <f t="array" aca="1" ref="I5:M6" ca="1">_xlfn.RANDARRAY(2,5,0,1000, FALSE)</f>
        <v>224.09861542464364</v>
      </c>
      <c r="J5" s="2">
        <f ca="1"/>
        <v>337.91396411771882</v>
      </c>
      <c r="K5" s="2">
        <f ca="1"/>
        <v>48.325993735147676</v>
      </c>
      <c r="L5" s="2">
        <f ca="1"/>
        <v>686.02327445071876</v>
      </c>
      <c r="M5" s="92">
        <f ca="1"/>
        <v>25.503943846725861</v>
      </c>
      <c r="O5" s="2">
        <f ca="1"/>
        <v>1.3808968617348147</v>
      </c>
      <c r="X5" s="2">
        <f ca="1"/>
        <v>39.198176121527631</v>
      </c>
      <c r="AJ5" t="s">
        <v>279</v>
      </c>
      <c r="AK5" s="2">
        <v>0.6</v>
      </c>
    </row>
    <row r="6" spans="2:38" x14ac:dyDescent="0.2">
      <c r="D6" s="2">
        <f ca="1"/>
        <v>5</v>
      </c>
      <c r="E6" s="2">
        <f ca="1"/>
        <v>7</v>
      </c>
      <c r="F6" s="2">
        <f ca="1"/>
        <v>4</v>
      </c>
      <c r="G6" s="2">
        <f ca="1"/>
        <v>5</v>
      </c>
      <c r="I6" s="2">
        <f ca="1"/>
        <v>723.34328066604053</v>
      </c>
      <c r="J6" s="2">
        <f ca="1"/>
        <v>551.17395389112096</v>
      </c>
      <c r="K6" s="2">
        <f ca="1"/>
        <v>565.04829669521791</v>
      </c>
      <c r="L6" s="2">
        <f ca="1"/>
        <v>26.269448198904115</v>
      </c>
      <c r="M6" s="92">
        <f ca="1"/>
        <v>414.48495287107698</v>
      </c>
      <c r="O6" s="2">
        <f ca="1"/>
        <v>-0.56998382489577382</v>
      </c>
      <c r="X6" s="2">
        <f ca="1"/>
        <v>60.252111010297895</v>
      </c>
      <c r="AG6" s="67" t="str">
        <f ca="1">_xlfn.FORMULATEXT(AG8)</f>
        <v>=RANDARRAY(10000)</v>
      </c>
    </row>
    <row r="7" spans="2:38" x14ac:dyDescent="0.2">
      <c r="D7" s="2">
        <f ca="1"/>
        <v>2</v>
      </c>
      <c r="E7" s="2">
        <f ca="1"/>
        <v>8</v>
      </c>
      <c r="F7" s="2">
        <f ca="1"/>
        <v>3</v>
      </c>
      <c r="G7" s="2">
        <f ca="1"/>
        <v>9</v>
      </c>
      <c r="O7" s="2">
        <f ca="1"/>
        <v>-0.19480118922652254</v>
      </c>
      <c r="X7" s="2">
        <f ca="1"/>
        <v>51.236307274794768</v>
      </c>
      <c r="AG7" s="67" t="str">
        <f ca="1">_xlfn.FORMULATEXT(AH8)</f>
        <v>=IFS(AG8#&lt;=AK3,AJ3, (AG8#&gt;AK3)*(AG8#&lt;=AK3+AK4),AJ4, AG8#&gt;1-AK5,AJ5)</v>
      </c>
    </row>
    <row r="8" spans="2:38" x14ac:dyDescent="0.2">
      <c r="D8" s="2">
        <f ca="1"/>
        <v>1</v>
      </c>
      <c r="E8" s="2">
        <f ca="1"/>
        <v>4</v>
      </c>
      <c r="F8" s="2">
        <f ca="1"/>
        <v>0</v>
      </c>
      <c r="G8" s="2">
        <f ca="1"/>
        <v>3</v>
      </c>
      <c r="O8" s="2">
        <f ca="1"/>
        <v>-0.86623207487388809</v>
      </c>
      <c r="X8" s="2">
        <f ca="1"/>
        <v>88.552576898974792</v>
      </c>
      <c r="AG8" s="2" cm="1">
        <f t="array" aca="1" ref="AG8:AG10007" ca="1">_xlfn.RANDARRAY(10000)</f>
        <v>0.84860207869366278</v>
      </c>
      <c r="AH8" s="2" t="str" cm="1">
        <f t="array" aca="1" ref="AH8:AH10007" ca="1">_xlfn.IFS(_xlfn.ANCHORARRAY(AG8)&lt;=AK3,AJ3, (_xlfn.ANCHORARRAY(AG8)&gt;AK3)*(_xlfn.ANCHORARRAY(AG8)&lt;=AK3+AK4),AJ4,_xlfn.ANCHORARRAY( AG8)&gt;1-AK5,AJ5)</f>
        <v>Bad</v>
      </c>
    </row>
    <row r="9" spans="2:38" x14ac:dyDescent="0.2">
      <c r="D9" s="2">
        <f ca="1"/>
        <v>-1</v>
      </c>
      <c r="E9" s="2">
        <f ca="1"/>
        <v>7</v>
      </c>
      <c r="F9" s="2">
        <f ca="1"/>
        <v>4</v>
      </c>
      <c r="G9" s="2">
        <f ca="1"/>
        <v>4</v>
      </c>
      <c r="O9" s="2">
        <f ca="1"/>
        <v>-4.930812053588686E-2</v>
      </c>
      <c r="X9" s="2">
        <f ca="1"/>
        <v>40.843718815479207</v>
      </c>
      <c r="AG9" s="2">
        <f ca="1"/>
        <v>0.43381475545738346</v>
      </c>
      <c r="AH9" s="2" t="str">
        <f ca="1"/>
        <v>Bad</v>
      </c>
      <c r="AJ9" t="s">
        <v>273</v>
      </c>
      <c r="AK9" t="s">
        <v>280</v>
      </c>
      <c r="AL9" t="s">
        <v>281</v>
      </c>
    </row>
    <row r="10" spans="2:38" x14ac:dyDescent="0.2">
      <c r="D10" s="2">
        <f ca="1"/>
        <v>10</v>
      </c>
      <c r="E10" s="2">
        <f ca="1"/>
        <v>2</v>
      </c>
      <c r="F10" s="2">
        <f ca="1"/>
        <v>6</v>
      </c>
      <c r="G10" s="2">
        <f ca="1"/>
        <v>-1</v>
      </c>
      <c r="O10" s="2">
        <f ca="1"/>
        <v>-0.98040778157001063</v>
      </c>
      <c r="X10" s="2">
        <f ca="1"/>
        <v>45.839837552516173</v>
      </c>
      <c r="AG10" s="2">
        <f ca="1"/>
        <v>0.96119071765961039</v>
      </c>
      <c r="AH10" s="2" t="str">
        <f ca="1"/>
        <v>Bad</v>
      </c>
      <c r="AJ10" t="s">
        <v>277</v>
      </c>
      <c r="AK10">
        <f ca="1">COUNTIF(_xlfn.ANCHORARRAY($AH$8),"="&amp;AJ3)</f>
        <v>488</v>
      </c>
      <c r="AL10">
        <f ca="1">AK10/10000</f>
        <v>4.8800000000000003E-2</v>
      </c>
    </row>
    <row r="11" spans="2:38" x14ac:dyDescent="0.2">
      <c r="O11" s="2">
        <f ca="1"/>
        <v>-0.37655101604977831</v>
      </c>
      <c r="X11" s="2">
        <f ca="1"/>
        <v>62.376656476479468</v>
      </c>
      <c r="AG11" s="2">
        <f ca="1"/>
        <v>0.34090230394518262</v>
      </c>
      <c r="AH11" s="2" t="str">
        <f ca="1"/>
        <v>OK</v>
      </c>
      <c r="AJ11" t="s">
        <v>278</v>
      </c>
      <c r="AK11">
        <f t="shared" ref="AK11:AK12" ca="1" si="0">COUNTIF(_xlfn.ANCHORARRAY($AH$8),"="&amp;AJ4)</f>
        <v>3568</v>
      </c>
      <c r="AL11">
        <f t="shared" ref="AL11:AL12" ca="1" si="1">AK11/10000</f>
        <v>0.35680000000000001</v>
      </c>
    </row>
    <row r="12" spans="2:38" x14ac:dyDescent="0.2">
      <c r="O12" s="2">
        <f ca="1"/>
        <v>0.3053873235226493</v>
      </c>
      <c r="X12" s="2">
        <f ca="1"/>
        <v>52.579455220735554</v>
      </c>
      <c r="AG12" s="2">
        <f ca="1"/>
        <v>0.38216221062971956</v>
      </c>
      <c r="AH12" s="2" t="str">
        <f ca="1"/>
        <v>OK</v>
      </c>
      <c r="AJ12" t="s">
        <v>279</v>
      </c>
      <c r="AK12">
        <f t="shared" ca="1" si="0"/>
        <v>5944</v>
      </c>
      <c r="AL12">
        <f t="shared" ca="1" si="1"/>
        <v>0.59440000000000004</v>
      </c>
    </row>
    <row r="13" spans="2:38" x14ac:dyDescent="0.2">
      <c r="B13" s="67" t="str">
        <f ca="1">_xlfn.FORMULATEXT(B14)</f>
        <v>=RANDARRAY(10000)</v>
      </c>
      <c r="O13" s="2">
        <f ca="1"/>
        <v>-1.1062836915875776</v>
      </c>
      <c r="X13" s="2">
        <f ca="1"/>
        <v>45.806585458375949</v>
      </c>
      <c r="AG13" s="2">
        <f ca="1"/>
        <v>0.74808415492680203</v>
      </c>
      <c r="AH13" s="2" t="str">
        <f ca="1"/>
        <v>Bad</v>
      </c>
    </row>
    <row r="14" spans="2:38" x14ac:dyDescent="0.2">
      <c r="B14" s="2" cm="1">
        <f t="array" aca="1" ref="B14:B10013" ca="1">_xlfn.RANDARRAY(10000)</f>
        <v>0.9891248595539146</v>
      </c>
      <c r="O14" s="2">
        <f ca="1"/>
        <v>0.80225663790410284</v>
      </c>
      <c r="X14" s="2">
        <f ca="1"/>
        <v>62.030580989963802</v>
      </c>
      <c r="AG14" s="2">
        <f ca="1"/>
        <v>0.70235823475277503</v>
      </c>
      <c r="AH14" s="2" t="str">
        <f ca="1"/>
        <v>Bad</v>
      </c>
    </row>
    <row r="15" spans="2:38" x14ac:dyDescent="0.2">
      <c r="B15" s="2">
        <f ca="1"/>
        <v>0.10892982188020661</v>
      </c>
      <c r="O15" s="2">
        <f ca="1"/>
        <v>0.88739518654906091</v>
      </c>
      <c r="X15" s="2">
        <f ca="1"/>
        <v>45.917854991019276</v>
      </c>
      <c r="AG15" s="2">
        <f ca="1"/>
        <v>0.78221612479970748</v>
      </c>
      <c r="AH15" s="2" t="str">
        <f ca="1"/>
        <v>Bad</v>
      </c>
    </row>
    <row r="16" spans="2:38" x14ac:dyDescent="0.2">
      <c r="B16" s="2">
        <f ca="1"/>
        <v>0.61190683766688792</v>
      </c>
      <c r="O16" s="2">
        <f ca="1"/>
        <v>-0.34251462683711054</v>
      </c>
      <c r="X16" s="2">
        <f ca="1"/>
        <v>41.463438722346964</v>
      </c>
      <c r="AG16" s="2">
        <f ca="1"/>
        <v>0.17737865601323777</v>
      </c>
      <c r="AH16" s="2" t="str">
        <f ca="1"/>
        <v>OK</v>
      </c>
    </row>
    <row r="17" spans="2:34" x14ac:dyDescent="0.2">
      <c r="B17" s="2">
        <f ca="1"/>
        <v>0.29637558597594849</v>
      </c>
      <c r="O17" s="2">
        <f ca="1"/>
        <v>1.3073130628473337</v>
      </c>
      <c r="X17" s="2">
        <f ca="1"/>
        <v>44.972068631552688</v>
      </c>
      <c r="AG17" s="2">
        <f ca="1"/>
        <v>0.66581843730930035</v>
      </c>
      <c r="AH17" s="2" t="str">
        <f ca="1"/>
        <v>Bad</v>
      </c>
    </row>
    <row r="18" spans="2:34" x14ac:dyDescent="0.2">
      <c r="B18" s="2">
        <f ca="1"/>
        <v>4.6552596134968649E-2</v>
      </c>
      <c r="O18" s="2">
        <f ca="1"/>
        <v>0.14019454988273802</v>
      </c>
      <c r="X18" s="2">
        <f ca="1"/>
        <v>69.036258124115847</v>
      </c>
      <c r="AG18" s="2">
        <f ca="1"/>
        <v>0.84772077797634182</v>
      </c>
      <c r="AH18" s="2" t="str">
        <f ca="1"/>
        <v>Bad</v>
      </c>
    </row>
    <row r="19" spans="2:34" x14ac:dyDescent="0.2">
      <c r="B19" s="2">
        <f ca="1"/>
        <v>0.76161596297499079</v>
      </c>
      <c r="O19" s="2">
        <f ca="1"/>
        <v>6.0469367307025762E-2</v>
      </c>
      <c r="Q19" t="s">
        <v>282</v>
      </c>
      <c r="R19" t="s">
        <v>283</v>
      </c>
      <c r="X19" s="2">
        <f ca="1"/>
        <v>47.666605059137233</v>
      </c>
      <c r="Z19" t="s">
        <v>282</v>
      </c>
      <c r="AA19" t="s">
        <v>284</v>
      </c>
      <c r="AG19" s="2">
        <f ca="1"/>
        <v>0.35923799810181301</v>
      </c>
      <c r="AH19" s="2" t="str">
        <f ca="1"/>
        <v>OK</v>
      </c>
    </row>
    <row r="20" spans="2:34" x14ac:dyDescent="0.2">
      <c r="B20" s="2">
        <f ca="1"/>
        <v>0.18123697493254864</v>
      </c>
      <c r="O20" s="2">
        <f ca="1"/>
        <v>1.768205824618736</v>
      </c>
      <c r="Q20">
        <f ca="1">AVERAGE(_xlfn.ANCHORARRAY(O4))</f>
        <v>1.9349521541804499E-2</v>
      </c>
      <c r="R20">
        <f ca="1">STDEV(_xlfn.ANCHORARRAY(O4))</f>
        <v>0.98407000101346498</v>
      </c>
      <c r="X20" s="2">
        <f ca="1"/>
        <v>33.549081628718433</v>
      </c>
      <c r="Z20">
        <f ca="1">AVERAGE(_xlfn.ANCHORARRAY(X4))</f>
        <v>49.718044201309077</v>
      </c>
      <c r="AA20">
        <f ca="1">VAR(_xlfn.ANCHORARRAY(X4))</f>
        <v>247.31992081548049</v>
      </c>
      <c r="AG20" s="2">
        <f ca="1"/>
        <v>1.9617123977836659E-2</v>
      </c>
      <c r="AH20" s="2" t="str">
        <f ca="1"/>
        <v>Good</v>
      </c>
    </row>
    <row r="21" spans="2:34" x14ac:dyDescent="0.2">
      <c r="B21" s="2">
        <f ca="1"/>
        <v>0.78776166210456888</v>
      </c>
      <c r="O21" s="2">
        <f ca="1"/>
        <v>-0.51296362248037919</v>
      </c>
      <c r="X21" s="2">
        <f ca="1"/>
        <v>58.064297896951508</v>
      </c>
      <c r="AG21" s="2">
        <f ca="1"/>
        <v>9.8975839013796252E-2</v>
      </c>
      <c r="AH21" s="2" t="str">
        <f ca="1"/>
        <v>OK</v>
      </c>
    </row>
    <row r="22" spans="2:34" x14ac:dyDescent="0.2">
      <c r="B22" s="2">
        <f ca="1"/>
        <v>0.15798137042019422</v>
      </c>
      <c r="O22" s="2">
        <f ca="1"/>
        <v>-1.2243707751473747</v>
      </c>
      <c r="X22" s="2">
        <f ca="1"/>
        <v>45.868479593060243</v>
      </c>
      <c r="Z22" s="67" t="s">
        <v>285</v>
      </c>
      <c r="AA22" s="67"/>
      <c r="AG22" s="2">
        <f ca="1"/>
        <v>0.38171620158507902</v>
      </c>
      <c r="AH22" s="2" t="str">
        <f ca="1"/>
        <v>OK</v>
      </c>
    </row>
    <row r="23" spans="2:34" x14ac:dyDescent="0.2">
      <c r="B23" s="2">
        <f ca="1"/>
        <v>0.69341481069280442</v>
      </c>
      <c r="O23" s="2">
        <f ca="1"/>
        <v>4.0413330474763955E-2</v>
      </c>
      <c r="X23" s="2">
        <f ca="1"/>
        <v>39.041142898481745</v>
      </c>
      <c r="Z23" s="67" t="s">
        <v>282</v>
      </c>
      <c r="AA23" s="67" t="s">
        <v>284</v>
      </c>
      <c r="AG23" s="2">
        <f ca="1"/>
        <v>8.9491041929123938E-4</v>
      </c>
      <c r="AH23" s="2" t="str">
        <f ca="1"/>
        <v>Good</v>
      </c>
    </row>
    <row r="24" spans="2:34" x14ac:dyDescent="0.2">
      <c r="B24" s="2">
        <f ca="1"/>
        <v>0.31894758691721381</v>
      </c>
      <c r="O24" s="2">
        <f ca="1"/>
        <v>0.39050909334337264</v>
      </c>
      <c r="X24" s="2">
        <f ca="1"/>
        <v>33.500893762846211</v>
      </c>
      <c r="Z24" s="67">
        <f>10*5</f>
        <v>50</v>
      </c>
      <c r="AA24" s="67">
        <f>10*5^2</f>
        <v>250</v>
      </c>
      <c r="AG24" s="2">
        <f ca="1"/>
        <v>1.0136979436185412E-2</v>
      </c>
      <c r="AH24" s="2" t="str">
        <f ca="1"/>
        <v>Good</v>
      </c>
    </row>
    <row r="25" spans="2:34" x14ac:dyDescent="0.2">
      <c r="B25" s="2">
        <f ca="1"/>
        <v>0.4786888209063227</v>
      </c>
      <c r="O25" s="2">
        <f ca="1"/>
        <v>-0.73789730132026854</v>
      </c>
      <c r="X25" s="2">
        <f ca="1"/>
        <v>63.43935750707719</v>
      </c>
      <c r="AG25" s="2">
        <f ca="1"/>
        <v>0.46949769944082376</v>
      </c>
      <c r="AH25" s="2" t="str">
        <f ca="1"/>
        <v>Bad</v>
      </c>
    </row>
    <row r="26" spans="2:34" x14ac:dyDescent="0.2">
      <c r="B26" s="2">
        <f ca="1"/>
        <v>0.6940667743600466</v>
      </c>
      <c r="O26" s="2">
        <f ca="1"/>
        <v>-2.4317451957762994</v>
      </c>
      <c r="X26" s="2">
        <f ca="1"/>
        <v>75.483515785615992</v>
      </c>
      <c r="AG26" s="2">
        <f ca="1"/>
        <v>0.90180281809719331</v>
      </c>
      <c r="AH26" s="2" t="str">
        <f ca="1"/>
        <v>Bad</v>
      </c>
    </row>
    <row r="27" spans="2:34" x14ac:dyDescent="0.2">
      <c r="B27" s="2">
        <f ca="1"/>
        <v>0.28105091449600716</v>
      </c>
      <c r="O27" s="2">
        <f ca="1"/>
        <v>1.0168843425528313</v>
      </c>
      <c r="X27" s="2">
        <f ca="1"/>
        <v>59.791362249671423</v>
      </c>
      <c r="AG27" s="2">
        <f ca="1"/>
        <v>0.4138096147983481</v>
      </c>
      <c r="AH27" s="2" t="str">
        <f ca="1"/>
        <v>Bad</v>
      </c>
    </row>
    <row r="28" spans="2:34" x14ac:dyDescent="0.2">
      <c r="B28" s="2">
        <f ca="1"/>
        <v>0.68921112503412152</v>
      </c>
      <c r="O28" s="2">
        <f ca="1"/>
        <v>0.35622657610104641</v>
      </c>
      <c r="X28" s="2">
        <f ca="1"/>
        <v>66.951630064430944</v>
      </c>
      <c r="AG28" s="2">
        <f ca="1"/>
        <v>0.84386142631386241</v>
      </c>
      <c r="AH28" s="2" t="str">
        <f ca="1"/>
        <v>Bad</v>
      </c>
    </row>
    <row r="29" spans="2:34" x14ac:dyDescent="0.2">
      <c r="B29" s="2">
        <f ca="1"/>
        <v>0.32058470395118333</v>
      </c>
      <c r="O29" s="2">
        <f ca="1"/>
        <v>9.6164582730486461E-2</v>
      </c>
      <c r="X29" s="2">
        <f ca="1"/>
        <v>60.375645334811111</v>
      </c>
      <c r="AG29" s="2">
        <f ca="1"/>
        <v>0.43576883912546327</v>
      </c>
      <c r="AH29" s="2" t="str">
        <f ca="1"/>
        <v>Bad</v>
      </c>
    </row>
    <row r="30" spans="2:34" x14ac:dyDescent="0.2">
      <c r="B30" s="2">
        <f ca="1"/>
        <v>0.5821638612696185</v>
      </c>
      <c r="D30" t="s">
        <v>282</v>
      </c>
      <c r="E30" t="s">
        <v>286</v>
      </c>
      <c r="O30" s="2">
        <f ca="1"/>
        <v>0.85631813466226814</v>
      </c>
      <c r="X30" s="2">
        <f ca="1"/>
        <v>47.929568423504094</v>
      </c>
      <c r="AG30" s="2">
        <f ca="1"/>
        <v>0.79925964700966357</v>
      </c>
      <c r="AH30" s="2" t="str">
        <f ca="1"/>
        <v>Bad</v>
      </c>
    </row>
    <row r="31" spans="2:34" x14ac:dyDescent="0.2">
      <c r="B31" s="2">
        <f ca="1"/>
        <v>0.5589229940064584</v>
      </c>
      <c r="D31">
        <f ca="1">AVERAGE(_xlfn.ANCHORARRAY(B14))</f>
        <v>0.4989240365423695</v>
      </c>
      <c r="E31">
        <f ca="1">VAR(_xlfn.ANCHORARRAY(B14))</f>
        <v>8.3732813225710426E-2</v>
      </c>
      <c r="O31" s="2">
        <f ca="1"/>
        <v>0.47704354396342319</v>
      </c>
      <c r="X31" s="2">
        <f ca="1"/>
        <v>60.7397470625408</v>
      </c>
      <c r="AG31" s="2">
        <f ca="1"/>
        <v>0.71887327498805753</v>
      </c>
      <c r="AH31" s="2" t="str">
        <f ca="1"/>
        <v>Bad</v>
      </c>
    </row>
    <row r="32" spans="2:34" x14ac:dyDescent="0.2">
      <c r="B32" s="2">
        <f ca="1"/>
        <v>0.24229369769233555</v>
      </c>
      <c r="O32" s="2">
        <f ca="1"/>
        <v>1.2368654377297876</v>
      </c>
      <c r="X32" s="2">
        <f ca="1"/>
        <v>69.084101739924378</v>
      </c>
      <c r="AG32" s="2">
        <f ca="1"/>
        <v>0.55422619847336696</v>
      </c>
      <c r="AH32" s="2" t="str">
        <f ca="1"/>
        <v>Bad</v>
      </c>
    </row>
    <row r="33" spans="2:34" x14ac:dyDescent="0.2">
      <c r="B33" s="2">
        <f ca="1"/>
        <v>0.68198654441555373</v>
      </c>
      <c r="E33" s="67" t="s">
        <v>287</v>
      </c>
      <c r="O33" s="2">
        <f ca="1"/>
        <v>-1.0851370431202065</v>
      </c>
      <c r="X33" s="2">
        <f ca="1"/>
        <v>56.424308046425949</v>
      </c>
      <c r="AG33" s="2">
        <f ca="1"/>
        <v>0.38347835621356641</v>
      </c>
      <c r="AH33" s="2" t="str">
        <f ca="1"/>
        <v>OK</v>
      </c>
    </row>
    <row r="34" spans="2:34" x14ac:dyDescent="0.2">
      <c r="B34" s="2">
        <f ca="1"/>
        <v>0.51777350753787421</v>
      </c>
      <c r="E34" s="67">
        <f>1/12</f>
        <v>8.3333333333333329E-2</v>
      </c>
      <c r="O34" s="2">
        <f ca="1"/>
        <v>3.254206229326826E-2</v>
      </c>
      <c r="X34" s="2">
        <f ca="1"/>
        <v>83.192660515990312</v>
      </c>
      <c r="AG34" s="2">
        <f ca="1"/>
        <v>9.9576397553734708E-2</v>
      </c>
      <c r="AH34" s="2" t="str">
        <f ca="1"/>
        <v>OK</v>
      </c>
    </row>
    <row r="35" spans="2:34" x14ac:dyDescent="0.2">
      <c r="B35" s="2">
        <f ca="1"/>
        <v>0.65540277406804748</v>
      </c>
      <c r="O35" s="2">
        <f ca="1"/>
        <v>-0.58653096588271503</v>
      </c>
      <c r="X35" s="2">
        <f ca="1"/>
        <v>79.266293666531936</v>
      </c>
      <c r="AG35" s="2">
        <f ca="1"/>
        <v>0.97280045141767268</v>
      </c>
      <c r="AH35" s="2" t="str">
        <f ca="1"/>
        <v>Bad</v>
      </c>
    </row>
    <row r="36" spans="2:34" x14ac:dyDescent="0.2">
      <c r="B36" s="2">
        <f ca="1"/>
        <v>0.79170284356731147</v>
      </c>
      <c r="O36" s="2">
        <f ca="1"/>
        <v>-9.8575093197014133E-3</v>
      </c>
      <c r="X36" s="2">
        <f ca="1"/>
        <v>36.397746490136541</v>
      </c>
      <c r="AG36" s="2">
        <f ca="1"/>
        <v>0.29074151288763073</v>
      </c>
      <c r="AH36" s="2" t="str">
        <f ca="1"/>
        <v>OK</v>
      </c>
    </row>
    <row r="37" spans="2:34" x14ac:dyDescent="0.2">
      <c r="B37" s="2">
        <f ca="1"/>
        <v>0.34124183419897247</v>
      </c>
      <c r="O37" s="2">
        <f ca="1"/>
        <v>0.48240097514723124</v>
      </c>
      <c r="X37" s="2">
        <f ca="1"/>
        <v>49.472824733698445</v>
      </c>
      <c r="AG37" s="2">
        <f ca="1"/>
        <v>0.9590045466909829</v>
      </c>
      <c r="AH37" s="2" t="str">
        <f ca="1"/>
        <v>Bad</v>
      </c>
    </row>
    <row r="38" spans="2:34" x14ac:dyDescent="0.2">
      <c r="B38" s="2">
        <f ca="1"/>
        <v>0.47896429104828742</v>
      </c>
      <c r="O38" s="2">
        <f ca="1"/>
        <v>-0.40894331166868253</v>
      </c>
      <c r="X38" s="2">
        <f ca="1"/>
        <v>47.925417506275537</v>
      </c>
      <c r="AG38" s="2">
        <f ca="1"/>
        <v>0.25751753907168529</v>
      </c>
      <c r="AH38" s="2" t="str">
        <f ca="1"/>
        <v>OK</v>
      </c>
    </row>
    <row r="39" spans="2:34" x14ac:dyDescent="0.2">
      <c r="B39" s="2">
        <f ca="1"/>
        <v>0.29265246736539363</v>
      </c>
      <c r="O39" s="2">
        <f ca="1"/>
        <v>-2.0595694657495747E-2</v>
      </c>
      <c r="X39" s="2">
        <f ca="1"/>
        <v>42.125451495310308</v>
      </c>
      <c r="AG39" s="2">
        <f ca="1"/>
        <v>9.2571121089907837E-2</v>
      </c>
      <c r="AH39" s="2" t="str">
        <f ca="1"/>
        <v>OK</v>
      </c>
    </row>
    <row r="40" spans="2:34" x14ac:dyDescent="0.2">
      <c r="B40" s="2">
        <f ca="1"/>
        <v>0.76891706786416325</v>
      </c>
      <c r="O40" s="2">
        <f ca="1"/>
        <v>1.9087319333940858</v>
      </c>
      <c r="X40" s="2">
        <f ca="1"/>
        <v>69.247136147310812</v>
      </c>
      <c r="AG40" s="2">
        <f ca="1"/>
        <v>0.22196937149277551</v>
      </c>
      <c r="AH40" s="2" t="str">
        <f ca="1"/>
        <v>OK</v>
      </c>
    </row>
    <row r="41" spans="2:34" x14ac:dyDescent="0.2">
      <c r="B41" s="2">
        <f ca="1"/>
        <v>0.39621258224170686</v>
      </c>
      <c r="O41" s="2">
        <f ca="1"/>
        <v>-0.15773181196811506</v>
      </c>
      <c r="X41" s="2">
        <f ca="1"/>
        <v>48.699281349219923</v>
      </c>
      <c r="AG41" s="2">
        <f ca="1"/>
        <v>0.52856707784953083</v>
      </c>
      <c r="AH41" s="2" t="str">
        <f ca="1"/>
        <v>Bad</v>
      </c>
    </row>
    <row r="42" spans="2:34" x14ac:dyDescent="0.2">
      <c r="B42" s="2">
        <f ca="1"/>
        <v>0.72368961423011458</v>
      </c>
      <c r="O42" s="2">
        <f ca="1"/>
        <v>1.7982745645250624</v>
      </c>
      <c r="X42" s="2">
        <f ca="1"/>
        <v>70.138900198345397</v>
      </c>
      <c r="AG42" s="2">
        <f ca="1"/>
        <v>0.18847496208074954</v>
      </c>
      <c r="AH42" s="2" t="str">
        <f ca="1"/>
        <v>OK</v>
      </c>
    </row>
    <row r="43" spans="2:34" x14ac:dyDescent="0.2">
      <c r="B43" s="2">
        <f ca="1"/>
        <v>0.29928611994702314</v>
      </c>
      <c r="O43" s="2">
        <f ca="1"/>
        <v>-2.7225602447372916E-4</v>
      </c>
      <c r="X43" s="2">
        <f ca="1"/>
        <v>40.533099799865361</v>
      </c>
      <c r="AG43" s="2">
        <f ca="1"/>
        <v>0.57792848364840665</v>
      </c>
      <c r="AH43" s="2" t="str">
        <f ca="1"/>
        <v>Bad</v>
      </c>
    </row>
    <row r="44" spans="2:34" x14ac:dyDescent="0.2">
      <c r="B44" s="2">
        <f ca="1"/>
        <v>0.79682030990407826</v>
      </c>
      <c r="O44" s="2">
        <f ca="1"/>
        <v>0.59951319272749948</v>
      </c>
      <c r="X44" s="2">
        <f ca="1"/>
        <v>59.023689405258381</v>
      </c>
      <c r="AG44" s="2">
        <f ca="1"/>
        <v>0.6712019909577569</v>
      </c>
      <c r="AH44" s="2" t="str">
        <f ca="1"/>
        <v>Bad</v>
      </c>
    </row>
    <row r="45" spans="2:34" x14ac:dyDescent="0.2">
      <c r="B45" s="2">
        <f ca="1"/>
        <v>0.32141258436030373</v>
      </c>
      <c r="O45" s="2">
        <f ca="1"/>
        <v>-1.3029807733384415</v>
      </c>
      <c r="X45" s="2">
        <f ca="1"/>
        <v>52.419052722340716</v>
      </c>
      <c r="AG45" s="2">
        <f ca="1"/>
        <v>0.65405238170171454</v>
      </c>
      <c r="AH45" s="2" t="str">
        <f ca="1"/>
        <v>Bad</v>
      </c>
    </row>
    <row r="46" spans="2:34" x14ac:dyDescent="0.2">
      <c r="B46" s="2">
        <f ca="1"/>
        <v>0.64324217154229602</v>
      </c>
      <c r="O46" s="2">
        <f ca="1"/>
        <v>1.1911451202134824</v>
      </c>
      <c r="X46" s="2">
        <f ca="1"/>
        <v>51.882359126248602</v>
      </c>
      <c r="AG46" s="2">
        <f ca="1"/>
        <v>0.61438915212186318</v>
      </c>
      <c r="AH46" s="2" t="str">
        <f ca="1"/>
        <v>Bad</v>
      </c>
    </row>
    <row r="47" spans="2:34" x14ac:dyDescent="0.2">
      <c r="B47" s="2">
        <f ca="1"/>
        <v>1.0832688465993501E-2</v>
      </c>
      <c r="O47" s="2">
        <f ca="1"/>
        <v>-0.65579748682621442</v>
      </c>
      <c r="X47" s="2">
        <f ca="1"/>
        <v>48.801323800317</v>
      </c>
      <c r="AG47" s="2">
        <f ca="1"/>
        <v>0.74392515265438464</v>
      </c>
      <c r="AH47" s="2" t="str">
        <f ca="1"/>
        <v>Bad</v>
      </c>
    </row>
    <row r="48" spans="2:34" x14ac:dyDescent="0.2">
      <c r="B48" s="2">
        <f ca="1"/>
        <v>0.77616358293453547</v>
      </c>
      <c r="O48" s="2">
        <f ca="1"/>
        <v>0.53512619947294837</v>
      </c>
      <c r="X48" s="2">
        <f ca="1"/>
        <v>45.582929569422816</v>
      </c>
      <c r="AG48" s="2">
        <f ca="1"/>
        <v>0.55200135739327738</v>
      </c>
      <c r="AH48" s="2" t="str">
        <f ca="1"/>
        <v>Bad</v>
      </c>
    </row>
    <row r="49" spans="2:34" x14ac:dyDescent="0.2">
      <c r="B49" s="2">
        <f ca="1"/>
        <v>0.18149606270836682</v>
      </c>
      <c r="O49" s="2">
        <f ca="1"/>
        <v>0.64709835339548671</v>
      </c>
      <c r="X49" s="2">
        <f ca="1"/>
        <v>52.255593879209755</v>
      </c>
      <c r="AG49" s="2">
        <f ca="1"/>
        <v>0.63784055574105381</v>
      </c>
      <c r="AH49" s="2" t="str">
        <f ca="1"/>
        <v>Bad</v>
      </c>
    </row>
    <row r="50" spans="2:34" x14ac:dyDescent="0.2">
      <c r="B50" s="2">
        <f ca="1"/>
        <v>0.22246342716395096</v>
      </c>
      <c r="O50" s="2">
        <f ca="1"/>
        <v>-0.35006280262236067</v>
      </c>
      <c r="X50" s="2">
        <f ca="1"/>
        <v>32.589601990286525</v>
      </c>
      <c r="AG50" s="2">
        <f ca="1"/>
        <v>0.96906822324350395</v>
      </c>
      <c r="AH50" s="2" t="str">
        <f ca="1"/>
        <v>Bad</v>
      </c>
    </row>
    <row r="51" spans="2:34" x14ac:dyDescent="0.2">
      <c r="B51" s="2">
        <f ca="1"/>
        <v>0.94236960717714546</v>
      </c>
      <c r="O51" s="2">
        <f ca="1"/>
        <v>-0.81726345008331358</v>
      </c>
      <c r="X51" s="2">
        <f ca="1"/>
        <v>48.259895097828107</v>
      </c>
      <c r="AG51" s="2">
        <f ca="1"/>
        <v>0.18219142145338485</v>
      </c>
      <c r="AH51" s="2" t="str">
        <f ca="1"/>
        <v>OK</v>
      </c>
    </row>
    <row r="52" spans="2:34" x14ac:dyDescent="0.2">
      <c r="B52" s="2">
        <f ca="1"/>
        <v>0.27176509753041778</v>
      </c>
      <c r="O52" s="2">
        <f ca="1"/>
        <v>0.19094530904382248</v>
      </c>
      <c r="X52" s="2">
        <f ca="1"/>
        <v>38.443734053655831</v>
      </c>
      <c r="AG52" s="2">
        <f ca="1"/>
        <v>0.72916102332393051</v>
      </c>
      <c r="AH52" s="2" t="str">
        <f ca="1"/>
        <v>Bad</v>
      </c>
    </row>
    <row r="53" spans="2:34" x14ac:dyDescent="0.2">
      <c r="B53" s="2">
        <f ca="1"/>
        <v>0.19091861812600053</v>
      </c>
      <c r="O53" s="2">
        <f ca="1"/>
        <v>-0.91842044517426069</v>
      </c>
      <c r="X53" s="2">
        <f ca="1"/>
        <v>53.174678969452813</v>
      </c>
      <c r="AG53" s="2">
        <f ca="1"/>
        <v>0.90448966537998921</v>
      </c>
      <c r="AH53" s="2" t="str">
        <f ca="1"/>
        <v>Bad</v>
      </c>
    </row>
    <row r="54" spans="2:34" x14ac:dyDescent="0.2">
      <c r="B54" s="2">
        <f ca="1"/>
        <v>0.6074741140579365</v>
      </c>
      <c r="O54" s="2">
        <f ca="1"/>
        <v>1.0140798637988331</v>
      </c>
      <c r="X54" s="2">
        <f ca="1"/>
        <v>66.279894519317679</v>
      </c>
      <c r="AG54" s="2">
        <f ca="1"/>
        <v>5.3850456643999012E-2</v>
      </c>
      <c r="AH54" s="2" t="str">
        <f ca="1"/>
        <v>OK</v>
      </c>
    </row>
    <row r="55" spans="2:34" x14ac:dyDescent="0.2">
      <c r="B55" s="2">
        <f ca="1"/>
        <v>0.19140060404641313</v>
      </c>
      <c r="O55" s="2">
        <f ca="1"/>
        <v>2.3371467001998836</v>
      </c>
      <c r="X55" s="2">
        <f ca="1"/>
        <v>48.160466606105281</v>
      </c>
      <c r="AG55" s="2">
        <f ca="1"/>
        <v>0.20329270989139547</v>
      </c>
      <c r="AH55" s="2" t="str">
        <f ca="1"/>
        <v>OK</v>
      </c>
    </row>
    <row r="56" spans="2:34" x14ac:dyDescent="0.2">
      <c r="B56" s="2">
        <f ca="1"/>
        <v>0.98337619712322621</v>
      </c>
      <c r="O56" s="2">
        <f ca="1"/>
        <v>-1.9716772106798983</v>
      </c>
      <c r="X56" s="2">
        <f ca="1"/>
        <v>43.650521584225153</v>
      </c>
      <c r="AG56" s="2">
        <f ca="1"/>
        <v>0.46615746335511843</v>
      </c>
      <c r="AH56" s="2" t="str">
        <f ca="1"/>
        <v>Bad</v>
      </c>
    </row>
    <row r="57" spans="2:34" x14ac:dyDescent="0.2">
      <c r="B57" s="2">
        <f ca="1"/>
        <v>0.30813450409731202</v>
      </c>
      <c r="O57" s="2">
        <f ca="1"/>
        <v>0.20907226036494769</v>
      </c>
      <c r="X57" s="2">
        <f ca="1"/>
        <v>111.46036928024481</v>
      </c>
      <c r="AG57" s="2">
        <f ca="1"/>
        <v>0.79856318421125239</v>
      </c>
      <c r="AH57" s="2" t="str">
        <f ca="1"/>
        <v>Bad</v>
      </c>
    </row>
    <row r="58" spans="2:34" x14ac:dyDescent="0.2">
      <c r="B58" s="2">
        <f ca="1"/>
        <v>0.76031493736988387</v>
      </c>
      <c r="O58" s="2">
        <f ca="1"/>
        <v>-1.3579278788737759</v>
      </c>
      <c r="X58" s="2">
        <f ca="1"/>
        <v>43.473567800766233</v>
      </c>
      <c r="AG58" s="2">
        <f ca="1"/>
        <v>1.7903852115518815E-2</v>
      </c>
      <c r="AH58" s="2" t="str">
        <f ca="1"/>
        <v>Good</v>
      </c>
    </row>
    <row r="59" spans="2:34" x14ac:dyDescent="0.2">
      <c r="B59" s="2">
        <f ca="1"/>
        <v>0.97814255344100665</v>
      </c>
      <c r="O59" s="2">
        <f ca="1"/>
        <v>-0.80289277552956995</v>
      </c>
      <c r="X59" s="2">
        <f ca="1"/>
        <v>19.615832976454723</v>
      </c>
      <c r="AG59" s="2">
        <f ca="1"/>
        <v>0.52324463506805929</v>
      </c>
      <c r="AH59" s="2" t="str">
        <f ca="1"/>
        <v>Bad</v>
      </c>
    </row>
    <row r="60" spans="2:34" x14ac:dyDescent="0.2">
      <c r="B60" s="2">
        <f ca="1"/>
        <v>0.56315314485316126</v>
      </c>
      <c r="O60" s="2">
        <f ca="1"/>
        <v>1.289816211622566</v>
      </c>
      <c r="X60" s="2">
        <f ca="1"/>
        <v>46.6797064622194</v>
      </c>
      <c r="AG60" s="2">
        <f ca="1"/>
        <v>0.21226654873598627</v>
      </c>
      <c r="AH60" s="2" t="str">
        <f ca="1"/>
        <v>OK</v>
      </c>
    </row>
    <row r="61" spans="2:34" x14ac:dyDescent="0.2">
      <c r="B61" s="2">
        <f ca="1"/>
        <v>0.17620359933578889</v>
      </c>
      <c r="O61" s="2">
        <f ca="1"/>
        <v>1.1396518585039948</v>
      </c>
      <c r="X61" s="2">
        <f ca="1"/>
        <v>40.252420663326653</v>
      </c>
      <c r="AG61" s="2">
        <f ca="1"/>
        <v>0.6260511248084466</v>
      </c>
      <c r="AH61" s="2" t="str">
        <f ca="1"/>
        <v>Bad</v>
      </c>
    </row>
    <row r="62" spans="2:34" x14ac:dyDescent="0.2">
      <c r="B62" s="2">
        <f ca="1"/>
        <v>0.59103389242608984</v>
      </c>
      <c r="O62" s="2">
        <f ca="1"/>
        <v>-1.3146025297245794</v>
      </c>
      <c r="X62" s="2">
        <f ca="1"/>
        <v>58.268562125172288</v>
      </c>
      <c r="AG62" s="2">
        <f ca="1"/>
        <v>0.96906652124847126</v>
      </c>
      <c r="AH62" s="2" t="str">
        <f ca="1"/>
        <v>Bad</v>
      </c>
    </row>
    <row r="63" spans="2:34" x14ac:dyDescent="0.2">
      <c r="B63" s="2">
        <f ca="1"/>
        <v>0.89263356556498263</v>
      </c>
      <c r="O63" s="2">
        <f ca="1"/>
        <v>-0.37856098527175747</v>
      </c>
      <c r="X63" s="2">
        <f ca="1"/>
        <v>57.53997966770099</v>
      </c>
      <c r="AG63" s="2">
        <f ca="1"/>
        <v>0.39518526104980012</v>
      </c>
      <c r="AH63" s="2" t="str">
        <f ca="1"/>
        <v>OK</v>
      </c>
    </row>
    <row r="64" spans="2:34" x14ac:dyDescent="0.2">
      <c r="B64" s="2">
        <f ca="1"/>
        <v>0.57773261947106214</v>
      </c>
      <c r="O64" s="2">
        <f ca="1"/>
        <v>1.748446474278514</v>
      </c>
      <c r="X64" s="2">
        <f ca="1"/>
        <v>58.198508274192577</v>
      </c>
      <c r="AG64" s="2">
        <f ca="1"/>
        <v>7.5834990942770686E-2</v>
      </c>
      <c r="AH64" s="2" t="str">
        <f ca="1"/>
        <v>OK</v>
      </c>
    </row>
    <row r="65" spans="2:34" x14ac:dyDescent="0.2">
      <c r="B65" s="2">
        <f ca="1"/>
        <v>0.4919583300129784</v>
      </c>
      <c r="O65" s="2">
        <f ca="1"/>
        <v>5.820077184565306E-2</v>
      </c>
      <c r="X65" s="2">
        <f ca="1"/>
        <v>45.24854582669218</v>
      </c>
      <c r="AG65" s="2">
        <f ca="1"/>
        <v>0.87535885987256812</v>
      </c>
      <c r="AH65" s="2" t="str">
        <f ca="1"/>
        <v>Bad</v>
      </c>
    </row>
    <row r="66" spans="2:34" x14ac:dyDescent="0.2">
      <c r="B66" s="2">
        <f ca="1"/>
        <v>0.79561716616642864</v>
      </c>
      <c r="O66" s="2">
        <f ca="1"/>
        <v>-1.1709188175901744</v>
      </c>
      <c r="X66" s="2">
        <f ca="1"/>
        <v>23.781081231232552</v>
      </c>
      <c r="AG66" s="2">
        <f ca="1"/>
        <v>5.9759565715357565E-2</v>
      </c>
      <c r="AH66" s="2" t="str">
        <f ca="1"/>
        <v>OK</v>
      </c>
    </row>
    <row r="67" spans="2:34" x14ac:dyDescent="0.2">
      <c r="B67" s="2">
        <f ca="1"/>
        <v>0.78738828146201523</v>
      </c>
      <c r="O67" s="2">
        <f ca="1"/>
        <v>0.34579282517594789</v>
      </c>
      <c r="X67" s="2">
        <f ca="1"/>
        <v>68.564058387624527</v>
      </c>
      <c r="AG67" s="2">
        <f ca="1"/>
        <v>0.53679528383275543</v>
      </c>
      <c r="AH67" s="2" t="str">
        <f ca="1"/>
        <v>Bad</v>
      </c>
    </row>
    <row r="68" spans="2:34" x14ac:dyDescent="0.2">
      <c r="B68" s="2">
        <f ca="1"/>
        <v>0.17683983373481915</v>
      </c>
      <c r="O68" s="2">
        <f ca="1"/>
        <v>0.94289431353930186</v>
      </c>
      <c r="X68" s="2">
        <f ca="1"/>
        <v>35.599788640179824</v>
      </c>
      <c r="AG68" s="2">
        <f ca="1"/>
        <v>0.4768930310332804</v>
      </c>
      <c r="AH68" s="2" t="str">
        <f ca="1"/>
        <v>Bad</v>
      </c>
    </row>
    <row r="69" spans="2:34" x14ac:dyDescent="0.2">
      <c r="B69" s="2">
        <f ca="1"/>
        <v>0.47394739021182697</v>
      </c>
      <c r="O69" s="2">
        <f ca="1"/>
        <v>-0.82913711340597507</v>
      </c>
      <c r="X69" s="2">
        <f ca="1"/>
        <v>32.162466284718263</v>
      </c>
      <c r="AG69" s="2">
        <f ca="1"/>
        <v>0.99912098825771078</v>
      </c>
      <c r="AH69" s="2" t="str">
        <f ca="1"/>
        <v>Bad</v>
      </c>
    </row>
    <row r="70" spans="2:34" x14ac:dyDescent="0.2">
      <c r="B70" s="2">
        <f ca="1"/>
        <v>0.17475499383065674</v>
      </c>
      <c r="O70" s="2">
        <f ca="1"/>
        <v>0.94370399647102421</v>
      </c>
      <c r="X70" s="2">
        <f ca="1"/>
        <v>77.237209011480573</v>
      </c>
      <c r="AG70" s="2">
        <f ca="1"/>
        <v>9.3124326252072898E-2</v>
      </c>
      <c r="AH70" s="2" t="str">
        <f ca="1"/>
        <v>OK</v>
      </c>
    </row>
    <row r="71" spans="2:34" x14ac:dyDescent="0.2">
      <c r="B71" s="2">
        <f ca="1"/>
        <v>7.0641037799707762E-2</v>
      </c>
      <c r="O71" s="2">
        <f ca="1"/>
        <v>2.2630132907260871</v>
      </c>
      <c r="X71" s="2">
        <f ca="1"/>
        <v>48.704494946484964</v>
      </c>
      <c r="AG71" s="2">
        <f ca="1"/>
        <v>0.34926611478390734</v>
      </c>
      <c r="AH71" s="2" t="str">
        <f ca="1"/>
        <v>OK</v>
      </c>
    </row>
    <row r="72" spans="2:34" x14ac:dyDescent="0.2">
      <c r="B72" s="2">
        <f ca="1"/>
        <v>0.63175430459062709</v>
      </c>
      <c r="O72" s="2">
        <f ca="1"/>
        <v>1.3299292839835108</v>
      </c>
      <c r="X72" s="2">
        <f ca="1"/>
        <v>57.934708849922281</v>
      </c>
      <c r="AG72" s="2">
        <f ca="1"/>
        <v>4.7416750892103954E-2</v>
      </c>
      <c r="AH72" s="2" t="str">
        <f ca="1"/>
        <v>Good</v>
      </c>
    </row>
    <row r="73" spans="2:34" x14ac:dyDescent="0.2">
      <c r="B73" s="2">
        <f ca="1"/>
        <v>7.2537785038068403E-2</v>
      </c>
      <c r="O73" s="2">
        <f ca="1"/>
        <v>-2.3590454698903768E-2</v>
      </c>
      <c r="X73" s="2">
        <f ca="1"/>
        <v>65.118167925391546</v>
      </c>
      <c r="AG73" s="2">
        <f ca="1"/>
        <v>4.8124964799593162E-2</v>
      </c>
      <c r="AH73" s="2" t="str">
        <f ca="1"/>
        <v>Good</v>
      </c>
    </row>
    <row r="74" spans="2:34" x14ac:dyDescent="0.2">
      <c r="B74" s="2">
        <f ca="1"/>
        <v>0.14726427576984524</v>
      </c>
      <c r="O74" s="2">
        <f ca="1"/>
        <v>-1.5928763301921345</v>
      </c>
      <c r="X74" s="2">
        <f ca="1"/>
        <v>49.851557648563308</v>
      </c>
      <c r="AG74" s="2">
        <f ca="1"/>
        <v>0.24369209239926115</v>
      </c>
      <c r="AH74" s="2" t="str">
        <f ca="1"/>
        <v>OK</v>
      </c>
    </row>
    <row r="75" spans="2:34" x14ac:dyDescent="0.2">
      <c r="B75" s="2">
        <f ca="1"/>
        <v>0.68710883159687519</v>
      </c>
      <c r="O75" s="2">
        <f ca="1"/>
        <v>0.67743457364908288</v>
      </c>
      <c r="X75" s="2">
        <f ca="1"/>
        <v>52.359443719850908</v>
      </c>
      <c r="AG75" s="2">
        <f ca="1"/>
        <v>0.88307484949261728</v>
      </c>
      <c r="AH75" s="2" t="str">
        <f ca="1"/>
        <v>Bad</v>
      </c>
    </row>
    <row r="76" spans="2:34" x14ac:dyDescent="0.2">
      <c r="B76" s="2">
        <f ca="1"/>
        <v>0.35205273121378133</v>
      </c>
      <c r="O76" s="2">
        <f ca="1"/>
        <v>-0.62280310836807551</v>
      </c>
      <c r="X76" s="2">
        <f ca="1"/>
        <v>37.477931752034038</v>
      </c>
      <c r="AG76" s="2">
        <f ca="1"/>
        <v>0.41142221809172241</v>
      </c>
      <c r="AH76" s="2" t="str">
        <f ca="1"/>
        <v>Bad</v>
      </c>
    </row>
    <row r="77" spans="2:34" x14ac:dyDescent="0.2">
      <c r="B77" s="2">
        <f ca="1"/>
        <v>0.38525438095228326</v>
      </c>
      <c r="O77" s="2">
        <f ca="1"/>
        <v>0.60625286272764378</v>
      </c>
      <c r="X77" s="2">
        <f ca="1"/>
        <v>41.837869859347656</v>
      </c>
      <c r="AG77" s="2">
        <f ca="1"/>
        <v>0.94988319632174978</v>
      </c>
      <c r="AH77" s="2" t="str">
        <f ca="1"/>
        <v>Bad</v>
      </c>
    </row>
    <row r="78" spans="2:34" x14ac:dyDescent="0.2">
      <c r="B78" s="2">
        <f ca="1"/>
        <v>0.93509227105190496</v>
      </c>
      <c r="O78" s="2">
        <f ca="1"/>
        <v>0.58878778489188821</v>
      </c>
      <c r="X78" s="2">
        <f ca="1"/>
        <v>50.381409420072501</v>
      </c>
      <c r="AG78" s="2">
        <f ca="1"/>
        <v>0.93336221632165994</v>
      </c>
      <c r="AH78" s="2" t="str">
        <f ca="1"/>
        <v>Bad</v>
      </c>
    </row>
    <row r="79" spans="2:34" x14ac:dyDescent="0.2">
      <c r="B79" s="2">
        <f ca="1"/>
        <v>0.73924453056933737</v>
      </c>
      <c r="O79" s="2">
        <f ca="1"/>
        <v>1.132115139749218</v>
      </c>
      <c r="X79" s="2">
        <f ca="1"/>
        <v>56.112230290737102</v>
      </c>
      <c r="AG79" s="2">
        <f ca="1"/>
        <v>0.27293881959525867</v>
      </c>
      <c r="AH79" s="2" t="str">
        <f ca="1"/>
        <v>OK</v>
      </c>
    </row>
    <row r="80" spans="2:34" x14ac:dyDescent="0.2">
      <c r="B80" s="2">
        <f ca="1"/>
        <v>0.14026577413792141</v>
      </c>
      <c r="O80" s="2">
        <f ca="1"/>
        <v>1.6185536774927614</v>
      </c>
      <c r="X80" s="2">
        <f ca="1"/>
        <v>21.579179934335482</v>
      </c>
      <c r="AG80" s="2">
        <f ca="1"/>
        <v>0.40021029664732732</v>
      </c>
      <c r="AH80" s="2" t="str">
        <f ca="1"/>
        <v>Bad</v>
      </c>
    </row>
    <row r="81" spans="2:34" x14ac:dyDescent="0.2">
      <c r="B81" s="2">
        <f ca="1"/>
        <v>0.26262752241492748</v>
      </c>
      <c r="O81" s="2">
        <f ca="1"/>
        <v>0.70294909736430844</v>
      </c>
      <c r="X81" s="2">
        <f ca="1"/>
        <v>50.817126910265003</v>
      </c>
      <c r="AG81" s="2">
        <f ca="1"/>
        <v>0.15329115468166599</v>
      </c>
      <c r="AH81" s="2" t="str">
        <f ca="1"/>
        <v>OK</v>
      </c>
    </row>
    <row r="82" spans="2:34" x14ac:dyDescent="0.2">
      <c r="B82" s="2">
        <f ca="1"/>
        <v>0.61609651705860835</v>
      </c>
      <c r="O82" s="2">
        <f ca="1"/>
        <v>-2.3890670243518337E-2</v>
      </c>
      <c r="X82" s="2">
        <f ca="1"/>
        <v>39.780845391492001</v>
      </c>
      <c r="AG82" s="2">
        <f ca="1"/>
        <v>0.91788309766177067</v>
      </c>
      <c r="AH82" s="2" t="str">
        <f ca="1"/>
        <v>Bad</v>
      </c>
    </row>
    <row r="83" spans="2:34" x14ac:dyDescent="0.2">
      <c r="B83" s="2">
        <f ca="1"/>
        <v>0.13243154994190465</v>
      </c>
      <c r="O83" s="2">
        <f ca="1"/>
        <v>0.67571991436164858</v>
      </c>
      <c r="X83" s="2">
        <f ca="1"/>
        <v>67.581429804101191</v>
      </c>
      <c r="AG83" s="2">
        <f ca="1"/>
        <v>0.20753125471834211</v>
      </c>
      <c r="AH83" s="2" t="str">
        <f ca="1"/>
        <v>OK</v>
      </c>
    </row>
    <row r="84" spans="2:34" x14ac:dyDescent="0.2">
      <c r="B84" s="2">
        <f ca="1"/>
        <v>7.0893763593369963E-2</v>
      </c>
      <c r="O84" s="2">
        <f ca="1"/>
        <v>0.86489344600211027</v>
      </c>
      <c r="X84" s="2">
        <f ca="1"/>
        <v>35.824588832774907</v>
      </c>
      <c r="AG84" s="2">
        <f ca="1"/>
        <v>0.27445153211416051</v>
      </c>
      <c r="AH84" s="2" t="str">
        <f ca="1"/>
        <v>OK</v>
      </c>
    </row>
    <row r="85" spans="2:34" x14ac:dyDescent="0.2">
      <c r="B85" s="2">
        <f ca="1"/>
        <v>0.8751538533244605</v>
      </c>
      <c r="O85" s="2">
        <f ca="1"/>
        <v>-1.0220457581906637</v>
      </c>
      <c r="X85" s="2">
        <f ca="1"/>
        <v>65.611033096106738</v>
      </c>
      <c r="AG85" s="2">
        <f ca="1"/>
        <v>0.66086267939957133</v>
      </c>
      <c r="AH85" s="2" t="str">
        <f ca="1"/>
        <v>Bad</v>
      </c>
    </row>
    <row r="86" spans="2:34" x14ac:dyDescent="0.2">
      <c r="B86" s="2">
        <f ca="1"/>
        <v>0.25479833894408044</v>
      </c>
      <c r="O86" s="2">
        <f ca="1"/>
        <v>1.2519246785145939</v>
      </c>
      <c r="X86" s="2">
        <f ca="1"/>
        <v>38.851483879031321</v>
      </c>
      <c r="AG86" s="2">
        <f ca="1"/>
        <v>0.80364052135533082</v>
      </c>
      <c r="AH86" s="2" t="str">
        <f ca="1"/>
        <v>Bad</v>
      </c>
    </row>
    <row r="87" spans="2:34" x14ac:dyDescent="0.2">
      <c r="B87" s="2">
        <f ca="1"/>
        <v>5.0616808526338097E-4</v>
      </c>
      <c r="O87" s="2">
        <f ca="1"/>
        <v>6.6000308324804663E-2</v>
      </c>
      <c r="X87" s="2">
        <f ca="1"/>
        <v>44.07380957658826</v>
      </c>
      <c r="AG87" s="2">
        <f ca="1"/>
        <v>2.4138775499086718E-2</v>
      </c>
      <c r="AH87" s="2" t="str">
        <f ca="1"/>
        <v>Good</v>
      </c>
    </row>
    <row r="88" spans="2:34" x14ac:dyDescent="0.2">
      <c r="B88" s="2">
        <f ca="1"/>
        <v>0.58255404927802323</v>
      </c>
      <c r="O88" s="2">
        <f ca="1"/>
        <v>0.75957648919372578</v>
      </c>
      <c r="X88" s="2">
        <f ca="1"/>
        <v>19.192759749305722</v>
      </c>
      <c r="AG88" s="2">
        <f ca="1"/>
        <v>0.45541243588435987</v>
      </c>
      <c r="AH88" s="2" t="str">
        <f ca="1"/>
        <v>Bad</v>
      </c>
    </row>
    <row r="89" spans="2:34" x14ac:dyDescent="0.2">
      <c r="B89" s="2">
        <f ca="1"/>
        <v>0.9028492177329801</v>
      </c>
      <c r="O89" s="2">
        <f ca="1"/>
        <v>0.17144910015657652</v>
      </c>
      <c r="X89" s="2">
        <f ca="1"/>
        <v>29.846132989331032</v>
      </c>
      <c r="AG89" s="2">
        <f ca="1"/>
        <v>0.52029246130626983</v>
      </c>
      <c r="AH89" s="2" t="str">
        <f ca="1"/>
        <v>Bad</v>
      </c>
    </row>
    <row r="90" spans="2:34" x14ac:dyDescent="0.2">
      <c r="B90" s="2">
        <f ca="1"/>
        <v>0.44608537679054661</v>
      </c>
      <c r="O90" s="2">
        <f ca="1"/>
        <v>-0.21241319254217644</v>
      </c>
      <c r="X90" s="2">
        <f ca="1"/>
        <v>59.813418952305909</v>
      </c>
      <c r="AG90" s="2">
        <f ca="1"/>
        <v>0.1466843070745989</v>
      </c>
      <c r="AH90" s="2" t="str">
        <f ca="1"/>
        <v>OK</v>
      </c>
    </row>
    <row r="91" spans="2:34" x14ac:dyDescent="0.2">
      <c r="B91" s="2">
        <f ca="1"/>
        <v>0.32791264105697193</v>
      </c>
      <c r="O91" s="2">
        <f ca="1"/>
        <v>-0.74745359574970593</v>
      </c>
      <c r="X91" s="2">
        <f ca="1"/>
        <v>29.612482543189614</v>
      </c>
      <c r="AG91" s="2">
        <f ca="1"/>
        <v>0.5791118917327327</v>
      </c>
      <c r="AH91" s="2" t="str">
        <f ca="1"/>
        <v>Bad</v>
      </c>
    </row>
    <row r="92" spans="2:34" x14ac:dyDescent="0.2">
      <c r="B92" s="2">
        <f ca="1"/>
        <v>4.7495069160764292E-2</v>
      </c>
      <c r="O92" s="2">
        <f ca="1"/>
        <v>-0.22131074969442444</v>
      </c>
      <c r="X92" s="2">
        <f ca="1"/>
        <v>16.646113089475747</v>
      </c>
      <c r="AG92" s="2">
        <f ca="1"/>
        <v>0.63190911970720087</v>
      </c>
      <c r="AH92" s="2" t="str">
        <f ca="1"/>
        <v>Bad</v>
      </c>
    </row>
    <row r="93" spans="2:34" x14ac:dyDescent="0.2">
      <c r="B93" s="2">
        <f ca="1"/>
        <v>0.48045201501714474</v>
      </c>
      <c r="O93" s="2">
        <f ca="1"/>
        <v>0.44078150448548331</v>
      </c>
      <c r="X93" s="2">
        <f ca="1"/>
        <v>38.505769023190417</v>
      </c>
      <c r="AG93" s="2">
        <f ca="1"/>
        <v>0.59149078034836045</v>
      </c>
      <c r="AH93" s="2" t="str">
        <f ca="1"/>
        <v>Bad</v>
      </c>
    </row>
    <row r="94" spans="2:34" x14ac:dyDescent="0.2">
      <c r="B94" s="2">
        <f ca="1"/>
        <v>0.86516871159989717</v>
      </c>
      <c r="O94" s="2">
        <f ca="1"/>
        <v>-8.6201976874756489E-2</v>
      </c>
      <c r="X94" s="2">
        <f ca="1"/>
        <v>53.207521914746025</v>
      </c>
      <c r="AG94" s="2">
        <f ca="1"/>
        <v>0.58784076386810047</v>
      </c>
      <c r="AH94" s="2" t="str">
        <f ca="1"/>
        <v>Bad</v>
      </c>
    </row>
    <row r="95" spans="2:34" x14ac:dyDescent="0.2">
      <c r="B95" s="2">
        <f ca="1"/>
        <v>0.28269533197745522</v>
      </c>
      <c r="O95" s="2">
        <f ca="1"/>
        <v>1.5003241095192699</v>
      </c>
      <c r="X95" s="2">
        <f ca="1"/>
        <v>47.723365105597267</v>
      </c>
      <c r="AG95" s="2">
        <f ca="1"/>
        <v>7.7839360418011205E-2</v>
      </c>
      <c r="AH95" s="2" t="str">
        <f ca="1"/>
        <v>OK</v>
      </c>
    </row>
    <row r="96" spans="2:34" x14ac:dyDescent="0.2">
      <c r="B96" s="2">
        <f ca="1"/>
        <v>0.60596353233836009</v>
      </c>
      <c r="O96" s="2">
        <f ca="1"/>
        <v>-0.66448290927868203</v>
      </c>
      <c r="X96" s="2">
        <f ca="1"/>
        <v>50.012725255421429</v>
      </c>
      <c r="AG96" s="2">
        <f ca="1"/>
        <v>0.23456782653689845</v>
      </c>
      <c r="AH96" s="2" t="str">
        <f ca="1"/>
        <v>OK</v>
      </c>
    </row>
    <row r="97" spans="2:34" x14ac:dyDescent="0.2">
      <c r="B97" s="2">
        <f ca="1"/>
        <v>0.93368344831899663</v>
      </c>
      <c r="O97" s="2">
        <f ca="1"/>
        <v>-0.46929602174175516</v>
      </c>
      <c r="X97" s="2">
        <f ca="1"/>
        <v>56.13471639188522</v>
      </c>
      <c r="AG97" s="2">
        <f ca="1"/>
        <v>0.67380870336416354</v>
      </c>
      <c r="AH97" s="2" t="str">
        <f ca="1"/>
        <v>Bad</v>
      </c>
    </row>
    <row r="98" spans="2:34" x14ac:dyDescent="0.2">
      <c r="B98" s="2">
        <f ca="1"/>
        <v>5.1402059416702617E-2</v>
      </c>
      <c r="O98" s="2">
        <f ca="1"/>
        <v>-0.33022308234496917</v>
      </c>
      <c r="X98" s="2">
        <f ca="1"/>
        <v>127.03543647390283</v>
      </c>
      <c r="AG98" s="2">
        <f ca="1"/>
        <v>0.25867594924336101</v>
      </c>
      <c r="AH98" s="2" t="str">
        <f ca="1"/>
        <v>OK</v>
      </c>
    </row>
    <row r="99" spans="2:34" x14ac:dyDescent="0.2">
      <c r="B99" s="2">
        <f ca="1"/>
        <v>0.8094963954725265</v>
      </c>
      <c r="O99" s="2">
        <f ca="1"/>
        <v>-0.44179306835525411</v>
      </c>
      <c r="X99" s="2">
        <f ca="1"/>
        <v>71.587545705697494</v>
      </c>
      <c r="AG99" s="2">
        <f ca="1"/>
        <v>0.15485393693584437</v>
      </c>
      <c r="AH99" s="2" t="str">
        <f ca="1"/>
        <v>OK</v>
      </c>
    </row>
    <row r="100" spans="2:34" x14ac:dyDescent="0.2">
      <c r="B100" s="2">
        <f ca="1"/>
        <v>0.91944189068799531</v>
      </c>
      <c r="O100" s="2">
        <f ca="1"/>
        <v>1.6202839349461824</v>
      </c>
      <c r="X100" s="2">
        <f ca="1"/>
        <v>53.214663761121415</v>
      </c>
      <c r="AG100" s="2">
        <f ca="1"/>
        <v>0.87221127114681463</v>
      </c>
      <c r="AH100" s="2" t="str">
        <f ca="1"/>
        <v>Bad</v>
      </c>
    </row>
    <row r="101" spans="2:34" x14ac:dyDescent="0.2">
      <c r="B101" s="2">
        <f ca="1"/>
        <v>0.61120563799905314</v>
      </c>
      <c r="O101" s="2">
        <f ca="1"/>
        <v>0.24898907788009514</v>
      </c>
      <c r="X101" s="2">
        <f ca="1"/>
        <v>68.270142636187373</v>
      </c>
      <c r="AG101" s="2">
        <f ca="1"/>
        <v>0.24646627287587841</v>
      </c>
      <c r="AH101" s="2" t="str">
        <f ca="1"/>
        <v>OK</v>
      </c>
    </row>
    <row r="102" spans="2:34" x14ac:dyDescent="0.2">
      <c r="B102" s="2">
        <f ca="1"/>
        <v>0.37790386691639921</v>
      </c>
      <c r="O102" s="2">
        <f ca="1"/>
        <v>-0.58727222145377589</v>
      </c>
      <c r="X102" s="2">
        <f ca="1"/>
        <v>42.199743963010334</v>
      </c>
      <c r="AG102" s="2">
        <f ca="1"/>
        <v>0.61811842223400149</v>
      </c>
      <c r="AH102" s="2" t="str">
        <f ca="1"/>
        <v>Bad</v>
      </c>
    </row>
    <row r="103" spans="2:34" x14ac:dyDescent="0.2">
      <c r="B103" s="2">
        <f ca="1"/>
        <v>0.24444024767200778</v>
      </c>
      <c r="O103" s="2">
        <f ca="1"/>
        <v>-0.92475717095381571</v>
      </c>
      <c r="X103" s="2">
        <f ca="1"/>
        <v>48.031967904464885</v>
      </c>
      <c r="AG103" s="2">
        <f ca="1"/>
        <v>0.68731860313803228</v>
      </c>
      <c r="AH103" s="2" t="str">
        <f ca="1"/>
        <v>Bad</v>
      </c>
    </row>
    <row r="104" spans="2:34" x14ac:dyDescent="0.2">
      <c r="B104" s="2">
        <f ca="1"/>
        <v>0.31329659587083869</v>
      </c>
      <c r="O104" s="2">
        <f ca="1"/>
        <v>2.1343395646956291</v>
      </c>
      <c r="X104" s="2">
        <f ca="1"/>
        <v>63.454037561750624</v>
      </c>
      <c r="AG104" s="2">
        <f ca="1"/>
        <v>0.56568904374243423</v>
      </c>
      <c r="AH104" s="2" t="str">
        <f ca="1"/>
        <v>Bad</v>
      </c>
    </row>
    <row r="105" spans="2:34" x14ac:dyDescent="0.2">
      <c r="B105" s="2">
        <f ca="1"/>
        <v>0.70256246436906644</v>
      </c>
      <c r="O105" s="2">
        <f ca="1"/>
        <v>0.93223039740500213</v>
      </c>
      <c r="X105" s="2">
        <f ca="1"/>
        <v>50.91914472311182</v>
      </c>
      <c r="AG105" s="2">
        <f ca="1"/>
        <v>0.9909815379634408</v>
      </c>
      <c r="AH105" s="2" t="str">
        <f ca="1"/>
        <v>Bad</v>
      </c>
    </row>
    <row r="106" spans="2:34" x14ac:dyDescent="0.2">
      <c r="B106" s="2">
        <f ca="1"/>
        <v>0.10783469330686457</v>
      </c>
      <c r="O106" s="2">
        <f ca="1"/>
        <v>-0.62855954810632886</v>
      </c>
      <c r="X106" s="2">
        <f ca="1"/>
        <v>44.884361230477687</v>
      </c>
      <c r="AG106" s="2">
        <f ca="1"/>
        <v>0.73953057387856247</v>
      </c>
      <c r="AH106" s="2" t="str">
        <f ca="1"/>
        <v>Bad</v>
      </c>
    </row>
    <row r="107" spans="2:34" x14ac:dyDescent="0.2">
      <c r="B107" s="2">
        <f ca="1"/>
        <v>0.26694025625804962</v>
      </c>
      <c r="O107" s="2">
        <f ca="1"/>
        <v>1.3298325702102263</v>
      </c>
      <c r="X107" s="2">
        <f ca="1"/>
        <v>101.9613236181749</v>
      </c>
      <c r="AG107" s="2">
        <f ca="1"/>
        <v>0.75747584170646398</v>
      </c>
      <c r="AH107" s="2" t="str">
        <f ca="1"/>
        <v>Bad</v>
      </c>
    </row>
    <row r="108" spans="2:34" x14ac:dyDescent="0.2">
      <c r="B108" s="2">
        <f ca="1"/>
        <v>0.53293635475313184</v>
      </c>
      <c r="O108" s="2">
        <f ca="1"/>
        <v>-1.1505814568520032</v>
      </c>
      <c r="X108" s="2">
        <f ca="1"/>
        <v>88.270913820903942</v>
      </c>
      <c r="AG108" s="2">
        <f ca="1"/>
        <v>0.43962259523044156</v>
      </c>
      <c r="AH108" s="2" t="str">
        <f ca="1"/>
        <v>Bad</v>
      </c>
    </row>
    <row r="109" spans="2:34" x14ac:dyDescent="0.2">
      <c r="B109" s="2">
        <f ca="1"/>
        <v>0.92791239560028149</v>
      </c>
      <c r="O109" s="2">
        <f ca="1"/>
        <v>-0.38566678574965346</v>
      </c>
      <c r="X109" s="2">
        <f ca="1"/>
        <v>42.716147140754124</v>
      </c>
      <c r="AG109" s="2">
        <f ca="1"/>
        <v>1.4338620138776959E-2</v>
      </c>
      <c r="AH109" s="2" t="str">
        <f ca="1"/>
        <v>Good</v>
      </c>
    </row>
    <row r="110" spans="2:34" x14ac:dyDescent="0.2">
      <c r="B110" s="2">
        <f ca="1"/>
        <v>0.28180752180223223</v>
      </c>
      <c r="O110" s="2">
        <f ca="1"/>
        <v>1.0198018635614319</v>
      </c>
      <c r="X110" s="2">
        <f ca="1"/>
        <v>54.188299308079166</v>
      </c>
      <c r="AG110" s="2">
        <f ca="1"/>
        <v>0.34162845867564795</v>
      </c>
      <c r="AH110" s="2" t="str">
        <f ca="1"/>
        <v>OK</v>
      </c>
    </row>
    <row r="111" spans="2:34" x14ac:dyDescent="0.2">
      <c r="B111" s="2">
        <f ca="1"/>
        <v>0.11601027211336379</v>
      </c>
      <c r="O111" s="2">
        <f ca="1"/>
        <v>4.1231851743683295E-2</v>
      </c>
      <c r="X111" s="2">
        <f ca="1"/>
        <v>37.828726952791513</v>
      </c>
      <c r="AG111" s="2">
        <f ca="1"/>
        <v>0.38909575603807367</v>
      </c>
      <c r="AH111" s="2" t="str">
        <f ca="1"/>
        <v>OK</v>
      </c>
    </row>
    <row r="112" spans="2:34" x14ac:dyDescent="0.2">
      <c r="B112" s="2">
        <f ca="1"/>
        <v>0.25305779815627205</v>
      </c>
      <c r="O112" s="2">
        <f ca="1"/>
        <v>-0.2283733213382772</v>
      </c>
      <c r="X112" s="2">
        <f ca="1"/>
        <v>62.270942845337494</v>
      </c>
      <c r="AG112" s="2">
        <f ca="1"/>
        <v>0.59764294987002442</v>
      </c>
      <c r="AH112" s="2" t="str">
        <f ca="1"/>
        <v>Bad</v>
      </c>
    </row>
    <row r="113" spans="2:34" x14ac:dyDescent="0.2">
      <c r="B113" s="2">
        <f ca="1"/>
        <v>0.77822736254272096</v>
      </c>
      <c r="O113" s="2">
        <f ca="1"/>
        <v>-0.53771955510307168</v>
      </c>
      <c r="X113" s="2">
        <f ca="1"/>
        <v>37.310780610869905</v>
      </c>
      <c r="AG113" s="2">
        <f ca="1"/>
        <v>0.57386679516729311</v>
      </c>
      <c r="AH113" s="2" t="str">
        <f ca="1"/>
        <v>Bad</v>
      </c>
    </row>
    <row r="114" spans="2:34" x14ac:dyDescent="0.2">
      <c r="B114" s="2">
        <f ca="1"/>
        <v>0.13635878278189795</v>
      </c>
      <c r="O114" s="2">
        <f ca="1"/>
        <v>-0.32325301113492039</v>
      </c>
      <c r="X114" s="2">
        <f ca="1"/>
        <v>68.102287956464636</v>
      </c>
      <c r="AG114" s="2">
        <f ca="1"/>
        <v>0.90874282225023184</v>
      </c>
      <c r="AH114" s="2" t="str">
        <f ca="1"/>
        <v>Bad</v>
      </c>
    </row>
    <row r="115" spans="2:34" x14ac:dyDescent="0.2">
      <c r="B115" s="2">
        <f ca="1"/>
        <v>0.60160406014046486</v>
      </c>
      <c r="O115" s="2">
        <f ca="1"/>
        <v>-0.18988690229940786</v>
      </c>
      <c r="X115" s="2">
        <f ca="1"/>
        <v>49.307640729544431</v>
      </c>
      <c r="AG115" s="2">
        <f ca="1"/>
        <v>0.66409435240958459</v>
      </c>
      <c r="AH115" s="2" t="str">
        <f ca="1"/>
        <v>Bad</v>
      </c>
    </row>
    <row r="116" spans="2:34" x14ac:dyDescent="0.2">
      <c r="B116" s="2">
        <f ca="1"/>
        <v>0.6301873515296772</v>
      </c>
      <c r="O116" s="2">
        <f ca="1"/>
        <v>7.1440961387564658E-2</v>
      </c>
      <c r="X116" s="2">
        <f ca="1"/>
        <v>31.909368650810215</v>
      </c>
      <c r="AG116" s="2">
        <f ca="1"/>
        <v>0.17558770325442197</v>
      </c>
      <c r="AH116" s="2" t="str">
        <f ca="1"/>
        <v>OK</v>
      </c>
    </row>
    <row r="117" spans="2:34" x14ac:dyDescent="0.2">
      <c r="B117" s="2">
        <f ca="1"/>
        <v>0.72271695067838748</v>
      </c>
      <c r="O117" s="2">
        <f ca="1"/>
        <v>1.0423553361169615</v>
      </c>
      <c r="X117" s="2">
        <f ca="1"/>
        <v>48.72219679721502</v>
      </c>
      <c r="AG117" s="2">
        <f ca="1"/>
        <v>0.63569968118559617</v>
      </c>
      <c r="AH117" s="2" t="str">
        <f ca="1"/>
        <v>Bad</v>
      </c>
    </row>
    <row r="118" spans="2:34" x14ac:dyDescent="0.2">
      <c r="B118" s="2">
        <f ca="1"/>
        <v>0.38449155308119254</v>
      </c>
      <c r="O118" s="2">
        <f ca="1"/>
        <v>-1.3406314219231288</v>
      </c>
      <c r="X118" s="2">
        <f ca="1"/>
        <v>81.800889793521236</v>
      </c>
      <c r="AG118" s="2">
        <f ca="1"/>
        <v>0.58576248383042495</v>
      </c>
      <c r="AH118" s="2" t="str">
        <f ca="1"/>
        <v>Bad</v>
      </c>
    </row>
    <row r="119" spans="2:34" x14ac:dyDescent="0.2">
      <c r="B119" s="2">
        <f ca="1"/>
        <v>9.5196455329812135E-2</v>
      </c>
      <c r="O119" s="2">
        <f ca="1"/>
        <v>-0.93661305781462012</v>
      </c>
      <c r="X119" s="2">
        <f ca="1"/>
        <v>57.36734689622638</v>
      </c>
      <c r="AG119" s="2">
        <f ca="1"/>
        <v>0.74233757203021633</v>
      </c>
      <c r="AH119" s="2" t="str">
        <f ca="1"/>
        <v>Bad</v>
      </c>
    </row>
    <row r="120" spans="2:34" x14ac:dyDescent="0.2">
      <c r="B120" s="2">
        <f ca="1"/>
        <v>0.95966595884954242</v>
      </c>
      <c r="O120" s="2">
        <f ca="1"/>
        <v>0.55110427875795542</v>
      </c>
      <c r="X120" s="2">
        <f ca="1"/>
        <v>62.746305685323208</v>
      </c>
      <c r="AG120" s="2">
        <f ca="1"/>
        <v>0.18657558582955569</v>
      </c>
      <c r="AH120" s="2" t="str">
        <f ca="1"/>
        <v>OK</v>
      </c>
    </row>
    <row r="121" spans="2:34" x14ac:dyDescent="0.2">
      <c r="B121" s="2">
        <f ca="1"/>
        <v>0.29286372043777864</v>
      </c>
      <c r="O121" s="2">
        <f ca="1"/>
        <v>-0.36385866142967926</v>
      </c>
      <c r="X121" s="2">
        <f ca="1"/>
        <v>113.27113252448184</v>
      </c>
      <c r="AG121" s="2">
        <f ca="1"/>
        <v>0.15577901555471829</v>
      </c>
      <c r="AH121" s="2" t="str">
        <f ca="1"/>
        <v>OK</v>
      </c>
    </row>
    <row r="122" spans="2:34" x14ac:dyDescent="0.2">
      <c r="B122" s="2">
        <f ca="1"/>
        <v>7.569674771795265E-2</v>
      </c>
      <c r="O122" s="2">
        <f ca="1"/>
        <v>-7.2107840370594645E-2</v>
      </c>
      <c r="X122" s="2">
        <f ca="1"/>
        <v>43.387926870431848</v>
      </c>
      <c r="AG122" s="2">
        <f ca="1"/>
        <v>0.99488551407380532</v>
      </c>
      <c r="AH122" s="2" t="str">
        <f ca="1"/>
        <v>Bad</v>
      </c>
    </row>
    <row r="123" spans="2:34" x14ac:dyDescent="0.2">
      <c r="B123" s="2">
        <f ca="1"/>
        <v>0.91780430836501359</v>
      </c>
      <c r="O123" s="2">
        <f ca="1"/>
        <v>1.4978105936555675</v>
      </c>
      <c r="X123" s="2">
        <f ca="1"/>
        <v>69.748424915826504</v>
      </c>
      <c r="AG123" s="2">
        <f ca="1"/>
        <v>3.0775181751606429E-2</v>
      </c>
      <c r="AH123" s="2" t="str">
        <f ca="1"/>
        <v>Good</v>
      </c>
    </row>
    <row r="124" spans="2:34" x14ac:dyDescent="0.2">
      <c r="B124" s="2">
        <f ca="1"/>
        <v>0.22171045868860806</v>
      </c>
      <c r="O124" s="2">
        <f ca="1"/>
        <v>0.56080983648671712</v>
      </c>
      <c r="X124" s="2">
        <f ca="1"/>
        <v>44.024018974133313</v>
      </c>
      <c r="AG124" s="2">
        <f ca="1"/>
        <v>0.57243848470786229</v>
      </c>
      <c r="AH124" s="2" t="str">
        <f ca="1"/>
        <v>Bad</v>
      </c>
    </row>
    <row r="125" spans="2:34" x14ac:dyDescent="0.2">
      <c r="B125" s="2">
        <f ca="1"/>
        <v>0.29300116790793362</v>
      </c>
      <c r="O125" s="2">
        <f ca="1"/>
        <v>-1.6931506779045049</v>
      </c>
      <c r="X125" s="2">
        <f ca="1"/>
        <v>50.270403280375568</v>
      </c>
      <c r="AG125" s="2">
        <f ca="1"/>
        <v>0.33783333043887964</v>
      </c>
      <c r="AH125" s="2" t="str">
        <f ca="1"/>
        <v>OK</v>
      </c>
    </row>
    <row r="126" spans="2:34" x14ac:dyDescent="0.2">
      <c r="B126" s="2">
        <f ca="1"/>
        <v>6.8193803759439175E-2</v>
      </c>
      <c r="O126" s="2">
        <f ca="1"/>
        <v>-0.38860123937365387</v>
      </c>
      <c r="X126" s="2">
        <f ca="1"/>
        <v>25.808261792776626</v>
      </c>
      <c r="AG126" s="2">
        <f ca="1"/>
        <v>0.82747819763395425</v>
      </c>
      <c r="AH126" s="2" t="str">
        <f ca="1"/>
        <v>Bad</v>
      </c>
    </row>
    <row r="127" spans="2:34" x14ac:dyDescent="0.2">
      <c r="B127" s="2">
        <f ca="1"/>
        <v>0.30260291963043584</v>
      </c>
      <c r="O127" s="2">
        <f ca="1"/>
        <v>0.33426239153948956</v>
      </c>
      <c r="X127" s="2">
        <f ca="1"/>
        <v>36.553588173196523</v>
      </c>
      <c r="AG127" s="2">
        <f ca="1"/>
        <v>0.24246159113457844</v>
      </c>
      <c r="AH127" s="2" t="str">
        <f ca="1"/>
        <v>OK</v>
      </c>
    </row>
    <row r="128" spans="2:34" x14ac:dyDescent="0.2">
      <c r="B128" s="2">
        <f ca="1"/>
        <v>0.66193012561060516</v>
      </c>
      <c r="O128" s="2">
        <f ca="1"/>
        <v>-0.58633363815061257</v>
      </c>
      <c r="X128" s="2">
        <f ca="1"/>
        <v>92.597411000600999</v>
      </c>
      <c r="AG128" s="2">
        <f ca="1"/>
        <v>0.13388032234448954</v>
      </c>
      <c r="AH128" s="2" t="str">
        <f ca="1"/>
        <v>OK</v>
      </c>
    </row>
    <row r="129" spans="2:34" x14ac:dyDescent="0.2">
      <c r="B129" s="2">
        <f ca="1"/>
        <v>0.79872302254327732</v>
      </c>
      <c r="O129" s="2">
        <f ca="1"/>
        <v>0.47403289972358104</v>
      </c>
      <c r="X129" s="2">
        <f ca="1"/>
        <v>47.643649130261359</v>
      </c>
      <c r="AG129" s="2">
        <f ca="1"/>
        <v>0.2043152769230574</v>
      </c>
      <c r="AH129" s="2" t="str">
        <f ca="1"/>
        <v>OK</v>
      </c>
    </row>
    <row r="130" spans="2:34" x14ac:dyDescent="0.2">
      <c r="B130" s="2">
        <f ca="1"/>
        <v>0.72139171982885086</v>
      </c>
      <c r="O130" s="2">
        <f ca="1"/>
        <v>1.152348062097027</v>
      </c>
      <c r="X130" s="2">
        <f ca="1"/>
        <v>32.8150794696056</v>
      </c>
      <c r="AG130" s="2">
        <f ca="1"/>
        <v>0.28544224773340932</v>
      </c>
      <c r="AH130" s="2" t="str">
        <f ca="1"/>
        <v>OK</v>
      </c>
    </row>
    <row r="131" spans="2:34" x14ac:dyDescent="0.2">
      <c r="B131" s="2">
        <f ca="1"/>
        <v>0.77328818477264583</v>
      </c>
      <c r="O131" s="2">
        <f ca="1"/>
        <v>-0.81907812655557954</v>
      </c>
      <c r="X131" s="2">
        <f ca="1"/>
        <v>41.454450655094689</v>
      </c>
      <c r="AG131" s="2">
        <f ca="1"/>
        <v>0.68238294749217454</v>
      </c>
      <c r="AH131" s="2" t="str">
        <f ca="1"/>
        <v>Bad</v>
      </c>
    </row>
    <row r="132" spans="2:34" x14ac:dyDescent="0.2">
      <c r="B132" s="2">
        <f ca="1"/>
        <v>0.62348961797643421</v>
      </c>
      <c r="O132" s="2">
        <f ca="1"/>
        <v>-0.22142021548314195</v>
      </c>
      <c r="X132" s="2">
        <f ca="1"/>
        <v>36.91608501794191</v>
      </c>
      <c r="AG132" s="2">
        <f ca="1"/>
        <v>0.6534124956447005</v>
      </c>
      <c r="AH132" s="2" t="str">
        <f ca="1"/>
        <v>Bad</v>
      </c>
    </row>
    <row r="133" spans="2:34" x14ac:dyDescent="0.2">
      <c r="B133" s="2">
        <f ca="1"/>
        <v>0.1770664850597663</v>
      </c>
      <c r="O133" s="2">
        <f ca="1"/>
        <v>0.62868517009456681</v>
      </c>
      <c r="X133" s="2">
        <f ca="1"/>
        <v>49.325471347320985</v>
      </c>
      <c r="AG133" s="2">
        <f ca="1"/>
        <v>0.77594572795020378</v>
      </c>
      <c r="AH133" s="2" t="str">
        <f ca="1"/>
        <v>Bad</v>
      </c>
    </row>
    <row r="134" spans="2:34" x14ac:dyDescent="0.2">
      <c r="B134" s="2">
        <f ca="1"/>
        <v>8.4778033304743872E-2</v>
      </c>
      <c r="O134" s="2">
        <f ca="1"/>
        <v>1.4658187409410406</v>
      </c>
      <c r="X134" s="2">
        <f ca="1"/>
        <v>42.46169526996546</v>
      </c>
      <c r="AG134" s="2">
        <f ca="1"/>
        <v>0.47426962203694467</v>
      </c>
      <c r="AH134" s="2" t="str">
        <f ca="1"/>
        <v>Bad</v>
      </c>
    </row>
    <row r="135" spans="2:34" x14ac:dyDescent="0.2">
      <c r="B135" s="2">
        <f ca="1"/>
        <v>0.10007562680374305</v>
      </c>
      <c r="O135" s="2">
        <f ca="1"/>
        <v>0.60994289834995052</v>
      </c>
      <c r="X135" s="2">
        <f ca="1"/>
        <v>34.615531519970844</v>
      </c>
      <c r="AG135" s="2">
        <f ca="1"/>
        <v>0.44496256255989208</v>
      </c>
      <c r="AH135" s="2" t="str">
        <f ca="1"/>
        <v>Bad</v>
      </c>
    </row>
    <row r="136" spans="2:34" x14ac:dyDescent="0.2">
      <c r="B136" s="2">
        <f ca="1"/>
        <v>9.9545777332334717E-2</v>
      </c>
      <c r="O136" s="2">
        <f ca="1"/>
        <v>-1.584718139426925</v>
      </c>
      <c r="X136" s="2">
        <f ca="1"/>
        <v>59.776534378167341</v>
      </c>
      <c r="AG136" s="2">
        <f ca="1"/>
        <v>0.43210507968774858</v>
      </c>
      <c r="AH136" s="2" t="str">
        <f ca="1"/>
        <v>Bad</v>
      </c>
    </row>
    <row r="137" spans="2:34" x14ac:dyDescent="0.2">
      <c r="B137" s="2">
        <f ca="1"/>
        <v>0.28558214997336862</v>
      </c>
      <c r="O137" s="2">
        <f ca="1"/>
        <v>-0.31937483977881165</v>
      </c>
      <c r="X137" s="2">
        <f ca="1"/>
        <v>49.905043016555922</v>
      </c>
      <c r="AG137" s="2">
        <f ca="1"/>
        <v>0.71864154097478639</v>
      </c>
      <c r="AH137" s="2" t="str">
        <f ca="1"/>
        <v>Bad</v>
      </c>
    </row>
    <row r="138" spans="2:34" x14ac:dyDescent="0.2">
      <c r="B138" s="2">
        <f ca="1"/>
        <v>0.59146448757302061</v>
      </c>
      <c r="O138" s="2">
        <f ca="1"/>
        <v>0.34166966525544973</v>
      </c>
      <c r="X138" s="2">
        <f ca="1"/>
        <v>42.441860798696005</v>
      </c>
      <c r="AG138" s="2">
        <f ca="1"/>
        <v>0.81000022876507094</v>
      </c>
      <c r="AH138" s="2" t="str">
        <f ca="1"/>
        <v>Bad</v>
      </c>
    </row>
    <row r="139" spans="2:34" x14ac:dyDescent="0.2">
      <c r="B139" s="2">
        <f ca="1"/>
        <v>3.6891687683182628E-2</v>
      </c>
      <c r="O139" s="2">
        <f ca="1"/>
        <v>0.25708892131163474</v>
      </c>
      <c r="X139" s="2">
        <f ca="1"/>
        <v>36.722397658382306</v>
      </c>
      <c r="AG139" s="2">
        <f ca="1"/>
        <v>0.80289626441046646</v>
      </c>
      <c r="AH139" s="2" t="str">
        <f ca="1"/>
        <v>Bad</v>
      </c>
    </row>
    <row r="140" spans="2:34" x14ac:dyDescent="0.2">
      <c r="B140" s="2">
        <f ca="1"/>
        <v>0.50439816432441043</v>
      </c>
      <c r="O140" s="2">
        <f ca="1"/>
        <v>0.65865080930601372</v>
      </c>
      <c r="X140" s="2">
        <f ca="1"/>
        <v>50.076245974808479</v>
      </c>
      <c r="AG140" s="2">
        <f ca="1"/>
        <v>1.4429046820609637E-2</v>
      </c>
      <c r="AH140" s="2" t="str">
        <f ca="1"/>
        <v>Good</v>
      </c>
    </row>
    <row r="141" spans="2:34" x14ac:dyDescent="0.2">
      <c r="B141" s="2">
        <f ca="1"/>
        <v>0.24719145471196513</v>
      </c>
      <c r="O141" s="2">
        <f ca="1"/>
        <v>-1.7730396197798148</v>
      </c>
      <c r="X141" s="2">
        <f ca="1"/>
        <v>67.869015463288804</v>
      </c>
      <c r="AG141" s="2">
        <f ca="1"/>
        <v>0.90824487599497994</v>
      </c>
      <c r="AH141" s="2" t="str">
        <f ca="1"/>
        <v>Bad</v>
      </c>
    </row>
    <row r="142" spans="2:34" x14ac:dyDescent="0.2">
      <c r="B142" s="2">
        <f ca="1"/>
        <v>0.35192240064854863</v>
      </c>
      <c r="O142" s="2">
        <f ca="1"/>
        <v>0.16335279080720838</v>
      </c>
      <c r="X142" s="2">
        <f ca="1"/>
        <v>26.41552256761959</v>
      </c>
      <c r="AG142" s="2">
        <f ca="1"/>
        <v>0.78441237832014088</v>
      </c>
      <c r="AH142" s="2" t="str">
        <f ca="1"/>
        <v>Bad</v>
      </c>
    </row>
    <row r="143" spans="2:34" x14ac:dyDescent="0.2">
      <c r="B143" s="2">
        <f ca="1"/>
        <v>0.24924928221173936</v>
      </c>
      <c r="O143" s="2">
        <f ca="1"/>
        <v>-0.51721804082076128</v>
      </c>
      <c r="X143" s="2">
        <f ca="1"/>
        <v>51.040388788300618</v>
      </c>
      <c r="AG143" s="2">
        <f ca="1"/>
        <v>0.43693956551183843</v>
      </c>
      <c r="AH143" s="2" t="str">
        <f ca="1"/>
        <v>Bad</v>
      </c>
    </row>
    <row r="144" spans="2:34" x14ac:dyDescent="0.2">
      <c r="B144" s="2">
        <f ca="1"/>
        <v>0.48690594207054194</v>
      </c>
      <c r="O144" s="2">
        <f ca="1"/>
        <v>1.1674342207159089E-2</v>
      </c>
      <c r="X144" s="2">
        <f ca="1"/>
        <v>44.711768424984427</v>
      </c>
      <c r="AG144" s="2">
        <f ca="1"/>
        <v>0.85318230650394411</v>
      </c>
      <c r="AH144" s="2" t="str">
        <f ca="1"/>
        <v>Bad</v>
      </c>
    </row>
    <row r="145" spans="2:34" x14ac:dyDescent="0.2">
      <c r="B145" s="2">
        <f ca="1"/>
        <v>0.93863350679481883</v>
      </c>
      <c r="O145" s="2">
        <f ca="1"/>
        <v>-0.37641448518923332</v>
      </c>
      <c r="X145" s="2">
        <f ca="1"/>
        <v>37.061935533789999</v>
      </c>
      <c r="AG145" s="2">
        <f ca="1"/>
        <v>0.3070256753797922</v>
      </c>
      <c r="AH145" s="2" t="str">
        <f ca="1"/>
        <v>OK</v>
      </c>
    </row>
    <row r="146" spans="2:34" x14ac:dyDescent="0.2">
      <c r="B146" s="2">
        <f ca="1"/>
        <v>0.13666671608756009</v>
      </c>
      <c r="O146" s="2">
        <f ca="1"/>
        <v>0.54117403256536045</v>
      </c>
      <c r="X146" s="2">
        <f ca="1"/>
        <v>75.241301462769087</v>
      </c>
      <c r="AG146" s="2">
        <f ca="1"/>
        <v>0.86106957968989639</v>
      </c>
      <c r="AH146" s="2" t="str">
        <f ca="1"/>
        <v>Bad</v>
      </c>
    </row>
    <row r="147" spans="2:34" x14ac:dyDescent="0.2">
      <c r="B147" s="2">
        <f ca="1"/>
        <v>2.8092948670638052E-2</v>
      </c>
      <c r="O147" s="2">
        <f ca="1"/>
        <v>-0.30281126524969937</v>
      </c>
      <c r="X147" s="2">
        <f ca="1"/>
        <v>30.262975269708758</v>
      </c>
      <c r="AG147" s="2">
        <f ca="1"/>
        <v>0.33958327008105327</v>
      </c>
      <c r="AH147" s="2" t="str">
        <f ca="1"/>
        <v>OK</v>
      </c>
    </row>
    <row r="148" spans="2:34" x14ac:dyDescent="0.2">
      <c r="B148" s="2">
        <f ca="1"/>
        <v>0.64768293083741524</v>
      </c>
      <c r="O148" s="2">
        <f ca="1"/>
        <v>2.2014323363949688</v>
      </c>
      <c r="X148" s="2">
        <f ca="1"/>
        <v>41.124435133215414</v>
      </c>
      <c r="AG148" s="2">
        <f ca="1"/>
        <v>0.69392339634753553</v>
      </c>
      <c r="AH148" s="2" t="str">
        <f ca="1"/>
        <v>Bad</v>
      </c>
    </row>
    <row r="149" spans="2:34" x14ac:dyDescent="0.2">
      <c r="B149" s="2">
        <f ca="1"/>
        <v>0.86645613106512442</v>
      </c>
      <c r="O149" s="2">
        <f ca="1"/>
        <v>0.47881628870847837</v>
      </c>
      <c r="X149" s="2">
        <f ca="1"/>
        <v>27.811787401106386</v>
      </c>
      <c r="AG149" s="2">
        <f ca="1"/>
        <v>0.20361406377879199</v>
      </c>
      <c r="AH149" s="2" t="str">
        <f ca="1"/>
        <v>OK</v>
      </c>
    </row>
    <row r="150" spans="2:34" x14ac:dyDescent="0.2">
      <c r="B150" s="2">
        <f ca="1"/>
        <v>7.5552069680462353E-5</v>
      </c>
      <c r="O150" s="2">
        <f ca="1"/>
        <v>0.53243073864518742</v>
      </c>
      <c r="X150" s="2">
        <f ca="1"/>
        <v>41.214247597554547</v>
      </c>
      <c r="AG150" s="2">
        <f ca="1"/>
        <v>0.98816803926688701</v>
      </c>
      <c r="AH150" s="2" t="str">
        <f ca="1"/>
        <v>Bad</v>
      </c>
    </row>
    <row r="151" spans="2:34" x14ac:dyDescent="0.2">
      <c r="B151" s="2">
        <f ca="1"/>
        <v>0.38731579241580283</v>
      </c>
      <c r="O151" s="2">
        <f ca="1"/>
        <v>1.6281694768376969</v>
      </c>
      <c r="X151" s="2">
        <f ca="1"/>
        <v>75.654468998673565</v>
      </c>
      <c r="AG151" s="2">
        <f ca="1"/>
        <v>0.85027846877343838</v>
      </c>
      <c r="AH151" s="2" t="str">
        <f ca="1"/>
        <v>Bad</v>
      </c>
    </row>
    <row r="152" spans="2:34" x14ac:dyDescent="0.2">
      <c r="B152" s="2">
        <f ca="1"/>
        <v>0.51868299100012716</v>
      </c>
      <c r="O152" s="2">
        <f ca="1"/>
        <v>-0.10004019151160369</v>
      </c>
      <c r="X152" s="2">
        <f ca="1"/>
        <v>36.405567202600906</v>
      </c>
      <c r="AG152" s="2">
        <f ca="1"/>
        <v>0.27927755031405321</v>
      </c>
      <c r="AH152" s="2" t="str">
        <f ca="1"/>
        <v>OK</v>
      </c>
    </row>
    <row r="153" spans="2:34" x14ac:dyDescent="0.2">
      <c r="B153" s="2">
        <f ca="1"/>
        <v>0.43434809774725114</v>
      </c>
      <c r="O153" s="2">
        <f ca="1"/>
        <v>0.10535999888194547</v>
      </c>
      <c r="X153" s="2">
        <f ca="1"/>
        <v>55.329062990745172</v>
      </c>
      <c r="AG153" s="2">
        <f ca="1"/>
        <v>0.69808026871222806</v>
      </c>
      <c r="AH153" s="2" t="str">
        <f ca="1"/>
        <v>Bad</v>
      </c>
    </row>
    <row r="154" spans="2:34" x14ac:dyDescent="0.2">
      <c r="B154" s="2">
        <f ca="1"/>
        <v>0.49529515767632382</v>
      </c>
      <c r="O154" s="2">
        <f ca="1"/>
        <v>0.15799117051395975</v>
      </c>
      <c r="X154" s="2">
        <f ca="1"/>
        <v>54.626291191098993</v>
      </c>
      <c r="AG154" s="2">
        <f ca="1"/>
        <v>0.63881972333330328</v>
      </c>
      <c r="AH154" s="2" t="str">
        <f ca="1"/>
        <v>Bad</v>
      </c>
    </row>
    <row r="155" spans="2:34" x14ac:dyDescent="0.2">
      <c r="B155" s="2">
        <f ca="1"/>
        <v>0.22546418919685407</v>
      </c>
      <c r="O155" s="2">
        <f ca="1"/>
        <v>0.99421185578794613</v>
      </c>
      <c r="X155" s="2">
        <f ca="1"/>
        <v>42.687545012322516</v>
      </c>
      <c r="AG155" s="2">
        <f ca="1"/>
        <v>0.67103115118644641</v>
      </c>
      <c r="AH155" s="2" t="str">
        <f ca="1"/>
        <v>Bad</v>
      </c>
    </row>
    <row r="156" spans="2:34" x14ac:dyDescent="0.2">
      <c r="B156" s="2">
        <f ca="1"/>
        <v>0.5126214242669449</v>
      </c>
      <c r="O156" s="2">
        <f ca="1"/>
        <v>-0.3513092575712875</v>
      </c>
      <c r="X156" s="2">
        <f ca="1"/>
        <v>88.069954065919177</v>
      </c>
      <c r="AG156" s="2">
        <f ca="1"/>
        <v>0.79325247838494661</v>
      </c>
      <c r="AH156" s="2" t="str">
        <f ca="1"/>
        <v>Bad</v>
      </c>
    </row>
    <row r="157" spans="2:34" x14ac:dyDescent="0.2">
      <c r="B157" s="2">
        <f ca="1"/>
        <v>0.92325359033923005</v>
      </c>
      <c r="O157" s="2">
        <f ca="1"/>
        <v>-0.27232197194016478</v>
      </c>
      <c r="X157" s="2">
        <f ca="1"/>
        <v>43.876816120730055</v>
      </c>
      <c r="AG157" s="2">
        <f ca="1"/>
        <v>0.61031403206960277</v>
      </c>
      <c r="AH157" s="2" t="str">
        <f ca="1"/>
        <v>Bad</v>
      </c>
    </row>
    <row r="158" spans="2:34" x14ac:dyDescent="0.2">
      <c r="B158" s="2">
        <f ca="1"/>
        <v>0.11262863527066069</v>
      </c>
      <c r="O158" s="2">
        <f ca="1"/>
        <v>-1.3196940570165605</v>
      </c>
      <c r="X158" s="2">
        <f ca="1"/>
        <v>61.926639459031875</v>
      </c>
      <c r="AG158" s="2">
        <f ca="1"/>
        <v>0.17975210662360985</v>
      </c>
      <c r="AH158" s="2" t="str">
        <f ca="1"/>
        <v>OK</v>
      </c>
    </row>
    <row r="159" spans="2:34" x14ac:dyDescent="0.2">
      <c r="B159" s="2">
        <f ca="1"/>
        <v>1.5819127155566104E-2</v>
      </c>
      <c r="O159" s="2">
        <f ca="1"/>
        <v>2.1844040383530459</v>
      </c>
      <c r="X159" s="2">
        <f ca="1"/>
        <v>86.88434754004507</v>
      </c>
      <c r="AG159" s="2">
        <f ca="1"/>
        <v>0.13675034397686825</v>
      </c>
      <c r="AH159" s="2" t="str">
        <f ca="1"/>
        <v>OK</v>
      </c>
    </row>
    <row r="160" spans="2:34" x14ac:dyDescent="0.2">
      <c r="B160" s="2">
        <f ca="1"/>
        <v>0.65768649765288711</v>
      </c>
      <c r="O160" s="2">
        <f ca="1"/>
        <v>7.480378098630934E-2</v>
      </c>
      <c r="X160" s="2">
        <f ca="1"/>
        <v>39.818927077555379</v>
      </c>
      <c r="AG160" s="2">
        <f ca="1"/>
        <v>0.94478373926989456</v>
      </c>
      <c r="AH160" s="2" t="str">
        <f ca="1"/>
        <v>Bad</v>
      </c>
    </row>
    <row r="161" spans="2:34" x14ac:dyDescent="0.2">
      <c r="B161" s="2">
        <f ca="1"/>
        <v>0.98434541901896</v>
      </c>
      <c r="O161" s="2">
        <f ca="1"/>
        <v>-1.8140094359449208</v>
      </c>
      <c r="X161" s="2">
        <f ca="1"/>
        <v>49.354616237322169</v>
      </c>
      <c r="AG161" s="2">
        <f ca="1"/>
        <v>0.48404273421661892</v>
      </c>
      <c r="AH161" s="2" t="str">
        <f ca="1"/>
        <v>Bad</v>
      </c>
    </row>
    <row r="162" spans="2:34" x14ac:dyDescent="0.2">
      <c r="B162" s="2">
        <f ca="1"/>
        <v>0.97412198253415472</v>
      </c>
      <c r="O162" s="2">
        <f ca="1"/>
        <v>9.6511991074393511E-2</v>
      </c>
      <c r="X162" s="2">
        <f ca="1"/>
        <v>76.206921780589497</v>
      </c>
      <c r="AG162" s="2">
        <f ca="1"/>
        <v>0.46426389637268151</v>
      </c>
      <c r="AH162" s="2" t="str">
        <f ca="1"/>
        <v>Bad</v>
      </c>
    </row>
    <row r="163" spans="2:34" x14ac:dyDescent="0.2">
      <c r="B163" s="2">
        <f ca="1"/>
        <v>0.72903523692217687</v>
      </c>
      <c r="O163" s="2">
        <f ca="1"/>
        <v>0.40456339309704187</v>
      </c>
      <c r="X163" s="2">
        <f ca="1"/>
        <v>40.39394160757724</v>
      </c>
      <c r="AG163" s="2">
        <f ca="1"/>
        <v>0.24122551503311662</v>
      </c>
      <c r="AH163" s="2" t="str">
        <f ca="1"/>
        <v>OK</v>
      </c>
    </row>
    <row r="164" spans="2:34" x14ac:dyDescent="0.2">
      <c r="B164" s="2">
        <f ca="1"/>
        <v>0.54317657238374362</v>
      </c>
      <c r="O164" s="2">
        <f ca="1"/>
        <v>0.89571470171248346</v>
      </c>
      <c r="X164" s="2">
        <f ca="1"/>
        <v>26.416482049258818</v>
      </c>
      <c r="AG164" s="2">
        <f ca="1"/>
        <v>0.38914558360227813</v>
      </c>
      <c r="AH164" s="2" t="str">
        <f ca="1"/>
        <v>OK</v>
      </c>
    </row>
    <row r="165" spans="2:34" x14ac:dyDescent="0.2">
      <c r="B165" s="2">
        <f ca="1"/>
        <v>0.70737401175256176</v>
      </c>
      <c r="O165" s="2">
        <f ca="1"/>
        <v>-0.40091129678052001</v>
      </c>
      <c r="X165" s="2">
        <f ca="1"/>
        <v>56.347173228897347</v>
      </c>
      <c r="AG165" s="2">
        <f ca="1"/>
        <v>0.45742310679820797</v>
      </c>
      <c r="AH165" s="2" t="str">
        <f ca="1"/>
        <v>Bad</v>
      </c>
    </row>
    <row r="166" spans="2:34" x14ac:dyDescent="0.2">
      <c r="B166" s="2">
        <f ca="1"/>
        <v>0.25095858827119555</v>
      </c>
      <c r="O166" s="2">
        <f ca="1"/>
        <v>0.6028404202563229</v>
      </c>
      <c r="X166" s="2">
        <f ca="1"/>
        <v>28.124772453985216</v>
      </c>
      <c r="AG166" s="2">
        <f ca="1"/>
        <v>0.95565706017390828</v>
      </c>
      <c r="AH166" s="2" t="str">
        <f ca="1"/>
        <v>Bad</v>
      </c>
    </row>
    <row r="167" spans="2:34" x14ac:dyDescent="0.2">
      <c r="B167" s="2">
        <f ca="1"/>
        <v>0.46208983707105267</v>
      </c>
      <c r="O167" s="2">
        <f ca="1"/>
        <v>-1.376648578455683</v>
      </c>
      <c r="X167" s="2">
        <f ca="1"/>
        <v>42.05993325972895</v>
      </c>
      <c r="AG167" s="2">
        <f ca="1"/>
        <v>0.21851447345949127</v>
      </c>
      <c r="AH167" s="2" t="str">
        <f ca="1"/>
        <v>OK</v>
      </c>
    </row>
    <row r="168" spans="2:34" x14ac:dyDescent="0.2">
      <c r="B168" s="2">
        <f ca="1"/>
        <v>0.17844376354604852</v>
      </c>
      <c r="O168" s="2">
        <f ca="1"/>
        <v>0.16396650639084426</v>
      </c>
      <c r="X168" s="2">
        <f ca="1"/>
        <v>67.017768868555024</v>
      </c>
      <c r="AG168" s="2">
        <f ca="1"/>
        <v>0.46839572738368873</v>
      </c>
      <c r="AH168" s="2" t="str">
        <f ca="1"/>
        <v>Bad</v>
      </c>
    </row>
    <row r="169" spans="2:34" x14ac:dyDescent="0.2">
      <c r="B169" s="2">
        <f ca="1"/>
        <v>0.27835400710470348</v>
      </c>
      <c r="O169" s="2">
        <f ca="1"/>
        <v>-1.2836743519646459</v>
      </c>
      <c r="X169" s="2">
        <f ca="1"/>
        <v>26.525922639650915</v>
      </c>
      <c r="AG169" s="2">
        <f ca="1"/>
        <v>0.48264270077968563</v>
      </c>
      <c r="AH169" s="2" t="str">
        <f ca="1"/>
        <v>Bad</v>
      </c>
    </row>
    <row r="170" spans="2:34" x14ac:dyDescent="0.2">
      <c r="B170" s="2">
        <f ca="1"/>
        <v>0.45486514376955056</v>
      </c>
      <c r="O170" s="2">
        <f ca="1"/>
        <v>1.0092021406923115</v>
      </c>
      <c r="X170" s="2">
        <f ca="1"/>
        <v>48.87046472999014</v>
      </c>
      <c r="AG170" s="2">
        <f ca="1"/>
        <v>1.347717262911341E-2</v>
      </c>
      <c r="AH170" s="2" t="str">
        <f ca="1"/>
        <v>Good</v>
      </c>
    </row>
    <row r="171" spans="2:34" x14ac:dyDescent="0.2">
      <c r="B171" s="2">
        <f ca="1"/>
        <v>0.72438468185486915</v>
      </c>
      <c r="O171" s="2">
        <f ca="1"/>
        <v>-0.67978158204179995</v>
      </c>
      <c r="X171" s="2">
        <f ca="1"/>
        <v>41.508119479730851</v>
      </c>
      <c r="AG171" s="2">
        <f ca="1"/>
        <v>0.82488971733236638</v>
      </c>
      <c r="AH171" s="2" t="str">
        <f ca="1"/>
        <v>Bad</v>
      </c>
    </row>
    <row r="172" spans="2:34" x14ac:dyDescent="0.2">
      <c r="B172" s="2">
        <f ca="1"/>
        <v>0.5014945851252639</v>
      </c>
      <c r="O172" s="2">
        <f ca="1"/>
        <v>0.3028552086744587</v>
      </c>
      <c r="X172" s="2">
        <f ca="1"/>
        <v>50.381211629913821</v>
      </c>
      <c r="AG172" s="2">
        <f ca="1"/>
        <v>0.12836962516370432</v>
      </c>
      <c r="AH172" s="2" t="str">
        <f ca="1"/>
        <v>OK</v>
      </c>
    </row>
    <row r="173" spans="2:34" x14ac:dyDescent="0.2">
      <c r="B173" s="2">
        <f ca="1"/>
        <v>0.12333537499758584</v>
      </c>
      <c r="O173" s="2">
        <f ca="1"/>
        <v>-0.97487125539810127</v>
      </c>
      <c r="X173" s="2">
        <f ca="1"/>
        <v>32.153928428017934</v>
      </c>
      <c r="AG173" s="2">
        <f ca="1"/>
        <v>0.25482436413607301</v>
      </c>
      <c r="AH173" s="2" t="str">
        <f ca="1"/>
        <v>OK</v>
      </c>
    </row>
    <row r="174" spans="2:34" x14ac:dyDescent="0.2">
      <c r="B174" s="2">
        <f ca="1"/>
        <v>0.5291805377543497</v>
      </c>
      <c r="O174" s="2">
        <f ca="1"/>
        <v>0.2119306533260481</v>
      </c>
      <c r="X174" s="2">
        <f ca="1"/>
        <v>39.714957542141242</v>
      </c>
      <c r="AG174" s="2">
        <f ca="1"/>
        <v>0.47566216496449676</v>
      </c>
      <c r="AH174" s="2" t="str">
        <f ca="1"/>
        <v>Bad</v>
      </c>
    </row>
    <row r="175" spans="2:34" x14ac:dyDescent="0.2">
      <c r="B175" s="2">
        <f ca="1"/>
        <v>0.41907312325881629</v>
      </c>
      <c r="O175" s="2">
        <f ca="1"/>
        <v>-1.2550522493994221</v>
      </c>
      <c r="X175" s="2">
        <f ca="1"/>
        <v>46.258835510182294</v>
      </c>
      <c r="AG175" s="2">
        <f ca="1"/>
        <v>0.82396318786818967</v>
      </c>
      <c r="AH175" s="2" t="str">
        <f ca="1"/>
        <v>Bad</v>
      </c>
    </row>
    <row r="176" spans="2:34" x14ac:dyDescent="0.2">
      <c r="B176" s="2">
        <f ca="1"/>
        <v>0.78030645501802365</v>
      </c>
      <c r="O176" s="2">
        <f ca="1"/>
        <v>-0.35135969912906523</v>
      </c>
      <c r="X176" s="2">
        <f ca="1"/>
        <v>44.005892810431469</v>
      </c>
      <c r="AG176" s="2">
        <f ca="1"/>
        <v>1.9189433366917141E-2</v>
      </c>
      <c r="AH176" s="2" t="str">
        <f ca="1"/>
        <v>Good</v>
      </c>
    </row>
    <row r="177" spans="2:34" x14ac:dyDescent="0.2">
      <c r="B177" s="2">
        <f ca="1"/>
        <v>0.66289868165947974</v>
      </c>
      <c r="O177" s="2">
        <f ca="1"/>
        <v>0.81206846822936707</v>
      </c>
      <c r="X177" s="2">
        <f ca="1"/>
        <v>77.669464154062211</v>
      </c>
      <c r="AG177" s="2">
        <f ca="1"/>
        <v>0.15448130649096714</v>
      </c>
      <c r="AH177" s="2" t="str">
        <f ca="1"/>
        <v>OK</v>
      </c>
    </row>
    <row r="178" spans="2:34" x14ac:dyDescent="0.2">
      <c r="B178" s="2">
        <f ca="1"/>
        <v>0.65007675639237972</v>
      </c>
      <c r="O178" s="2">
        <f ca="1"/>
        <v>0.67522121633039001</v>
      </c>
      <c r="X178" s="2">
        <f ca="1"/>
        <v>72.29113860839378</v>
      </c>
      <c r="AG178" s="2">
        <f ca="1"/>
        <v>0.1267926831650743</v>
      </c>
      <c r="AH178" s="2" t="str">
        <f ca="1"/>
        <v>OK</v>
      </c>
    </row>
    <row r="179" spans="2:34" x14ac:dyDescent="0.2">
      <c r="B179" s="2">
        <f ca="1"/>
        <v>0.48977032777075014</v>
      </c>
      <c r="O179" s="2">
        <f ca="1"/>
        <v>0.41152665616941503</v>
      </c>
      <c r="X179" s="2">
        <f ca="1"/>
        <v>34.763565805937766</v>
      </c>
      <c r="AG179" s="2">
        <f ca="1"/>
        <v>0.34344778451928248</v>
      </c>
      <c r="AH179" s="2" t="str">
        <f ca="1"/>
        <v>OK</v>
      </c>
    </row>
    <row r="180" spans="2:34" x14ac:dyDescent="0.2">
      <c r="B180" s="2">
        <f ca="1"/>
        <v>0.43907583516089299</v>
      </c>
      <c r="O180" s="2">
        <f ca="1"/>
        <v>-1.3436251653228488</v>
      </c>
      <c r="X180" s="2">
        <f ca="1"/>
        <v>54.474576728024729</v>
      </c>
      <c r="AG180" s="2">
        <f ca="1"/>
        <v>0.59284762304595451</v>
      </c>
      <c r="AH180" s="2" t="str">
        <f ca="1"/>
        <v>Bad</v>
      </c>
    </row>
    <row r="181" spans="2:34" x14ac:dyDescent="0.2">
      <c r="B181" s="2">
        <f ca="1"/>
        <v>0.26931486487385792</v>
      </c>
      <c r="O181" s="2">
        <f ca="1"/>
        <v>-0.35111462765709806</v>
      </c>
      <c r="X181" s="2">
        <f ca="1"/>
        <v>20.409787972245326</v>
      </c>
      <c r="AG181" s="2">
        <f ca="1"/>
        <v>0.12961176372297145</v>
      </c>
      <c r="AH181" s="2" t="str">
        <f ca="1"/>
        <v>OK</v>
      </c>
    </row>
    <row r="182" spans="2:34" x14ac:dyDescent="0.2">
      <c r="B182" s="2">
        <f ca="1"/>
        <v>0.91623486885148453</v>
      </c>
      <c r="O182" s="2">
        <f ca="1"/>
        <v>-0.18215368561713011</v>
      </c>
      <c r="X182" s="2">
        <f ca="1"/>
        <v>52.512349910740596</v>
      </c>
      <c r="AG182" s="2">
        <f ca="1"/>
        <v>0.89290994291566483</v>
      </c>
      <c r="AH182" s="2" t="str">
        <f ca="1"/>
        <v>Bad</v>
      </c>
    </row>
    <row r="183" spans="2:34" x14ac:dyDescent="0.2">
      <c r="B183" s="2">
        <f ca="1"/>
        <v>0.9683155086307047</v>
      </c>
      <c r="O183" s="2">
        <f ca="1"/>
        <v>-2.158143891868662</v>
      </c>
      <c r="X183" s="2">
        <f ca="1"/>
        <v>31.041001557921174</v>
      </c>
      <c r="AG183" s="2">
        <f ca="1"/>
        <v>0.66419954772474221</v>
      </c>
      <c r="AH183" s="2" t="str">
        <f ca="1"/>
        <v>Bad</v>
      </c>
    </row>
    <row r="184" spans="2:34" x14ac:dyDescent="0.2">
      <c r="B184" s="2">
        <f ca="1"/>
        <v>1.6623475718889447E-2</v>
      </c>
      <c r="O184" s="2">
        <f ca="1"/>
        <v>-0.27491416186817202</v>
      </c>
      <c r="X184" s="2">
        <f ca="1"/>
        <v>31.267178837633502</v>
      </c>
      <c r="AG184" s="2">
        <f ca="1"/>
        <v>0.26907718516538037</v>
      </c>
      <c r="AH184" s="2" t="str">
        <f ca="1"/>
        <v>OK</v>
      </c>
    </row>
    <row r="185" spans="2:34" x14ac:dyDescent="0.2">
      <c r="B185" s="2">
        <f ca="1"/>
        <v>0.29176374546047756</v>
      </c>
      <c r="O185" s="2">
        <f ca="1"/>
        <v>0.53710136667139263</v>
      </c>
      <c r="X185" s="2">
        <f ca="1"/>
        <v>18.310461671553519</v>
      </c>
      <c r="AG185" s="2">
        <f ca="1"/>
        <v>0.36350648544488173</v>
      </c>
      <c r="AH185" s="2" t="str">
        <f ca="1"/>
        <v>OK</v>
      </c>
    </row>
    <row r="186" spans="2:34" x14ac:dyDescent="0.2">
      <c r="B186" s="2">
        <f ca="1"/>
        <v>0.51957562108203259</v>
      </c>
      <c r="O186" s="2">
        <f ca="1"/>
        <v>0.77355414748727569</v>
      </c>
      <c r="X186" s="2">
        <f ca="1"/>
        <v>66.405805021867195</v>
      </c>
      <c r="AG186" s="2">
        <f ca="1"/>
        <v>0.47424934889472414</v>
      </c>
      <c r="AH186" s="2" t="str">
        <f ca="1"/>
        <v>Bad</v>
      </c>
    </row>
    <row r="187" spans="2:34" x14ac:dyDescent="0.2">
      <c r="B187" s="2">
        <f ca="1"/>
        <v>0.59600722766810232</v>
      </c>
      <c r="O187" s="2">
        <f ca="1"/>
        <v>-0.51561912928156517</v>
      </c>
      <c r="X187" s="2">
        <f ca="1"/>
        <v>67.467473877290416</v>
      </c>
      <c r="AG187" s="2">
        <f ca="1"/>
        <v>0.94792817578954991</v>
      </c>
      <c r="AH187" s="2" t="str">
        <f ca="1"/>
        <v>Bad</v>
      </c>
    </row>
    <row r="188" spans="2:34" x14ac:dyDescent="0.2">
      <c r="B188" s="2">
        <f ca="1"/>
        <v>0.38282867118775665</v>
      </c>
      <c r="O188" s="2">
        <f ca="1"/>
        <v>2.3273571198452303</v>
      </c>
      <c r="X188" s="2">
        <f ca="1"/>
        <v>48.731183854974361</v>
      </c>
      <c r="AG188" s="2">
        <f ca="1"/>
        <v>0.51625810945003781</v>
      </c>
      <c r="AH188" s="2" t="str">
        <f ca="1"/>
        <v>Bad</v>
      </c>
    </row>
    <row r="189" spans="2:34" x14ac:dyDescent="0.2">
      <c r="B189" s="2">
        <f ca="1"/>
        <v>0.74555284898699248</v>
      </c>
      <c r="O189" s="2">
        <f ca="1"/>
        <v>-2.8039885389075621</v>
      </c>
      <c r="X189" s="2">
        <f ca="1"/>
        <v>31.773768707638105</v>
      </c>
      <c r="AG189" s="2">
        <f ca="1"/>
        <v>0.743435495898078</v>
      </c>
      <c r="AH189" s="2" t="str">
        <f ca="1"/>
        <v>Bad</v>
      </c>
    </row>
    <row r="190" spans="2:34" x14ac:dyDescent="0.2">
      <c r="B190" s="2">
        <f ca="1"/>
        <v>0.10644723645579557</v>
      </c>
      <c r="O190" s="2">
        <f ca="1"/>
        <v>7.1465879914071662E-2</v>
      </c>
      <c r="X190" s="2">
        <f ca="1"/>
        <v>68.855006795221399</v>
      </c>
      <c r="AG190" s="2">
        <f ca="1"/>
        <v>0.13978160234897152</v>
      </c>
      <c r="AH190" s="2" t="str">
        <f ca="1"/>
        <v>OK</v>
      </c>
    </row>
    <row r="191" spans="2:34" x14ac:dyDescent="0.2">
      <c r="B191" s="2">
        <f ca="1"/>
        <v>3.1168445456304372E-3</v>
      </c>
      <c r="O191" s="2">
        <f ca="1"/>
        <v>-0.33274453530221393</v>
      </c>
      <c r="X191" s="2">
        <f ca="1"/>
        <v>37.300259576727896</v>
      </c>
      <c r="AG191" s="2">
        <f ca="1"/>
        <v>0.3983177215364806</v>
      </c>
      <c r="AH191" s="2" t="str">
        <f ca="1"/>
        <v>OK</v>
      </c>
    </row>
    <row r="192" spans="2:34" x14ac:dyDescent="0.2">
      <c r="B192" s="2">
        <f ca="1"/>
        <v>0.99543926271332794</v>
      </c>
      <c r="O192" s="2">
        <f ca="1"/>
        <v>2.9259510252915504E-2</v>
      </c>
      <c r="X192" s="2">
        <f ca="1"/>
        <v>42.00307895114193</v>
      </c>
      <c r="AG192" s="2">
        <f ca="1"/>
        <v>0.36207137024175018</v>
      </c>
      <c r="AH192" s="2" t="str">
        <f ca="1"/>
        <v>OK</v>
      </c>
    </row>
    <row r="193" spans="2:34" x14ac:dyDescent="0.2">
      <c r="B193" s="2">
        <f ca="1"/>
        <v>0.84619556724612011</v>
      </c>
      <c r="O193" s="2">
        <f ca="1"/>
        <v>0.15287010088381245</v>
      </c>
      <c r="X193" s="2">
        <f ca="1"/>
        <v>32.318685150160007</v>
      </c>
      <c r="AG193" s="2">
        <f ca="1"/>
        <v>0.4977955424437317</v>
      </c>
      <c r="AH193" s="2" t="str">
        <f ca="1"/>
        <v>Bad</v>
      </c>
    </row>
    <row r="194" spans="2:34" x14ac:dyDescent="0.2">
      <c r="B194" s="2">
        <f ca="1"/>
        <v>0.52241347016391093</v>
      </c>
      <c r="O194" s="2">
        <f ca="1"/>
        <v>-0.23791034092868976</v>
      </c>
      <c r="X194" s="2">
        <f ca="1"/>
        <v>46.527094323838199</v>
      </c>
      <c r="AG194" s="2">
        <f ca="1"/>
        <v>0.61035360872545241</v>
      </c>
      <c r="AH194" s="2" t="str">
        <f ca="1"/>
        <v>Bad</v>
      </c>
    </row>
    <row r="195" spans="2:34" x14ac:dyDescent="0.2">
      <c r="B195" s="2">
        <f ca="1"/>
        <v>0.73737238619813628</v>
      </c>
      <c r="O195" s="2">
        <f ca="1"/>
        <v>-0.30331173895555169</v>
      </c>
      <c r="X195" s="2">
        <f ca="1"/>
        <v>74.046420636290719</v>
      </c>
      <c r="AG195" s="2">
        <f ca="1"/>
        <v>0.83147509833751854</v>
      </c>
      <c r="AH195" s="2" t="str">
        <f ca="1"/>
        <v>Bad</v>
      </c>
    </row>
    <row r="196" spans="2:34" x14ac:dyDescent="0.2">
      <c r="B196" s="2">
        <f ca="1"/>
        <v>0.38832522392317936</v>
      </c>
      <c r="O196" s="2">
        <f ca="1"/>
        <v>-1.1499251211415658</v>
      </c>
      <c r="X196" s="2">
        <f ca="1"/>
        <v>66.530330679984445</v>
      </c>
      <c r="AG196" s="2">
        <f ca="1"/>
        <v>0.41456609423369839</v>
      </c>
      <c r="AH196" s="2" t="str">
        <f ca="1"/>
        <v>Bad</v>
      </c>
    </row>
    <row r="197" spans="2:34" x14ac:dyDescent="0.2">
      <c r="B197" s="2">
        <f ca="1"/>
        <v>0.19350067331069298</v>
      </c>
      <c r="O197" s="2">
        <f ca="1"/>
        <v>0.19678479458861475</v>
      </c>
      <c r="X197" s="2">
        <f ca="1"/>
        <v>25.006200436256925</v>
      </c>
      <c r="AG197" s="2">
        <f ca="1"/>
        <v>0.90376416247834235</v>
      </c>
      <c r="AH197" s="2" t="str">
        <f ca="1"/>
        <v>Bad</v>
      </c>
    </row>
    <row r="198" spans="2:34" x14ac:dyDescent="0.2">
      <c r="B198" s="2">
        <f ca="1"/>
        <v>0.57106970097502829</v>
      </c>
      <c r="O198" s="2">
        <f ca="1"/>
        <v>1.1838488419593174</v>
      </c>
      <c r="X198" s="2">
        <f ca="1"/>
        <v>66.838121076859835</v>
      </c>
      <c r="AG198" s="2">
        <f ca="1"/>
        <v>0.84859615689860002</v>
      </c>
      <c r="AH198" s="2" t="str">
        <f ca="1"/>
        <v>Bad</v>
      </c>
    </row>
    <row r="199" spans="2:34" x14ac:dyDescent="0.2">
      <c r="B199" s="2">
        <f ca="1"/>
        <v>0.28289248719947335</v>
      </c>
      <c r="O199" s="2">
        <f ca="1"/>
        <v>0.48891288785795367</v>
      </c>
      <c r="X199" s="2">
        <f ca="1"/>
        <v>50.730430769328592</v>
      </c>
      <c r="AG199" s="2">
        <f ca="1"/>
        <v>0.44376274460072884</v>
      </c>
      <c r="AH199" s="2" t="str">
        <f ca="1"/>
        <v>Bad</v>
      </c>
    </row>
    <row r="200" spans="2:34" x14ac:dyDescent="0.2">
      <c r="B200" s="2">
        <f ca="1"/>
        <v>0.29269057679613408</v>
      </c>
      <c r="O200" s="2">
        <f ca="1"/>
        <v>-4.2547123107580652E-2</v>
      </c>
      <c r="X200" s="2">
        <f ca="1"/>
        <v>61.766276179765178</v>
      </c>
      <c r="AG200" s="2">
        <f ca="1"/>
        <v>0.52563642478874195</v>
      </c>
      <c r="AH200" s="2" t="str">
        <f ca="1"/>
        <v>Bad</v>
      </c>
    </row>
    <row r="201" spans="2:34" x14ac:dyDescent="0.2">
      <c r="B201" s="2">
        <f ca="1"/>
        <v>0.64377383832332469</v>
      </c>
      <c r="O201" s="2">
        <f ca="1"/>
        <v>-0.82241599525081399</v>
      </c>
      <c r="X201" s="2">
        <f ca="1"/>
        <v>94.195242986505036</v>
      </c>
      <c r="AG201" s="2">
        <f ca="1"/>
        <v>0.12029490559248845</v>
      </c>
      <c r="AH201" s="2" t="str">
        <f ca="1"/>
        <v>OK</v>
      </c>
    </row>
    <row r="202" spans="2:34" x14ac:dyDescent="0.2">
      <c r="B202" s="2">
        <f ca="1"/>
        <v>0.3827185054968234</v>
      </c>
      <c r="O202" s="2">
        <f ca="1"/>
        <v>2.1971772017032611</v>
      </c>
      <c r="X202" s="2">
        <f ca="1"/>
        <v>27.094151866926033</v>
      </c>
      <c r="AG202" s="2">
        <f ca="1"/>
        <v>0.36754603421409637</v>
      </c>
      <c r="AH202" s="2" t="str">
        <f ca="1"/>
        <v>OK</v>
      </c>
    </row>
    <row r="203" spans="2:34" x14ac:dyDescent="0.2">
      <c r="B203" s="2">
        <f ca="1"/>
        <v>0.54157153146748427</v>
      </c>
      <c r="O203" s="2">
        <f ca="1"/>
        <v>0.425041200062521</v>
      </c>
      <c r="X203" s="2">
        <f ca="1"/>
        <v>45.382158938971543</v>
      </c>
      <c r="AG203" s="2">
        <f ca="1"/>
        <v>0.90727874397819686</v>
      </c>
      <c r="AH203" s="2" t="str">
        <f ca="1"/>
        <v>Bad</v>
      </c>
    </row>
    <row r="204" spans="2:34" x14ac:dyDescent="0.2">
      <c r="B204" s="2">
        <f ca="1"/>
        <v>0.17022104115385273</v>
      </c>
      <c r="O204" s="2">
        <f ca="1"/>
        <v>0.3955624317564998</v>
      </c>
      <c r="X204" s="2">
        <f ca="1"/>
        <v>31.203654503462094</v>
      </c>
      <c r="AG204" s="2">
        <f ca="1"/>
        <v>2.9757914525534002E-2</v>
      </c>
      <c r="AH204" s="2" t="str">
        <f ca="1"/>
        <v>Good</v>
      </c>
    </row>
    <row r="205" spans="2:34" x14ac:dyDescent="0.2">
      <c r="B205" s="2">
        <f ca="1"/>
        <v>0.44980282956746254</v>
      </c>
      <c r="O205" s="2">
        <f ca="1"/>
        <v>1.0314426826586987</v>
      </c>
      <c r="X205" s="2">
        <f ca="1"/>
        <v>39.51983845347938</v>
      </c>
      <c r="AG205" s="2">
        <f ca="1"/>
        <v>0.52480889280033649</v>
      </c>
      <c r="AH205" s="2" t="str">
        <f ca="1"/>
        <v>Bad</v>
      </c>
    </row>
    <row r="206" spans="2:34" x14ac:dyDescent="0.2">
      <c r="B206" s="2">
        <f ca="1"/>
        <v>0.52258100021019005</v>
      </c>
      <c r="O206" s="2">
        <f ca="1"/>
        <v>-2.0400723649459103</v>
      </c>
      <c r="X206" s="2">
        <f ca="1"/>
        <v>84.542352058773332</v>
      </c>
      <c r="AG206" s="2">
        <f ca="1"/>
        <v>0.80166293296944935</v>
      </c>
      <c r="AH206" s="2" t="str">
        <f ca="1"/>
        <v>Bad</v>
      </c>
    </row>
    <row r="207" spans="2:34" x14ac:dyDescent="0.2">
      <c r="B207" s="2">
        <f ca="1"/>
        <v>0.92875986357072038</v>
      </c>
      <c r="O207" s="2">
        <f ca="1"/>
        <v>-1.1053330559918304</v>
      </c>
      <c r="X207" s="2">
        <f ca="1"/>
        <v>45.372330408662869</v>
      </c>
      <c r="AG207" s="2">
        <f ca="1"/>
        <v>0.51798654497550833</v>
      </c>
      <c r="AH207" s="2" t="str">
        <f ca="1"/>
        <v>Bad</v>
      </c>
    </row>
    <row r="208" spans="2:34" x14ac:dyDescent="0.2">
      <c r="B208" s="2">
        <f ca="1"/>
        <v>7.026880319137141E-2</v>
      </c>
      <c r="O208" s="2">
        <f ca="1"/>
        <v>0.79871129886477421</v>
      </c>
      <c r="X208" s="2">
        <f ca="1"/>
        <v>52.778826525374136</v>
      </c>
      <c r="AG208" s="2">
        <f ca="1"/>
        <v>5.9451692338731599E-2</v>
      </c>
      <c r="AH208" s="2" t="str">
        <f ca="1"/>
        <v>OK</v>
      </c>
    </row>
    <row r="209" spans="2:34" x14ac:dyDescent="0.2">
      <c r="B209" s="2">
        <f ca="1"/>
        <v>0.63468973953727614</v>
      </c>
      <c r="O209" s="2">
        <f ca="1"/>
        <v>0.65597778052899836</v>
      </c>
      <c r="X209" s="2">
        <f ca="1"/>
        <v>72.062200499156774</v>
      </c>
      <c r="AG209" s="2">
        <f ca="1"/>
        <v>0.37910177412175394</v>
      </c>
      <c r="AH209" s="2" t="str">
        <f ca="1"/>
        <v>OK</v>
      </c>
    </row>
    <row r="210" spans="2:34" x14ac:dyDescent="0.2">
      <c r="B210" s="2">
        <f ca="1"/>
        <v>0.44739331073059674</v>
      </c>
      <c r="O210" s="2">
        <f ca="1"/>
        <v>0.91179101725592304</v>
      </c>
      <c r="X210" s="2">
        <f ca="1"/>
        <v>24.8041525831378</v>
      </c>
      <c r="AG210" s="2">
        <f ca="1"/>
        <v>0.79070841532786362</v>
      </c>
      <c r="AH210" s="2" t="str">
        <f ca="1"/>
        <v>Bad</v>
      </c>
    </row>
    <row r="211" spans="2:34" x14ac:dyDescent="0.2">
      <c r="B211" s="2">
        <f ca="1"/>
        <v>0.43406699482034061</v>
      </c>
      <c r="O211" s="2">
        <f ca="1"/>
        <v>0.24611858481580792</v>
      </c>
      <c r="X211" s="2">
        <f ca="1"/>
        <v>68.458235259742153</v>
      </c>
      <c r="AG211" s="2">
        <f ca="1"/>
        <v>0.50395576598559311</v>
      </c>
      <c r="AH211" s="2" t="str">
        <f ca="1"/>
        <v>Bad</v>
      </c>
    </row>
    <row r="212" spans="2:34" x14ac:dyDescent="0.2">
      <c r="B212" s="2">
        <f ca="1"/>
        <v>0.99678408495954973</v>
      </c>
      <c r="O212" s="2">
        <f ca="1"/>
        <v>0.86558142284257955</v>
      </c>
      <c r="X212" s="2">
        <f ca="1"/>
        <v>39.973616406790228</v>
      </c>
      <c r="AG212" s="2">
        <f ca="1"/>
        <v>0.677470967963961</v>
      </c>
      <c r="AH212" s="2" t="str">
        <f ca="1"/>
        <v>Bad</v>
      </c>
    </row>
    <row r="213" spans="2:34" x14ac:dyDescent="0.2">
      <c r="B213" s="2">
        <f ca="1"/>
        <v>0.15324143348385388</v>
      </c>
      <c r="O213" s="2">
        <f ca="1"/>
        <v>4.9215770077890394E-2</v>
      </c>
      <c r="X213" s="2">
        <f ca="1"/>
        <v>63.532662618890257</v>
      </c>
      <c r="AG213" s="2">
        <f ca="1"/>
        <v>0.25863923662309318</v>
      </c>
      <c r="AH213" s="2" t="str">
        <f ca="1"/>
        <v>OK</v>
      </c>
    </row>
    <row r="214" spans="2:34" x14ac:dyDescent="0.2">
      <c r="B214" s="2">
        <f ca="1"/>
        <v>0.58896736101109104</v>
      </c>
      <c r="O214" s="2">
        <f ca="1"/>
        <v>-1.8390276596960677</v>
      </c>
      <c r="X214" s="2">
        <f ca="1"/>
        <v>57.860432359367088</v>
      </c>
      <c r="AG214" s="2">
        <f ca="1"/>
        <v>0.34358846889781658</v>
      </c>
      <c r="AH214" s="2" t="str">
        <f ca="1"/>
        <v>OK</v>
      </c>
    </row>
    <row r="215" spans="2:34" x14ac:dyDescent="0.2">
      <c r="B215" s="2">
        <f ca="1"/>
        <v>0.32093833483349976</v>
      </c>
      <c r="O215" s="2">
        <f ca="1"/>
        <v>0.11548094692635918</v>
      </c>
      <c r="X215" s="2">
        <f ca="1"/>
        <v>23.637499573662968</v>
      </c>
      <c r="AG215" s="2">
        <f ca="1"/>
        <v>0.40066569907086458</v>
      </c>
      <c r="AH215" s="2" t="str">
        <f ca="1"/>
        <v>Bad</v>
      </c>
    </row>
    <row r="216" spans="2:34" x14ac:dyDescent="0.2">
      <c r="B216" s="2">
        <f ca="1"/>
        <v>0.86466213474271036</v>
      </c>
      <c r="O216" s="2">
        <f ca="1"/>
        <v>0.16081673454083575</v>
      </c>
      <c r="X216" s="2">
        <f ca="1"/>
        <v>52.259261967311446</v>
      </c>
      <c r="AG216" s="2">
        <f ca="1"/>
        <v>0.28106806368020032</v>
      </c>
      <c r="AH216" s="2" t="str">
        <f ca="1"/>
        <v>OK</v>
      </c>
    </row>
    <row r="217" spans="2:34" x14ac:dyDescent="0.2">
      <c r="B217" s="2">
        <f ca="1"/>
        <v>0.91620675698315179</v>
      </c>
      <c r="O217" s="2">
        <f ca="1"/>
        <v>-2.3767211101812333</v>
      </c>
      <c r="X217" s="2">
        <f ca="1"/>
        <v>50.712141610238071</v>
      </c>
      <c r="AG217" s="2">
        <f ca="1"/>
        <v>0.26115785270308467</v>
      </c>
      <c r="AH217" s="2" t="str">
        <f ca="1"/>
        <v>OK</v>
      </c>
    </row>
    <row r="218" spans="2:34" x14ac:dyDescent="0.2">
      <c r="B218" s="2">
        <f ca="1"/>
        <v>0.44848255267860448</v>
      </c>
      <c r="O218" s="2">
        <f ca="1"/>
        <v>-1.0672964150039235</v>
      </c>
      <c r="X218" s="2">
        <f ca="1"/>
        <v>44.604031138876977</v>
      </c>
      <c r="AG218" s="2">
        <f ca="1"/>
        <v>0.60654941265976214</v>
      </c>
      <c r="AH218" s="2" t="str">
        <f ca="1"/>
        <v>Bad</v>
      </c>
    </row>
    <row r="219" spans="2:34" x14ac:dyDescent="0.2">
      <c r="B219" s="2">
        <f ca="1"/>
        <v>0.54268569392370081</v>
      </c>
      <c r="O219" s="2">
        <f ca="1"/>
        <v>8.8200392039176484E-2</v>
      </c>
      <c r="X219" s="2">
        <f ca="1"/>
        <v>34.232425611652772</v>
      </c>
      <c r="AG219" s="2">
        <f ca="1"/>
        <v>0.17684241444661408</v>
      </c>
      <c r="AH219" s="2" t="str">
        <f ca="1"/>
        <v>OK</v>
      </c>
    </row>
    <row r="220" spans="2:34" x14ac:dyDescent="0.2">
      <c r="B220" s="2">
        <f ca="1"/>
        <v>0.1644932298937456</v>
      </c>
      <c r="O220" s="2">
        <f ca="1"/>
        <v>-1.5487944366047861</v>
      </c>
      <c r="X220" s="2">
        <f ca="1"/>
        <v>46.68540423640308</v>
      </c>
      <c r="AG220" s="2">
        <f ca="1"/>
        <v>0.69269911431510311</v>
      </c>
      <c r="AH220" s="2" t="str">
        <f ca="1"/>
        <v>Bad</v>
      </c>
    </row>
    <row r="221" spans="2:34" x14ac:dyDescent="0.2">
      <c r="B221" s="2">
        <f ca="1"/>
        <v>0.4823512309016913</v>
      </c>
      <c r="O221" s="2">
        <f ca="1"/>
        <v>-1.7527915815891606</v>
      </c>
      <c r="X221" s="2">
        <f ca="1"/>
        <v>40.673942303113009</v>
      </c>
      <c r="AG221" s="2">
        <f ca="1"/>
        <v>0.31026554298167808</v>
      </c>
      <c r="AH221" s="2" t="str">
        <f ca="1"/>
        <v>OK</v>
      </c>
    </row>
    <row r="222" spans="2:34" x14ac:dyDescent="0.2">
      <c r="B222" s="2">
        <f ca="1"/>
        <v>0.86270988135729532</v>
      </c>
      <c r="O222" s="2">
        <f ca="1"/>
        <v>-1.2177721645165609</v>
      </c>
      <c r="X222" s="2">
        <f ca="1"/>
        <v>45.075277262591214</v>
      </c>
      <c r="AG222" s="2">
        <f ca="1"/>
        <v>0.91154618660504383</v>
      </c>
      <c r="AH222" s="2" t="str">
        <f ca="1"/>
        <v>Bad</v>
      </c>
    </row>
    <row r="223" spans="2:34" x14ac:dyDescent="0.2">
      <c r="B223" s="2">
        <f ca="1"/>
        <v>0.23008318521751447</v>
      </c>
      <c r="O223" s="2">
        <f ca="1"/>
        <v>-0.47478573483175446</v>
      </c>
      <c r="X223" s="2">
        <f ca="1"/>
        <v>61.948318260470472</v>
      </c>
      <c r="AG223" s="2">
        <f ca="1"/>
        <v>0.62023655653129728</v>
      </c>
      <c r="AH223" s="2" t="str">
        <f ca="1"/>
        <v>Bad</v>
      </c>
    </row>
    <row r="224" spans="2:34" x14ac:dyDescent="0.2">
      <c r="B224" s="2">
        <f ca="1"/>
        <v>0.22491149622656437</v>
      </c>
      <c r="O224" s="2">
        <f ca="1"/>
        <v>-0.62689209811891455</v>
      </c>
      <c r="X224" s="2">
        <f ca="1"/>
        <v>33.193979937942551</v>
      </c>
      <c r="AG224" s="2">
        <f ca="1"/>
        <v>0.46396458563816689</v>
      </c>
      <c r="AH224" s="2" t="str">
        <f ca="1"/>
        <v>Bad</v>
      </c>
    </row>
    <row r="225" spans="2:34" x14ac:dyDescent="0.2">
      <c r="B225" s="2">
        <f ca="1"/>
        <v>0.15017622736353142</v>
      </c>
      <c r="O225" s="2">
        <f ca="1"/>
        <v>4.1903099524814878E-2</v>
      </c>
      <c r="X225" s="2">
        <f ca="1"/>
        <v>77.492713498784624</v>
      </c>
      <c r="AG225" s="2">
        <f ca="1"/>
        <v>0.77880374295311183</v>
      </c>
      <c r="AH225" s="2" t="str">
        <f ca="1"/>
        <v>Bad</v>
      </c>
    </row>
    <row r="226" spans="2:34" x14ac:dyDescent="0.2">
      <c r="B226" s="2">
        <f ca="1"/>
        <v>0.2329557517293972</v>
      </c>
      <c r="O226" s="2">
        <f ca="1"/>
        <v>-0.19329231358956545</v>
      </c>
      <c r="X226" s="2">
        <f ca="1"/>
        <v>43.010522503912114</v>
      </c>
      <c r="AG226" s="2">
        <f ca="1"/>
        <v>0.69270602368686007</v>
      </c>
      <c r="AH226" s="2" t="str">
        <f ca="1"/>
        <v>Bad</v>
      </c>
    </row>
    <row r="227" spans="2:34" x14ac:dyDescent="0.2">
      <c r="B227" s="2">
        <f ca="1"/>
        <v>0.31112911371178331</v>
      </c>
      <c r="O227" s="2">
        <f ca="1"/>
        <v>-2.1197942918993515</v>
      </c>
      <c r="X227" s="2">
        <f ca="1"/>
        <v>36.690341056051786</v>
      </c>
      <c r="AG227" s="2">
        <f ca="1"/>
        <v>0.76258958607158611</v>
      </c>
      <c r="AH227" s="2" t="str">
        <f ca="1"/>
        <v>Bad</v>
      </c>
    </row>
    <row r="228" spans="2:34" x14ac:dyDescent="0.2">
      <c r="B228" s="2">
        <f ca="1"/>
        <v>0.63581918027185669</v>
      </c>
      <c r="O228" s="2">
        <f ca="1"/>
        <v>0.17573286903571098</v>
      </c>
      <c r="X228" s="2">
        <f ca="1"/>
        <v>61.457753516729632</v>
      </c>
      <c r="AG228" s="2">
        <f ca="1"/>
        <v>0.50046191670988471</v>
      </c>
      <c r="AH228" s="2" t="str">
        <f ca="1"/>
        <v>Bad</v>
      </c>
    </row>
    <row r="229" spans="2:34" x14ac:dyDescent="0.2">
      <c r="B229" s="2">
        <f ca="1"/>
        <v>0.46145431019622118</v>
      </c>
      <c r="O229" s="2">
        <f ca="1"/>
        <v>0.52158093921009019</v>
      </c>
      <c r="X229" s="2">
        <f ca="1"/>
        <v>23.035226550752409</v>
      </c>
      <c r="AG229" s="2">
        <f ca="1"/>
        <v>0.51755804200662925</v>
      </c>
      <c r="AH229" s="2" t="str">
        <f ca="1"/>
        <v>Bad</v>
      </c>
    </row>
    <row r="230" spans="2:34" x14ac:dyDescent="0.2">
      <c r="B230" s="2">
        <f ca="1"/>
        <v>0.47647406650118529</v>
      </c>
      <c r="O230" s="2">
        <f ca="1"/>
        <v>2.1807793321396307</v>
      </c>
      <c r="X230" s="2">
        <f ca="1"/>
        <v>64.705335412763759</v>
      </c>
      <c r="AG230" s="2">
        <f ca="1"/>
        <v>0.52936487310357694</v>
      </c>
      <c r="AH230" s="2" t="str">
        <f ca="1"/>
        <v>Bad</v>
      </c>
    </row>
    <row r="231" spans="2:34" x14ac:dyDescent="0.2">
      <c r="B231" s="2">
        <f ca="1"/>
        <v>0.90531461717839878</v>
      </c>
      <c r="O231" s="2">
        <f ca="1"/>
        <v>-0.75893691858809909</v>
      </c>
      <c r="X231" s="2">
        <f ca="1"/>
        <v>65.508430440955891</v>
      </c>
      <c r="AG231" s="2">
        <f ca="1"/>
        <v>0.56939920718291215</v>
      </c>
      <c r="AH231" s="2" t="str">
        <f ca="1"/>
        <v>Bad</v>
      </c>
    </row>
    <row r="232" spans="2:34" x14ac:dyDescent="0.2">
      <c r="B232" s="2">
        <f ca="1"/>
        <v>0.11245820612420365</v>
      </c>
      <c r="O232" s="2">
        <f ca="1"/>
        <v>0.3025729700882554</v>
      </c>
      <c r="X232" s="2">
        <f ca="1"/>
        <v>54.225111175488081</v>
      </c>
      <c r="AG232" s="2">
        <f ca="1"/>
        <v>0.32494223568454172</v>
      </c>
      <c r="AH232" s="2" t="str">
        <f ca="1"/>
        <v>OK</v>
      </c>
    </row>
    <row r="233" spans="2:34" x14ac:dyDescent="0.2">
      <c r="B233" s="2">
        <f ca="1"/>
        <v>0.96163981492592598</v>
      </c>
      <c r="O233" s="2">
        <f ca="1"/>
        <v>-0.63542416836824234</v>
      </c>
      <c r="X233" s="2">
        <f ca="1"/>
        <v>71.122584708714541</v>
      </c>
      <c r="AG233" s="2">
        <f ca="1"/>
        <v>0.30291681346030241</v>
      </c>
      <c r="AH233" s="2" t="str">
        <f ca="1"/>
        <v>OK</v>
      </c>
    </row>
    <row r="234" spans="2:34" x14ac:dyDescent="0.2">
      <c r="B234" s="2">
        <f ca="1"/>
        <v>0.53621283317458257</v>
      </c>
      <c r="O234" s="2">
        <f ca="1"/>
        <v>0.87257749954721309</v>
      </c>
      <c r="X234" s="2">
        <f ca="1"/>
        <v>43.770045794133885</v>
      </c>
      <c r="AG234" s="2">
        <f ca="1"/>
        <v>0.92870829648123476</v>
      </c>
      <c r="AH234" s="2" t="str">
        <f ca="1"/>
        <v>Bad</v>
      </c>
    </row>
    <row r="235" spans="2:34" x14ac:dyDescent="0.2">
      <c r="B235" s="2">
        <f ca="1"/>
        <v>0.77599573756614126</v>
      </c>
      <c r="O235" s="2">
        <f ca="1"/>
        <v>0.8748188706088702</v>
      </c>
      <c r="X235" s="2">
        <f ca="1"/>
        <v>56.009992736879504</v>
      </c>
      <c r="AG235" s="2">
        <f ca="1"/>
        <v>0.230468529195617</v>
      </c>
      <c r="AH235" s="2" t="str">
        <f ca="1"/>
        <v>OK</v>
      </c>
    </row>
    <row r="236" spans="2:34" x14ac:dyDescent="0.2">
      <c r="B236" s="2">
        <f ca="1"/>
        <v>0.15174092583360621</v>
      </c>
      <c r="O236" s="2">
        <f ca="1"/>
        <v>1.2489464472583223</v>
      </c>
      <c r="X236" s="2">
        <f ca="1"/>
        <v>40.450870933033507</v>
      </c>
      <c r="AG236" s="2">
        <f ca="1"/>
        <v>0.3450937585954772</v>
      </c>
      <c r="AH236" s="2" t="str">
        <f ca="1"/>
        <v>OK</v>
      </c>
    </row>
    <row r="237" spans="2:34" x14ac:dyDescent="0.2">
      <c r="B237" s="2">
        <f ca="1"/>
        <v>0.15153957037684429</v>
      </c>
      <c r="O237" s="2">
        <f ca="1"/>
        <v>-0.75169439062191257</v>
      </c>
      <c r="X237" s="2">
        <f ca="1"/>
        <v>65.694414465956712</v>
      </c>
      <c r="AG237" s="2">
        <f ca="1"/>
        <v>0.57643638507215345</v>
      </c>
      <c r="AH237" s="2" t="str">
        <f ca="1"/>
        <v>Bad</v>
      </c>
    </row>
    <row r="238" spans="2:34" x14ac:dyDescent="0.2">
      <c r="B238" s="2">
        <f ca="1"/>
        <v>0.72129050661526573</v>
      </c>
      <c r="O238" s="2">
        <f ca="1"/>
        <v>-2.252814017446056</v>
      </c>
      <c r="X238" s="2">
        <f ca="1"/>
        <v>30.084131220399438</v>
      </c>
      <c r="AG238" s="2">
        <f ca="1"/>
        <v>0.26105461826686627</v>
      </c>
      <c r="AH238" s="2" t="str">
        <f ca="1"/>
        <v>OK</v>
      </c>
    </row>
    <row r="239" spans="2:34" x14ac:dyDescent="0.2">
      <c r="B239" s="2">
        <f ca="1"/>
        <v>0.23861199679255107</v>
      </c>
      <c r="O239" s="2">
        <f ca="1"/>
        <v>-0.2364111397226944</v>
      </c>
      <c r="X239" s="2">
        <f ca="1"/>
        <v>44.356118707618009</v>
      </c>
      <c r="AG239" s="2">
        <f ca="1"/>
        <v>0.19836238426701525</v>
      </c>
      <c r="AH239" s="2" t="str">
        <f ca="1"/>
        <v>OK</v>
      </c>
    </row>
    <row r="240" spans="2:34" x14ac:dyDescent="0.2">
      <c r="B240" s="2">
        <f ca="1"/>
        <v>0.60238984706311216</v>
      </c>
      <c r="O240" s="2">
        <f ca="1"/>
        <v>2.4421031743711863</v>
      </c>
      <c r="X240" s="2">
        <f ca="1"/>
        <v>48.975936832678222</v>
      </c>
      <c r="AG240" s="2">
        <f ca="1"/>
        <v>0.6520265119911417</v>
      </c>
      <c r="AH240" s="2" t="str">
        <f ca="1"/>
        <v>Bad</v>
      </c>
    </row>
    <row r="241" spans="2:34" x14ac:dyDescent="0.2">
      <c r="B241" s="2">
        <f ca="1"/>
        <v>0.80260084617505711</v>
      </c>
      <c r="O241" s="2">
        <f ca="1"/>
        <v>0.1721309603065567</v>
      </c>
      <c r="X241" s="2">
        <f ca="1"/>
        <v>49.032902699590522</v>
      </c>
      <c r="AG241" s="2">
        <f ca="1"/>
        <v>0.6572678714464073</v>
      </c>
      <c r="AH241" s="2" t="str">
        <f ca="1"/>
        <v>Bad</v>
      </c>
    </row>
    <row r="242" spans="2:34" x14ac:dyDescent="0.2">
      <c r="B242" s="2">
        <f ca="1"/>
        <v>2.8393456792961125E-2</v>
      </c>
      <c r="O242" s="2">
        <f ca="1"/>
        <v>1.0800250471332984</v>
      </c>
      <c r="X242" s="2">
        <f ca="1"/>
        <v>101.32607773837101</v>
      </c>
      <c r="AG242" s="2">
        <f ca="1"/>
        <v>0.16106889926026979</v>
      </c>
      <c r="AH242" s="2" t="str">
        <f ca="1"/>
        <v>OK</v>
      </c>
    </row>
    <row r="243" spans="2:34" x14ac:dyDescent="0.2">
      <c r="B243" s="2">
        <f ca="1"/>
        <v>0.54411765497101228</v>
      </c>
      <c r="O243" s="2">
        <f ca="1"/>
        <v>0.57153864505662177</v>
      </c>
      <c r="X243" s="2">
        <f ca="1"/>
        <v>42.390540512566389</v>
      </c>
      <c r="AG243" s="2">
        <f ca="1"/>
        <v>0.97449275967447613</v>
      </c>
      <c r="AH243" s="2" t="str">
        <f ca="1"/>
        <v>Bad</v>
      </c>
    </row>
    <row r="244" spans="2:34" x14ac:dyDescent="0.2">
      <c r="B244" s="2">
        <f ca="1"/>
        <v>0.96427963799994498</v>
      </c>
      <c r="O244" s="2">
        <f ca="1"/>
        <v>1.264683124036581</v>
      </c>
      <c r="X244" s="2">
        <f ca="1"/>
        <v>69.532925567971461</v>
      </c>
      <c r="AG244" s="2">
        <f ca="1"/>
        <v>0.95815563086091782</v>
      </c>
      <c r="AH244" s="2" t="str">
        <f ca="1"/>
        <v>Bad</v>
      </c>
    </row>
    <row r="245" spans="2:34" x14ac:dyDescent="0.2">
      <c r="B245" s="2">
        <f ca="1"/>
        <v>0.40905726888618732</v>
      </c>
      <c r="O245" s="2">
        <f ca="1"/>
        <v>0.40537953363588819</v>
      </c>
      <c r="X245" s="2">
        <f ca="1"/>
        <v>52.367139639848659</v>
      </c>
      <c r="AG245" s="2">
        <f ca="1"/>
        <v>0.74803909397062318</v>
      </c>
      <c r="AH245" s="2" t="str">
        <f ca="1"/>
        <v>Bad</v>
      </c>
    </row>
    <row r="246" spans="2:34" x14ac:dyDescent="0.2">
      <c r="B246" s="2">
        <f ca="1"/>
        <v>0.75710946352281439</v>
      </c>
      <c r="O246" s="2">
        <f ca="1"/>
        <v>-1.2925549741434605</v>
      </c>
      <c r="X246" s="2">
        <f ca="1"/>
        <v>46.505621876192066</v>
      </c>
      <c r="AG246" s="2">
        <f ca="1"/>
        <v>0.11201934659010693</v>
      </c>
      <c r="AH246" s="2" t="str">
        <f ca="1"/>
        <v>OK</v>
      </c>
    </row>
    <row r="247" spans="2:34" x14ac:dyDescent="0.2">
      <c r="B247" s="2">
        <f ca="1"/>
        <v>0.5267299854326688</v>
      </c>
      <c r="O247" s="2">
        <f ca="1"/>
        <v>0.45254574122245622</v>
      </c>
      <c r="X247" s="2">
        <f ca="1"/>
        <v>47.953206709668109</v>
      </c>
      <c r="AG247" s="2">
        <f ca="1"/>
        <v>0.19214404345448433</v>
      </c>
      <c r="AH247" s="2" t="str">
        <f ca="1"/>
        <v>OK</v>
      </c>
    </row>
    <row r="248" spans="2:34" x14ac:dyDescent="0.2">
      <c r="B248" s="2">
        <f ca="1"/>
        <v>0.17969103424460053</v>
      </c>
      <c r="O248" s="2">
        <f ca="1"/>
        <v>0.24781441258193823</v>
      </c>
      <c r="X248" s="2">
        <f ca="1"/>
        <v>50.039609019238824</v>
      </c>
      <c r="AG248" s="2">
        <f ca="1"/>
        <v>8.9377921695139362E-2</v>
      </c>
      <c r="AH248" s="2" t="str">
        <f ca="1"/>
        <v>OK</v>
      </c>
    </row>
    <row r="249" spans="2:34" x14ac:dyDescent="0.2">
      <c r="B249" s="2">
        <f ca="1"/>
        <v>0.63939540913148285</v>
      </c>
      <c r="O249" s="2">
        <f ca="1"/>
        <v>-1.5925148395864266</v>
      </c>
      <c r="X249" s="2">
        <f ca="1"/>
        <v>53.846798903246437</v>
      </c>
      <c r="AG249" s="2">
        <f ca="1"/>
        <v>0.92971836899091009</v>
      </c>
      <c r="AH249" s="2" t="str">
        <f ca="1"/>
        <v>Bad</v>
      </c>
    </row>
    <row r="250" spans="2:34" x14ac:dyDescent="0.2">
      <c r="B250" s="2">
        <f ca="1"/>
        <v>0.26555403932584132</v>
      </c>
      <c r="O250" s="2">
        <f ca="1"/>
        <v>0.13640426242960874</v>
      </c>
      <c r="X250" s="2">
        <f ca="1"/>
        <v>53.59584979211818</v>
      </c>
      <c r="AG250" s="2">
        <f ca="1"/>
        <v>0.27241943916830458</v>
      </c>
      <c r="AH250" s="2" t="str">
        <f ca="1"/>
        <v>OK</v>
      </c>
    </row>
    <row r="251" spans="2:34" x14ac:dyDescent="0.2">
      <c r="B251" s="2">
        <f ca="1"/>
        <v>0.5317411012844433</v>
      </c>
      <c r="O251" s="2">
        <f ca="1"/>
        <v>-1.4013383874681209</v>
      </c>
      <c r="X251" s="2">
        <f ca="1"/>
        <v>34.638402169724493</v>
      </c>
      <c r="AG251" s="2">
        <f ca="1"/>
        <v>0.82742024838483808</v>
      </c>
      <c r="AH251" s="2" t="str">
        <f ca="1"/>
        <v>Bad</v>
      </c>
    </row>
    <row r="252" spans="2:34" x14ac:dyDescent="0.2">
      <c r="B252" s="2">
        <f ca="1"/>
        <v>0.66472316114160179</v>
      </c>
      <c r="O252" s="2">
        <f ca="1"/>
        <v>0.60174188432534281</v>
      </c>
      <c r="X252" s="2">
        <f ca="1"/>
        <v>47.233625945098616</v>
      </c>
      <c r="AG252" s="2">
        <f ca="1"/>
        <v>0.60108933131753273</v>
      </c>
      <c r="AH252" s="2" t="str">
        <f ca="1"/>
        <v>Bad</v>
      </c>
    </row>
    <row r="253" spans="2:34" x14ac:dyDescent="0.2">
      <c r="B253" s="2">
        <f ca="1"/>
        <v>0.26058962666711905</v>
      </c>
      <c r="O253" s="2">
        <f ca="1"/>
        <v>0.72304392957386598</v>
      </c>
      <c r="X253" s="2">
        <f ca="1"/>
        <v>62.881248061127067</v>
      </c>
      <c r="AG253" s="2">
        <f ca="1"/>
        <v>0.59749459921266634</v>
      </c>
      <c r="AH253" s="2" t="str">
        <f ca="1"/>
        <v>Bad</v>
      </c>
    </row>
    <row r="254" spans="2:34" x14ac:dyDescent="0.2">
      <c r="B254" s="2">
        <f ca="1"/>
        <v>2.8616619540697164E-2</v>
      </c>
      <c r="O254" s="2">
        <f ca="1"/>
        <v>0.46790232625319017</v>
      </c>
      <c r="X254" s="2">
        <f ca="1"/>
        <v>59.954176314152534</v>
      </c>
      <c r="AG254" s="2">
        <f ca="1"/>
        <v>0.64306121043381137</v>
      </c>
      <c r="AH254" s="2" t="str">
        <f ca="1"/>
        <v>Bad</v>
      </c>
    </row>
    <row r="255" spans="2:34" x14ac:dyDescent="0.2">
      <c r="B255" s="2">
        <f ca="1"/>
        <v>5.6668268180516623E-2</v>
      </c>
      <c r="O255" s="2">
        <f ca="1"/>
        <v>0.15393081056418259</v>
      </c>
      <c r="X255" s="2">
        <f ca="1"/>
        <v>51.307006776516253</v>
      </c>
      <c r="AG255" s="2">
        <f ca="1"/>
        <v>0.74874350895121533</v>
      </c>
      <c r="AH255" s="2" t="str">
        <f ca="1"/>
        <v>Bad</v>
      </c>
    </row>
    <row r="256" spans="2:34" x14ac:dyDescent="0.2">
      <c r="B256" s="2">
        <f ca="1"/>
        <v>0.94300313768852795</v>
      </c>
      <c r="O256" s="2">
        <f ca="1"/>
        <v>-0.58828522772878244</v>
      </c>
      <c r="X256" s="2">
        <f ca="1"/>
        <v>67.178627903600173</v>
      </c>
      <c r="AG256" s="2">
        <f ca="1"/>
        <v>0.14583018223805988</v>
      </c>
      <c r="AH256" s="2" t="str">
        <f ca="1"/>
        <v>OK</v>
      </c>
    </row>
    <row r="257" spans="2:34" x14ac:dyDescent="0.2">
      <c r="B257" s="2">
        <f ca="1"/>
        <v>0.61005508092768346</v>
      </c>
      <c r="O257" s="2">
        <f ca="1"/>
        <v>0.98992585626185792</v>
      </c>
      <c r="X257" s="2">
        <f ca="1"/>
        <v>67.691473424104686</v>
      </c>
      <c r="AG257" s="2">
        <f ca="1"/>
        <v>0.60538829315070486</v>
      </c>
      <c r="AH257" s="2" t="str">
        <f ca="1"/>
        <v>Bad</v>
      </c>
    </row>
    <row r="258" spans="2:34" x14ac:dyDescent="0.2">
      <c r="B258" s="2">
        <f ca="1"/>
        <v>0.49233661645293636</v>
      </c>
      <c r="O258" s="2">
        <f ca="1"/>
        <v>-0.24156545992719367</v>
      </c>
      <c r="X258" s="2">
        <f ca="1"/>
        <v>48.057285591414796</v>
      </c>
      <c r="AG258" s="2">
        <f ca="1"/>
        <v>0.13730267421895093</v>
      </c>
      <c r="AH258" s="2" t="str">
        <f ca="1"/>
        <v>OK</v>
      </c>
    </row>
    <row r="259" spans="2:34" x14ac:dyDescent="0.2">
      <c r="B259" s="2">
        <f ca="1"/>
        <v>0.39927692038787432</v>
      </c>
      <c r="O259" s="2">
        <f ca="1"/>
        <v>-1.0272928242172654</v>
      </c>
      <c r="X259" s="2">
        <f ca="1"/>
        <v>28.909929820962748</v>
      </c>
      <c r="AG259" s="2">
        <f ca="1"/>
        <v>0.97195617605848517</v>
      </c>
      <c r="AH259" s="2" t="str">
        <f ca="1"/>
        <v>Bad</v>
      </c>
    </row>
    <row r="260" spans="2:34" x14ac:dyDescent="0.2">
      <c r="B260" s="2">
        <f ca="1"/>
        <v>0.74536785001229156</v>
      </c>
      <c r="O260" s="2">
        <f ca="1"/>
        <v>0.96135499877214847</v>
      </c>
      <c r="X260" s="2">
        <f ca="1"/>
        <v>36.37599587767059</v>
      </c>
      <c r="AG260" s="2">
        <f ca="1"/>
        <v>0.40583757330056058</v>
      </c>
      <c r="AH260" s="2" t="str">
        <f ca="1"/>
        <v>Bad</v>
      </c>
    </row>
    <row r="261" spans="2:34" x14ac:dyDescent="0.2">
      <c r="B261" s="2">
        <f ca="1"/>
        <v>0.25474665156236465</v>
      </c>
      <c r="O261" s="2">
        <f ca="1"/>
        <v>0.60558982586976684</v>
      </c>
      <c r="X261" s="2">
        <f ca="1"/>
        <v>63.297682761208478</v>
      </c>
      <c r="AG261" s="2">
        <f ca="1"/>
        <v>0.66083746536136667</v>
      </c>
      <c r="AH261" s="2" t="str">
        <f ca="1"/>
        <v>Bad</v>
      </c>
    </row>
    <row r="262" spans="2:34" x14ac:dyDescent="0.2">
      <c r="B262" s="2">
        <f ca="1"/>
        <v>0.60949795688530073</v>
      </c>
      <c r="O262" s="2">
        <f ca="1"/>
        <v>-1.0016818324942072</v>
      </c>
      <c r="X262" s="2">
        <f ca="1"/>
        <v>60.927571913096827</v>
      </c>
      <c r="AG262" s="2">
        <f ca="1"/>
        <v>0.49720777233536539</v>
      </c>
      <c r="AH262" s="2" t="str">
        <f ca="1"/>
        <v>Bad</v>
      </c>
    </row>
    <row r="263" spans="2:34" x14ac:dyDescent="0.2">
      <c r="B263" s="2">
        <f ca="1"/>
        <v>2.3682197235778357E-2</v>
      </c>
      <c r="O263" s="2">
        <f ca="1"/>
        <v>-1.0011102122474129</v>
      </c>
      <c r="X263" s="2">
        <f ca="1"/>
        <v>37.913314572357557</v>
      </c>
      <c r="AG263" s="2">
        <f ca="1"/>
        <v>0.67729016618949478</v>
      </c>
      <c r="AH263" s="2" t="str">
        <f ca="1"/>
        <v>Bad</v>
      </c>
    </row>
    <row r="264" spans="2:34" x14ac:dyDescent="0.2">
      <c r="B264" s="2">
        <f ca="1"/>
        <v>0.99526949812125043</v>
      </c>
      <c r="O264" s="2">
        <f ca="1"/>
        <v>0.63071360764433448</v>
      </c>
      <c r="X264" s="2">
        <f ca="1"/>
        <v>52.548662225269695</v>
      </c>
      <c r="AG264" s="2">
        <f ca="1"/>
        <v>0.80013824523980204</v>
      </c>
      <c r="AH264" s="2" t="str">
        <f ca="1"/>
        <v>Bad</v>
      </c>
    </row>
    <row r="265" spans="2:34" x14ac:dyDescent="0.2">
      <c r="B265" s="2">
        <f ca="1"/>
        <v>0.49620891060561267</v>
      </c>
      <c r="O265" s="2">
        <f ca="1"/>
        <v>-1.1610808504080818</v>
      </c>
      <c r="X265" s="2">
        <f ca="1"/>
        <v>61.638893379177766</v>
      </c>
      <c r="AG265" s="2">
        <f ca="1"/>
        <v>0.48137418865819881</v>
      </c>
      <c r="AH265" s="2" t="str">
        <f ca="1"/>
        <v>Bad</v>
      </c>
    </row>
    <row r="266" spans="2:34" x14ac:dyDescent="0.2">
      <c r="B266" s="2">
        <f ca="1"/>
        <v>6.5560640418449889E-2</v>
      </c>
      <c r="O266" s="2">
        <f ca="1"/>
        <v>-0.59627246739222217</v>
      </c>
      <c r="X266" s="2">
        <f ca="1"/>
        <v>57.758699462612185</v>
      </c>
      <c r="AG266" s="2">
        <f ca="1"/>
        <v>0.46389517942604064</v>
      </c>
      <c r="AH266" s="2" t="str">
        <f ca="1"/>
        <v>Bad</v>
      </c>
    </row>
    <row r="267" spans="2:34" x14ac:dyDescent="0.2">
      <c r="B267" s="2">
        <f ca="1"/>
        <v>0.81824866900841431</v>
      </c>
      <c r="O267" s="2">
        <f ca="1"/>
        <v>-0.6181719303783425</v>
      </c>
      <c r="X267" s="2">
        <f ca="1"/>
        <v>61.047288125187926</v>
      </c>
      <c r="AG267" s="2">
        <f ca="1"/>
        <v>0.2551708167827107</v>
      </c>
      <c r="AH267" s="2" t="str">
        <f ca="1"/>
        <v>OK</v>
      </c>
    </row>
    <row r="268" spans="2:34" x14ac:dyDescent="0.2">
      <c r="B268" s="2">
        <f ca="1"/>
        <v>0.83106843211147052</v>
      </c>
      <c r="O268" s="2">
        <f ca="1"/>
        <v>-0.26038460123171353</v>
      </c>
      <c r="X268" s="2">
        <f ca="1"/>
        <v>38.826684117583618</v>
      </c>
      <c r="AG268" s="2">
        <f ca="1"/>
        <v>7.9157390862192312E-2</v>
      </c>
      <c r="AH268" s="2" t="str">
        <f ca="1"/>
        <v>OK</v>
      </c>
    </row>
    <row r="269" spans="2:34" x14ac:dyDescent="0.2">
      <c r="B269" s="2">
        <f ca="1"/>
        <v>0.25640395522461157</v>
      </c>
      <c r="O269" s="2">
        <f ca="1"/>
        <v>-0.16689244516685742</v>
      </c>
      <c r="X269" s="2">
        <f ca="1"/>
        <v>32.985214958445574</v>
      </c>
      <c r="AG269" s="2">
        <f ca="1"/>
        <v>0.52233282754848664</v>
      </c>
      <c r="AH269" s="2" t="str">
        <f ca="1"/>
        <v>Bad</v>
      </c>
    </row>
    <row r="270" spans="2:34" x14ac:dyDescent="0.2">
      <c r="B270" s="2">
        <f ca="1"/>
        <v>0.66958838797987696</v>
      </c>
      <c r="O270" s="2">
        <f ca="1"/>
        <v>-0.16306643798697792</v>
      </c>
      <c r="X270" s="2">
        <f ca="1"/>
        <v>54.259647433979119</v>
      </c>
      <c r="AG270" s="2">
        <f ca="1"/>
        <v>0.89224619041098063</v>
      </c>
      <c r="AH270" s="2" t="str">
        <f ca="1"/>
        <v>Bad</v>
      </c>
    </row>
    <row r="271" spans="2:34" x14ac:dyDescent="0.2">
      <c r="B271" s="2">
        <f ca="1"/>
        <v>0.42888097763108268</v>
      </c>
      <c r="O271" s="2">
        <f ca="1"/>
        <v>0.6525756658698787</v>
      </c>
      <c r="X271" s="2">
        <f ca="1"/>
        <v>54.033906736778917</v>
      </c>
      <c r="AG271" s="2">
        <f ca="1"/>
        <v>0.36972871830083842</v>
      </c>
      <c r="AH271" s="2" t="str">
        <f ca="1"/>
        <v>OK</v>
      </c>
    </row>
    <row r="272" spans="2:34" x14ac:dyDescent="0.2">
      <c r="B272" s="2">
        <f ca="1"/>
        <v>0.32536006385411032</v>
      </c>
      <c r="O272" s="2">
        <f ca="1"/>
        <v>-1.044028052671518</v>
      </c>
      <c r="X272" s="2">
        <f ca="1"/>
        <v>76.080431710669103</v>
      </c>
      <c r="AG272" s="2">
        <f ca="1"/>
        <v>2.8000106365722033E-4</v>
      </c>
      <c r="AH272" s="2" t="str">
        <f ca="1"/>
        <v>Good</v>
      </c>
    </row>
    <row r="273" spans="2:34" x14ac:dyDescent="0.2">
      <c r="B273" s="2">
        <f ca="1"/>
        <v>0.22246904005820056</v>
      </c>
      <c r="O273" s="2">
        <f ca="1"/>
        <v>0.62690322829021405</v>
      </c>
      <c r="X273" s="2">
        <f ca="1"/>
        <v>55.176473183791757</v>
      </c>
      <c r="AG273" s="2">
        <f ca="1"/>
        <v>0.28288997262253801</v>
      </c>
      <c r="AH273" s="2" t="str">
        <f ca="1"/>
        <v>OK</v>
      </c>
    </row>
    <row r="274" spans="2:34" x14ac:dyDescent="0.2">
      <c r="B274" s="2">
        <f ca="1"/>
        <v>0.29027996224320174</v>
      </c>
      <c r="O274" s="2">
        <f ca="1"/>
        <v>1.1387340218641007</v>
      </c>
      <c r="X274" s="2">
        <f ca="1"/>
        <v>64.305805664153809</v>
      </c>
      <c r="AG274" s="2">
        <f ca="1"/>
        <v>0.11047919424674046</v>
      </c>
      <c r="AH274" s="2" t="str">
        <f ca="1"/>
        <v>OK</v>
      </c>
    </row>
    <row r="275" spans="2:34" x14ac:dyDescent="0.2">
      <c r="B275" s="2">
        <f ca="1"/>
        <v>0.60819796672346516</v>
      </c>
      <c r="O275" s="2">
        <f ca="1"/>
        <v>-1.3475707627130826</v>
      </c>
      <c r="X275" s="2">
        <f ca="1"/>
        <v>38.06224681399015</v>
      </c>
      <c r="AG275" s="2">
        <f ca="1"/>
        <v>0.44545332797951676</v>
      </c>
      <c r="AH275" s="2" t="str">
        <f ca="1"/>
        <v>Bad</v>
      </c>
    </row>
    <row r="276" spans="2:34" x14ac:dyDescent="0.2">
      <c r="B276" s="2">
        <f ca="1"/>
        <v>0.9671319562455194</v>
      </c>
      <c r="O276" s="2">
        <f ca="1"/>
        <v>-0.50675117305375383</v>
      </c>
      <c r="X276" s="2">
        <f ca="1"/>
        <v>46.147755234405224</v>
      </c>
      <c r="AG276" s="2">
        <f ca="1"/>
        <v>0.48295075709420732</v>
      </c>
      <c r="AH276" s="2" t="str">
        <f ca="1"/>
        <v>Bad</v>
      </c>
    </row>
    <row r="277" spans="2:34" x14ac:dyDescent="0.2">
      <c r="B277" s="2">
        <f ca="1"/>
        <v>0.50966392354102075</v>
      </c>
      <c r="O277" s="2">
        <f ca="1"/>
        <v>-0.50068489042649189</v>
      </c>
      <c r="X277" s="2">
        <f ca="1"/>
        <v>56.429846684250393</v>
      </c>
      <c r="AG277" s="2">
        <f ca="1"/>
        <v>0.74370995671833851</v>
      </c>
      <c r="AH277" s="2" t="str">
        <f ca="1"/>
        <v>Bad</v>
      </c>
    </row>
    <row r="278" spans="2:34" x14ac:dyDescent="0.2">
      <c r="B278" s="2">
        <f ca="1"/>
        <v>0.58901518753724624</v>
      </c>
      <c r="O278" s="2">
        <f ca="1"/>
        <v>-1.1705345933617723</v>
      </c>
      <c r="X278" s="2">
        <f ca="1"/>
        <v>71.785576763865194</v>
      </c>
      <c r="AG278" s="2">
        <f ca="1"/>
        <v>0.79343462301067924</v>
      </c>
      <c r="AH278" s="2" t="str">
        <f ca="1"/>
        <v>Bad</v>
      </c>
    </row>
    <row r="279" spans="2:34" x14ac:dyDescent="0.2">
      <c r="B279" s="2">
        <f ca="1"/>
        <v>0.6514983667612031</v>
      </c>
      <c r="O279" s="2">
        <f ca="1"/>
        <v>0.98707382479707573</v>
      </c>
      <c r="X279" s="2">
        <f ca="1"/>
        <v>40.237817192447352</v>
      </c>
      <c r="AG279" s="2">
        <f ca="1"/>
        <v>0.91040901938255869</v>
      </c>
      <c r="AH279" s="2" t="str">
        <f ca="1"/>
        <v>Bad</v>
      </c>
    </row>
    <row r="280" spans="2:34" x14ac:dyDescent="0.2">
      <c r="B280" s="2">
        <f ca="1"/>
        <v>0.24868805681861628</v>
      </c>
      <c r="O280" s="2">
        <f ca="1"/>
        <v>1.332092140385946</v>
      </c>
      <c r="X280" s="2">
        <f ca="1"/>
        <v>23.683984919297828</v>
      </c>
      <c r="AG280" s="2">
        <f ca="1"/>
        <v>0.3823620605836251</v>
      </c>
      <c r="AH280" s="2" t="str">
        <f ca="1"/>
        <v>OK</v>
      </c>
    </row>
    <row r="281" spans="2:34" x14ac:dyDescent="0.2">
      <c r="B281" s="2">
        <f ca="1"/>
        <v>0.90315809511875811</v>
      </c>
      <c r="O281" s="2">
        <f ca="1"/>
        <v>1.2242380245216165</v>
      </c>
      <c r="X281" s="2">
        <f ca="1"/>
        <v>32.118657378005452</v>
      </c>
      <c r="AG281" s="2">
        <f ca="1"/>
        <v>0.34805901181161136</v>
      </c>
      <c r="AH281" s="2" t="str">
        <f ca="1"/>
        <v>OK</v>
      </c>
    </row>
    <row r="282" spans="2:34" x14ac:dyDescent="0.2">
      <c r="B282" s="2">
        <f ca="1"/>
        <v>0.94431185777621285</v>
      </c>
      <c r="O282" s="2">
        <f ca="1"/>
        <v>-0.77242425736435605</v>
      </c>
      <c r="X282" s="2">
        <f ca="1"/>
        <v>41.497773723701329</v>
      </c>
      <c r="AG282" s="2">
        <f ca="1"/>
        <v>0.17613874091263981</v>
      </c>
      <c r="AH282" s="2" t="str">
        <f ca="1"/>
        <v>OK</v>
      </c>
    </row>
    <row r="283" spans="2:34" x14ac:dyDescent="0.2">
      <c r="B283" s="2">
        <f ca="1"/>
        <v>0.21808864044502418</v>
      </c>
      <c r="O283" s="2">
        <f ca="1"/>
        <v>0.5802477378709967</v>
      </c>
      <c r="X283" s="2">
        <f ca="1"/>
        <v>33.722887188274953</v>
      </c>
      <c r="AG283" s="2">
        <f ca="1"/>
        <v>0.85079465891485273</v>
      </c>
      <c r="AH283" s="2" t="str">
        <f ca="1"/>
        <v>Bad</v>
      </c>
    </row>
    <row r="284" spans="2:34" x14ac:dyDescent="0.2">
      <c r="B284" s="2">
        <f ca="1"/>
        <v>0.61482488640205668</v>
      </c>
      <c r="O284" s="2">
        <f ca="1"/>
        <v>0.87888683097551012</v>
      </c>
      <c r="X284" s="2">
        <f ca="1"/>
        <v>69.223849842548958</v>
      </c>
      <c r="AG284" s="2">
        <f ca="1"/>
        <v>0.33162161179974414</v>
      </c>
      <c r="AH284" s="2" t="str">
        <f ca="1"/>
        <v>OK</v>
      </c>
    </row>
    <row r="285" spans="2:34" x14ac:dyDescent="0.2">
      <c r="B285" s="2">
        <f ca="1"/>
        <v>0.2478491413450854</v>
      </c>
      <c r="O285" s="2">
        <f ca="1"/>
        <v>-2.6075130576978389</v>
      </c>
      <c r="X285" s="2">
        <f ca="1"/>
        <v>45.292051618996837</v>
      </c>
      <c r="AG285" s="2">
        <f ca="1"/>
        <v>0.47294372912380789</v>
      </c>
      <c r="AH285" s="2" t="str">
        <f ca="1"/>
        <v>Bad</v>
      </c>
    </row>
    <row r="286" spans="2:34" x14ac:dyDescent="0.2">
      <c r="B286" s="2">
        <f ca="1"/>
        <v>0.29129987741029484</v>
      </c>
      <c r="O286" s="2">
        <f ca="1"/>
        <v>0.17625503335605056</v>
      </c>
      <c r="X286" s="2">
        <f ca="1"/>
        <v>42.324219533429144</v>
      </c>
      <c r="AG286" s="2">
        <f ca="1"/>
        <v>0.53742511082354683</v>
      </c>
      <c r="AH286" s="2" t="str">
        <f ca="1"/>
        <v>Bad</v>
      </c>
    </row>
    <row r="287" spans="2:34" x14ac:dyDescent="0.2">
      <c r="B287" s="2">
        <f ca="1"/>
        <v>0.90347423656780501</v>
      </c>
      <c r="O287" s="2">
        <f ca="1"/>
        <v>-0.22777413111072795</v>
      </c>
      <c r="X287" s="2">
        <f ca="1"/>
        <v>44.215231940978974</v>
      </c>
      <c r="AG287" s="2">
        <f ca="1"/>
        <v>0.62322622874673672</v>
      </c>
      <c r="AH287" s="2" t="str">
        <f ca="1"/>
        <v>Bad</v>
      </c>
    </row>
    <row r="288" spans="2:34" x14ac:dyDescent="0.2">
      <c r="B288" s="2">
        <f ca="1"/>
        <v>0.7979183025315475</v>
      </c>
      <c r="O288" s="2">
        <f ca="1"/>
        <v>1.3509477974968289</v>
      </c>
      <c r="X288" s="2">
        <f ca="1"/>
        <v>60.35623916063615</v>
      </c>
      <c r="AG288" s="2">
        <f ca="1"/>
        <v>0.12110882758464747</v>
      </c>
      <c r="AH288" s="2" t="str">
        <f ca="1"/>
        <v>OK</v>
      </c>
    </row>
    <row r="289" spans="2:34" x14ac:dyDescent="0.2">
      <c r="B289" s="2">
        <f ca="1"/>
        <v>0.66020865276821206</v>
      </c>
      <c r="O289" s="2">
        <f ca="1"/>
        <v>-0.83118846216235931</v>
      </c>
      <c r="X289" s="2">
        <f ca="1"/>
        <v>29.945490508342047</v>
      </c>
      <c r="AG289" s="2">
        <f ca="1"/>
        <v>0.42178744929595058</v>
      </c>
      <c r="AH289" s="2" t="str">
        <f ca="1"/>
        <v>Bad</v>
      </c>
    </row>
    <row r="290" spans="2:34" x14ac:dyDescent="0.2">
      <c r="B290" s="2">
        <f ca="1"/>
        <v>0.68591463591950008</v>
      </c>
      <c r="O290" s="2">
        <f ca="1"/>
        <v>-1.1828176430598782</v>
      </c>
      <c r="X290" s="2">
        <f ca="1"/>
        <v>87.345644858095866</v>
      </c>
      <c r="AG290" s="2">
        <f ca="1"/>
        <v>0.1863354706310909</v>
      </c>
      <c r="AH290" s="2" t="str">
        <f ca="1"/>
        <v>OK</v>
      </c>
    </row>
    <row r="291" spans="2:34" x14ac:dyDescent="0.2">
      <c r="B291" s="2">
        <f ca="1"/>
        <v>0.60429526760626673</v>
      </c>
      <c r="O291" s="2">
        <f ca="1"/>
        <v>-0.26104084584097775</v>
      </c>
      <c r="X291" s="2">
        <f ca="1"/>
        <v>48.038968835173456</v>
      </c>
      <c r="AG291" s="2">
        <f ca="1"/>
        <v>0.96734613967834671</v>
      </c>
      <c r="AH291" s="2" t="str">
        <f ca="1"/>
        <v>Bad</v>
      </c>
    </row>
    <row r="292" spans="2:34" x14ac:dyDescent="0.2">
      <c r="B292" s="2">
        <f ca="1"/>
        <v>0.56068235910974229</v>
      </c>
      <c r="O292" s="2">
        <f ca="1"/>
        <v>0.73253131394918136</v>
      </c>
      <c r="X292" s="2">
        <f ca="1"/>
        <v>28.050660197386826</v>
      </c>
      <c r="AG292" s="2">
        <f ca="1"/>
        <v>2.9067283143977329E-2</v>
      </c>
      <c r="AH292" s="2" t="str">
        <f ca="1"/>
        <v>Good</v>
      </c>
    </row>
    <row r="293" spans="2:34" x14ac:dyDescent="0.2">
      <c r="B293" s="2">
        <f ca="1"/>
        <v>0.44818071698289086</v>
      </c>
      <c r="O293" s="2">
        <f ca="1"/>
        <v>1.580703707162824</v>
      </c>
      <c r="X293" s="2">
        <f ca="1"/>
        <v>42.844374378327103</v>
      </c>
      <c r="AG293" s="2">
        <f ca="1"/>
        <v>0.35620913120772202</v>
      </c>
      <c r="AH293" s="2" t="str">
        <f ca="1"/>
        <v>OK</v>
      </c>
    </row>
    <row r="294" spans="2:34" x14ac:dyDescent="0.2">
      <c r="B294" s="2">
        <f ca="1"/>
        <v>0.51038475104124004</v>
      </c>
      <c r="O294" s="2">
        <f ca="1"/>
        <v>-1.3443576724462696</v>
      </c>
      <c r="X294" s="2">
        <f ca="1"/>
        <v>56.229982038699681</v>
      </c>
      <c r="AG294" s="2">
        <f ca="1"/>
        <v>0.83891765438233001</v>
      </c>
      <c r="AH294" s="2" t="str">
        <f ca="1"/>
        <v>Bad</v>
      </c>
    </row>
    <row r="295" spans="2:34" x14ac:dyDescent="0.2">
      <c r="B295" s="2">
        <f ca="1"/>
        <v>9.066730274711432E-2</v>
      </c>
      <c r="O295" s="2">
        <f ca="1"/>
        <v>-1.0321968428508688</v>
      </c>
      <c r="X295" s="2">
        <f ca="1"/>
        <v>49.85943258084707</v>
      </c>
      <c r="AG295" s="2">
        <f ca="1"/>
        <v>0.18844353972322248</v>
      </c>
      <c r="AH295" s="2" t="str">
        <f ca="1"/>
        <v>OK</v>
      </c>
    </row>
    <row r="296" spans="2:34" x14ac:dyDescent="0.2">
      <c r="B296" s="2">
        <f ca="1"/>
        <v>6.2719385055515442E-2</v>
      </c>
      <c r="O296" s="2">
        <f ca="1"/>
        <v>-4.7447651930440843E-2</v>
      </c>
      <c r="X296" s="2">
        <f ca="1"/>
        <v>39.941225897056995</v>
      </c>
      <c r="AG296" s="2">
        <f ca="1"/>
        <v>0.29259849535260796</v>
      </c>
      <c r="AH296" s="2" t="str">
        <f ca="1"/>
        <v>OK</v>
      </c>
    </row>
    <row r="297" spans="2:34" x14ac:dyDescent="0.2">
      <c r="B297" s="2">
        <f ca="1"/>
        <v>0.52666315796903151</v>
      </c>
      <c r="O297" s="2">
        <f ca="1"/>
        <v>-0.45443603963182444</v>
      </c>
      <c r="X297" s="2">
        <f ca="1"/>
        <v>35.591813530000486</v>
      </c>
      <c r="AG297" s="2">
        <f ca="1"/>
        <v>0.79732293892742123</v>
      </c>
      <c r="AH297" s="2" t="str">
        <f ca="1"/>
        <v>Bad</v>
      </c>
    </row>
    <row r="298" spans="2:34" x14ac:dyDescent="0.2">
      <c r="B298" s="2">
        <f ca="1"/>
        <v>0.38547103254678539</v>
      </c>
      <c r="O298" s="2">
        <f ca="1"/>
        <v>0.96037677330959448</v>
      </c>
      <c r="X298" s="2">
        <f ca="1"/>
        <v>53.548228695954364</v>
      </c>
      <c r="AG298" s="2">
        <f ca="1"/>
        <v>0.90268190731784981</v>
      </c>
      <c r="AH298" s="2" t="str">
        <f ca="1"/>
        <v>Bad</v>
      </c>
    </row>
    <row r="299" spans="2:34" x14ac:dyDescent="0.2">
      <c r="B299" s="2">
        <f ca="1"/>
        <v>0.37070319175283517</v>
      </c>
      <c r="O299" s="2">
        <f ca="1"/>
        <v>1.6125132963490931</v>
      </c>
      <c r="X299" s="2">
        <f ca="1"/>
        <v>45.958214377764406</v>
      </c>
      <c r="AG299" s="2">
        <f ca="1"/>
        <v>0.13410448857223245</v>
      </c>
      <c r="AH299" s="2" t="str">
        <f ca="1"/>
        <v>OK</v>
      </c>
    </row>
    <row r="300" spans="2:34" x14ac:dyDescent="0.2">
      <c r="B300" s="2">
        <f ca="1"/>
        <v>0.9931309118086995</v>
      </c>
      <c r="O300" s="2">
        <f ca="1"/>
        <v>-0.22761011767000419</v>
      </c>
      <c r="X300" s="2">
        <f ca="1"/>
        <v>53.432701718615796</v>
      </c>
      <c r="AG300" s="2">
        <f ca="1"/>
        <v>0.61637295655634805</v>
      </c>
      <c r="AH300" s="2" t="str">
        <f ca="1"/>
        <v>Bad</v>
      </c>
    </row>
    <row r="301" spans="2:34" x14ac:dyDescent="0.2">
      <c r="B301" s="2">
        <f ca="1"/>
        <v>0.10770630944242154</v>
      </c>
      <c r="O301" s="2">
        <f ca="1"/>
        <v>-1.9232150575911195</v>
      </c>
      <c r="X301" s="2">
        <f ca="1"/>
        <v>26.785847429635311</v>
      </c>
      <c r="AG301" s="2">
        <f ca="1"/>
        <v>0.72625140678628264</v>
      </c>
      <c r="AH301" s="2" t="str">
        <f ca="1"/>
        <v>Bad</v>
      </c>
    </row>
    <row r="302" spans="2:34" x14ac:dyDescent="0.2">
      <c r="B302" s="2">
        <f ca="1"/>
        <v>9.5244152334802878E-2</v>
      </c>
      <c r="O302" s="2">
        <f ca="1"/>
        <v>-0.13658598474713757</v>
      </c>
      <c r="X302" s="2">
        <f ca="1"/>
        <v>54.06228157418559</v>
      </c>
      <c r="AG302" s="2">
        <f ca="1"/>
        <v>0.97508416891328165</v>
      </c>
      <c r="AH302" s="2" t="str">
        <f ca="1"/>
        <v>Bad</v>
      </c>
    </row>
    <row r="303" spans="2:34" x14ac:dyDescent="0.2">
      <c r="B303" s="2">
        <f ca="1"/>
        <v>0.62082913800062167</v>
      </c>
      <c r="O303" s="2">
        <f ca="1"/>
        <v>-1.0905446779758179</v>
      </c>
      <c r="X303" s="2">
        <f ca="1"/>
        <v>53.109617035940325</v>
      </c>
      <c r="AG303" s="2">
        <f ca="1"/>
        <v>0.91491556834654464</v>
      </c>
      <c r="AH303" s="2" t="str">
        <f ca="1"/>
        <v>Bad</v>
      </c>
    </row>
    <row r="304" spans="2:34" x14ac:dyDescent="0.2">
      <c r="B304" s="2">
        <f ca="1"/>
        <v>0.24786431339675175</v>
      </c>
      <c r="O304" s="2">
        <f ca="1"/>
        <v>-0.94390995168992931</v>
      </c>
      <c r="X304" s="2">
        <f ca="1"/>
        <v>82.375643889344886</v>
      </c>
      <c r="AG304" s="2">
        <f ca="1"/>
        <v>0.21510315423112147</v>
      </c>
      <c r="AH304" s="2" t="str">
        <f ca="1"/>
        <v>OK</v>
      </c>
    </row>
    <row r="305" spans="2:34" x14ac:dyDescent="0.2">
      <c r="B305" s="2">
        <f ca="1"/>
        <v>0.80269786701800272</v>
      </c>
      <c r="O305" s="2">
        <f ca="1"/>
        <v>0.10916693822293207</v>
      </c>
      <c r="X305" s="2">
        <f ca="1"/>
        <v>37.299836057191996</v>
      </c>
      <c r="AG305" s="2">
        <f ca="1"/>
        <v>0.27000396053779108</v>
      </c>
      <c r="AH305" s="2" t="str">
        <f ca="1"/>
        <v>OK</v>
      </c>
    </row>
    <row r="306" spans="2:34" x14ac:dyDescent="0.2">
      <c r="B306" s="2">
        <f ca="1"/>
        <v>0.33810097512800197</v>
      </c>
      <c r="O306" s="2">
        <f ca="1"/>
        <v>0.41091646537116477</v>
      </c>
      <c r="X306" s="2">
        <f ca="1"/>
        <v>37.612117934462852</v>
      </c>
      <c r="AG306" s="2">
        <f ca="1"/>
        <v>0.91856496430233214</v>
      </c>
      <c r="AH306" s="2" t="str">
        <f ca="1"/>
        <v>Bad</v>
      </c>
    </row>
    <row r="307" spans="2:34" x14ac:dyDescent="0.2">
      <c r="B307" s="2">
        <f ca="1"/>
        <v>0.46286082164251541</v>
      </c>
      <c r="O307" s="2">
        <f ca="1"/>
        <v>-0.62498893576003633</v>
      </c>
      <c r="X307" s="2">
        <f ca="1"/>
        <v>34.39545553123952</v>
      </c>
      <c r="AG307" s="2">
        <f ca="1"/>
        <v>0.69866717771235765</v>
      </c>
      <c r="AH307" s="2" t="str">
        <f ca="1"/>
        <v>Bad</v>
      </c>
    </row>
    <row r="308" spans="2:34" x14ac:dyDescent="0.2">
      <c r="B308" s="2">
        <f ca="1"/>
        <v>0.83058804704927525</v>
      </c>
      <c r="O308" s="2">
        <f ca="1"/>
        <v>-2.2644508928151579</v>
      </c>
      <c r="X308" s="2">
        <f ca="1"/>
        <v>29.168063806785078</v>
      </c>
      <c r="AG308" s="2">
        <f ca="1"/>
        <v>8.3403678598771069E-2</v>
      </c>
      <c r="AH308" s="2" t="str">
        <f ca="1"/>
        <v>OK</v>
      </c>
    </row>
    <row r="309" spans="2:34" x14ac:dyDescent="0.2">
      <c r="B309" s="2">
        <f ca="1"/>
        <v>0.2727076808122757</v>
      </c>
      <c r="O309" s="2">
        <f ca="1"/>
        <v>-0.72509741449341014</v>
      </c>
      <c r="X309" s="2">
        <f ca="1"/>
        <v>42.129151306722022</v>
      </c>
      <c r="AG309" s="2">
        <f ca="1"/>
        <v>0.15633915541722421</v>
      </c>
      <c r="AH309" s="2" t="str">
        <f ca="1"/>
        <v>OK</v>
      </c>
    </row>
    <row r="310" spans="2:34" x14ac:dyDescent="0.2">
      <c r="B310" s="2">
        <f ca="1"/>
        <v>0.8765249675288167</v>
      </c>
      <c r="O310" s="2">
        <f ca="1"/>
        <v>-0.54638675100717948</v>
      </c>
      <c r="X310" s="2">
        <f ca="1"/>
        <v>66.282569612791363</v>
      </c>
      <c r="AG310" s="2">
        <f ca="1"/>
        <v>0.18966688263238507</v>
      </c>
      <c r="AH310" s="2" t="str">
        <f ca="1"/>
        <v>OK</v>
      </c>
    </row>
    <row r="311" spans="2:34" x14ac:dyDescent="0.2">
      <c r="B311" s="2">
        <f ca="1"/>
        <v>0.33922802770929783</v>
      </c>
      <c r="O311" s="2">
        <f ca="1"/>
        <v>-1.2261890378534068</v>
      </c>
      <c r="X311" s="2">
        <f ca="1"/>
        <v>42.317282257850039</v>
      </c>
      <c r="AG311" s="2">
        <f ca="1"/>
        <v>0.21698780397300421</v>
      </c>
      <c r="AH311" s="2" t="str">
        <f ca="1"/>
        <v>OK</v>
      </c>
    </row>
    <row r="312" spans="2:34" x14ac:dyDescent="0.2">
      <c r="B312" s="2">
        <f ca="1"/>
        <v>0.35469803478480211</v>
      </c>
      <c r="O312" s="2">
        <f ca="1"/>
        <v>0.65098004388340824</v>
      </c>
      <c r="X312" s="2">
        <f ca="1"/>
        <v>43.723318346162195</v>
      </c>
      <c r="AG312" s="2">
        <f ca="1"/>
        <v>0.38021305204780687</v>
      </c>
      <c r="AH312" s="2" t="str">
        <f ca="1"/>
        <v>OK</v>
      </c>
    </row>
    <row r="313" spans="2:34" x14ac:dyDescent="0.2">
      <c r="B313" s="2">
        <f ca="1"/>
        <v>0.3124259331995014</v>
      </c>
      <c r="O313" s="2">
        <f ca="1"/>
        <v>-1.5973614405801655</v>
      </c>
      <c r="X313" s="2">
        <f ca="1"/>
        <v>47.779886406646781</v>
      </c>
      <c r="AG313" s="2">
        <f ca="1"/>
        <v>0.12275330723960898</v>
      </c>
      <c r="AH313" s="2" t="str">
        <f ca="1"/>
        <v>OK</v>
      </c>
    </row>
    <row r="314" spans="2:34" x14ac:dyDescent="0.2">
      <c r="B314" s="2">
        <f ca="1"/>
        <v>0.98737119021170061</v>
      </c>
      <c r="O314" s="2">
        <f ca="1"/>
        <v>0.67956875319719967</v>
      </c>
      <c r="X314" s="2">
        <f ca="1"/>
        <v>70.367168481007823</v>
      </c>
      <c r="AG314" s="2">
        <f ca="1"/>
        <v>0.89488123874977377</v>
      </c>
      <c r="AH314" s="2" t="str">
        <f ca="1"/>
        <v>Bad</v>
      </c>
    </row>
    <row r="315" spans="2:34" x14ac:dyDescent="0.2">
      <c r="B315" s="2">
        <f ca="1"/>
        <v>0.82787680714750089</v>
      </c>
      <c r="O315" s="2">
        <f ca="1"/>
        <v>-0.49566846720861818</v>
      </c>
      <c r="X315" s="2">
        <f ca="1"/>
        <v>45.676590148810178</v>
      </c>
      <c r="AG315" s="2">
        <f ca="1"/>
        <v>0.14812483232317186</v>
      </c>
      <c r="AH315" s="2" t="str">
        <f ca="1"/>
        <v>OK</v>
      </c>
    </row>
    <row r="316" spans="2:34" x14ac:dyDescent="0.2">
      <c r="B316" s="2">
        <f ca="1"/>
        <v>0.47256561913461104</v>
      </c>
      <c r="O316" s="2">
        <f ca="1"/>
        <v>-1.890209783068735</v>
      </c>
      <c r="X316" s="2">
        <f ca="1"/>
        <v>90.054374955114582</v>
      </c>
      <c r="AG316" s="2">
        <f ca="1"/>
        <v>0.31110475906485191</v>
      </c>
      <c r="AH316" s="2" t="str">
        <f ca="1"/>
        <v>OK</v>
      </c>
    </row>
    <row r="317" spans="2:34" x14ac:dyDescent="0.2">
      <c r="B317" s="2">
        <f ca="1"/>
        <v>0.4670928349395449</v>
      </c>
      <c r="O317" s="2">
        <f ca="1"/>
        <v>1.5337795006601229</v>
      </c>
      <c r="X317" s="2">
        <f ca="1"/>
        <v>43.090287467583721</v>
      </c>
      <c r="AG317" s="2">
        <f ca="1"/>
        <v>0.73018255437849078</v>
      </c>
      <c r="AH317" s="2" t="str">
        <f ca="1"/>
        <v>Bad</v>
      </c>
    </row>
    <row r="318" spans="2:34" x14ac:dyDescent="0.2">
      <c r="B318" s="2">
        <f ca="1"/>
        <v>0.7647411805820945</v>
      </c>
      <c r="O318" s="2">
        <f ca="1"/>
        <v>0.15358090118998616</v>
      </c>
      <c r="X318" s="2">
        <f ca="1"/>
        <v>40.655192633005719</v>
      </c>
      <c r="AG318" s="2">
        <f ca="1"/>
        <v>0.82203905070942551</v>
      </c>
      <c r="AH318" s="2" t="str">
        <f ca="1"/>
        <v>Bad</v>
      </c>
    </row>
    <row r="319" spans="2:34" x14ac:dyDescent="0.2">
      <c r="B319" s="2">
        <f ca="1"/>
        <v>0.28171005469765964</v>
      </c>
      <c r="O319" s="2">
        <f ca="1"/>
        <v>0.21448459864946362</v>
      </c>
      <c r="X319" s="2">
        <f ca="1"/>
        <v>52.414253233732133</v>
      </c>
      <c r="AG319" s="2">
        <f ca="1"/>
        <v>0.98962719233982988</v>
      </c>
      <c r="AH319" s="2" t="str">
        <f ca="1"/>
        <v>Bad</v>
      </c>
    </row>
    <row r="320" spans="2:34" x14ac:dyDescent="0.2">
      <c r="B320" s="2">
        <f ca="1"/>
        <v>0.26356450560402478</v>
      </c>
      <c r="O320" s="2">
        <f ca="1"/>
        <v>-0.8121604233730374</v>
      </c>
      <c r="X320" s="2">
        <f ca="1"/>
        <v>25.057614468256169</v>
      </c>
      <c r="AG320" s="2">
        <f ca="1"/>
        <v>0.91460010383624635</v>
      </c>
      <c r="AH320" s="2" t="str">
        <f ca="1"/>
        <v>Bad</v>
      </c>
    </row>
    <row r="321" spans="2:34" x14ac:dyDescent="0.2">
      <c r="B321" s="2">
        <f ca="1"/>
        <v>0.93856125088809983</v>
      </c>
      <c r="O321" s="2">
        <f ca="1"/>
        <v>-0.37590844505944054</v>
      </c>
      <c r="X321" s="2">
        <f ca="1"/>
        <v>34.563160614349513</v>
      </c>
      <c r="AG321" s="2">
        <f ca="1"/>
        <v>0.79441952659064397</v>
      </c>
      <c r="AH321" s="2" t="str">
        <f ca="1"/>
        <v>Bad</v>
      </c>
    </row>
    <row r="322" spans="2:34" x14ac:dyDescent="0.2">
      <c r="B322" s="2">
        <f ca="1"/>
        <v>0.35323820002236439</v>
      </c>
      <c r="O322" s="2">
        <f ca="1"/>
        <v>1.6176324005017344</v>
      </c>
      <c r="X322" s="2">
        <f ca="1"/>
        <v>27.004417897251773</v>
      </c>
      <c r="AG322" s="2">
        <f ca="1"/>
        <v>0.12787844180406016</v>
      </c>
      <c r="AH322" s="2" t="str">
        <f ca="1"/>
        <v>OK</v>
      </c>
    </row>
    <row r="323" spans="2:34" x14ac:dyDescent="0.2">
      <c r="B323" s="2">
        <f ca="1"/>
        <v>0.63621902998921698</v>
      </c>
      <c r="O323" s="2">
        <f ca="1"/>
        <v>0.29072312876832479</v>
      </c>
      <c r="X323" s="2">
        <f ca="1"/>
        <v>57.142993320647157</v>
      </c>
      <c r="AG323" s="2">
        <f ca="1"/>
        <v>0.36419545038473089</v>
      </c>
      <c r="AH323" s="2" t="str">
        <f ca="1"/>
        <v>OK</v>
      </c>
    </row>
    <row r="324" spans="2:34" x14ac:dyDescent="0.2">
      <c r="B324" s="2">
        <f ca="1"/>
        <v>3.8272656994959853E-2</v>
      </c>
      <c r="O324" s="2">
        <f ca="1"/>
        <v>0.43121363554569053</v>
      </c>
      <c r="X324" s="2">
        <f ca="1"/>
        <v>33.365591864992808</v>
      </c>
      <c r="AG324" s="2">
        <f ca="1"/>
        <v>0.21009333356504256</v>
      </c>
      <c r="AH324" s="2" t="str">
        <f ca="1"/>
        <v>OK</v>
      </c>
    </row>
    <row r="325" spans="2:34" x14ac:dyDescent="0.2">
      <c r="B325" s="2">
        <f ca="1"/>
        <v>0.65544171775128857</v>
      </c>
      <c r="O325" s="2">
        <f ca="1"/>
        <v>-0.23865698018339723</v>
      </c>
      <c r="X325" s="2">
        <f ca="1"/>
        <v>70.979083540589045</v>
      </c>
      <c r="AG325" s="2">
        <f ca="1"/>
        <v>0.48372226661202489</v>
      </c>
      <c r="AH325" s="2" t="str">
        <f ca="1"/>
        <v>Bad</v>
      </c>
    </row>
    <row r="326" spans="2:34" x14ac:dyDescent="0.2">
      <c r="B326" s="2">
        <f ca="1"/>
        <v>0.45597992968386025</v>
      </c>
      <c r="O326" s="2">
        <f ca="1"/>
        <v>-1.0431414373049082</v>
      </c>
      <c r="X326" s="2">
        <f ca="1"/>
        <v>48.620519504947417</v>
      </c>
      <c r="AG326" s="2">
        <f ca="1"/>
        <v>0.32345844328817686</v>
      </c>
      <c r="AH326" s="2" t="str">
        <f ca="1"/>
        <v>OK</v>
      </c>
    </row>
    <row r="327" spans="2:34" x14ac:dyDescent="0.2">
      <c r="B327" s="2">
        <f ca="1"/>
        <v>0.29403779380164807</v>
      </c>
      <c r="O327" s="2">
        <f ca="1"/>
        <v>-0.66596781761318935</v>
      </c>
      <c r="X327" s="2">
        <f ca="1"/>
        <v>38.98279154288867</v>
      </c>
      <c r="AG327" s="2">
        <f ca="1"/>
        <v>0.92724061459955132</v>
      </c>
      <c r="AH327" s="2" t="str">
        <f ca="1"/>
        <v>Bad</v>
      </c>
    </row>
    <row r="328" spans="2:34" x14ac:dyDescent="0.2">
      <c r="B328" s="2">
        <f ca="1"/>
        <v>0.4916412062683273</v>
      </c>
      <c r="O328" s="2">
        <f ca="1"/>
        <v>-0.76582095175851883</v>
      </c>
      <c r="X328" s="2">
        <f ca="1"/>
        <v>34.222617786602662</v>
      </c>
      <c r="AG328" s="2">
        <f ca="1"/>
        <v>0.8414361558678578</v>
      </c>
      <c r="AH328" s="2" t="str">
        <f ca="1"/>
        <v>Bad</v>
      </c>
    </row>
    <row r="329" spans="2:34" x14ac:dyDescent="0.2">
      <c r="B329" s="2">
        <f ca="1"/>
        <v>0.44463609222852263</v>
      </c>
      <c r="O329" s="2">
        <f ca="1"/>
        <v>0.21373999503241395</v>
      </c>
      <c r="X329" s="2">
        <f ca="1"/>
        <v>97.756495293956476</v>
      </c>
      <c r="AG329" s="2">
        <f ca="1"/>
        <v>0.33249564402773157</v>
      </c>
      <c r="AH329" s="2" t="str">
        <f ca="1"/>
        <v>OK</v>
      </c>
    </row>
    <row r="330" spans="2:34" x14ac:dyDescent="0.2">
      <c r="B330" s="2">
        <f ca="1"/>
        <v>0.9278146421285991</v>
      </c>
      <c r="O330" s="2">
        <f ca="1"/>
        <v>-1.6333053861189808</v>
      </c>
      <c r="X330" s="2">
        <f ca="1"/>
        <v>70.952315247077777</v>
      </c>
      <c r="AG330" s="2">
        <f ca="1"/>
        <v>0.81933924565372007</v>
      </c>
      <c r="AH330" s="2" t="str">
        <f ca="1"/>
        <v>Bad</v>
      </c>
    </row>
    <row r="331" spans="2:34" x14ac:dyDescent="0.2">
      <c r="B331" s="2">
        <f ca="1"/>
        <v>0.78272927534361791</v>
      </c>
      <c r="O331" s="2">
        <f ca="1"/>
        <v>1.1991058855202821</v>
      </c>
      <c r="X331" s="2">
        <f ca="1"/>
        <v>44.435902819170046</v>
      </c>
      <c r="AG331" s="2">
        <f ca="1"/>
        <v>0.39029835127851187</v>
      </c>
      <c r="AH331" s="2" t="str">
        <f ca="1"/>
        <v>OK</v>
      </c>
    </row>
    <row r="332" spans="2:34" x14ac:dyDescent="0.2">
      <c r="B332" s="2">
        <f ca="1"/>
        <v>0.76927103700512522</v>
      </c>
      <c r="O332" s="2">
        <f ca="1"/>
        <v>-1.031410857296293</v>
      </c>
      <c r="X332" s="2">
        <f ca="1"/>
        <v>53.756228199351284</v>
      </c>
      <c r="AG332" s="2">
        <f ca="1"/>
        <v>0.18034524680315922</v>
      </c>
      <c r="AH332" s="2" t="str">
        <f ca="1"/>
        <v>OK</v>
      </c>
    </row>
    <row r="333" spans="2:34" x14ac:dyDescent="0.2">
      <c r="B333" s="2">
        <f ca="1"/>
        <v>0.30699353321094391</v>
      </c>
      <c r="O333" s="2">
        <f ca="1"/>
        <v>4.2044686380890962E-2</v>
      </c>
      <c r="X333" s="2">
        <f ca="1"/>
        <v>60.125789827815069</v>
      </c>
      <c r="AG333" s="2">
        <f ca="1"/>
        <v>0.46444000525921347</v>
      </c>
      <c r="AH333" s="2" t="str">
        <f ca="1"/>
        <v>Bad</v>
      </c>
    </row>
    <row r="334" spans="2:34" x14ac:dyDescent="0.2">
      <c r="B334" s="2">
        <f ca="1"/>
        <v>0.67394032069082277</v>
      </c>
      <c r="O334" s="2">
        <f ca="1"/>
        <v>0.83157274842474682</v>
      </c>
      <c r="X334" s="2">
        <f ca="1"/>
        <v>58.254235406330707</v>
      </c>
      <c r="AG334" s="2">
        <f ca="1"/>
        <v>0.66881888343250306</v>
      </c>
      <c r="AH334" s="2" t="str">
        <f ca="1"/>
        <v>Bad</v>
      </c>
    </row>
    <row r="335" spans="2:34" x14ac:dyDescent="0.2">
      <c r="B335" s="2">
        <f ca="1"/>
        <v>0.76286169039537799</v>
      </c>
      <c r="O335" s="2">
        <f ca="1"/>
        <v>-0.61736970283621018</v>
      </c>
      <c r="X335" s="2">
        <f ca="1"/>
        <v>48.782065499301581</v>
      </c>
      <c r="AG335" s="2">
        <f ca="1"/>
        <v>0.479567802277024</v>
      </c>
      <c r="AH335" s="2" t="str">
        <f ca="1"/>
        <v>Bad</v>
      </c>
    </row>
    <row r="336" spans="2:34" x14ac:dyDescent="0.2">
      <c r="B336" s="2">
        <f ca="1"/>
        <v>0.12870876030710399</v>
      </c>
      <c r="O336" s="2">
        <f ca="1"/>
        <v>-0.330413977728922</v>
      </c>
      <c r="X336" s="2">
        <f ca="1"/>
        <v>39.841348434332431</v>
      </c>
      <c r="AG336" s="2">
        <f ca="1"/>
        <v>0.25135690262357557</v>
      </c>
      <c r="AH336" s="2" t="str">
        <f ca="1"/>
        <v>OK</v>
      </c>
    </row>
    <row r="337" spans="2:34" x14ac:dyDescent="0.2">
      <c r="B337" s="2">
        <f ca="1"/>
        <v>0.11163532984747881</v>
      </c>
      <c r="O337" s="2">
        <f ca="1"/>
        <v>-2.4010203630565217</v>
      </c>
      <c r="X337" s="2">
        <f ca="1"/>
        <v>84.243582801886703</v>
      </c>
      <c r="AG337" s="2">
        <f ca="1"/>
        <v>1.30478111122454E-2</v>
      </c>
      <c r="AH337" s="2" t="str">
        <f ca="1"/>
        <v>Good</v>
      </c>
    </row>
    <row r="338" spans="2:34" x14ac:dyDescent="0.2">
      <c r="B338" s="2">
        <f ca="1"/>
        <v>0.58092258121219054</v>
      </c>
      <c r="O338" s="2">
        <f ca="1"/>
        <v>-2.6024073778951706</v>
      </c>
      <c r="X338" s="2">
        <f ca="1"/>
        <v>41.810123332273889</v>
      </c>
      <c r="AG338" s="2">
        <f ca="1"/>
        <v>0.61334354489681053</v>
      </c>
      <c r="AH338" s="2" t="str">
        <f ca="1"/>
        <v>Bad</v>
      </c>
    </row>
    <row r="339" spans="2:34" x14ac:dyDescent="0.2">
      <c r="B339" s="2">
        <f ca="1"/>
        <v>0.51130147967945949</v>
      </c>
      <c r="O339" s="2">
        <f ca="1"/>
        <v>-0.72790421717369391</v>
      </c>
      <c r="X339" s="2">
        <f ca="1"/>
        <v>47.413636769488427</v>
      </c>
      <c r="AG339" s="2">
        <f ca="1"/>
        <v>0.52050963732490341</v>
      </c>
      <c r="AH339" s="2" t="str">
        <f ca="1"/>
        <v>Bad</v>
      </c>
    </row>
    <row r="340" spans="2:34" x14ac:dyDescent="0.2">
      <c r="B340" s="2">
        <f ca="1"/>
        <v>0.67708482610719756</v>
      </c>
      <c r="O340" s="2">
        <f ca="1"/>
        <v>1.3105731670708951</v>
      </c>
      <c r="X340" s="2">
        <f ca="1"/>
        <v>52.880214848422831</v>
      </c>
      <c r="AG340" s="2">
        <f ca="1"/>
        <v>0.60324325868045037</v>
      </c>
      <c r="AH340" s="2" t="str">
        <f ca="1"/>
        <v>Bad</v>
      </c>
    </row>
    <row r="341" spans="2:34" x14ac:dyDescent="0.2">
      <c r="B341" s="2">
        <f ca="1"/>
        <v>0.99834689771871421</v>
      </c>
      <c r="O341" s="2">
        <f ca="1"/>
        <v>-0.89084464723762624</v>
      </c>
      <c r="X341" s="2">
        <f ca="1"/>
        <v>24.077894245383614</v>
      </c>
      <c r="AG341" s="2">
        <f ca="1"/>
        <v>0.80062757769169401</v>
      </c>
      <c r="AH341" s="2" t="str">
        <f ca="1"/>
        <v>Bad</v>
      </c>
    </row>
    <row r="342" spans="2:34" x14ac:dyDescent="0.2">
      <c r="B342" s="2">
        <f ca="1"/>
        <v>0.39106377874768339</v>
      </c>
      <c r="O342" s="2">
        <f ca="1"/>
        <v>0.55727173753626846</v>
      </c>
      <c r="X342" s="2">
        <f ca="1"/>
        <v>37.229349946120749</v>
      </c>
      <c r="AG342" s="2">
        <f ca="1"/>
        <v>0.82542135083410328</v>
      </c>
      <c r="AH342" s="2" t="str">
        <f ca="1"/>
        <v>Bad</v>
      </c>
    </row>
    <row r="343" spans="2:34" x14ac:dyDescent="0.2">
      <c r="B343" s="2">
        <f ca="1"/>
        <v>0.91651597423522535</v>
      </c>
      <c r="O343" s="2">
        <f ca="1"/>
        <v>0.9014978131188206</v>
      </c>
      <c r="X343" s="2">
        <f ca="1"/>
        <v>40.127164836945667</v>
      </c>
      <c r="AG343" s="2">
        <f ca="1"/>
        <v>0.5042726089879801</v>
      </c>
      <c r="AH343" s="2" t="str">
        <f ca="1"/>
        <v>Bad</v>
      </c>
    </row>
    <row r="344" spans="2:34" x14ac:dyDescent="0.2">
      <c r="B344" s="2">
        <f ca="1"/>
        <v>0.98069819226799382</v>
      </c>
      <c r="O344" s="2">
        <f ca="1"/>
        <v>0.66623008334421707</v>
      </c>
      <c r="X344" s="2">
        <f ca="1"/>
        <v>38.983058284856945</v>
      </c>
      <c r="AG344" s="2">
        <f ca="1"/>
        <v>0.11458149170384524</v>
      </c>
      <c r="AH344" s="2" t="str">
        <f ca="1"/>
        <v>OK</v>
      </c>
    </row>
    <row r="345" spans="2:34" x14ac:dyDescent="0.2">
      <c r="B345" s="2">
        <f ca="1"/>
        <v>0.44186343057112443</v>
      </c>
      <c r="O345" s="2">
        <f ca="1"/>
        <v>0.72227812494112942</v>
      </c>
      <c r="X345" s="2">
        <f ca="1"/>
        <v>31.095023606164304</v>
      </c>
      <c r="AG345" s="2">
        <f ca="1"/>
        <v>0.16156989346282602</v>
      </c>
      <c r="AH345" s="2" t="str">
        <f ca="1"/>
        <v>OK</v>
      </c>
    </row>
    <row r="346" spans="2:34" x14ac:dyDescent="0.2">
      <c r="B346" s="2">
        <f ca="1"/>
        <v>0.79311842929415755</v>
      </c>
      <c r="O346" s="2">
        <f ca="1"/>
        <v>1.1162746967522403</v>
      </c>
      <c r="X346" s="2">
        <f ca="1"/>
        <v>23.266026441066678</v>
      </c>
      <c r="AG346" s="2">
        <f ca="1"/>
        <v>9.933473828090067E-3</v>
      </c>
      <c r="AH346" s="2" t="str">
        <f ca="1"/>
        <v>Good</v>
      </c>
    </row>
    <row r="347" spans="2:34" x14ac:dyDescent="0.2">
      <c r="B347" s="2">
        <f ca="1"/>
        <v>0.7673925362994467</v>
      </c>
      <c r="O347" s="2">
        <f ca="1"/>
        <v>1.3775259936533277</v>
      </c>
      <c r="X347" s="2">
        <f ca="1"/>
        <v>69.829420486075577</v>
      </c>
      <c r="AG347" s="2">
        <f ca="1"/>
        <v>5.4811620790588211E-2</v>
      </c>
      <c r="AH347" s="2" t="str">
        <f ca="1"/>
        <v>OK</v>
      </c>
    </row>
    <row r="348" spans="2:34" x14ac:dyDescent="0.2">
      <c r="B348" s="2">
        <f ca="1"/>
        <v>8.1911435122929976E-3</v>
      </c>
      <c r="O348" s="2">
        <f ca="1"/>
        <v>1.0345524557787151</v>
      </c>
      <c r="X348" s="2">
        <f ca="1"/>
        <v>50.384446727903935</v>
      </c>
      <c r="AG348" s="2">
        <f ca="1"/>
        <v>0.88466204791547676</v>
      </c>
      <c r="AH348" s="2" t="str">
        <f ca="1"/>
        <v>Bad</v>
      </c>
    </row>
    <row r="349" spans="2:34" x14ac:dyDescent="0.2">
      <c r="B349" s="2">
        <f ca="1"/>
        <v>0.95409284812815121</v>
      </c>
      <c r="O349" s="2">
        <f ca="1"/>
        <v>0.11834429131641538</v>
      </c>
      <c r="X349" s="2">
        <f ca="1"/>
        <v>22.394967996042958</v>
      </c>
      <c r="AG349" s="2">
        <f ca="1"/>
        <v>0.38490030541768783</v>
      </c>
      <c r="AH349" s="2" t="str">
        <f ca="1"/>
        <v>OK</v>
      </c>
    </row>
    <row r="350" spans="2:34" x14ac:dyDescent="0.2">
      <c r="B350" s="2">
        <f ca="1"/>
        <v>0.76130693558858975</v>
      </c>
      <c r="O350" s="2">
        <f ca="1"/>
        <v>-0.81498900327617552</v>
      </c>
      <c r="X350" s="2">
        <f ca="1"/>
        <v>66.696474043145628</v>
      </c>
      <c r="AG350" s="2">
        <f ca="1"/>
        <v>0.7190761350781345</v>
      </c>
      <c r="AH350" s="2" t="str">
        <f ca="1"/>
        <v>Bad</v>
      </c>
    </row>
    <row r="351" spans="2:34" x14ac:dyDescent="0.2">
      <c r="B351" s="2">
        <f ca="1"/>
        <v>0.62811110146367422</v>
      </c>
      <c r="O351" s="2">
        <f ca="1"/>
        <v>-0.8544405040598605</v>
      </c>
      <c r="X351" s="2">
        <f ca="1"/>
        <v>49.910592113002501</v>
      </c>
      <c r="AG351" s="2">
        <f ca="1"/>
        <v>6.0828770148223743E-2</v>
      </c>
      <c r="AH351" s="2" t="str">
        <f ca="1"/>
        <v>OK</v>
      </c>
    </row>
    <row r="352" spans="2:34" x14ac:dyDescent="0.2">
      <c r="B352" s="2">
        <f ca="1"/>
        <v>0.65530071949847413</v>
      </c>
      <c r="O352" s="2">
        <f ca="1"/>
        <v>-8.7927062213016306E-3</v>
      </c>
      <c r="X352" s="2">
        <f ca="1"/>
        <v>33.173870927094349</v>
      </c>
      <c r="AG352" s="2">
        <f ca="1"/>
        <v>0.86282771333060615</v>
      </c>
      <c r="AH352" s="2" t="str">
        <f ca="1"/>
        <v>Bad</v>
      </c>
    </row>
    <row r="353" spans="2:34" x14ac:dyDescent="0.2">
      <c r="B353" s="2">
        <f ca="1"/>
        <v>0.32478975762910478</v>
      </c>
      <c r="O353" s="2">
        <f ca="1"/>
        <v>-1.3509268283059368</v>
      </c>
      <c r="X353" s="2">
        <f ca="1"/>
        <v>24.740309499317451</v>
      </c>
      <c r="AG353" s="2">
        <f ca="1"/>
        <v>0.64448568333663947</v>
      </c>
      <c r="AH353" s="2" t="str">
        <f ca="1"/>
        <v>Bad</v>
      </c>
    </row>
    <row r="354" spans="2:34" x14ac:dyDescent="0.2">
      <c r="B354" s="2">
        <f ca="1"/>
        <v>0.7728491725963802</v>
      </c>
      <c r="O354" s="2">
        <f ca="1"/>
        <v>0.31556239874345127</v>
      </c>
      <c r="X354" s="2">
        <f ca="1"/>
        <v>50.203440400486173</v>
      </c>
      <c r="AG354" s="2">
        <f ca="1"/>
        <v>0.97073351149786169</v>
      </c>
      <c r="AH354" s="2" t="str">
        <f ca="1"/>
        <v>Bad</v>
      </c>
    </row>
    <row r="355" spans="2:34" x14ac:dyDescent="0.2">
      <c r="B355" s="2">
        <f ca="1"/>
        <v>0.86684220992559458</v>
      </c>
      <c r="O355" s="2">
        <f ca="1"/>
        <v>-1.0274453857761241</v>
      </c>
      <c r="X355" s="2">
        <f ca="1"/>
        <v>42.060098979681221</v>
      </c>
      <c r="AG355" s="2">
        <f ca="1"/>
        <v>5.5624535965349553E-2</v>
      </c>
      <c r="AH355" s="2" t="str">
        <f ca="1"/>
        <v>OK</v>
      </c>
    </row>
    <row r="356" spans="2:34" x14ac:dyDescent="0.2">
      <c r="B356" s="2">
        <f ca="1"/>
        <v>0.85374023796296039</v>
      </c>
      <c r="O356" s="2">
        <f ca="1"/>
        <v>1.5561226006235187</v>
      </c>
      <c r="X356" s="2">
        <f ca="1"/>
        <v>55.122893362502268</v>
      </c>
      <c r="AG356" s="2">
        <f ca="1"/>
        <v>0.26391409249264419</v>
      </c>
      <c r="AH356" s="2" t="str">
        <f ca="1"/>
        <v>OK</v>
      </c>
    </row>
    <row r="357" spans="2:34" x14ac:dyDescent="0.2">
      <c r="B357" s="2">
        <f ca="1"/>
        <v>0.6025563932969904</v>
      </c>
      <c r="O357" s="2">
        <f ca="1"/>
        <v>-2.3090491771471468E-2</v>
      </c>
      <c r="X357" s="2">
        <f ca="1"/>
        <v>49.869343183023972</v>
      </c>
      <c r="AG357" s="2">
        <f ca="1"/>
        <v>0.10110043473519892</v>
      </c>
      <c r="AH357" s="2" t="str">
        <f ca="1"/>
        <v>OK</v>
      </c>
    </row>
    <row r="358" spans="2:34" x14ac:dyDescent="0.2">
      <c r="B358" s="2">
        <f ca="1"/>
        <v>0.86924678459442184</v>
      </c>
      <c r="O358" s="2">
        <f ca="1"/>
        <v>0.50981262397750882</v>
      </c>
      <c r="X358" s="2">
        <f ca="1"/>
        <v>72.812997536046367</v>
      </c>
      <c r="AG358" s="2">
        <f ca="1"/>
        <v>3.805707558909277E-2</v>
      </c>
      <c r="AH358" s="2" t="str">
        <f ca="1"/>
        <v>Good</v>
      </c>
    </row>
    <row r="359" spans="2:34" x14ac:dyDescent="0.2">
      <c r="B359" s="2">
        <f ca="1"/>
        <v>0.89695562560226261</v>
      </c>
      <c r="O359" s="2">
        <f ca="1"/>
        <v>1.1788506896196953</v>
      </c>
      <c r="X359" s="2">
        <f ca="1"/>
        <v>47.676968949574345</v>
      </c>
      <c r="AG359" s="2">
        <f ca="1"/>
        <v>0.89251970225124522</v>
      </c>
      <c r="AH359" s="2" t="str">
        <f ca="1"/>
        <v>Bad</v>
      </c>
    </row>
    <row r="360" spans="2:34" x14ac:dyDescent="0.2">
      <c r="B360" s="2">
        <f ca="1"/>
        <v>0.78383321851668564</v>
      </c>
      <c r="O360" s="2">
        <f ca="1"/>
        <v>0.40261080007217681</v>
      </c>
      <c r="X360" s="2">
        <f ca="1"/>
        <v>27.770169337014096</v>
      </c>
      <c r="AG360" s="2">
        <f ca="1"/>
        <v>0.91811473235854835</v>
      </c>
      <c r="AH360" s="2" t="str">
        <f ca="1"/>
        <v>Bad</v>
      </c>
    </row>
    <row r="361" spans="2:34" x14ac:dyDescent="0.2">
      <c r="B361" s="2">
        <f ca="1"/>
        <v>0.62345492993819263</v>
      </c>
      <c r="O361" s="2">
        <f ca="1"/>
        <v>-1.0408833117841612</v>
      </c>
      <c r="X361" s="2">
        <f ca="1"/>
        <v>64.979776431807267</v>
      </c>
      <c r="AG361" s="2">
        <f ca="1"/>
        <v>0.11754841550606998</v>
      </c>
      <c r="AH361" s="2" t="str">
        <f ca="1"/>
        <v>OK</v>
      </c>
    </row>
    <row r="362" spans="2:34" x14ac:dyDescent="0.2">
      <c r="B362" s="2">
        <f ca="1"/>
        <v>3.7532301262471979E-2</v>
      </c>
      <c r="O362" s="2">
        <f ca="1"/>
        <v>1.1953105670529856</v>
      </c>
      <c r="X362" s="2">
        <f ca="1"/>
        <v>63.234207665979049</v>
      </c>
      <c r="AG362" s="2">
        <f ca="1"/>
        <v>0.47161081979193753</v>
      </c>
      <c r="AH362" s="2" t="str">
        <f ca="1"/>
        <v>Bad</v>
      </c>
    </row>
    <row r="363" spans="2:34" x14ac:dyDescent="0.2">
      <c r="B363" s="2">
        <f ca="1"/>
        <v>0.29535799839545485</v>
      </c>
      <c r="O363" s="2">
        <f ca="1"/>
        <v>0.67352038175650086</v>
      </c>
      <c r="X363" s="2">
        <f ca="1"/>
        <v>102.83166384464606</v>
      </c>
      <c r="AG363" s="2">
        <f ca="1"/>
        <v>0.30941852055703212</v>
      </c>
      <c r="AH363" s="2" t="str">
        <f ca="1"/>
        <v>OK</v>
      </c>
    </row>
    <row r="364" spans="2:34" x14ac:dyDescent="0.2">
      <c r="B364" s="2">
        <f ca="1"/>
        <v>0.98715059665172133</v>
      </c>
      <c r="O364" s="2">
        <f ca="1"/>
        <v>0.79252826194825332</v>
      </c>
      <c r="X364" s="2">
        <f ca="1"/>
        <v>27.468377787808787</v>
      </c>
      <c r="AG364" s="2">
        <f ca="1"/>
        <v>0.86020927957912741</v>
      </c>
      <c r="AH364" s="2" t="str">
        <f ca="1"/>
        <v>Bad</v>
      </c>
    </row>
    <row r="365" spans="2:34" x14ac:dyDescent="0.2">
      <c r="B365" s="2">
        <f ca="1"/>
        <v>0.56137449655079807</v>
      </c>
      <c r="O365" s="2">
        <f ca="1"/>
        <v>-1.4316762412650641</v>
      </c>
      <c r="X365" s="2">
        <f ca="1"/>
        <v>44.299926561011056</v>
      </c>
      <c r="AG365" s="2">
        <f ca="1"/>
        <v>0.651166648757731</v>
      </c>
      <c r="AH365" s="2" t="str">
        <f ca="1"/>
        <v>Bad</v>
      </c>
    </row>
    <row r="366" spans="2:34" x14ac:dyDescent="0.2">
      <c r="B366" s="2">
        <f ca="1"/>
        <v>0.3504254122834658</v>
      </c>
      <c r="O366" s="2">
        <f ca="1"/>
        <v>-1.7641036419575356</v>
      </c>
      <c r="X366" s="2">
        <f ca="1"/>
        <v>49.342773527211669</v>
      </c>
      <c r="AG366" s="2">
        <f ca="1"/>
        <v>0.94831425462543817</v>
      </c>
      <c r="AH366" s="2" t="str">
        <f ca="1"/>
        <v>Bad</v>
      </c>
    </row>
    <row r="367" spans="2:34" x14ac:dyDescent="0.2">
      <c r="B367" s="2">
        <f ca="1"/>
        <v>5.8647093699579766E-2</v>
      </c>
      <c r="O367" s="2">
        <f ca="1"/>
        <v>0.5768312889213939</v>
      </c>
      <c r="X367" s="2">
        <f ca="1"/>
        <v>60.490443318061445</v>
      </c>
      <c r="AG367" s="2">
        <f ca="1"/>
        <v>8.1027925011010193E-2</v>
      </c>
      <c r="AH367" s="2" t="str">
        <f ca="1"/>
        <v>OK</v>
      </c>
    </row>
    <row r="368" spans="2:34" x14ac:dyDescent="0.2">
      <c r="B368" s="2">
        <f ca="1"/>
        <v>0.90397616481152432</v>
      </c>
      <c r="O368" s="2">
        <f ca="1"/>
        <v>-0.58794540535634721</v>
      </c>
      <c r="X368" s="2">
        <f ca="1"/>
        <v>51.104748070832883</v>
      </c>
      <c r="AG368" s="2">
        <f ca="1"/>
        <v>0.11713082737535618</v>
      </c>
      <c r="AH368" s="2" t="str">
        <f ca="1"/>
        <v>OK</v>
      </c>
    </row>
    <row r="369" spans="2:34" x14ac:dyDescent="0.2">
      <c r="B369" s="2">
        <f ca="1"/>
        <v>0.36552047778667585</v>
      </c>
      <c r="O369" s="2">
        <f ca="1"/>
        <v>-2.1458056090016324</v>
      </c>
      <c r="X369" s="2">
        <f ca="1"/>
        <v>37.345181420816914</v>
      </c>
      <c r="AG369" s="2">
        <f ca="1"/>
        <v>0.24788349277039501</v>
      </c>
      <c r="AH369" s="2" t="str">
        <f ca="1"/>
        <v>OK</v>
      </c>
    </row>
    <row r="370" spans="2:34" x14ac:dyDescent="0.2">
      <c r="B370" s="2">
        <f ca="1"/>
        <v>0.64016649917818436</v>
      </c>
      <c r="O370" s="2">
        <f ca="1"/>
        <v>-1.3335077801892392</v>
      </c>
      <c r="X370" s="2">
        <f ca="1"/>
        <v>55.281450280601234</v>
      </c>
      <c r="AG370" s="2">
        <f ca="1"/>
        <v>0.88253128100201472</v>
      </c>
      <c r="AH370" s="2" t="str">
        <f ca="1"/>
        <v>Bad</v>
      </c>
    </row>
    <row r="371" spans="2:34" x14ac:dyDescent="0.2">
      <c r="B371" s="2">
        <f ca="1"/>
        <v>0.54312995641216033</v>
      </c>
      <c r="O371" s="2">
        <f ca="1"/>
        <v>0.99717277285240624</v>
      </c>
      <c r="X371" s="2">
        <f ca="1"/>
        <v>60.21662089733401</v>
      </c>
      <c r="AG371" s="2">
        <f ca="1"/>
        <v>0.36349293254541637</v>
      </c>
      <c r="AH371" s="2" t="str">
        <f ca="1"/>
        <v>OK</v>
      </c>
    </row>
    <row r="372" spans="2:34" x14ac:dyDescent="0.2">
      <c r="B372" s="2">
        <f ca="1"/>
        <v>0.11270244073623426</v>
      </c>
      <c r="O372" s="2">
        <f ca="1"/>
        <v>-0.46872848832168623</v>
      </c>
      <c r="X372" s="2">
        <f ca="1"/>
        <v>43.685600242437914</v>
      </c>
      <c r="AG372" s="2">
        <f ca="1"/>
        <v>7.7320632200937434E-2</v>
      </c>
      <c r="AH372" s="2" t="str">
        <f ca="1"/>
        <v>OK</v>
      </c>
    </row>
    <row r="373" spans="2:34" x14ac:dyDescent="0.2">
      <c r="B373" s="2">
        <f ca="1"/>
        <v>0.7017816059214792</v>
      </c>
      <c r="O373" s="2">
        <f ca="1"/>
        <v>0.17810679075569089</v>
      </c>
      <c r="X373" s="2">
        <f ca="1"/>
        <v>40.464792296262793</v>
      </c>
      <c r="AG373" s="2">
        <f ca="1"/>
        <v>0.51611261428109478</v>
      </c>
      <c r="AH373" s="2" t="str">
        <f ca="1"/>
        <v>Bad</v>
      </c>
    </row>
    <row r="374" spans="2:34" x14ac:dyDescent="0.2">
      <c r="B374" s="2">
        <f ca="1"/>
        <v>0.79290838069481273</v>
      </c>
      <c r="O374" s="2">
        <f ca="1"/>
        <v>0.51225070594717792</v>
      </c>
      <c r="X374" s="2">
        <f ca="1"/>
        <v>64.445541873206153</v>
      </c>
      <c r="AG374" s="2">
        <f ca="1"/>
        <v>0.52853177307639432</v>
      </c>
      <c r="AH374" s="2" t="str">
        <f ca="1"/>
        <v>Bad</v>
      </c>
    </row>
    <row r="375" spans="2:34" x14ac:dyDescent="0.2">
      <c r="B375" s="2">
        <f ca="1"/>
        <v>0.57766216378639279</v>
      </c>
      <c r="O375" s="2">
        <f ca="1"/>
        <v>-0.58111323753969901</v>
      </c>
      <c r="X375" s="2">
        <f ca="1"/>
        <v>41.786667152025473</v>
      </c>
      <c r="AG375" s="2">
        <f ca="1"/>
        <v>0.27353048724620388</v>
      </c>
      <c r="AH375" s="2" t="str">
        <f ca="1"/>
        <v>OK</v>
      </c>
    </row>
    <row r="376" spans="2:34" x14ac:dyDescent="0.2">
      <c r="B376" s="2">
        <f ca="1"/>
        <v>1.0187338676782343E-2</v>
      </c>
      <c r="O376" s="2">
        <f ca="1"/>
        <v>0.75610681944818159</v>
      </c>
      <c r="X376" s="2">
        <f ca="1"/>
        <v>56.298011909992454</v>
      </c>
      <c r="AG376" s="2">
        <f ca="1"/>
        <v>6.4369686724805586E-3</v>
      </c>
      <c r="AH376" s="2" t="str">
        <f ca="1"/>
        <v>Good</v>
      </c>
    </row>
    <row r="377" spans="2:34" x14ac:dyDescent="0.2">
      <c r="B377" s="2">
        <f ca="1"/>
        <v>0.21542155851703471</v>
      </c>
      <c r="O377" s="2">
        <f ca="1"/>
        <v>-1.4827512356445782</v>
      </c>
      <c r="X377" s="2">
        <f ca="1"/>
        <v>38.178556202005197</v>
      </c>
      <c r="AG377" s="2">
        <f ca="1"/>
        <v>0.77607402829999894</v>
      </c>
      <c r="AH377" s="2" t="str">
        <f ca="1"/>
        <v>Bad</v>
      </c>
    </row>
    <row r="378" spans="2:34" x14ac:dyDescent="0.2">
      <c r="B378" s="2">
        <f ca="1"/>
        <v>0.48521969640318607</v>
      </c>
      <c r="O378" s="2">
        <f ca="1"/>
        <v>1.4888121110577617</v>
      </c>
      <c r="X378" s="2">
        <f ca="1"/>
        <v>35.886681779491163</v>
      </c>
      <c r="AG378" s="2">
        <f ca="1"/>
        <v>0.90745720716371969</v>
      </c>
      <c r="AH378" s="2" t="str">
        <f ca="1"/>
        <v>Bad</v>
      </c>
    </row>
    <row r="379" spans="2:34" x14ac:dyDescent="0.2">
      <c r="B379" s="2">
        <f ca="1"/>
        <v>0.5120118146223962</v>
      </c>
      <c r="O379" s="2">
        <f ca="1"/>
        <v>2.581044359164467</v>
      </c>
      <c r="X379" s="2">
        <f ca="1"/>
        <v>37.720957542386572</v>
      </c>
      <c r="AG379" s="2">
        <f ca="1"/>
        <v>0.75753053967304362</v>
      </c>
      <c r="AH379" s="2" t="str">
        <f ca="1"/>
        <v>Bad</v>
      </c>
    </row>
    <row r="380" spans="2:34" x14ac:dyDescent="0.2">
      <c r="B380" s="2">
        <f ca="1"/>
        <v>0.4824402181907923</v>
      </c>
      <c r="O380" s="2">
        <f ca="1"/>
        <v>1.8798459914455175E-2</v>
      </c>
      <c r="X380" s="2">
        <f ca="1"/>
        <v>54.796993626032119</v>
      </c>
      <c r="AG380" s="2">
        <f ca="1"/>
        <v>0.13369678287188935</v>
      </c>
      <c r="AH380" s="2" t="str">
        <f ca="1"/>
        <v>OK</v>
      </c>
    </row>
    <row r="381" spans="2:34" x14ac:dyDescent="0.2">
      <c r="B381" s="2">
        <f ca="1"/>
        <v>0.26015025714033246</v>
      </c>
      <c r="O381" s="2">
        <f ca="1"/>
        <v>0.40323774941120383</v>
      </c>
      <c r="X381" s="2">
        <f ca="1"/>
        <v>83.424579191704623</v>
      </c>
      <c r="AG381" s="2">
        <f ca="1"/>
        <v>0.19252559248570966</v>
      </c>
      <c r="AH381" s="2" t="str">
        <f ca="1"/>
        <v>OK</v>
      </c>
    </row>
    <row r="382" spans="2:34" x14ac:dyDescent="0.2">
      <c r="B382" s="2">
        <f ca="1"/>
        <v>5.5896274559052994E-2</v>
      </c>
      <c r="O382" s="2">
        <f ca="1"/>
        <v>7.6778628647293651E-2</v>
      </c>
      <c r="X382" s="2">
        <f ca="1"/>
        <v>62.560218560638496</v>
      </c>
      <c r="AG382" s="2">
        <f ca="1"/>
        <v>0.45877670640938661</v>
      </c>
      <c r="AH382" s="2" t="str">
        <f ca="1"/>
        <v>Bad</v>
      </c>
    </row>
    <row r="383" spans="2:34" x14ac:dyDescent="0.2">
      <c r="B383" s="2">
        <f ca="1"/>
        <v>0.45589913264827486</v>
      </c>
      <c r="O383" s="2">
        <f ca="1"/>
        <v>-1.5138195897285707</v>
      </c>
      <c r="X383" s="2">
        <f ca="1"/>
        <v>30.997799820859239</v>
      </c>
      <c r="AG383" s="2">
        <f ca="1"/>
        <v>0.79747745052174168</v>
      </c>
      <c r="AH383" s="2" t="str">
        <f ca="1"/>
        <v>Bad</v>
      </c>
    </row>
    <row r="384" spans="2:34" x14ac:dyDescent="0.2">
      <c r="B384" s="2">
        <f ca="1"/>
        <v>7.6280048040815451E-3</v>
      </c>
      <c r="O384" s="2">
        <f ca="1"/>
        <v>0.53458964703364864</v>
      </c>
      <c r="X384" s="2">
        <f ca="1"/>
        <v>61.778907521890709</v>
      </c>
      <c r="AG384" s="2">
        <f ca="1"/>
        <v>0.3443196581032375</v>
      </c>
      <c r="AH384" s="2" t="str">
        <f ca="1"/>
        <v>OK</v>
      </c>
    </row>
    <row r="385" spans="2:34" x14ac:dyDescent="0.2">
      <c r="B385" s="2">
        <f ca="1"/>
        <v>0.75270324779221665</v>
      </c>
      <c r="O385" s="2">
        <f ca="1"/>
        <v>1.4243676387486635</v>
      </c>
      <c r="X385" s="2">
        <f ca="1"/>
        <v>49.47625132756211</v>
      </c>
      <c r="AG385" s="2">
        <f ca="1"/>
        <v>0.29836978961458782</v>
      </c>
      <c r="AH385" s="2" t="str">
        <f ca="1"/>
        <v>OK</v>
      </c>
    </row>
    <row r="386" spans="2:34" x14ac:dyDescent="0.2">
      <c r="B386" s="2">
        <f ca="1"/>
        <v>0.81395569817759994</v>
      </c>
      <c r="O386" s="2">
        <f ca="1"/>
        <v>0.9813290267950342</v>
      </c>
      <c r="X386" s="2">
        <f ca="1"/>
        <v>40.926527074655198</v>
      </c>
      <c r="AG386" s="2">
        <f ca="1"/>
        <v>0.80430887768046966</v>
      </c>
      <c r="AH386" s="2" t="str">
        <f ca="1"/>
        <v>Bad</v>
      </c>
    </row>
    <row r="387" spans="2:34" x14ac:dyDescent="0.2">
      <c r="B387" s="2">
        <f ca="1"/>
        <v>0.3714049190638411</v>
      </c>
      <c r="O387" s="2">
        <f ca="1"/>
        <v>8.3684699516848871E-2</v>
      </c>
      <c r="X387" s="2">
        <f ca="1"/>
        <v>43.381418163120706</v>
      </c>
      <c r="AG387" s="2">
        <f ca="1"/>
        <v>0.3876521025440498</v>
      </c>
      <c r="AH387" s="2" t="str">
        <f ca="1"/>
        <v>OK</v>
      </c>
    </row>
    <row r="388" spans="2:34" x14ac:dyDescent="0.2">
      <c r="B388" s="2">
        <f ca="1"/>
        <v>0.74671513444270987</v>
      </c>
      <c r="O388" s="2">
        <f ca="1"/>
        <v>6.427813335515091E-2</v>
      </c>
      <c r="X388" s="2">
        <f ca="1"/>
        <v>64.414697318040098</v>
      </c>
      <c r="AG388" s="2">
        <f ca="1"/>
        <v>0.76283134807345543</v>
      </c>
      <c r="AH388" s="2" t="str">
        <f ca="1"/>
        <v>Bad</v>
      </c>
    </row>
    <row r="389" spans="2:34" x14ac:dyDescent="0.2">
      <c r="B389" s="2">
        <f ca="1"/>
        <v>0.85596337981682313</v>
      </c>
      <c r="O389" s="2">
        <f ca="1"/>
        <v>0.6138213963626814</v>
      </c>
      <c r="X389" s="2">
        <f ca="1"/>
        <v>62.192947606665371</v>
      </c>
      <c r="AG389" s="2">
        <f ca="1"/>
        <v>0.20574815920352507</v>
      </c>
      <c r="AH389" s="2" t="str">
        <f ca="1"/>
        <v>OK</v>
      </c>
    </row>
    <row r="390" spans="2:34" x14ac:dyDescent="0.2">
      <c r="B390" s="2">
        <f ca="1"/>
        <v>0.91652919686420642</v>
      </c>
      <c r="O390" s="2">
        <f ca="1"/>
        <v>0.48533423712858736</v>
      </c>
      <c r="X390" s="2">
        <f ca="1"/>
        <v>50.023958489420878</v>
      </c>
      <c r="AG390" s="2">
        <f ca="1"/>
        <v>0.68689918797882177</v>
      </c>
      <c r="AH390" s="2" t="str">
        <f ca="1"/>
        <v>Bad</v>
      </c>
    </row>
    <row r="391" spans="2:34" x14ac:dyDescent="0.2">
      <c r="B391" s="2">
        <f ca="1"/>
        <v>9.6161775074726563E-2</v>
      </c>
      <c r="O391" s="2">
        <f ca="1"/>
        <v>0.1334149975641313</v>
      </c>
      <c r="X391" s="2">
        <f ca="1"/>
        <v>74.172290137417718</v>
      </c>
      <c r="AG391" s="2">
        <f ca="1"/>
        <v>0.58987645692259227</v>
      </c>
      <c r="AH391" s="2" t="str">
        <f ca="1"/>
        <v>Bad</v>
      </c>
    </row>
    <row r="392" spans="2:34" x14ac:dyDescent="0.2">
      <c r="B392" s="2">
        <f ca="1"/>
        <v>0.30847227740317229</v>
      </c>
      <c r="O392" s="2">
        <f ca="1"/>
        <v>2.7519993897985326</v>
      </c>
      <c r="X392" s="2">
        <f ca="1"/>
        <v>35.430086800359518</v>
      </c>
      <c r="AG392" s="2">
        <f ca="1"/>
        <v>0.87583317720804832</v>
      </c>
      <c r="AH392" s="2" t="str">
        <f ca="1"/>
        <v>Bad</v>
      </c>
    </row>
    <row r="393" spans="2:34" x14ac:dyDescent="0.2">
      <c r="B393" s="2">
        <f ca="1"/>
        <v>0.85332758607769343</v>
      </c>
      <c r="O393" s="2">
        <f ca="1"/>
        <v>-0.56547425852156907</v>
      </c>
      <c r="X393" s="2">
        <f ca="1"/>
        <v>68.721257483470282</v>
      </c>
      <c r="AG393" s="2">
        <f ca="1"/>
        <v>3.1534631164986227E-2</v>
      </c>
      <c r="AH393" s="2" t="str">
        <f ca="1"/>
        <v>Good</v>
      </c>
    </row>
    <row r="394" spans="2:34" x14ac:dyDescent="0.2">
      <c r="B394" s="2">
        <f ca="1"/>
        <v>7.0655525654471862E-2</v>
      </c>
      <c r="O394" s="2">
        <f ca="1"/>
        <v>-0.69828778617917309</v>
      </c>
      <c r="X394" s="2">
        <f ca="1"/>
        <v>40.894440915088488</v>
      </c>
      <c r="AG394" s="2">
        <f ca="1"/>
        <v>0.57976535546412689</v>
      </c>
      <c r="AH394" s="2" t="str">
        <f ca="1"/>
        <v>Bad</v>
      </c>
    </row>
    <row r="395" spans="2:34" x14ac:dyDescent="0.2">
      <c r="B395" s="2">
        <f ca="1"/>
        <v>0.43356404662087322</v>
      </c>
      <c r="O395" s="2">
        <f ca="1"/>
        <v>0.33967986225431229</v>
      </c>
      <c r="X395" s="2">
        <f ca="1"/>
        <v>30.458372870853665</v>
      </c>
      <c r="AG395" s="2">
        <f ca="1"/>
        <v>0.39757326160410478</v>
      </c>
      <c r="AH395" s="2" t="str">
        <f ca="1"/>
        <v>OK</v>
      </c>
    </row>
    <row r="396" spans="2:34" x14ac:dyDescent="0.2">
      <c r="B396" s="2">
        <f ca="1"/>
        <v>0.98541384375282282</v>
      </c>
      <c r="O396" s="2">
        <f ca="1"/>
        <v>-0.48916251463910088</v>
      </c>
      <c r="X396" s="2">
        <f ca="1"/>
        <v>77.228803135068134</v>
      </c>
      <c r="AG396" s="2">
        <f ca="1"/>
        <v>0.99489434397147058</v>
      </c>
      <c r="AH396" s="2" t="str">
        <f ca="1"/>
        <v>Bad</v>
      </c>
    </row>
    <row r="397" spans="2:34" x14ac:dyDescent="0.2">
      <c r="B397" s="2">
        <f ca="1"/>
        <v>0.24016092321690619</v>
      </c>
      <c r="O397" s="2">
        <f ca="1"/>
        <v>2.9161833800232698E-2</v>
      </c>
      <c r="X397" s="2">
        <f ca="1"/>
        <v>52.528133658805814</v>
      </c>
      <c r="AG397" s="2">
        <f ca="1"/>
        <v>4.9378583215231364E-2</v>
      </c>
      <c r="AH397" s="2" t="str">
        <f ca="1"/>
        <v>Good</v>
      </c>
    </row>
    <row r="398" spans="2:34" x14ac:dyDescent="0.2">
      <c r="B398" s="2">
        <f ca="1"/>
        <v>0.82795099754955426</v>
      </c>
      <c r="O398" s="2">
        <f ca="1"/>
        <v>-0.15406800596154868</v>
      </c>
      <c r="X398" s="2">
        <f ca="1"/>
        <v>39.412032237148594</v>
      </c>
      <c r="AG398" s="2">
        <f ca="1"/>
        <v>0.43872111056388974</v>
      </c>
      <c r="AH398" s="2" t="str">
        <f ca="1"/>
        <v>Bad</v>
      </c>
    </row>
    <row r="399" spans="2:34" x14ac:dyDescent="0.2">
      <c r="B399" s="2">
        <f ca="1"/>
        <v>0.46367740555715087</v>
      </c>
      <c r="O399" s="2">
        <f ca="1"/>
        <v>-0.29915742018962732</v>
      </c>
      <c r="X399" s="2">
        <f ca="1"/>
        <v>45.148333177841678</v>
      </c>
      <c r="AG399" s="2">
        <f ca="1"/>
        <v>0.42104221729655911</v>
      </c>
      <c r="AH399" s="2" t="str">
        <f ca="1"/>
        <v>Bad</v>
      </c>
    </row>
    <row r="400" spans="2:34" x14ac:dyDescent="0.2">
      <c r="B400" s="2">
        <f ca="1"/>
        <v>0.5626651469727193</v>
      </c>
      <c r="O400" s="2">
        <f ca="1"/>
        <v>0.32957131799855127</v>
      </c>
      <c r="X400" s="2">
        <f ca="1"/>
        <v>80.808018242745433</v>
      </c>
      <c r="AG400" s="2">
        <f ca="1"/>
        <v>0.86294213936389541</v>
      </c>
      <c r="AH400" s="2" t="str">
        <f ca="1"/>
        <v>Bad</v>
      </c>
    </row>
    <row r="401" spans="2:34" x14ac:dyDescent="0.2">
      <c r="B401" s="2">
        <f ca="1"/>
        <v>0.46481294996869726</v>
      </c>
      <c r="O401" s="2">
        <f ca="1"/>
        <v>-0.4237141729730029</v>
      </c>
      <c r="X401" s="2">
        <f ca="1"/>
        <v>48.93117889411252</v>
      </c>
      <c r="AG401" s="2">
        <f ca="1"/>
        <v>0.61927207382714555</v>
      </c>
      <c r="AH401" s="2" t="str">
        <f ca="1"/>
        <v>Bad</v>
      </c>
    </row>
    <row r="402" spans="2:34" x14ac:dyDescent="0.2">
      <c r="B402" s="2">
        <f ca="1"/>
        <v>0.41777520692945647</v>
      </c>
      <c r="O402" s="2">
        <f ca="1"/>
        <v>1.0947217642589639</v>
      </c>
      <c r="X402" s="2">
        <f ca="1"/>
        <v>53.443203650394004</v>
      </c>
      <c r="AG402" s="2">
        <f ca="1"/>
        <v>0.33037808086821818</v>
      </c>
      <c r="AH402" s="2" t="str">
        <f ca="1"/>
        <v>OK</v>
      </c>
    </row>
    <row r="403" spans="2:34" x14ac:dyDescent="0.2">
      <c r="B403" s="2">
        <f ca="1"/>
        <v>0.88473187756449301</v>
      </c>
      <c r="O403" s="2">
        <f ca="1"/>
        <v>-0.12943531406066608</v>
      </c>
      <c r="X403" s="2">
        <f ca="1"/>
        <v>58.932993868036348</v>
      </c>
      <c r="AG403" s="2">
        <f ca="1"/>
        <v>0.59486283856809408</v>
      </c>
      <c r="AH403" s="2" t="str">
        <f ca="1"/>
        <v>Bad</v>
      </c>
    </row>
    <row r="404" spans="2:34" x14ac:dyDescent="0.2">
      <c r="B404" s="2">
        <f ca="1"/>
        <v>0.464896704810974</v>
      </c>
      <c r="O404" s="2">
        <f ca="1"/>
        <v>0.48276527628738852</v>
      </c>
      <c r="X404" s="2">
        <f ca="1"/>
        <v>49.714888085046532</v>
      </c>
      <c r="AG404" s="2">
        <f ca="1"/>
        <v>5.6045033493384855E-2</v>
      </c>
      <c r="AH404" s="2" t="str">
        <f ca="1"/>
        <v>OK</v>
      </c>
    </row>
    <row r="405" spans="2:34" x14ac:dyDescent="0.2">
      <c r="B405" s="2">
        <f ca="1"/>
        <v>0.12642813220246896</v>
      </c>
      <c r="O405" s="2">
        <f ca="1"/>
        <v>6.6468011141986453E-3</v>
      </c>
      <c r="X405" s="2">
        <f ca="1"/>
        <v>61.626632581298566</v>
      </c>
      <c r="AG405" s="2">
        <f ca="1"/>
        <v>0.62029405510877789</v>
      </c>
      <c r="AH405" s="2" t="str">
        <f ca="1"/>
        <v>Bad</v>
      </c>
    </row>
    <row r="406" spans="2:34" x14ac:dyDescent="0.2">
      <c r="B406" s="2">
        <f ca="1"/>
        <v>0.43173296643708592</v>
      </c>
      <c r="O406" s="2">
        <f ca="1"/>
        <v>5.6837820100779597E-2</v>
      </c>
      <c r="X406" s="2">
        <f ca="1"/>
        <v>39.847357746145391</v>
      </c>
      <c r="AG406" s="2">
        <f ca="1"/>
        <v>0.80773667501733337</v>
      </c>
      <c r="AH406" s="2" t="str">
        <f ca="1"/>
        <v>Bad</v>
      </c>
    </row>
    <row r="407" spans="2:34" x14ac:dyDescent="0.2">
      <c r="B407" s="2">
        <f ca="1"/>
        <v>0.40038386355775302</v>
      </c>
      <c r="O407" s="2">
        <f ca="1"/>
        <v>-0.55733139994518766</v>
      </c>
      <c r="X407" s="2">
        <f ca="1"/>
        <v>51.711629194856584</v>
      </c>
      <c r="AG407" s="2">
        <f ca="1"/>
        <v>0.91768579381411497</v>
      </c>
      <c r="AH407" s="2" t="str">
        <f ca="1"/>
        <v>Bad</v>
      </c>
    </row>
    <row r="408" spans="2:34" x14ac:dyDescent="0.2">
      <c r="B408" s="2">
        <f ca="1"/>
        <v>0.49952929264348755</v>
      </c>
      <c r="O408" s="2">
        <f ca="1"/>
        <v>1.2128705316467019</v>
      </c>
      <c r="X408" s="2">
        <f ca="1"/>
        <v>55.073006862162217</v>
      </c>
      <c r="AG408" s="2">
        <f ca="1"/>
        <v>0.18641443494419163</v>
      </c>
      <c r="AH408" s="2" t="str">
        <f ca="1"/>
        <v>OK</v>
      </c>
    </row>
    <row r="409" spans="2:34" x14ac:dyDescent="0.2">
      <c r="B409" s="2">
        <f ca="1"/>
        <v>0.83066821974786831</v>
      </c>
      <c r="O409" s="2">
        <f ca="1"/>
        <v>0.25709015002355928</v>
      </c>
      <c r="X409" s="2">
        <f ca="1"/>
        <v>34.135376450065337</v>
      </c>
      <c r="AG409" s="2">
        <f ca="1"/>
        <v>0.8639394577576931</v>
      </c>
      <c r="AH409" s="2" t="str">
        <f ca="1"/>
        <v>Bad</v>
      </c>
    </row>
    <row r="410" spans="2:34" x14ac:dyDescent="0.2">
      <c r="B410" s="2">
        <f ca="1"/>
        <v>0.19185022025177667</v>
      </c>
      <c r="O410" s="2">
        <f ca="1"/>
        <v>-1.3503252189766413</v>
      </c>
      <c r="X410" s="2">
        <f ca="1"/>
        <v>52.74004844891202</v>
      </c>
      <c r="AG410" s="2">
        <f ca="1"/>
        <v>0.98347048461131448</v>
      </c>
      <c r="AH410" s="2" t="str">
        <f ca="1"/>
        <v>Bad</v>
      </c>
    </row>
    <row r="411" spans="2:34" x14ac:dyDescent="0.2">
      <c r="B411" s="2">
        <f ca="1"/>
        <v>0.50659829030775816</v>
      </c>
      <c r="O411" s="2">
        <f ca="1"/>
        <v>-0.68450642892662905</v>
      </c>
      <c r="X411" s="2">
        <f ca="1"/>
        <v>64.798386952799845</v>
      </c>
      <c r="AG411" s="2">
        <f ca="1"/>
        <v>0.62887465714729207</v>
      </c>
      <c r="AH411" s="2" t="str">
        <f ca="1"/>
        <v>Bad</v>
      </c>
    </row>
    <row r="412" spans="2:34" x14ac:dyDescent="0.2">
      <c r="B412" s="2">
        <f ca="1"/>
        <v>3.5070998800468711E-2</v>
      </c>
      <c r="O412" s="2">
        <f ca="1"/>
        <v>0.43964818607544165</v>
      </c>
      <c r="X412" s="2">
        <f ca="1"/>
        <v>42.058088139433508</v>
      </c>
      <c r="AG412" s="2">
        <f ca="1"/>
        <v>0.18087578110760849</v>
      </c>
      <c r="AH412" s="2" t="str">
        <f ca="1"/>
        <v>OK</v>
      </c>
    </row>
    <row r="413" spans="2:34" x14ac:dyDescent="0.2">
      <c r="B413" s="2">
        <f ca="1"/>
        <v>0.47745483331522465</v>
      </c>
      <c r="O413" s="2">
        <f ca="1"/>
        <v>0.15895031793965983</v>
      </c>
      <c r="X413" s="2">
        <f ca="1"/>
        <v>27.575770499191794</v>
      </c>
      <c r="AG413" s="2">
        <f ca="1"/>
        <v>0.67049266873219127</v>
      </c>
      <c r="AH413" s="2" t="str">
        <f ca="1"/>
        <v>Bad</v>
      </c>
    </row>
    <row r="414" spans="2:34" x14ac:dyDescent="0.2">
      <c r="B414" s="2">
        <f ca="1"/>
        <v>8.5421275055993728E-2</v>
      </c>
      <c r="O414" s="2">
        <f ca="1"/>
        <v>-0.23233752838095206</v>
      </c>
      <c r="X414" s="2">
        <f ca="1"/>
        <v>28.522196312099503</v>
      </c>
      <c r="AG414" s="2">
        <f ca="1"/>
        <v>0.4344417890394574</v>
      </c>
      <c r="AH414" s="2" t="str">
        <f ca="1"/>
        <v>Bad</v>
      </c>
    </row>
    <row r="415" spans="2:34" x14ac:dyDescent="0.2">
      <c r="B415" s="2">
        <f ca="1"/>
        <v>0.76231853503841185</v>
      </c>
      <c r="O415" s="2">
        <f ca="1"/>
        <v>0.19778656286790117</v>
      </c>
      <c r="X415" s="2">
        <f ca="1"/>
        <v>53.688096174123231</v>
      </c>
      <c r="AG415" s="2">
        <f ca="1"/>
        <v>0.9391119903742835</v>
      </c>
      <c r="AH415" s="2" t="str">
        <f ca="1"/>
        <v>Bad</v>
      </c>
    </row>
    <row r="416" spans="2:34" x14ac:dyDescent="0.2">
      <c r="B416" s="2">
        <f ca="1"/>
        <v>0.13910820756598241</v>
      </c>
      <c r="O416" s="2">
        <f ca="1"/>
        <v>-0.67984044082522399</v>
      </c>
      <c r="X416" s="2">
        <f ca="1"/>
        <v>30.043844803043722</v>
      </c>
      <c r="AG416" s="2">
        <f ca="1"/>
        <v>0.52969435330982617</v>
      </c>
      <c r="AH416" s="2" t="str">
        <f ca="1"/>
        <v>Bad</v>
      </c>
    </row>
    <row r="417" spans="2:34" x14ac:dyDescent="0.2">
      <c r="B417" s="2">
        <f ca="1"/>
        <v>0.840044543938266</v>
      </c>
      <c r="O417" s="2">
        <f ca="1"/>
        <v>0.3487122730506016</v>
      </c>
      <c r="X417" s="2">
        <f ca="1"/>
        <v>37.061141585103037</v>
      </c>
      <c r="AG417" s="2">
        <f ca="1"/>
        <v>0.54358045340158823</v>
      </c>
      <c r="AH417" s="2" t="str">
        <f ca="1"/>
        <v>Bad</v>
      </c>
    </row>
    <row r="418" spans="2:34" x14ac:dyDescent="0.2">
      <c r="B418" s="2">
        <f ca="1"/>
        <v>2.394640602680842E-2</v>
      </c>
      <c r="O418" s="2">
        <f ca="1"/>
        <v>1.5398521192323742</v>
      </c>
      <c r="X418" s="2">
        <f ca="1"/>
        <v>35.321620263307665</v>
      </c>
      <c r="AG418" s="2">
        <f ca="1"/>
        <v>0.53750049773734876</v>
      </c>
      <c r="AH418" s="2" t="str">
        <f ca="1"/>
        <v>Bad</v>
      </c>
    </row>
    <row r="419" spans="2:34" x14ac:dyDescent="0.2">
      <c r="B419" s="2">
        <f ca="1"/>
        <v>4.6310799096153765E-2</v>
      </c>
      <c r="O419" s="2">
        <f ca="1"/>
        <v>-0.4135051196361843</v>
      </c>
      <c r="X419" s="2">
        <f ca="1"/>
        <v>59.972883636596499</v>
      </c>
      <c r="AG419" s="2">
        <f ca="1"/>
        <v>0.69252225219320218</v>
      </c>
      <c r="AH419" s="2" t="str">
        <f ca="1"/>
        <v>Bad</v>
      </c>
    </row>
    <row r="420" spans="2:34" x14ac:dyDescent="0.2">
      <c r="B420" s="2">
        <f ca="1"/>
        <v>0.79434642399686983</v>
      </c>
      <c r="O420" s="2">
        <f ca="1"/>
        <v>1.8529351400828671</v>
      </c>
      <c r="X420" s="2">
        <f ca="1"/>
        <v>26.232585096017115</v>
      </c>
      <c r="AG420" s="2">
        <f ca="1"/>
        <v>0.37566643655216714</v>
      </c>
      <c r="AH420" s="2" t="str">
        <f ca="1"/>
        <v>OK</v>
      </c>
    </row>
    <row r="421" spans="2:34" x14ac:dyDescent="0.2">
      <c r="B421" s="2">
        <f ca="1"/>
        <v>0.86524556092931593</v>
      </c>
      <c r="O421" s="2">
        <f ca="1"/>
        <v>0.90114221422479857</v>
      </c>
      <c r="X421" s="2">
        <f ca="1"/>
        <v>36.278582702355003</v>
      </c>
      <c r="AG421" s="2">
        <f ca="1"/>
        <v>0.13778797530722442</v>
      </c>
      <c r="AH421" s="2" t="str">
        <f ca="1"/>
        <v>OK</v>
      </c>
    </row>
    <row r="422" spans="2:34" x14ac:dyDescent="0.2">
      <c r="B422" s="2">
        <f ca="1"/>
        <v>0.72916067290629583</v>
      </c>
      <c r="O422" s="2">
        <f ca="1"/>
        <v>0.70718564503427228</v>
      </c>
      <c r="X422" s="2">
        <f ca="1"/>
        <v>73.618109792232048</v>
      </c>
      <c r="AG422" s="2">
        <f ca="1"/>
        <v>0.61756659719619478</v>
      </c>
      <c r="AH422" s="2" t="str">
        <f ca="1"/>
        <v>Bad</v>
      </c>
    </row>
    <row r="423" spans="2:34" x14ac:dyDescent="0.2">
      <c r="B423" s="2">
        <f ca="1"/>
        <v>0.43843731127865171</v>
      </c>
      <c r="O423" s="2">
        <f ca="1"/>
        <v>0.48670492409370997</v>
      </c>
      <c r="X423" s="2">
        <f ca="1"/>
        <v>39.788114004897849</v>
      </c>
      <c r="AG423" s="2">
        <f ca="1"/>
        <v>0.92117792633084261</v>
      </c>
      <c r="AH423" s="2" t="str">
        <f ca="1"/>
        <v>Bad</v>
      </c>
    </row>
    <row r="424" spans="2:34" x14ac:dyDescent="0.2">
      <c r="B424" s="2">
        <f ca="1"/>
        <v>0.39449038282204296</v>
      </c>
      <c r="O424" s="2">
        <f ca="1"/>
        <v>8.0348477261072929E-2</v>
      </c>
      <c r="X424" s="2">
        <f ca="1"/>
        <v>24.931449756028595</v>
      </c>
      <c r="AG424" s="2">
        <f ca="1"/>
        <v>0.3559763188690932</v>
      </c>
      <c r="AH424" s="2" t="str">
        <f ca="1"/>
        <v>OK</v>
      </c>
    </row>
    <row r="425" spans="2:34" x14ac:dyDescent="0.2">
      <c r="B425" s="2">
        <f ca="1"/>
        <v>0.57467054733804912</v>
      </c>
      <c r="O425" s="2">
        <f ca="1"/>
        <v>2.780617594360443</v>
      </c>
      <c r="X425" s="2">
        <f ca="1"/>
        <v>73.466727133632844</v>
      </c>
      <c r="AG425" s="2">
        <f ca="1"/>
        <v>0.73593421374370704</v>
      </c>
      <c r="AH425" s="2" t="str">
        <f ca="1"/>
        <v>Bad</v>
      </c>
    </row>
    <row r="426" spans="2:34" x14ac:dyDescent="0.2">
      <c r="B426" s="2">
        <f ca="1"/>
        <v>0.64660500473275007</v>
      </c>
      <c r="O426" s="2">
        <f ca="1"/>
        <v>-1.8390893156212562</v>
      </c>
      <c r="X426" s="2">
        <f ca="1"/>
        <v>52.393446490427429</v>
      </c>
      <c r="AG426" s="2">
        <f ca="1"/>
        <v>0.27044334931554803</v>
      </c>
      <c r="AH426" s="2" t="str">
        <f ca="1"/>
        <v>OK</v>
      </c>
    </row>
    <row r="427" spans="2:34" x14ac:dyDescent="0.2">
      <c r="B427" s="2">
        <f ca="1"/>
        <v>0.82086448139265555</v>
      </c>
      <c r="O427" s="2">
        <f ca="1"/>
        <v>-0.17690167954517413</v>
      </c>
      <c r="X427" s="2">
        <f ca="1"/>
        <v>43.949052475547461</v>
      </c>
      <c r="AG427" s="2">
        <f ca="1"/>
        <v>5.36455191904186E-2</v>
      </c>
      <c r="AH427" s="2" t="str">
        <f ca="1"/>
        <v>OK</v>
      </c>
    </row>
    <row r="428" spans="2:34" x14ac:dyDescent="0.2">
      <c r="B428" s="2">
        <f ca="1"/>
        <v>0.35613179352107149</v>
      </c>
      <c r="O428" s="2">
        <f ca="1"/>
        <v>-0.56910459817593873</v>
      </c>
      <c r="X428" s="2">
        <f ca="1"/>
        <v>42.55100156713516</v>
      </c>
      <c r="AG428" s="2">
        <f ca="1"/>
        <v>0.29263027084328219</v>
      </c>
      <c r="AH428" s="2" t="str">
        <f ca="1"/>
        <v>OK</v>
      </c>
    </row>
    <row r="429" spans="2:34" x14ac:dyDescent="0.2">
      <c r="B429" s="2">
        <f ca="1"/>
        <v>0.16938676633685801</v>
      </c>
      <c r="O429" s="2">
        <f ca="1"/>
        <v>-0.89230445142832737</v>
      </c>
      <c r="X429" s="2">
        <f ca="1"/>
        <v>37.521056110250825</v>
      </c>
      <c r="AG429" s="2">
        <f ca="1"/>
        <v>0.30355931579821616</v>
      </c>
      <c r="AH429" s="2" t="str">
        <f ca="1"/>
        <v>OK</v>
      </c>
    </row>
    <row r="430" spans="2:34" x14ac:dyDescent="0.2">
      <c r="B430" s="2">
        <f ca="1"/>
        <v>0.13584215672240219</v>
      </c>
      <c r="O430" s="2">
        <f ca="1"/>
        <v>2.1613993581163284</v>
      </c>
      <c r="X430" s="2">
        <f ca="1"/>
        <v>56.030583657819534</v>
      </c>
      <c r="AG430" s="2">
        <f ca="1"/>
        <v>0.92499383448639194</v>
      </c>
      <c r="AH430" s="2" t="str">
        <f ca="1"/>
        <v>Bad</v>
      </c>
    </row>
    <row r="431" spans="2:34" x14ac:dyDescent="0.2">
      <c r="B431" s="2">
        <f ca="1"/>
        <v>0.52346988567630781</v>
      </c>
      <c r="O431" s="2">
        <f ca="1"/>
        <v>-0.28752984419774086</v>
      </c>
      <c r="X431" s="2">
        <f ca="1"/>
        <v>55.371444442671631</v>
      </c>
      <c r="AG431" s="2">
        <f ca="1"/>
        <v>0.90771356689050808</v>
      </c>
      <c r="AH431" s="2" t="str">
        <f ca="1"/>
        <v>Bad</v>
      </c>
    </row>
    <row r="432" spans="2:34" x14ac:dyDescent="0.2">
      <c r="B432" s="2">
        <f ca="1"/>
        <v>0.35226507749716052</v>
      </c>
      <c r="O432" s="2">
        <f ca="1"/>
        <v>-0.26198528753947536</v>
      </c>
      <c r="X432" s="2">
        <f ca="1"/>
        <v>71.06853077221119</v>
      </c>
      <c r="AG432" s="2">
        <f ca="1"/>
        <v>0.54741655544014889</v>
      </c>
      <c r="AH432" s="2" t="str">
        <f ca="1"/>
        <v>Bad</v>
      </c>
    </row>
    <row r="433" spans="2:34" x14ac:dyDescent="0.2">
      <c r="B433" s="2">
        <f ca="1"/>
        <v>0.6802296873371636</v>
      </c>
      <c r="O433" s="2">
        <f ca="1"/>
        <v>0.60743513890482226</v>
      </c>
      <c r="X433" s="2">
        <f ca="1"/>
        <v>80.814467544570931</v>
      </c>
      <c r="AG433" s="2">
        <f ca="1"/>
        <v>0.68186786758106543</v>
      </c>
      <c r="AH433" s="2" t="str">
        <f ca="1"/>
        <v>Bad</v>
      </c>
    </row>
    <row r="434" spans="2:34" x14ac:dyDescent="0.2">
      <c r="B434" s="2">
        <f ca="1"/>
        <v>0.21247280376821043</v>
      </c>
      <c r="O434" s="2">
        <f ca="1"/>
        <v>0.40185077512796252</v>
      </c>
      <c r="X434" s="2">
        <f ca="1"/>
        <v>22.055177739757703</v>
      </c>
      <c r="AG434" s="2">
        <f ca="1"/>
        <v>0.84596950395721637</v>
      </c>
      <c r="AH434" s="2" t="str">
        <f ca="1"/>
        <v>Bad</v>
      </c>
    </row>
    <row r="435" spans="2:34" x14ac:dyDescent="0.2">
      <c r="B435" s="2">
        <f ca="1"/>
        <v>4.9559974038059895E-2</v>
      </c>
      <c r="O435" s="2">
        <f ca="1"/>
        <v>-0.91786873487252074</v>
      </c>
      <c r="X435" s="2">
        <f ca="1"/>
        <v>33.990696632936263</v>
      </c>
      <c r="AG435" s="2">
        <f ca="1"/>
        <v>0.24864872560961992</v>
      </c>
      <c r="AH435" s="2" t="str">
        <f ca="1"/>
        <v>OK</v>
      </c>
    </row>
    <row r="436" spans="2:34" x14ac:dyDescent="0.2">
      <c r="B436" s="2">
        <f ca="1"/>
        <v>0.40389031393376706</v>
      </c>
      <c r="O436" s="2">
        <f ca="1"/>
        <v>-2.9563089822527435</v>
      </c>
      <c r="X436" s="2">
        <f ca="1"/>
        <v>32.551542433048802</v>
      </c>
      <c r="AG436" s="2">
        <f ca="1"/>
        <v>0.80946701333216153</v>
      </c>
      <c r="AH436" s="2" t="str">
        <f ca="1"/>
        <v>Bad</v>
      </c>
    </row>
    <row r="437" spans="2:34" x14ac:dyDescent="0.2">
      <c r="B437" s="2">
        <f ca="1"/>
        <v>0.90812638696259995</v>
      </c>
      <c r="O437" s="2">
        <f ca="1"/>
        <v>2.2235649003670548</v>
      </c>
      <c r="X437" s="2">
        <f ca="1"/>
        <v>34.319327197665636</v>
      </c>
      <c r="AG437" s="2">
        <f ca="1"/>
        <v>0.192695047880443</v>
      </c>
      <c r="AH437" s="2" t="str">
        <f ca="1"/>
        <v>OK</v>
      </c>
    </row>
    <row r="438" spans="2:34" x14ac:dyDescent="0.2">
      <c r="B438" s="2">
        <f ca="1"/>
        <v>0.31981085647335061</v>
      </c>
      <c r="O438" s="2">
        <f ca="1"/>
        <v>2.1084277039685055</v>
      </c>
      <c r="X438" s="2">
        <f ca="1"/>
        <v>46.808462475455535</v>
      </c>
      <c r="AG438" s="2">
        <f ca="1"/>
        <v>0.45142956202668794</v>
      </c>
      <c r="AH438" s="2" t="str">
        <f ca="1"/>
        <v>Bad</v>
      </c>
    </row>
    <row r="439" spans="2:34" x14ac:dyDescent="0.2">
      <c r="B439" s="2">
        <f ca="1"/>
        <v>0.83975374262548241</v>
      </c>
      <c r="O439" s="2">
        <f ca="1"/>
        <v>0.69191639816453576</v>
      </c>
      <c r="X439" s="2">
        <f ca="1"/>
        <v>65.455787836462946</v>
      </c>
      <c r="AG439" s="2">
        <f ca="1"/>
        <v>0.49703917431293942</v>
      </c>
      <c r="AH439" s="2" t="str">
        <f ca="1"/>
        <v>Bad</v>
      </c>
    </row>
    <row r="440" spans="2:34" x14ac:dyDescent="0.2">
      <c r="B440" s="2">
        <f ca="1"/>
        <v>0.81304720567322986</v>
      </c>
      <c r="O440" s="2">
        <f ca="1"/>
        <v>-0.58956287280529596</v>
      </c>
      <c r="X440" s="2">
        <f ca="1"/>
        <v>59.79597593417666</v>
      </c>
      <c r="AG440" s="2">
        <f ca="1"/>
        <v>0.93293930513493573</v>
      </c>
      <c r="AH440" s="2" t="str">
        <f ca="1"/>
        <v>Bad</v>
      </c>
    </row>
    <row r="441" spans="2:34" x14ac:dyDescent="0.2">
      <c r="B441" s="2">
        <f ca="1"/>
        <v>0.51809104428740738</v>
      </c>
      <c r="O441" s="2">
        <f ca="1"/>
        <v>1.3297035499553302</v>
      </c>
      <c r="X441" s="2">
        <f ca="1"/>
        <v>72.330162531995001</v>
      </c>
      <c r="AG441" s="2">
        <f ca="1"/>
        <v>0.95567098638955672</v>
      </c>
      <c r="AH441" s="2" t="str">
        <f ca="1"/>
        <v>Bad</v>
      </c>
    </row>
    <row r="442" spans="2:34" x14ac:dyDescent="0.2">
      <c r="B442" s="2">
        <f ca="1"/>
        <v>0.10975591934733897</v>
      </c>
      <c r="O442" s="2">
        <f ca="1"/>
        <v>-0.9418058982238241</v>
      </c>
      <c r="X442" s="2">
        <f ca="1"/>
        <v>62.933250385289952</v>
      </c>
      <c r="AG442" s="2">
        <f ca="1"/>
        <v>0.22278666007409442</v>
      </c>
      <c r="AH442" s="2" t="str">
        <f ca="1"/>
        <v>OK</v>
      </c>
    </row>
    <row r="443" spans="2:34" x14ac:dyDescent="0.2">
      <c r="B443" s="2">
        <f ca="1"/>
        <v>0.74430973195075012</v>
      </c>
      <c r="O443" s="2">
        <f ca="1"/>
        <v>0.19621502033429186</v>
      </c>
      <c r="X443" s="2">
        <f ca="1"/>
        <v>43.780690871962527</v>
      </c>
      <c r="AG443" s="2">
        <f ca="1"/>
        <v>0.15662750539266312</v>
      </c>
      <c r="AH443" s="2" t="str">
        <f ca="1"/>
        <v>OK</v>
      </c>
    </row>
    <row r="444" spans="2:34" x14ac:dyDescent="0.2">
      <c r="B444" s="2">
        <f ca="1"/>
        <v>0.68695522444150781</v>
      </c>
      <c r="O444" s="2">
        <f ca="1"/>
        <v>0.717701681058316</v>
      </c>
      <c r="X444" s="2">
        <f ca="1"/>
        <v>51.467537259529841</v>
      </c>
      <c r="AG444" s="2">
        <f ca="1"/>
        <v>0.72749894639995638</v>
      </c>
      <c r="AH444" s="2" t="str">
        <f ca="1"/>
        <v>Bad</v>
      </c>
    </row>
    <row r="445" spans="2:34" x14ac:dyDescent="0.2">
      <c r="B445" s="2">
        <f ca="1"/>
        <v>0.94661046197865617</v>
      </c>
      <c r="O445" s="2">
        <f ca="1"/>
        <v>3.0195859904070566</v>
      </c>
      <c r="X445" s="2">
        <f ca="1"/>
        <v>54.71849599025883</v>
      </c>
      <c r="AG445" s="2">
        <f ca="1"/>
        <v>0.16594334779246611</v>
      </c>
      <c r="AH445" s="2" t="str">
        <f ca="1"/>
        <v>OK</v>
      </c>
    </row>
    <row r="446" spans="2:34" x14ac:dyDescent="0.2">
      <c r="B446" s="2">
        <f ca="1"/>
        <v>0.43787105194731279</v>
      </c>
      <c r="O446" s="2">
        <f ca="1"/>
        <v>0.3043840231745073</v>
      </c>
      <c r="X446" s="2">
        <f ca="1"/>
        <v>41.65130595469811</v>
      </c>
      <c r="AG446" s="2">
        <f ca="1"/>
        <v>0.67248764662712701</v>
      </c>
      <c r="AH446" s="2" t="str">
        <f ca="1"/>
        <v>Bad</v>
      </c>
    </row>
    <row r="447" spans="2:34" x14ac:dyDescent="0.2">
      <c r="B447" s="2">
        <f ca="1"/>
        <v>0.2391678980746057</v>
      </c>
      <c r="O447" s="2">
        <f ca="1"/>
        <v>-1.350928385226692</v>
      </c>
      <c r="X447" s="2">
        <f ca="1"/>
        <v>28.192790492340706</v>
      </c>
      <c r="AG447" s="2">
        <f ca="1"/>
        <v>0.89856036240830806</v>
      </c>
      <c r="AH447" s="2" t="str">
        <f ca="1"/>
        <v>Bad</v>
      </c>
    </row>
    <row r="448" spans="2:34" x14ac:dyDescent="0.2">
      <c r="B448" s="2">
        <f ca="1"/>
        <v>0.27926653651537348</v>
      </c>
      <c r="O448" s="2">
        <f ca="1"/>
        <v>0.22788331042945376</v>
      </c>
      <c r="X448" s="2">
        <f ca="1"/>
        <v>36.9877728105199</v>
      </c>
      <c r="AG448" s="2">
        <f ca="1"/>
        <v>0.68986716609646681</v>
      </c>
      <c r="AH448" s="2" t="str">
        <f ca="1"/>
        <v>Bad</v>
      </c>
    </row>
    <row r="449" spans="2:34" x14ac:dyDescent="0.2">
      <c r="B449" s="2">
        <f ca="1"/>
        <v>0.70569603390202529</v>
      </c>
      <c r="O449" s="2">
        <f ca="1"/>
        <v>1.1759879129181054</v>
      </c>
      <c r="X449" s="2">
        <f ca="1"/>
        <v>44.969039506789116</v>
      </c>
      <c r="AG449" s="2">
        <f ca="1"/>
        <v>0.91117988964914409</v>
      </c>
      <c r="AH449" s="2" t="str">
        <f ca="1"/>
        <v>Bad</v>
      </c>
    </row>
    <row r="450" spans="2:34" x14ac:dyDescent="0.2">
      <c r="B450" s="2">
        <f ca="1"/>
        <v>0.80646672525610819</v>
      </c>
      <c r="O450" s="2">
        <f ca="1"/>
        <v>0.30998737756908251</v>
      </c>
      <c r="X450" s="2">
        <f ca="1"/>
        <v>43.597337551554105</v>
      </c>
      <c r="AG450" s="2">
        <f ca="1"/>
        <v>0.10197873601130514</v>
      </c>
      <c r="AH450" s="2" t="str">
        <f ca="1"/>
        <v>OK</v>
      </c>
    </row>
    <row r="451" spans="2:34" x14ac:dyDescent="0.2">
      <c r="B451" s="2">
        <f ca="1"/>
        <v>0.1840373060637357</v>
      </c>
      <c r="O451" s="2">
        <f ca="1"/>
        <v>0.82309290913696354</v>
      </c>
      <c r="X451" s="2">
        <f ca="1"/>
        <v>48.644334774652258</v>
      </c>
      <c r="AG451" s="2">
        <f ca="1"/>
        <v>0.84162790797591014</v>
      </c>
      <c r="AH451" s="2" t="str">
        <f ca="1"/>
        <v>Bad</v>
      </c>
    </row>
    <row r="452" spans="2:34" x14ac:dyDescent="0.2">
      <c r="B452" s="2">
        <f ca="1"/>
        <v>0.25127215261603597</v>
      </c>
      <c r="O452" s="2">
        <f ca="1"/>
        <v>0.74158034451864607</v>
      </c>
      <c r="X452" s="2">
        <f ca="1"/>
        <v>33.627129986265182</v>
      </c>
      <c r="AG452" s="2">
        <f ca="1"/>
        <v>8.8160338204469779E-2</v>
      </c>
      <c r="AH452" s="2" t="str">
        <f ca="1"/>
        <v>OK</v>
      </c>
    </row>
    <row r="453" spans="2:34" x14ac:dyDescent="0.2">
      <c r="B453" s="2">
        <f ca="1"/>
        <v>0.99389796951968679</v>
      </c>
      <c r="O453" s="2">
        <f ca="1"/>
        <v>-0.10826976388566051</v>
      </c>
      <c r="X453" s="2">
        <f ca="1"/>
        <v>33.260410716726867</v>
      </c>
      <c r="AG453" s="2">
        <f ca="1"/>
        <v>0.56095307096413105</v>
      </c>
      <c r="AH453" s="2" t="str">
        <f ca="1"/>
        <v>Bad</v>
      </c>
    </row>
    <row r="454" spans="2:34" x14ac:dyDescent="0.2">
      <c r="B454" s="2">
        <f ca="1"/>
        <v>0.87544942533584735</v>
      </c>
      <c r="O454" s="2">
        <f ca="1"/>
        <v>2.3421728758251228</v>
      </c>
      <c r="X454" s="2">
        <f ca="1"/>
        <v>76.842578240950672</v>
      </c>
      <c r="AG454" s="2">
        <f ca="1"/>
        <v>0.64207560931784191</v>
      </c>
      <c r="AH454" s="2" t="str">
        <f ca="1"/>
        <v>Bad</v>
      </c>
    </row>
    <row r="455" spans="2:34" x14ac:dyDescent="0.2">
      <c r="B455" s="2">
        <f ca="1"/>
        <v>0.66087575321256109</v>
      </c>
      <c r="O455" s="2">
        <f ca="1"/>
        <v>-0.12725119834923324</v>
      </c>
      <c r="X455" s="2">
        <f ca="1"/>
        <v>37.211786832425403</v>
      </c>
      <c r="AG455" s="2">
        <f ca="1"/>
        <v>0.78084239554489487</v>
      </c>
      <c r="AH455" s="2" t="str">
        <f ca="1"/>
        <v>Bad</v>
      </c>
    </row>
    <row r="456" spans="2:34" x14ac:dyDescent="0.2">
      <c r="B456" s="2">
        <f ca="1"/>
        <v>0.1748028837955431</v>
      </c>
      <c r="O456" s="2">
        <f ca="1"/>
        <v>2.1756505221808755</v>
      </c>
      <c r="X456" s="2">
        <f ca="1"/>
        <v>35.174516187212575</v>
      </c>
      <c r="AG456" s="2">
        <f ca="1"/>
        <v>0.54777540888934961</v>
      </c>
      <c r="AH456" s="2" t="str">
        <f ca="1"/>
        <v>Bad</v>
      </c>
    </row>
    <row r="457" spans="2:34" x14ac:dyDescent="0.2">
      <c r="B457" s="2">
        <f ca="1"/>
        <v>0.23354622107914702</v>
      </c>
      <c r="O457" s="2">
        <f ca="1"/>
        <v>0.26571304905821019</v>
      </c>
      <c r="X457" s="2">
        <f ca="1"/>
        <v>58.466084434468868</v>
      </c>
      <c r="AG457" s="2">
        <f ca="1"/>
        <v>0.48038141790088473</v>
      </c>
      <c r="AH457" s="2" t="str">
        <f ca="1"/>
        <v>Bad</v>
      </c>
    </row>
    <row r="458" spans="2:34" x14ac:dyDescent="0.2">
      <c r="B458" s="2">
        <f ca="1"/>
        <v>0.78753958279272429</v>
      </c>
      <c r="O458" s="2">
        <f ca="1"/>
        <v>0.31306913156656863</v>
      </c>
      <c r="X458" s="2">
        <f ca="1"/>
        <v>78.041550668004575</v>
      </c>
      <c r="AG458" s="2">
        <f ca="1"/>
        <v>0.56251967977147332</v>
      </c>
      <c r="AH458" s="2" t="str">
        <f ca="1"/>
        <v>Bad</v>
      </c>
    </row>
    <row r="459" spans="2:34" x14ac:dyDescent="0.2">
      <c r="B459" s="2">
        <f ca="1"/>
        <v>0.6626853397561927</v>
      </c>
      <c r="O459" s="2">
        <f ca="1"/>
        <v>-1.3555393099749435</v>
      </c>
      <c r="X459" s="2">
        <f ca="1"/>
        <v>45.483005220141848</v>
      </c>
      <c r="AG459" s="2">
        <f ca="1"/>
        <v>0.84531236341065163</v>
      </c>
      <c r="AH459" s="2" t="str">
        <f ca="1"/>
        <v>Bad</v>
      </c>
    </row>
    <row r="460" spans="2:34" x14ac:dyDescent="0.2">
      <c r="B460" s="2">
        <f ca="1"/>
        <v>0.32249035090735068</v>
      </c>
      <c r="O460" s="2">
        <f ca="1"/>
        <v>0.82125765427891706</v>
      </c>
      <c r="X460" s="2">
        <f ca="1"/>
        <v>45.598103340182867</v>
      </c>
      <c r="AG460" s="2">
        <f ca="1"/>
        <v>0.34261069902290253</v>
      </c>
      <c r="AH460" s="2" t="str">
        <f ca="1"/>
        <v>OK</v>
      </c>
    </row>
    <row r="461" spans="2:34" x14ac:dyDescent="0.2">
      <c r="B461" s="2">
        <f ca="1"/>
        <v>5.3454980984980693E-2</v>
      </c>
      <c r="O461" s="2">
        <f ca="1"/>
        <v>0.97920427589096859</v>
      </c>
      <c r="X461" s="2">
        <f ca="1"/>
        <v>38.6844396433507</v>
      </c>
      <c r="AG461" s="2">
        <f ca="1"/>
        <v>4.9172883637731868E-2</v>
      </c>
      <c r="AH461" s="2" t="str">
        <f ca="1"/>
        <v>Good</v>
      </c>
    </row>
    <row r="462" spans="2:34" x14ac:dyDescent="0.2">
      <c r="B462" s="2">
        <f ca="1"/>
        <v>0.85024916961708308</v>
      </c>
      <c r="O462" s="2">
        <f ca="1"/>
        <v>0.46578013468250123</v>
      </c>
      <c r="X462" s="2">
        <f ca="1"/>
        <v>41.461593829730774</v>
      </c>
      <c r="AG462" s="2">
        <f ca="1"/>
        <v>0.71316698315711702</v>
      </c>
      <c r="AH462" s="2" t="str">
        <f ca="1"/>
        <v>Bad</v>
      </c>
    </row>
    <row r="463" spans="2:34" x14ac:dyDescent="0.2">
      <c r="B463" s="2">
        <f ca="1"/>
        <v>0.15932311569082214</v>
      </c>
      <c r="O463" s="2">
        <f ca="1"/>
        <v>0.15785927269838118</v>
      </c>
      <c r="X463" s="2">
        <f ca="1"/>
        <v>78.048201076410578</v>
      </c>
      <c r="AG463" s="2">
        <f ca="1"/>
        <v>0.98829939259812427</v>
      </c>
      <c r="AH463" s="2" t="str">
        <f ca="1"/>
        <v>Bad</v>
      </c>
    </row>
    <row r="464" spans="2:34" x14ac:dyDescent="0.2">
      <c r="B464" s="2">
        <f ca="1"/>
        <v>0.96587627522867092</v>
      </c>
      <c r="O464" s="2">
        <f ca="1"/>
        <v>-0.92587042848204781</v>
      </c>
      <c r="X464" s="2">
        <f ca="1"/>
        <v>75.38418894272931</v>
      </c>
      <c r="AG464" s="2">
        <f ca="1"/>
        <v>0.94540261349411492</v>
      </c>
      <c r="AH464" s="2" t="str">
        <f ca="1"/>
        <v>Bad</v>
      </c>
    </row>
    <row r="465" spans="2:34" x14ac:dyDescent="0.2">
      <c r="B465" s="2">
        <f ca="1"/>
        <v>0.91655250496325191</v>
      </c>
      <c r="O465" s="2">
        <f ca="1"/>
        <v>-1.4927768481044101</v>
      </c>
      <c r="X465" s="2">
        <f ca="1"/>
        <v>36.51304088401492</v>
      </c>
      <c r="AG465" s="2">
        <f ca="1"/>
        <v>0.8375117324818675</v>
      </c>
      <c r="AH465" s="2" t="str">
        <f ca="1"/>
        <v>Bad</v>
      </c>
    </row>
    <row r="466" spans="2:34" x14ac:dyDescent="0.2">
      <c r="B466" s="2">
        <f ca="1"/>
        <v>0.93315676677803827</v>
      </c>
      <c r="O466" s="2">
        <f ca="1"/>
        <v>1.5970172733280295</v>
      </c>
      <c r="X466" s="2">
        <f ca="1"/>
        <v>66.831905086987589</v>
      </c>
      <c r="AG466" s="2">
        <f ca="1"/>
        <v>0.68874931061990474</v>
      </c>
      <c r="AH466" s="2" t="str">
        <f ca="1"/>
        <v>Bad</v>
      </c>
    </row>
    <row r="467" spans="2:34" x14ac:dyDescent="0.2">
      <c r="B467" s="2">
        <f ca="1"/>
        <v>0.57557405285729568</v>
      </c>
      <c r="O467" s="2">
        <f ca="1"/>
        <v>-0.89330379256591352</v>
      </c>
      <c r="X467" s="2">
        <f ca="1"/>
        <v>78.611563356469958</v>
      </c>
      <c r="AG467" s="2">
        <f ca="1"/>
        <v>7.061333498900324E-2</v>
      </c>
      <c r="AH467" s="2" t="str">
        <f ca="1"/>
        <v>OK</v>
      </c>
    </row>
    <row r="468" spans="2:34" x14ac:dyDescent="0.2">
      <c r="B468" s="2">
        <f ca="1"/>
        <v>0.57553209734334199</v>
      </c>
      <c r="O468" s="2">
        <f ca="1"/>
        <v>-0.38234327735868728</v>
      </c>
      <c r="X468" s="2">
        <f ca="1"/>
        <v>55.794632094953336</v>
      </c>
      <c r="AG468" s="2">
        <f ca="1"/>
        <v>3.2843927099477588E-2</v>
      </c>
      <c r="AH468" s="2" t="str">
        <f ca="1"/>
        <v>Good</v>
      </c>
    </row>
    <row r="469" spans="2:34" x14ac:dyDescent="0.2">
      <c r="B469" s="2">
        <f ca="1"/>
        <v>0.79203645333399075</v>
      </c>
      <c r="O469" s="2">
        <f ca="1"/>
        <v>0.21843394807706124</v>
      </c>
      <c r="X469" s="2">
        <f ca="1"/>
        <v>30.708222193129302</v>
      </c>
      <c r="AG469" s="2">
        <f ca="1"/>
        <v>0.64157670338757256</v>
      </c>
      <c r="AH469" s="2" t="str">
        <f ca="1"/>
        <v>Bad</v>
      </c>
    </row>
    <row r="470" spans="2:34" x14ac:dyDescent="0.2">
      <c r="B470" s="2">
        <f ca="1"/>
        <v>0.21252849532543383</v>
      </c>
      <c r="O470" s="2">
        <f ca="1"/>
        <v>1.2635560319567043</v>
      </c>
      <c r="X470" s="2">
        <f ca="1"/>
        <v>31.037504468530734</v>
      </c>
      <c r="AG470" s="2">
        <f ca="1"/>
        <v>0.18528799796671169</v>
      </c>
      <c r="AH470" s="2" t="str">
        <f ca="1"/>
        <v>OK</v>
      </c>
    </row>
    <row r="471" spans="2:34" x14ac:dyDescent="0.2">
      <c r="B471" s="2">
        <f ca="1"/>
        <v>0.96591460766985304</v>
      </c>
      <c r="O471" s="2">
        <f ca="1"/>
        <v>0.66332219555161909</v>
      </c>
      <c r="X471" s="2">
        <f ca="1"/>
        <v>38.89159714072936</v>
      </c>
      <c r="AG471" s="2">
        <f ca="1"/>
        <v>0.50367403352102547</v>
      </c>
      <c r="AH471" s="2" t="str">
        <f ca="1"/>
        <v>Bad</v>
      </c>
    </row>
    <row r="472" spans="2:34" x14ac:dyDescent="0.2">
      <c r="B472" s="2">
        <f ca="1"/>
        <v>0.87016737452926507</v>
      </c>
      <c r="O472" s="2">
        <f ca="1"/>
        <v>-0.43694609283309349</v>
      </c>
      <c r="X472" s="2">
        <f ca="1"/>
        <v>36.493417867276307</v>
      </c>
      <c r="AG472" s="2">
        <f ca="1"/>
        <v>0.93235313839928424</v>
      </c>
      <c r="AH472" s="2" t="str">
        <f ca="1"/>
        <v>Bad</v>
      </c>
    </row>
    <row r="473" spans="2:34" x14ac:dyDescent="0.2">
      <c r="B473" s="2">
        <f ca="1"/>
        <v>0.92430678936532495</v>
      </c>
      <c r="O473" s="2">
        <f ca="1"/>
        <v>-0.5617779726017077</v>
      </c>
      <c r="X473" s="2">
        <f ca="1"/>
        <v>28.032357700119643</v>
      </c>
      <c r="AG473" s="2">
        <f ca="1"/>
        <v>0.51177435126043624</v>
      </c>
      <c r="AH473" s="2" t="str">
        <f ca="1"/>
        <v>Bad</v>
      </c>
    </row>
    <row r="474" spans="2:34" x14ac:dyDescent="0.2">
      <c r="B474" s="2">
        <f ca="1"/>
        <v>0.57325515780711345</v>
      </c>
      <c r="O474" s="2">
        <f ca="1"/>
        <v>-0.74315020696576273</v>
      </c>
      <c r="X474" s="2">
        <f ca="1"/>
        <v>64.400022038060669</v>
      </c>
      <c r="AG474" s="2">
        <f ca="1"/>
        <v>0.70389854279917352</v>
      </c>
      <c r="AH474" s="2" t="str">
        <f ca="1"/>
        <v>Bad</v>
      </c>
    </row>
    <row r="475" spans="2:34" x14ac:dyDescent="0.2">
      <c r="B475" s="2">
        <f ca="1"/>
        <v>0.77094678597915656</v>
      </c>
      <c r="O475" s="2">
        <f ca="1"/>
        <v>-0.15185999464744118</v>
      </c>
      <c r="X475" s="2">
        <f ca="1"/>
        <v>32.494752607802475</v>
      </c>
      <c r="AG475" s="2">
        <f ca="1"/>
        <v>0.48101670706958699</v>
      </c>
      <c r="AH475" s="2" t="str">
        <f ca="1"/>
        <v>Bad</v>
      </c>
    </row>
    <row r="476" spans="2:34" x14ac:dyDescent="0.2">
      <c r="B476" s="2">
        <f ca="1"/>
        <v>0.12767168231256898</v>
      </c>
      <c r="O476" s="2">
        <f ca="1"/>
        <v>0.87069283288357391</v>
      </c>
      <c r="X476" s="2">
        <f ca="1"/>
        <v>31.180328202399288</v>
      </c>
      <c r="AG476" s="2">
        <f ca="1"/>
        <v>0.85434815599773528</v>
      </c>
      <c r="AH476" s="2" t="str">
        <f ca="1"/>
        <v>Bad</v>
      </c>
    </row>
    <row r="477" spans="2:34" x14ac:dyDescent="0.2">
      <c r="B477" s="2">
        <f ca="1"/>
        <v>0.10965826774641707</v>
      </c>
      <c r="O477" s="2">
        <f ca="1"/>
        <v>-0.25995670509281332</v>
      </c>
      <c r="X477" s="2">
        <f ca="1"/>
        <v>27.525690589904798</v>
      </c>
      <c r="AG477" s="2">
        <f ca="1"/>
        <v>0.81394742984602075</v>
      </c>
      <c r="AH477" s="2" t="str">
        <f ca="1"/>
        <v>Bad</v>
      </c>
    </row>
    <row r="478" spans="2:34" x14ac:dyDescent="0.2">
      <c r="B478" s="2">
        <f ca="1"/>
        <v>5.236474032236238E-2</v>
      </c>
      <c r="O478" s="2">
        <f ca="1"/>
        <v>0.92720537832446936</v>
      </c>
      <c r="X478" s="2">
        <f ca="1"/>
        <v>68.923483795493482</v>
      </c>
      <c r="AG478" s="2">
        <f ca="1"/>
        <v>0.36519632599641794</v>
      </c>
      <c r="AH478" s="2" t="str">
        <f ca="1"/>
        <v>OK</v>
      </c>
    </row>
    <row r="479" spans="2:34" x14ac:dyDescent="0.2">
      <c r="B479" s="2">
        <f ca="1"/>
        <v>0.20550028732828141</v>
      </c>
      <c r="O479" s="2">
        <f ca="1"/>
        <v>-1.2934471860719428</v>
      </c>
      <c r="X479" s="2">
        <f ca="1"/>
        <v>34.770772282845442</v>
      </c>
      <c r="AG479" s="2">
        <f ca="1"/>
        <v>3.586518905480518E-2</v>
      </c>
      <c r="AH479" s="2" t="str">
        <f ca="1"/>
        <v>Good</v>
      </c>
    </row>
    <row r="480" spans="2:34" x14ac:dyDescent="0.2">
      <c r="B480" s="2">
        <f ca="1"/>
        <v>0.10892941067834938</v>
      </c>
      <c r="O480" s="2">
        <f ca="1"/>
        <v>1.1939107427138809</v>
      </c>
      <c r="X480" s="2">
        <f ca="1"/>
        <v>39.231048590830184</v>
      </c>
      <c r="AG480" s="2">
        <f ca="1"/>
        <v>0.93693543378170885</v>
      </c>
      <c r="AH480" s="2" t="str">
        <f ca="1"/>
        <v>Bad</v>
      </c>
    </row>
    <row r="481" spans="2:34" x14ac:dyDescent="0.2">
      <c r="B481" s="2">
        <f ca="1"/>
        <v>0.11197328222641967</v>
      </c>
      <c r="O481" s="2">
        <f ca="1"/>
        <v>0.68598913775895676</v>
      </c>
      <c r="X481" s="2">
        <f ca="1"/>
        <v>51.527782942939169</v>
      </c>
      <c r="AG481" s="2">
        <f ca="1"/>
        <v>0.31821210541267053</v>
      </c>
      <c r="AH481" s="2" t="str">
        <f ca="1"/>
        <v>OK</v>
      </c>
    </row>
    <row r="482" spans="2:34" x14ac:dyDescent="0.2">
      <c r="B482" s="2">
        <f ca="1"/>
        <v>0.53979455247152663</v>
      </c>
      <c r="O482" s="2">
        <f ca="1"/>
        <v>0.33579972263603414</v>
      </c>
      <c r="X482" s="2">
        <f ca="1"/>
        <v>57.608223984643004</v>
      </c>
      <c r="AG482" s="2">
        <f ca="1"/>
        <v>0.24101033983546394</v>
      </c>
      <c r="AH482" s="2" t="str">
        <f ca="1"/>
        <v>OK</v>
      </c>
    </row>
    <row r="483" spans="2:34" x14ac:dyDescent="0.2">
      <c r="B483" s="2">
        <f ca="1"/>
        <v>0.7445960840268071</v>
      </c>
      <c r="O483" s="2">
        <f ca="1"/>
        <v>-0.35152922891559668</v>
      </c>
      <c r="X483" s="2">
        <f ca="1"/>
        <v>38.191324227235725</v>
      </c>
      <c r="AG483" s="2">
        <f ca="1"/>
        <v>0.28683679697325548</v>
      </c>
      <c r="AH483" s="2" t="str">
        <f ca="1"/>
        <v>OK</v>
      </c>
    </row>
    <row r="484" spans="2:34" x14ac:dyDescent="0.2">
      <c r="B484" s="2">
        <f ca="1"/>
        <v>0.14530454975574836</v>
      </c>
      <c r="O484" s="2">
        <f ca="1"/>
        <v>-0.26199334534556074</v>
      </c>
      <c r="X484" s="2">
        <f ca="1"/>
        <v>49.153538377036277</v>
      </c>
      <c r="AG484" s="2">
        <f ca="1"/>
        <v>0.95721868568734259</v>
      </c>
      <c r="AH484" s="2" t="str">
        <f ca="1"/>
        <v>Bad</v>
      </c>
    </row>
    <row r="485" spans="2:34" x14ac:dyDescent="0.2">
      <c r="B485" s="2">
        <f ca="1"/>
        <v>1.1754743543455959E-2</v>
      </c>
      <c r="O485" s="2">
        <f ca="1"/>
        <v>1.357199473699896</v>
      </c>
      <c r="X485" s="2">
        <f ca="1"/>
        <v>47.888514047715027</v>
      </c>
      <c r="AG485" s="2">
        <f ca="1"/>
        <v>0.56197714976490221</v>
      </c>
      <c r="AH485" s="2" t="str">
        <f ca="1"/>
        <v>Bad</v>
      </c>
    </row>
    <row r="486" spans="2:34" x14ac:dyDescent="0.2">
      <c r="B486" s="2">
        <f ca="1"/>
        <v>0.18750937767701825</v>
      </c>
      <c r="O486" s="2">
        <f ca="1"/>
        <v>0.94793172833442241</v>
      </c>
      <c r="X486" s="2">
        <f ca="1"/>
        <v>55.647973068307607</v>
      </c>
      <c r="AG486" s="2">
        <f ca="1"/>
        <v>0.44415419752224694</v>
      </c>
      <c r="AH486" s="2" t="str">
        <f ca="1"/>
        <v>Bad</v>
      </c>
    </row>
    <row r="487" spans="2:34" x14ac:dyDescent="0.2">
      <c r="B487" s="2">
        <f ca="1"/>
        <v>0.51584498337597329</v>
      </c>
      <c r="O487" s="2">
        <f ca="1"/>
        <v>0.10215654110896993</v>
      </c>
      <c r="X487" s="2">
        <f ca="1"/>
        <v>54.741540227042613</v>
      </c>
      <c r="AG487" s="2">
        <f ca="1"/>
        <v>0.88071642019847451</v>
      </c>
      <c r="AH487" s="2" t="str">
        <f ca="1"/>
        <v>Bad</v>
      </c>
    </row>
    <row r="488" spans="2:34" x14ac:dyDescent="0.2">
      <c r="B488" s="2">
        <f ca="1"/>
        <v>1.8420956320603921E-3</v>
      </c>
      <c r="O488" s="2">
        <f ca="1"/>
        <v>-6.5592855014384513E-2</v>
      </c>
      <c r="X488" s="2">
        <f ca="1"/>
        <v>44.54117514033625</v>
      </c>
      <c r="AG488" s="2">
        <f ca="1"/>
        <v>0.89117704444700441</v>
      </c>
      <c r="AH488" s="2" t="str">
        <f ca="1"/>
        <v>Bad</v>
      </c>
    </row>
    <row r="489" spans="2:34" x14ac:dyDescent="0.2">
      <c r="B489" s="2">
        <f ca="1"/>
        <v>0.79161664662141584</v>
      </c>
      <c r="O489" s="2">
        <f ca="1"/>
        <v>0.21800436025386247</v>
      </c>
      <c r="X489" s="2">
        <f ca="1"/>
        <v>33.629671899136639</v>
      </c>
      <c r="AG489" s="2">
        <f ca="1"/>
        <v>0.97207840838577231</v>
      </c>
      <c r="AH489" s="2" t="str">
        <f ca="1"/>
        <v>Bad</v>
      </c>
    </row>
    <row r="490" spans="2:34" x14ac:dyDescent="0.2">
      <c r="B490" s="2">
        <f ca="1"/>
        <v>0.68421749481901784</v>
      </c>
      <c r="O490" s="2">
        <f ca="1"/>
        <v>-0.58818805324279888</v>
      </c>
      <c r="X490" s="2">
        <f ca="1"/>
        <v>37.371413763826162</v>
      </c>
      <c r="AG490" s="2">
        <f ca="1"/>
        <v>0.40837386648822682</v>
      </c>
      <c r="AH490" s="2" t="str">
        <f ca="1"/>
        <v>Bad</v>
      </c>
    </row>
    <row r="491" spans="2:34" x14ac:dyDescent="0.2">
      <c r="B491" s="2">
        <f ca="1"/>
        <v>0.34289461680934541</v>
      </c>
      <c r="O491" s="2">
        <f ca="1"/>
        <v>2.6193172267387914</v>
      </c>
      <c r="X491" s="2">
        <f ca="1"/>
        <v>57.963050971911073</v>
      </c>
      <c r="AG491" s="2">
        <f ca="1"/>
        <v>0.35525183548698624</v>
      </c>
      <c r="AH491" s="2" t="str">
        <f ca="1"/>
        <v>OK</v>
      </c>
    </row>
    <row r="492" spans="2:34" x14ac:dyDescent="0.2">
      <c r="B492" s="2">
        <f ca="1"/>
        <v>0.14863219657004234</v>
      </c>
      <c r="O492" s="2">
        <f ca="1"/>
        <v>-9.56955604908937E-2</v>
      </c>
      <c r="X492" s="2">
        <f ca="1"/>
        <v>20.9703644809412</v>
      </c>
      <c r="AG492" s="2">
        <f ca="1"/>
        <v>0.28073779663183474</v>
      </c>
      <c r="AH492" s="2" t="str">
        <f ca="1"/>
        <v>OK</v>
      </c>
    </row>
    <row r="493" spans="2:34" x14ac:dyDescent="0.2">
      <c r="B493" s="2">
        <f ca="1"/>
        <v>0.97647158707973492</v>
      </c>
      <c r="O493" s="2">
        <f ca="1"/>
        <v>-1.094958799577858</v>
      </c>
      <c r="X493" s="2">
        <f ca="1"/>
        <v>55.270401435429307</v>
      </c>
      <c r="AG493" s="2">
        <f ca="1"/>
        <v>0.29941470982584351</v>
      </c>
      <c r="AH493" s="2" t="str">
        <f ca="1"/>
        <v>OK</v>
      </c>
    </row>
    <row r="494" spans="2:34" x14ac:dyDescent="0.2">
      <c r="B494" s="2">
        <f ca="1"/>
        <v>0.62992991551617727</v>
      </c>
      <c r="O494" s="2">
        <f ca="1"/>
        <v>-0.54434896073471917</v>
      </c>
      <c r="X494" s="2">
        <f ca="1"/>
        <v>41.967639427300242</v>
      </c>
      <c r="AG494" s="2">
        <f ca="1"/>
        <v>0.71471391202206846</v>
      </c>
      <c r="AH494" s="2" t="str">
        <f ca="1"/>
        <v>Bad</v>
      </c>
    </row>
    <row r="495" spans="2:34" x14ac:dyDescent="0.2">
      <c r="B495" s="2">
        <f ca="1"/>
        <v>0.19024944528334631</v>
      </c>
      <c r="O495" s="2">
        <f ca="1"/>
        <v>1.0203166466946176</v>
      </c>
      <c r="X495" s="2">
        <f ca="1"/>
        <v>35.588816679656638</v>
      </c>
      <c r="AG495" s="2">
        <f ca="1"/>
        <v>0.66992663542094255</v>
      </c>
      <c r="AH495" s="2" t="str">
        <f ca="1"/>
        <v>Bad</v>
      </c>
    </row>
    <row r="496" spans="2:34" x14ac:dyDescent="0.2">
      <c r="B496" s="2">
        <f ca="1"/>
        <v>0.92874118933074401</v>
      </c>
      <c r="O496" s="2">
        <f ca="1"/>
        <v>0.77326624006116829</v>
      </c>
      <c r="X496" s="2">
        <f ca="1"/>
        <v>48.480542539287782</v>
      </c>
      <c r="AG496" s="2">
        <f ca="1"/>
        <v>0.37265919213778886</v>
      </c>
      <c r="AH496" s="2" t="str">
        <f ca="1"/>
        <v>OK</v>
      </c>
    </row>
    <row r="497" spans="2:34" x14ac:dyDescent="0.2">
      <c r="B497" s="2">
        <f ca="1"/>
        <v>0.20204606323409724</v>
      </c>
      <c r="O497" s="2">
        <f ca="1"/>
        <v>0.12289424373138906</v>
      </c>
      <c r="X497" s="2">
        <f ca="1"/>
        <v>107.33289219430851</v>
      </c>
      <c r="AG497" s="2">
        <f ca="1"/>
        <v>0.24126728026701261</v>
      </c>
      <c r="AH497" s="2" t="str">
        <f ca="1"/>
        <v>OK</v>
      </c>
    </row>
    <row r="498" spans="2:34" x14ac:dyDescent="0.2">
      <c r="B498" s="2">
        <f ca="1"/>
        <v>0.48974226280372601</v>
      </c>
      <c r="O498" s="2">
        <f ca="1"/>
        <v>-0.39839990434485628</v>
      </c>
      <c r="X498" s="2">
        <f ca="1"/>
        <v>41.029964724225096</v>
      </c>
      <c r="AG498" s="2">
        <f ca="1"/>
        <v>0.80941826560617725</v>
      </c>
      <c r="AH498" s="2" t="str">
        <f ca="1"/>
        <v>Bad</v>
      </c>
    </row>
    <row r="499" spans="2:34" x14ac:dyDescent="0.2">
      <c r="B499" s="2">
        <f ca="1"/>
        <v>0.1941819094063344</v>
      </c>
      <c r="O499" s="2">
        <f ca="1"/>
        <v>-0.15148843088165342</v>
      </c>
      <c r="X499" s="2">
        <f ca="1"/>
        <v>38.148014976441509</v>
      </c>
      <c r="AG499" s="2">
        <f ca="1"/>
        <v>0.5840995644362299</v>
      </c>
      <c r="AH499" s="2" t="str">
        <f ca="1"/>
        <v>Bad</v>
      </c>
    </row>
    <row r="500" spans="2:34" x14ac:dyDescent="0.2">
      <c r="B500" s="2">
        <f ca="1"/>
        <v>0.98818673328123663</v>
      </c>
      <c r="O500" s="2">
        <f ca="1"/>
        <v>0.53108746047471855</v>
      </c>
      <c r="X500" s="2">
        <f ca="1"/>
        <v>34.65998715184373</v>
      </c>
      <c r="AG500" s="2">
        <f ca="1"/>
        <v>0.75125072631622758</v>
      </c>
      <c r="AH500" s="2" t="str">
        <f ca="1"/>
        <v>Bad</v>
      </c>
    </row>
    <row r="501" spans="2:34" x14ac:dyDescent="0.2">
      <c r="B501" s="2">
        <f ca="1"/>
        <v>0.4367191854813337</v>
      </c>
      <c r="O501" s="2">
        <f ca="1"/>
        <v>0.4839625568524269</v>
      </c>
      <c r="X501" s="2">
        <f ca="1"/>
        <v>46.372062403574631</v>
      </c>
      <c r="AG501" s="2">
        <f ca="1"/>
        <v>0.41997191060193328</v>
      </c>
      <c r="AH501" s="2" t="str">
        <f ca="1"/>
        <v>Bad</v>
      </c>
    </row>
    <row r="502" spans="2:34" x14ac:dyDescent="0.2">
      <c r="B502" s="2">
        <f ca="1"/>
        <v>0.21924919576173307</v>
      </c>
      <c r="O502" s="2">
        <f ca="1"/>
        <v>0.29942340757833336</v>
      </c>
      <c r="X502" s="2">
        <f ca="1"/>
        <v>59.384141508430162</v>
      </c>
      <c r="AG502" s="2">
        <f ca="1"/>
        <v>0.78561450270677802</v>
      </c>
      <c r="AH502" s="2" t="str">
        <f ca="1"/>
        <v>Bad</v>
      </c>
    </row>
    <row r="503" spans="2:34" x14ac:dyDescent="0.2">
      <c r="B503" s="2">
        <f ca="1"/>
        <v>2.6643147291026681E-2</v>
      </c>
      <c r="O503" s="2">
        <f ca="1"/>
        <v>-0.74652824965159592</v>
      </c>
      <c r="X503" s="2">
        <f ca="1"/>
        <v>61.172618914197756</v>
      </c>
      <c r="AG503" s="2">
        <f ca="1"/>
        <v>0.79954892624786189</v>
      </c>
      <c r="AH503" s="2" t="str">
        <f ca="1"/>
        <v>Bad</v>
      </c>
    </row>
    <row r="504" spans="2:34" x14ac:dyDescent="0.2">
      <c r="B504" s="2">
        <f ca="1"/>
        <v>0.7889688682823992</v>
      </c>
      <c r="O504" s="2">
        <f ca="1"/>
        <v>-0.55291758891508114</v>
      </c>
      <c r="X504" s="2">
        <f ca="1"/>
        <v>70.694545209550014</v>
      </c>
      <c r="AG504" s="2">
        <f ca="1"/>
        <v>0.28920477006739964</v>
      </c>
      <c r="AH504" s="2" t="str">
        <f ca="1"/>
        <v>OK</v>
      </c>
    </row>
    <row r="505" spans="2:34" x14ac:dyDescent="0.2">
      <c r="B505" s="2">
        <f ca="1"/>
        <v>0.89799938014518377</v>
      </c>
      <c r="O505" s="2">
        <f ca="1"/>
        <v>1.2632142157865416</v>
      </c>
      <c r="X505" s="2">
        <f ca="1"/>
        <v>49.725347359442793</v>
      </c>
      <c r="AG505" s="2">
        <f ca="1"/>
        <v>0.39446916237678464</v>
      </c>
      <c r="AH505" s="2" t="str">
        <f ca="1"/>
        <v>OK</v>
      </c>
    </row>
    <row r="506" spans="2:34" x14ac:dyDescent="0.2">
      <c r="B506" s="2">
        <f ca="1"/>
        <v>0.59397198205251112</v>
      </c>
      <c r="O506" s="2">
        <f ca="1"/>
        <v>-0.73777789397928428</v>
      </c>
      <c r="X506" s="2">
        <f ca="1"/>
        <v>47.511897142467987</v>
      </c>
      <c r="AG506" s="2">
        <f ca="1"/>
        <v>0.27461065220058023</v>
      </c>
      <c r="AH506" s="2" t="str">
        <f ca="1"/>
        <v>OK</v>
      </c>
    </row>
    <row r="507" spans="2:34" x14ac:dyDescent="0.2">
      <c r="B507" s="2">
        <f ca="1"/>
        <v>0.7027495944917681</v>
      </c>
      <c r="O507" s="2">
        <f ca="1"/>
        <v>0.80612936241772837</v>
      </c>
      <c r="X507" s="2">
        <f ca="1"/>
        <v>53.653746015210842</v>
      </c>
      <c r="AG507" s="2">
        <f ca="1"/>
        <v>0.4734038495288726</v>
      </c>
      <c r="AH507" s="2" t="str">
        <f ca="1"/>
        <v>Bad</v>
      </c>
    </row>
    <row r="508" spans="2:34" x14ac:dyDescent="0.2">
      <c r="B508" s="2">
        <f ca="1"/>
        <v>0.18253071318388181</v>
      </c>
      <c r="O508" s="2">
        <f ca="1"/>
        <v>-0.83901119850713202</v>
      </c>
      <c r="X508" s="2">
        <f ca="1"/>
        <v>71.25948858512308</v>
      </c>
      <c r="AG508" s="2">
        <f ca="1"/>
        <v>8.2606265689495917E-2</v>
      </c>
      <c r="AH508" s="2" t="str">
        <f ca="1"/>
        <v>OK</v>
      </c>
    </row>
    <row r="509" spans="2:34" x14ac:dyDescent="0.2">
      <c r="B509" s="2">
        <f ca="1"/>
        <v>0.99125771270971907</v>
      </c>
      <c r="O509" s="2">
        <f ca="1"/>
        <v>0.7332093725332296</v>
      </c>
      <c r="X509" s="2">
        <f ca="1"/>
        <v>44.641464334343908</v>
      </c>
      <c r="AG509" s="2">
        <f ca="1"/>
        <v>0.54273664051749182</v>
      </c>
      <c r="AH509" s="2" t="str">
        <f ca="1"/>
        <v>Bad</v>
      </c>
    </row>
    <row r="510" spans="2:34" x14ac:dyDescent="0.2">
      <c r="B510" s="2">
        <f ca="1"/>
        <v>0.56056195508098972</v>
      </c>
      <c r="O510" s="2">
        <f ca="1"/>
        <v>-1.256842101105206</v>
      </c>
      <c r="X510" s="2">
        <f ca="1"/>
        <v>50.074214137927711</v>
      </c>
      <c r="AG510" s="2">
        <f ca="1"/>
        <v>0.69004085098018209</v>
      </c>
      <c r="AH510" s="2" t="str">
        <f ca="1"/>
        <v>Bad</v>
      </c>
    </row>
    <row r="511" spans="2:34" x14ac:dyDescent="0.2">
      <c r="B511" s="2">
        <f ca="1"/>
        <v>0.15163244047037217</v>
      </c>
      <c r="O511" s="2">
        <f ca="1"/>
        <v>-1.0201395591507239</v>
      </c>
      <c r="X511" s="2">
        <f ca="1"/>
        <v>40.25310174306388</v>
      </c>
      <c r="AG511" s="2">
        <f ca="1"/>
        <v>8.6227045880499453E-2</v>
      </c>
      <c r="AH511" s="2" t="str">
        <f ca="1"/>
        <v>OK</v>
      </c>
    </row>
    <row r="512" spans="2:34" x14ac:dyDescent="0.2">
      <c r="B512" s="2">
        <f ca="1"/>
        <v>4.1035128768870832E-2</v>
      </c>
      <c r="O512" s="2">
        <f ca="1"/>
        <v>-1.7335199669474164</v>
      </c>
      <c r="X512" s="2">
        <f ca="1"/>
        <v>56.88798959479864</v>
      </c>
      <c r="AG512" s="2">
        <f ca="1"/>
        <v>4.5651424448142297E-2</v>
      </c>
      <c r="AH512" s="2" t="str">
        <f ca="1"/>
        <v>Good</v>
      </c>
    </row>
    <row r="513" spans="2:34" x14ac:dyDescent="0.2">
      <c r="B513" s="2">
        <f ca="1"/>
        <v>0.37093773863599244</v>
      </c>
      <c r="O513" s="2">
        <f ca="1"/>
        <v>-1.0007208270609174</v>
      </c>
      <c r="X513" s="2">
        <f ca="1"/>
        <v>39.02097365111949</v>
      </c>
      <c r="AG513" s="2">
        <f ca="1"/>
        <v>0.76267779326538787</v>
      </c>
      <c r="AH513" s="2" t="str">
        <f ca="1"/>
        <v>Bad</v>
      </c>
    </row>
    <row r="514" spans="2:34" x14ac:dyDescent="0.2">
      <c r="B514" s="2">
        <f ca="1"/>
        <v>0.72661365646350173</v>
      </c>
      <c r="O514" s="2">
        <f ca="1"/>
        <v>-0.40563640328927192</v>
      </c>
      <c r="X514" s="2">
        <f ca="1"/>
        <v>44.031796635824712</v>
      </c>
      <c r="AG514" s="2">
        <f ca="1"/>
        <v>0.74510539422344224</v>
      </c>
      <c r="AH514" s="2" t="str">
        <f ca="1"/>
        <v>Bad</v>
      </c>
    </row>
    <row r="515" spans="2:34" x14ac:dyDescent="0.2">
      <c r="B515" s="2">
        <f ca="1"/>
        <v>0.57878442659156581</v>
      </c>
      <c r="O515" s="2">
        <f ca="1"/>
        <v>-0.47904524444541408</v>
      </c>
      <c r="X515" s="2">
        <f ca="1"/>
        <v>49.597683285009708</v>
      </c>
      <c r="AG515" s="2">
        <f ca="1"/>
        <v>0.43670811138992316</v>
      </c>
      <c r="AH515" s="2" t="str">
        <f ca="1"/>
        <v>Bad</v>
      </c>
    </row>
    <row r="516" spans="2:34" x14ac:dyDescent="0.2">
      <c r="B516" s="2">
        <f ca="1"/>
        <v>0.9612497852583759</v>
      </c>
      <c r="O516" s="2">
        <f ca="1"/>
        <v>-0.9159796062518295</v>
      </c>
      <c r="X516" s="2">
        <f ca="1"/>
        <v>74.100505503317365</v>
      </c>
      <c r="AG516" s="2">
        <f ca="1"/>
        <v>0.85323671884724694</v>
      </c>
      <c r="AH516" s="2" t="str">
        <f ca="1"/>
        <v>Bad</v>
      </c>
    </row>
    <row r="517" spans="2:34" x14ac:dyDescent="0.2">
      <c r="B517" s="2">
        <f ca="1"/>
        <v>0.93909333874175749</v>
      </c>
      <c r="O517" s="2">
        <f ca="1"/>
        <v>-1.2654323803839878</v>
      </c>
      <c r="X517" s="2">
        <f ca="1"/>
        <v>51.863750771450469</v>
      </c>
      <c r="AG517" s="2">
        <f ca="1"/>
        <v>0.42165034191312389</v>
      </c>
      <c r="AH517" s="2" t="str">
        <f ca="1"/>
        <v>Bad</v>
      </c>
    </row>
    <row r="518" spans="2:34" x14ac:dyDescent="0.2">
      <c r="B518" s="2">
        <f ca="1"/>
        <v>0.49411061160532688</v>
      </c>
      <c r="O518" s="2">
        <f ca="1"/>
        <v>-0.35127876342491882</v>
      </c>
      <c r="X518" s="2">
        <f ca="1"/>
        <v>66.60580324999728</v>
      </c>
      <c r="AG518" s="2">
        <f ca="1"/>
        <v>3.417848205368812E-2</v>
      </c>
      <c r="AH518" s="2" t="str">
        <f ca="1"/>
        <v>Good</v>
      </c>
    </row>
    <row r="519" spans="2:34" x14ac:dyDescent="0.2">
      <c r="B519" s="2">
        <f ca="1"/>
        <v>0.63226003266274255</v>
      </c>
      <c r="O519" s="2">
        <f ca="1"/>
        <v>0.12355202347241472</v>
      </c>
      <c r="X519" s="2">
        <f ca="1"/>
        <v>68.883657941359118</v>
      </c>
      <c r="AG519" s="2">
        <f ca="1"/>
        <v>0.39536818786191752</v>
      </c>
      <c r="AH519" s="2" t="str">
        <f ca="1"/>
        <v>OK</v>
      </c>
    </row>
    <row r="520" spans="2:34" x14ac:dyDescent="0.2">
      <c r="B520" s="2">
        <f ca="1"/>
        <v>0.97536155490908283</v>
      </c>
      <c r="O520" s="2">
        <f ca="1"/>
        <v>-0.40174190329117954</v>
      </c>
      <c r="X520" s="2">
        <f ca="1"/>
        <v>48.548975924777544</v>
      </c>
      <c r="AG520" s="2">
        <f ca="1"/>
        <v>0.1224148773784195</v>
      </c>
      <c r="AH520" s="2" t="str">
        <f ca="1"/>
        <v>OK</v>
      </c>
    </row>
    <row r="521" spans="2:34" x14ac:dyDescent="0.2">
      <c r="B521" s="2">
        <f ca="1"/>
        <v>0.17827950878496002</v>
      </c>
      <c r="O521" s="2">
        <f ca="1"/>
        <v>0.20608120810918187</v>
      </c>
      <c r="X521" s="2">
        <f ca="1"/>
        <v>76.825889168215355</v>
      </c>
      <c r="AG521" s="2">
        <f ca="1"/>
        <v>0.16249551278761887</v>
      </c>
      <c r="AH521" s="2" t="str">
        <f ca="1"/>
        <v>OK</v>
      </c>
    </row>
    <row r="522" spans="2:34" x14ac:dyDescent="0.2">
      <c r="B522" s="2">
        <f ca="1"/>
        <v>0.61951125484211556</v>
      </c>
      <c r="O522" s="2">
        <f ca="1"/>
        <v>-1.5724459648910034</v>
      </c>
      <c r="X522" s="2">
        <f ca="1"/>
        <v>45.790160587874524</v>
      </c>
      <c r="AG522" s="2">
        <f ca="1"/>
        <v>0.38679350557816239</v>
      </c>
      <c r="AH522" s="2" t="str">
        <f ca="1"/>
        <v>OK</v>
      </c>
    </row>
    <row r="523" spans="2:34" x14ac:dyDescent="0.2">
      <c r="B523" s="2">
        <f ca="1"/>
        <v>0.8209186761623688</v>
      </c>
      <c r="O523" s="2">
        <f ca="1"/>
        <v>-0.60128010410715316</v>
      </c>
      <c r="X523" s="2">
        <f ca="1"/>
        <v>64.90919687504315</v>
      </c>
      <c r="AG523" s="2">
        <f ca="1"/>
        <v>0.60884667973906015</v>
      </c>
      <c r="AH523" s="2" t="str">
        <f ca="1"/>
        <v>Bad</v>
      </c>
    </row>
    <row r="524" spans="2:34" x14ac:dyDescent="0.2">
      <c r="B524" s="2">
        <f ca="1"/>
        <v>0.42285148279584095</v>
      </c>
      <c r="O524" s="2">
        <f ca="1"/>
        <v>-0.23025049732421124</v>
      </c>
      <c r="X524" s="2">
        <f ca="1"/>
        <v>55.003536237847854</v>
      </c>
      <c r="AG524" s="2">
        <f ca="1"/>
        <v>0.52859237798471415</v>
      </c>
      <c r="AH524" s="2" t="str">
        <f ca="1"/>
        <v>Bad</v>
      </c>
    </row>
    <row r="525" spans="2:34" x14ac:dyDescent="0.2">
      <c r="B525" s="2">
        <f ca="1"/>
        <v>0.1280371758923704</v>
      </c>
      <c r="O525" s="2">
        <f ca="1"/>
        <v>0.35016286496464705</v>
      </c>
      <c r="X525" s="2">
        <f ca="1"/>
        <v>62.562981299464056</v>
      </c>
      <c r="AG525" s="2">
        <f ca="1"/>
        <v>0.49401240518681266</v>
      </c>
      <c r="AH525" s="2" t="str">
        <f ca="1"/>
        <v>Bad</v>
      </c>
    </row>
    <row r="526" spans="2:34" x14ac:dyDescent="0.2">
      <c r="B526" s="2">
        <f ca="1"/>
        <v>0.69700981385884142</v>
      </c>
      <c r="O526" s="2">
        <f ca="1"/>
        <v>5.1771735511407325E-2</v>
      </c>
      <c r="X526" s="2">
        <f ca="1"/>
        <v>31.921004205646383</v>
      </c>
      <c r="AG526" s="2">
        <f ca="1"/>
        <v>0.31116106249495545</v>
      </c>
      <c r="AH526" s="2" t="str">
        <f ca="1"/>
        <v>OK</v>
      </c>
    </row>
    <row r="527" spans="2:34" x14ac:dyDescent="0.2">
      <c r="B527" s="2">
        <f ca="1"/>
        <v>0.77103378473993534</v>
      </c>
      <c r="O527" s="2">
        <f ca="1"/>
        <v>1.2477164003242269</v>
      </c>
      <c r="X527" s="2">
        <f ca="1"/>
        <v>49.537249688236869</v>
      </c>
      <c r="AG527" s="2">
        <f ca="1"/>
        <v>0.36165242178244017</v>
      </c>
      <c r="AH527" s="2" t="str">
        <f ca="1"/>
        <v>OK</v>
      </c>
    </row>
    <row r="528" spans="2:34" x14ac:dyDescent="0.2">
      <c r="B528" s="2">
        <f ca="1"/>
        <v>0.67956618570988003</v>
      </c>
      <c r="O528" s="2">
        <f ca="1"/>
        <v>1.1695431537584708</v>
      </c>
      <c r="X528" s="2">
        <f ca="1"/>
        <v>39.404253515457768</v>
      </c>
      <c r="AG528" s="2">
        <f ca="1"/>
        <v>0.71472304810860887</v>
      </c>
      <c r="AH528" s="2" t="str">
        <f ca="1"/>
        <v>Bad</v>
      </c>
    </row>
    <row r="529" spans="2:34" x14ac:dyDescent="0.2">
      <c r="B529" s="2">
        <f ca="1"/>
        <v>0.37371035269682817</v>
      </c>
      <c r="O529" s="2">
        <f ca="1"/>
        <v>0.10169801397283024</v>
      </c>
      <c r="X529" s="2">
        <f ca="1"/>
        <v>54.726409991444065</v>
      </c>
      <c r="AG529" s="2">
        <f ca="1"/>
        <v>0.90695007193548705</v>
      </c>
      <c r="AH529" s="2" t="str">
        <f ca="1"/>
        <v>Bad</v>
      </c>
    </row>
    <row r="530" spans="2:34" x14ac:dyDescent="0.2">
      <c r="B530" s="2">
        <f ca="1"/>
        <v>0.5729977111687381</v>
      </c>
      <c r="O530" s="2">
        <f ca="1"/>
        <v>-0.1775971739870191</v>
      </c>
      <c r="X530" s="2">
        <f ca="1"/>
        <v>56.530534181646161</v>
      </c>
      <c r="AG530" s="2">
        <f ca="1"/>
        <v>0.12032881845011367</v>
      </c>
      <c r="AH530" s="2" t="str">
        <f ca="1"/>
        <v>OK</v>
      </c>
    </row>
    <row r="531" spans="2:34" x14ac:dyDescent="0.2">
      <c r="B531" s="2">
        <f ca="1"/>
        <v>0.1480855703650743</v>
      </c>
      <c r="O531" s="2">
        <f ca="1"/>
        <v>-0.30571023428707095</v>
      </c>
      <c r="X531" s="2">
        <f ca="1"/>
        <v>47.481702604531492</v>
      </c>
      <c r="AG531" s="2">
        <f ca="1"/>
        <v>5.9901192535807279E-2</v>
      </c>
      <c r="AH531" s="2" t="str">
        <f ca="1"/>
        <v>OK</v>
      </c>
    </row>
    <row r="532" spans="2:34" x14ac:dyDescent="0.2">
      <c r="B532" s="2">
        <f ca="1"/>
        <v>0.52469364751759517</v>
      </c>
      <c r="O532" s="2">
        <f ca="1"/>
        <v>0.50004081543375289</v>
      </c>
      <c r="X532" s="2">
        <f ca="1"/>
        <v>51.291703585190369</v>
      </c>
      <c r="AG532" s="2">
        <f ca="1"/>
        <v>0.18827811431089536</v>
      </c>
      <c r="AH532" s="2" t="str">
        <f ca="1"/>
        <v>OK</v>
      </c>
    </row>
    <row r="533" spans="2:34" x14ac:dyDescent="0.2">
      <c r="B533" s="2">
        <f ca="1"/>
        <v>8.7245056861349424E-2</v>
      </c>
      <c r="O533" s="2">
        <f ca="1"/>
        <v>0.15347729099214433</v>
      </c>
      <c r="X533" s="2">
        <f ca="1"/>
        <v>47.248341631822861</v>
      </c>
      <c r="AG533" s="2">
        <f ca="1"/>
        <v>0.44146692046160396</v>
      </c>
      <c r="AH533" s="2" t="str">
        <f ca="1"/>
        <v>Bad</v>
      </c>
    </row>
    <row r="534" spans="2:34" x14ac:dyDescent="0.2">
      <c r="B534" s="2">
        <f ca="1"/>
        <v>0.77723873485944739</v>
      </c>
      <c r="O534" s="2">
        <f ca="1"/>
        <v>-0.91496012607584565</v>
      </c>
      <c r="X534" s="2">
        <f ca="1"/>
        <v>33.559192508192901</v>
      </c>
      <c r="AG534" s="2">
        <f ca="1"/>
        <v>0.11155657004503672</v>
      </c>
      <c r="AH534" s="2" t="str">
        <f ca="1"/>
        <v>OK</v>
      </c>
    </row>
    <row r="535" spans="2:34" x14ac:dyDescent="0.2">
      <c r="B535" s="2">
        <f ca="1"/>
        <v>0.82702224687920345</v>
      </c>
      <c r="O535" s="2">
        <f ca="1"/>
        <v>0.59509955173117035</v>
      </c>
      <c r="X535" s="2">
        <f ca="1"/>
        <v>37.725799188328082</v>
      </c>
      <c r="AG535" s="2">
        <f ca="1"/>
        <v>0.67921243015148169</v>
      </c>
      <c r="AH535" s="2" t="str">
        <f ca="1"/>
        <v>Bad</v>
      </c>
    </row>
    <row r="536" spans="2:34" x14ac:dyDescent="0.2">
      <c r="B536" s="2">
        <f ca="1"/>
        <v>0.79516958549446004</v>
      </c>
      <c r="O536" s="2">
        <f ca="1"/>
        <v>-2.0826803432644376</v>
      </c>
      <c r="X536" s="2">
        <f ca="1"/>
        <v>36.069653936663833</v>
      </c>
      <c r="AG536" s="2">
        <f ca="1"/>
        <v>0.99010435809420017</v>
      </c>
      <c r="AH536" s="2" t="str">
        <f ca="1"/>
        <v>Bad</v>
      </c>
    </row>
    <row r="537" spans="2:34" x14ac:dyDescent="0.2">
      <c r="B537" s="2">
        <f ca="1"/>
        <v>0.38102916825078581</v>
      </c>
      <c r="O537" s="2">
        <f ca="1"/>
        <v>-1.3775793825411029</v>
      </c>
      <c r="X537" s="2">
        <f ca="1"/>
        <v>59.647791705643336</v>
      </c>
      <c r="AG537" s="2">
        <f ca="1"/>
        <v>3.9754963025218082E-3</v>
      </c>
      <c r="AH537" s="2" t="str">
        <f ca="1"/>
        <v>Good</v>
      </c>
    </row>
    <row r="538" spans="2:34" x14ac:dyDescent="0.2">
      <c r="B538" s="2">
        <f ca="1"/>
        <v>0.14252513255556187</v>
      </c>
      <c r="O538" s="2">
        <f ca="1"/>
        <v>0.41891333259029967</v>
      </c>
      <c r="X538" s="2">
        <f ca="1"/>
        <v>30.840573857172224</v>
      </c>
      <c r="AG538" s="2">
        <f ca="1"/>
        <v>0.46372927614756687</v>
      </c>
      <c r="AH538" s="2" t="str">
        <f ca="1"/>
        <v>Bad</v>
      </c>
    </row>
    <row r="539" spans="2:34" x14ac:dyDescent="0.2">
      <c r="B539" s="2">
        <f ca="1"/>
        <v>0.7895610437498457</v>
      </c>
      <c r="O539" s="2">
        <f ca="1"/>
        <v>-0.50690914782090435</v>
      </c>
      <c r="X539" s="2">
        <f ca="1"/>
        <v>78.378661084280353</v>
      </c>
      <c r="AG539" s="2">
        <f ca="1"/>
        <v>0.10841746202996005</v>
      </c>
      <c r="AH539" s="2" t="str">
        <f ca="1"/>
        <v>OK</v>
      </c>
    </row>
    <row r="540" spans="2:34" x14ac:dyDescent="0.2">
      <c r="B540" s="2">
        <f ca="1"/>
        <v>0.93564411063150144</v>
      </c>
      <c r="O540" s="2">
        <f ca="1"/>
        <v>-0.65628226055787398</v>
      </c>
      <c r="X540" s="2">
        <f ca="1"/>
        <v>53.163785306079575</v>
      </c>
      <c r="AG540" s="2">
        <f ca="1"/>
        <v>0.27489081245501956</v>
      </c>
      <c r="AH540" s="2" t="str">
        <f ca="1"/>
        <v>OK</v>
      </c>
    </row>
    <row r="541" spans="2:34" x14ac:dyDescent="0.2">
      <c r="B541" s="2">
        <f ca="1"/>
        <v>0.20645415677508927</v>
      </c>
      <c r="O541" s="2">
        <f ca="1"/>
        <v>1.5647056526109093</v>
      </c>
      <c r="X541" s="2">
        <f ca="1"/>
        <v>84.474612306278999</v>
      </c>
      <c r="AG541" s="2">
        <f ca="1"/>
        <v>0.55413499446070591</v>
      </c>
      <c r="AH541" s="2" t="str">
        <f ca="1"/>
        <v>Bad</v>
      </c>
    </row>
    <row r="542" spans="2:34" x14ac:dyDescent="0.2">
      <c r="B542" s="2">
        <f ca="1"/>
        <v>0.77212507230249328</v>
      </c>
      <c r="O542" s="2">
        <f ca="1"/>
        <v>-0.34885246919559687</v>
      </c>
      <c r="X542" s="2">
        <f ca="1"/>
        <v>34.479399304183133</v>
      </c>
      <c r="AG542" s="2">
        <f ca="1"/>
        <v>0.96015155117333673</v>
      </c>
      <c r="AH542" s="2" t="str">
        <f ca="1"/>
        <v>Bad</v>
      </c>
    </row>
    <row r="543" spans="2:34" x14ac:dyDescent="0.2">
      <c r="B543" s="2">
        <f ca="1"/>
        <v>0.65759963630968321</v>
      </c>
      <c r="O543" s="2">
        <f ca="1"/>
        <v>-8.1821646958531294E-2</v>
      </c>
      <c r="X543" s="2">
        <f ca="1"/>
        <v>47.678526083076072</v>
      </c>
      <c r="AG543" s="2">
        <f ca="1"/>
        <v>0.70074366486834805</v>
      </c>
      <c r="AH543" s="2" t="str">
        <f ca="1"/>
        <v>Bad</v>
      </c>
    </row>
    <row r="544" spans="2:34" x14ac:dyDescent="0.2">
      <c r="B544" s="2">
        <f ca="1"/>
        <v>4.7648138677250707E-2</v>
      </c>
      <c r="O544" s="2">
        <f ca="1"/>
        <v>-7.9910184004924126E-2</v>
      </c>
      <c r="X544" s="2">
        <f ca="1"/>
        <v>55.128482932245916</v>
      </c>
      <c r="AG544" s="2">
        <f ca="1"/>
        <v>0.29703440843186346</v>
      </c>
      <c r="AH544" s="2" t="str">
        <f ca="1"/>
        <v>OK</v>
      </c>
    </row>
    <row r="545" spans="2:34" x14ac:dyDescent="0.2">
      <c r="B545" s="2">
        <f ca="1"/>
        <v>0.83885239495684805</v>
      </c>
      <c r="O545" s="2">
        <f ca="1"/>
        <v>0.98625747071819747</v>
      </c>
      <c r="X545" s="2">
        <f ca="1"/>
        <v>48.606912806408829</v>
      </c>
      <c r="AG545" s="2">
        <f ca="1"/>
        <v>0.80692233148750314</v>
      </c>
      <c r="AH545" s="2" t="str">
        <f ca="1"/>
        <v>Bad</v>
      </c>
    </row>
    <row r="546" spans="2:34" x14ac:dyDescent="0.2">
      <c r="B546" s="2">
        <f ca="1"/>
        <v>0.25373378163200888</v>
      </c>
      <c r="O546" s="2">
        <f ca="1"/>
        <v>-0.78132886324517781</v>
      </c>
      <c r="X546" s="2">
        <f ca="1"/>
        <v>61.926491438157612</v>
      </c>
      <c r="AG546" s="2">
        <f ca="1"/>
        <v>0.1153613961735378</v>
      </c>
      <c r="AH546" s="2" t="str">
        <f ca="1"/>
        <v>OK</v>
      </c>
    </row>
    <row r="547" spans="2:34" x14ac:dyDescent="0.2">
      <c r="B547" s="2">
        <f ca="1"/>
        <v>0.64321235183877934</v>
      </c>
      <c r="O547" s="2">
        <f ca="1"/>
        <v>0.61137971712763473</v>
      </c>
      <c r="X547" s="2">
        <f ca="1"/>
        <v>43.875439702173239</v>
      </c>
      <c r="AG547" s="2">
        <f ca="1"/>
        <v>0.97114291067365621</v>
      </c>
      <c r="AH547" s="2" t="str">
        <f ca="1"/>
        <v>Bad</v>
      </c>
    </row>
    <row r="548" spans="2:34" x14ac:dyDescent="0.2">
      <c r="B548" s="2">
        <f ca="1"/>
        <v>0.84995947875126432</v>
      </c>
      <c r="O548" s="2">
        <f ca="1"/>
        <v>0.3489843794200283</v>
      </c>
      <c r="X548" s="2">
        <f ca="1"/>
        <v>60.014408481782048</v>
      </c>
      <c r="AG548" s="2">
        <f ca="1"/>
        <v>2.0998667827945905E-2</v>
      </c>
      <c r="AH548" s="2" t="str">
        <f ca="1"/>
        <v>Good</v>
      </c>
    </row>
    <row r="549" spans="2:34" x14ac:dyDescent="0.2">
      <c r="B549" s="2">
        <f ca="1"/>
        <v>0.67511251568623987</v>
      </c>
      <c r="O549" s="2">
        <f ca="1"/>
        <v>0.12904206714472197</v>
      </c>
      <c r="X549" s="2">
        <f ca="1"/>
        <v>37.39399503120238</v>
      </c>
      <c r="AG549" s="2">
        <f ca="1"/>
        <v>2.2604234915328369E-2</v>
      </c>
      <c r="AH549" s="2" t="str">
        <f ca="1"/>
        <v>Good</v>
      </c>
    </row>
    <row r="550" spans="2:34" x14ac:dyDescent="0.2">
      <c r="B550" s="2">
        <f ca="1"/>
        <v>0.6040534376581177</v>
      </c>
      <c r="O550" s="2">
        <f ca="1"/>
        <v>0.15595602860770877</v>
      </c>
      <c r="X550" s="2">
        <f ca="1"/>
        <v>30.98622457247</v>
      </c>
      <c r="AG550" s="2">
        <f ca="1"/>
        <v>0.55857808069181991</v>
      </c>
      <c r="AH550" s="2" t="str">
        <f ca="1"/>
        <v>Bad</v>
      </c>
    </row>
    <row r="551" spans="2:34" x14ac:dyDescent="0.2">
      <c r="B551" s="2">
        <f ca="1"/>
        <v>0.22520896110459865</v>
      </c>
      <c r="O551" s="2">
        <f ca="1"/>
        <v>-0.31136122933936716</v>
      </c>
      <c r="X551" s="2">
        <f ca="1"/>
        <v>44.877123170756306</v>
      </c>
      <c r="AG551" s="2">
        <f ca="1"/>
        <v>0.80741655072172813</v>
      </c>
      <c r="AH551" s="2" t="str">
        <f ca="1"/>
        <v>Bad</v>
      </c>
    </row>
    <row r="552" spans="2:34" x14ac:dyDescent="0.2">
      <c r="B552" s="2">
        <f ca="1"/>
        <v>0.32406144581354379</v>
      </c>
      <c r="O552" s="2">
        <f ca="1"/>
        <v>1.7178943735388348</v>
      </c>
      <c r="X552" s="2">
        <f ca="1"/>
        <v>42.905054346935401</v>
      </c>
      <c r="AG552" s="2">
        <f ca="1"/>
        <v>0.52678198809505816</v>
      </c>
      <c r="AH552" s="2" t="str">
        <f ca="1"/>
        <v>Bad</v>
      </c>
    </row>
    <row r="553" spans="2:34" x14ac:dyDescent="0.2">
      <c r="B553" s="2">
        <f ca="1"/>
        <v>0.49689714760064652</v>
      </c>
      <c r="O553" s="2">
        <f ca="1"/>
        <v>-0.21927517041277184</v>
      </c>
      <c r="X553" s="2">
        <f ca="1"/>
        <v>47.741923732334008</v>
      </c>
      <c r="AG553" s="2">
        <f ca="1"/>
        <v>0.99882289492121368</v>
      </c>
      <c r="AH553" s="2" t="str">
        <f ca="1"/>
        <v>Bad</v>
      </c>
    </row>
    <row r="554" spans="2:34" x14ac:dyDescent="0.2">
      <c r="B554" s="2">
        <f ca="1"/>
        <v>0.44854536202165418</v>
      </c>
      <c r="O554" s="2">
        <f ca="1"/>
        <v>1.3775886147512437</v>
      </c>
      <c r="X554" s="2">
        <f ca="1"/>
        <v>84.511905745337984</v>
      </c>
      <c r="AG554" s="2">
        <f ca="1"/>
        <v>0.49663108692594649</v>
      </c>
      <c r="AH554" s="2" t="str">
        <f ca="1"/>
        <v>Bad</v>
      </c>
    </row>
    <row r="555" spans="2:34" x14ac:dyDescent="0.2">
      <c r="B555" s="2">
        <f ca="1"/>
        <v>0.15938882100718965</v>
      </c>
      <c r="O555" s="2">
        <f ca="1"/>
        <v>0.96841679302993777</v>
      </c>
      <c r="X555" s="2">
        <f ca="1"/>
        <v>46.695733059620217</v>
      </c>
      <c r="AG555" s="2">
        <f ca="1"/>
        <v>0.98081567993710084</v>
      </c>
      <c r="AH555" s="2" t="str">
        <f ca="1"/>
        <v>Bad</v>
      </c>
    </row>
    <row r="556" spans="2:34" x14ac:dyDescent="0.2">
      <c r="B556" s="2">
        <f ca="1"/>
        <v>0.34042322852151763</v>
      </c>
      <c r="O556" s="2">
        <f ca="1"/>
        <v>-0.37776145881117335</v>
      </c>
      <c r="X556" s="2">
        <f ca="1"/>
        <v>49.696610316246172</v>
      </c>
      <c r="AG556" s="2">
        <f ca="1"/>
        <v>0.74014397731202552</v>
      </c>
      <c r="AH556" s="2" t="str">
        <f ca="1"/>
        <v>Bad</v>
      </c>
    </row>
    <row r="557" spans="2:34" x14ac:dyDescent="0.2">
      <c r="B557" s="2">
        <f ca="1"/>
        <v>0.98421671558422341</v>
      </c>
      <c r="O557" s="2">
        <f ca="1"/>
        <v>0.26017614141643891</v>
      </c>
      <c r="X557" s="2">
        <f ca="1"/>
        <v>75.825308863199396</v>
      </c>
      <c r="AG557" s="2">
        <f ca="1"/>
        <v>7.9388232766418154E-2</v>
      </c>
      <c r="AH557" s="2" t="str">
        <f ca="1"/>
        <v>OK</v>
      </c>
    </row>
    <row r="558" spans="2:34" x14ac:dyDescent="0.2">
      <c r="B558" s="2">
        <f ca="1"/>
        <v>0.69315514955355439</v>
      </c>
      <c r="O558" s="2">
        <f ca="1"/>
        <v>0.32868190399771402</v>
      </c>
      <c r="X558" s="2">
        <f ca="1"/>
        <v>34.148109920386908</v>
      </c>
      <c r="AG558" s="2">
        <f ca="1"/>
        <v>0.84008830460375017</v>
      </c>
      <c r="AH558" s="2" t="str">
        <f ca="1"/>
        <v>Bad</v>
      </c>
    </row>
    <row r="559" spans="2:34" x14ac:dyDescent="0.2">
      <c r="B559" s="2">
        <f ca="1"/>
        <v>3.7857123985828967E-2</v>
      </c>
      <c r="O559" s="2">
        <f ca="1"/>
        <v>0.11494862968977357</v>
      </c>
      <c r="X559" s="2">
        <f ca="1"/>
        <v>20.412879486278065</v>
      </c>
      <c r="AG559" s="2">
        <f ca="1"/>
        <v>0.42940389813849555</v>
      </c>
      <c r="AH559" s="2" t="str">
        <f ca="1"/>
        <v>Bad</v>
      </c>
    </row>
    <row r="560" spans="2:34" x14ac:dyDescent="0.2">
      <c r="B560" s="2">
        <f ca="1"/>
        <v>0.65207211114886499</v>
      </c>
      <c r="O560" s="2">
        <f ca="1"/>
        <v>-1.0447701526515865</v>
      </c>
      <c r="X560" s="2">
        <f ca="1"/>
        <v>43.81030490894797</v>
      </c>
      <c r="AG560" s="2">
        <f ca="1"/>
        <v>0.30626316095456296</v>
      </c>
      <c r="AH560" s="2" t="str">
        <f ca="1"/>
        <v>OK</v>
      </c>
    </row>
    <row r="561" spans="2:34" x14ac:dyDescent="0.2">
      <c r="B561" s="2">
        <f ca="1"/>
        <v>0.14118011326791291</v>
      </c>
      <c r="O561" s="2">
        <f ca="1"/>
        <v>1.0620442011015705</v>
      </c>
      <c r="X561" s="2">
        <f ca="1"/>
        <v>48.203500718806424</v>
      </c>
      <c r="AG561" s="2">
        <f ca="1"/>
        <v>0.80989994968710133</v>
      </c>
      <c r="AH561" s="2" t="str">
        <f ca="1"/>
        <v>Bad</v>
      </c>
    </row>
    <row r="562" spans="2:34" x14ac:dyDescent="0.2">
      <c r="B562" s="2">
        <f ca="1"/>
        <v>0.52397749592132747</v>
      </c>
      <c r="O562" s="2">
        <f ca="1"/>
        <v>-0.3158566656611389</v>
      </c>
      <c r="X562" s="2">
        <f ca="1"/>
        <v>30.036562264553289</v>
      </c>
      <c r="AG562" s="2">
        <f ca="1"/>
        <v>0.50955782389880788</v>
      </c>
      <c r="AH562" s="2" t="str">
        <f ca="1"/>
        <v>Bad</v>
      </c>
    </row>
    <row r="563" spans="2:34" x14ac:dyDescent="0.2">
      <c r="B563" s="2">
        <f ca="1"/>
        <v>0.87851734172886675</v>
      </c>
      <c r="O563" s="2">
        <f ca="1"/>
        <v>0.43365570571614925</v>
      </c>
      <c r="X563" s="2">
        <f ca="1"/>
        <v>42.329867630053826</v>
      </c>
      <c r="AG563" s="2">
        <f ca="1"/>
        <v>0.82931783736727094</v>
      </c>
      <c r="AH563" s="2" t="str">
        <f ca="1"/>
        <v>Bad</v>
      </c>
    </row>
    <row r="564" spans="2:34" x14ac:dyDescent="0.2">
      <c r="B564" s="2">
        <f ca="1"/>
        <v>0.22489524044483233</v>
      </c>
      <c r="O564" s="2">
        <f ca="1"/>
        <v>-0.95545606392118787</v>
      </c>
      <c r="X564" s="2">
        <f ca="1"/>
        <v>68.260434481309403</v>
      </c>
      <c r="AG564" s="2">
        <f ca="1"/>
        <v>0.34053226125716329</v>
      </c>
      <c r="AH564" s="2" t="str">
        <f ca="1"/>
        <v>OK</v>
      </c>
    </row>
    <row r="565" spans="2:34" x14ac:dyDescent="0.2">
      <c r="B565" s="2">
        <f ca="1"/>
        <v>0.59584385172742449</v>
      </c>
      <c r="O565" s="2">
        <f ca="1"/>
        <v>0.8342485260181014</v>
      </c>
      <c r="X565" s="2">
        <f ca="1"/>
        <v>85.669870856931993</v>
      </c>
      <c r="AG565" s="2">
        <f ca="1"/>
        <v>0.75683195990988872</v>
      </c>
      <c r="AH565" s="2" t="str">
        <f ca="1"/>
        <v>Bad</v>
      </c>
    </row>
    <row r="566" spans="2:34" x14ac:dyDescent="0.2">
      <c r="B566" s="2">
        <f ca="1"/>
        <v>0.4837763747674424</v>
      </c>
      <c r="O566" s="2">
        <f ca="1"/>
        <v>1.0822910938436967</v>
      </c>
      <c r="X566" s="2">
        <f ca="1"/>
        <v>49.446322691633526</v>
      </c>
      <c r="AG566" s="2">
        <f ca="1"/>
        <v>0.84425584457122249</v>
      </c>
      <c r="AH566" s="2" t="str">
        <f ca="1"/>
        <v>Bad</v>
      </c>
    </row>
    <row r="567" spans="2:34" x14ac:dyDescent="0.2">
      <c r="B567" s="2">
        <f ca="1"/>
        <v>0.22869331476441346</v>
      </c>
      <c r="O567" s="2">
        <f ca="1"/>
        <v>0.35600982154479166</v>
      </c>
      <c r="X567" s="2">
        <f ca="1"/>
        <v>51.744844135929853</v>
      </c>
      <c r="AG567" s="2">
        <f ca="1"/>
        <v>0.52390201716282037</v>
      </c>
      <c r="AH567" s="2" t="str">
        <f ca="1"/>
        <v>Bad</v>
      </c>
    </row>
    <row r="568" spans="2:34" x14ac:dyDescent="0.2">
      <c r="B568" s="2">
        <f ca="1"/>
        <v>0.86337334288801593</v>
      </c>
      <c r="O568" s="2">
        <f ca="1"/>
        <v>-1.1200730007138446</v>
      </c>
      <c r="X568" s="2">
        <f ca="1"/>
        <v>30.414166073485273</v>
      </c>
      <c r="AG568" s="2">
        <f ca="1"/>
        <v>0.60568958699634856</v>
      </c>
      <c r="AH568" s="2" t="str">
        <f ca="1"/>
        <v>Bad</v>
      </c>
    </row>
    <row r="569" spans="2:34" x14ac:dyDescent="0.2">
      <c r="B569" s="2">
        <f ca="1"/>
        <v>0.53228390696572392</v>
      </c>
      <c r="O569" s="2">
        <f ca="1"/>
        <v>-1.2599258800256103</v>
      </c>
      <c r="X569" s="2">
        <f ca="1"/>
        <v>37.496938446285732</v>
      </c>
      <c r="AG569" s="2">
        <f ca="1"/>
        <v>0.14725268526714785</v>
      </c>
      <c r="AH569" s="2" t="str">
        <f ca="1"/>
        <v>OK</v>
      </c>
    </row>
    <row r="570" spans="2:34" x14ac:dyDescent="0.2">
      <c r="B570" s="2">
        <f ca="1"/>
        <v>0.69974024671301094</v>
      </c>
      <c r="O570" s="2">
        <f ca="1"/>
        <v>-1.3543303787939691</v>
      </c>
      <c r="X570" s="2">
        <f ca="1"/>
        <v>43.751286908512967</v>
      </c>
      <c r="AG570" s="2">
        <f ca="1"/>
        <v>0.21214276989881475</v>
      </c>
      <c r="AH570" s="2" t="str">
        <f ca="1"/>
        <v>OK</v>
      </c>
    </row>
    <row r="571" spans="2:34" x14ac:dyDescent="0.2">
      <c r="B571" s="2">
        <f ca="1"/>
        <v>0.7082178528997749</v>
      </c>
      <c r="O571" s="2">
        <f ca="1"/>
        <v>1.5663310316843655E-2</v>
      </c>
      <c r="X571" s="2">
        <f ca="1"/>
        <v>60.156630719233839</v>
      </c>
      <c r="AG571" s="2">
        <f ca="1"/>
        <v>0.52812309651489642</v>
      </c>
      <c r="AH571" s="2" t="str">
        <f ca="1"/>
        <v>Bad</v>
      </c>
    </row>
    <row r="572" spans="2:34" x14ac:dyDescent="0.2">
      <c r="B572" s="2">
        <f ca="1"/>
        <v>0.24779646362032559</v>
      </c>
      <c r="O572" s="2">
        <f ca="1"/>
        <v>-0.6780953675708612</v>
      </c>
      <c r="X572" s="2">
        <f ca="1"/>
        <v>63.108316909165779</v>
      </c>
      <c r="AG572" s="2">
        <f ca="1"/>
        <v>0.83443032628563518</v>
      </c>
      <c r="AH572" s="2" t="str">
        <f ca="1"/>
        <v>Bad</v>
      </c>
    </row>
    <row r="573" spans="2:34" x14ac:dyDescent="0.2">
      <c r="B573" s="2">
        <f ca="1"/>
        <v>0.58603280907650701</v>
      </c>
      <c r="O573" s="2">
        <f ca="1"/>
        <v>-0.9698012955353752</v>
      </c>
      <c r="X573" s="2">
        <f ca="1"/>
        <v>50.973970196325922</v>
      </c>
      <c r="AG573" s="2">
        <f ca="1"/>
        <v>0.89086379062187371</v>
      </c>
      <c r="AH573" s="2" t="str">
        <f ca="1"/>
        <v>Bad</v>
      </c>
    </row>
    <row r="574" spans="2:34" x14ac:dyDescent="0.2">
      <c r="B574" s="2">
        <f ca="1"/>
        <v>0.60495114822383123</v>
      </c>
      <c r="O574" s="2">
        <f ca="1"/>
        <v>-1.1581430046839958</v>
      </c>
      <c r="X574" s="2">
        <f ca="1"/>
        <v>51.69604473704009</v>
      </c>
      <c r="AG574" s="2">
        <f ca="1"/>
        <v>0.72721217613717748</v>
      </c>
      <c r="AH574" s="2" t="str">
        <f ca="1"/>
        <v>Bad</v>
      </c>
    </row>
    <row r="575" spans="2:34" x14ac:dyDescent="0.2">
      <c r="B575" s="2">
        <f ca="1"/>
        <v>0.53120851363035126</v>
      </c>
      <c r="O575" s="2">
        <f ca="1"/>
        <v>-0.19261535283416806</v>
      </c>
      <c r="X575" s="2">
        <f ca="1"/>
        <v>53.336177732423735</v>
      </c>
      <c r="AG575" s="2">
        <f ca="1"/>
        <v>0.43846969831078941</v>
      </c>
      <c r="AH575" s="2" t="str">
        <f ca="1"/>
        <v>Bad</v>
      </c>
    </row>
    <row r="576" spans="2:34" x14ac:dyDescent="0.2">
      <c r="B576" s="2">
        <f ca="1"/>
        <v>0.72935416499557415</v>
      </c>
      <c r="O576" s="2">
        <f ca="1"/>
        <v>0.69477532028180844</v>
      </c>
      <c r="X576" s="2">
        <f ca="1"/>
        <v>42.311767609590632</v>
      </c>
      <c r="AG576" s="2">
        <f ca="1"/>
        <v>9.3249520720646739E-2</v>
      </c>
      <c r="AH576" s="2" t="str">
        <f ca="1"/>
        <v>OK</v>
      </c>
    </row>
    <row r="577" spans="2:34" x14ac:dyDescent="0.2">
      <c r="B577" s="2">
        <f ca="1"/>
        <v>0.1484709892702829</v>
      </c>
      <c r="O577" s="2">
        <f ca="1"/>
        <v>-1.3208931661564876</v>
      </c>
      <c r="X577" s="2">
        <f ca="1"/>
        <v>16.837480973649129</v>
      </c>
      <c r="AG577" s="2">
        <f ca="1"/>
        <v>0.35829630227152642</v>
      </c>
      <c r="AH577" s="2" t="str">
        <f ca="1"/>
        <v>OK</v>
      </c>
    </row>
    <row r="578" spans="2:34" x14ac:dyDescent="0.2">
      <c r="B578" s="2">
        <f ca="1"/>
        <v>0.77767502048133053</v>
      </c>
      <c r="O578" s="2">
        <f ca="1"/>
        <v>0.59404085619925928</v>
      </c>
      <c r="X578" s="2">
        <f ca="1"/>
        <v>55.393978756659934</v>
      </c>
      <c r="AG578" s="2">
        <f ca="1"/>
        <v>0.52025221476484251</v>
      </c>
      <c r="AH578" s="2" t="str">
        <f ca="1"/>
        <v>Bad</v>
      </c>
    </row>
    <row r="579" spans="2:34" x14ac:dyDescent="0.2">
      <c r="B579" s="2">
        <f ca="1"/>
        <v>0.93237874331849957</v>
      </c>
      <c r="O579" s="2">
        <f ca="1"/>
        <v>0.58475759257744464</v>
      </c>
      <c r="X579" s="2">
        <f ca="1"/>
        <v>50.88641326394486</v>
      </c>
      <c r="AG579" s="2">
        <f ca="1"/>
        <v>0.31511502692876081</v>
      </c>
      <c r="AH579" s="2" t="str">
        <f ca="1"/>
        <v>OK</v>
      </c>
    </row>
    <row r="580" spans="2:34" x14ac:dyDescent="0.2">
      <c r="B580" s="2">
        <f ca="1"/>
        <v>0.4184186657774871</v>
      </c>
      <c r="O580" s="2">
        <f ca="1"/>
        <v>-2.1491840153851269</v>
      </c>
      <c r="X580" s="2">
        <f ca="1"/>
        <v>28.758959849247422</v>
      </c>
      <c r="AG580" s="2">
        <f ca="1"/>
        <v>0.70882134797585516</v>
      </c>
      <c r="AH580" s="2" t="str">
        <f ca="1"/>
        <v>Bad</v>
      </c>
    </row>
    <row r="581" spans="2:34" x14ac:dyDescent="0.2">
      <c r="B581" s="2">
        <f ca="1"/>
        <v>0.82010209269518031</v>
      </c>
      <c r="O581" s="2">
        <f ca="1"/>
        <v>-0.27120302524518763</v>
      </c>
      <c r="X581" s="2">
        <f ca="1"/>
        <v>71.233264785330903</v>
      </c>
      <c r="AG581" s="2">
        <f ca="1"/>
        <v>0.11888946081486895</v>
      </c>
      <c r="AH581" s="2" t="str">
        <f ca="1"/>
        <v>OK</v>
      </c>
    </row>
    <row r="582" spans="2:34" x14ac:dyDescent="0.2">
      <c r="B582" s="2">
        <f ca="1"/>
        <v>0.48167486707754881</v>
      </c>
      <c r="O582" s="2">
        <f ca="1"/>
        <v>-0.43284184828978456</v>
      </c>
      <c r="X582" s="2">
        <f ca="1"/>
        <v>67.557963077500986</v>
      </c>
      <c r="AG582" s="2">
        <f ca="1"/>
        <v>0.14932208701025451</v>
      </c>
      <c r="AH582" s="2" t="str">
        <f ca="1"/>
        <v>OK</v>
      </c>
    </row>
    <row r="583" spans="2:34" x14ac:dyDescent="0.2">
      <c r="B583" s="2">
        <f ca="1"/>
        <v>0.32261623112611981</v>
      </c>
      <c r="O583" s="2">
        <f ca="1"/>
        <v>0.31105626539206227</v>
      </c>
      <c r="X583" s="2">
        <f ca="1"/>
        <v>52.800250170456522</v>
      </c>
      <c r="AG583" s="2">
        <f ca="1"/>
        <v>0.93183195768361826</v>
      </c>
      <c r="AH583" s="2" t="str">
        <f ca="1"/>
        <v>Bad</v>
      </c>
    </row>
    <row r="584" spans="2:34" x14ac:dyDescent="0.2">
      <c r="B584" s="2">
        <f ca="1"/>
        <v>0.18659777849243864</v>
      </c>
      <c r="O584" s="2">
        <f ca="1"/>
        <v>0.18935948728213295</v>
      </c>
      <c r="X584" s="2">
        <f ca="1"/>
        <v>40.788319763083635</v>
      </c>
      <c r="AG584" s="2">
        <f ca="1"/>
        <v>0.79163147722533189</v>
      </c>
      <c r="AH584" s="2" t="str">
        <f ca="1"/>
        <v>Bad</v>
      </c>
    </row>
    <row r="585" spans="2:34" x14ac:dyDescent="0.2">
      <c r="B585" s="2">
        <f ca="1"/>
        <v>0.91456808682068247</v>
      </c>
      <c r="O585" s="2">
        <f ca="1"/>
        <v>0.62649597161361892</v>
      </c>
      <c r="X585" s="2">
        <f ca="1"/>
        <v>56.054413442298284</v>
      </c>
      <c r="AG585" s="2">
        <f ca="1"/>
        <v>0.10335276518430736</v>
      </c>
      <c r="AH585" s="2" t="str">
        <f ca="1"/>
        <v>OK</v>
      </c>
    </row>
    <row r="586" spans="2:34" x14ac:dyDescent="0.2">
      <c r="B586" s="2">
        <f ca="1"/>
        <v>0.24062272300737764</v>
      </c>
      <c r="O586" s="2">
        <f ca="1"/>
        <v>-0.11396994500267883</v>
      </c>
      <c r="X586" s="2">
        <f ca="1"/>
        <v>58.333407781410884</v>
      </c>
      <c r="AG586" s="2">
        <f ca="1"/>
        <v>0.72918083779949727</v>
      </c>
      <c r="AH586" s="2" t="str">
        <f ca="1"/>
        <v>Bad</v>
      </c>
    </row>
    <row r="587" spans="2:34" x14ac:dyDescent="0.2">
      <c r="B587" s="2">
        <f ca="1"/>
        <v>0.24896794236726238</v>
      </c>
      <c r="O587" s="2">
        <f ca="1"/>
        <v>-1.864318297969205</v>
      </c>
      <c r="X587" s="2">
        <f ca="1"/>
        <v>64.54740235767494</v>
      </c>
      <c r="AG587" s="2">
        <f ca="1"/>
        <v>0.44111992800355204</v>
      </c>
      <c r="AH587" s="2" t="str">
        <f ca="1"/>
        <v>Bad</v>
      </c>
    </row>
    <row r="588" spans="2:34" x14ac:dyDescent="0.2">
      <c r="B588" s="2">
        <f ca="1"/>
        <v>0.47424018909054588</v>
      </c>
      <c r="O588" s="2">
        <f ca="1"/>
        <v>0.39930011297570256</v>
      </c>
      <c r="X588" s="2">
        <f ca="1"/>
        <v>96.696316956767419</v>
      </c>
      <c r="AG588" s="2">
        <f ca="1"/>
        <v>0.8729431010139197</v>
      </c>
      <c r="AH588" s="2" t="str">
        <f ca="1"/>
        <v>Bad</v>
      </c>
    </row>
    <row r="589" spans="2:34" x14ac:dyDescent="0.2">
      <c r="B589" s="2">
        <f ca="1"/>
        <v>8.2561592647372395E-2</v>
      </c>
      <c r="O589" s="2">
        <f ca="1"/>
        <v>0.77396924199820627</v>
      </c>
      <c r="X589" s="2">
        <f ca="1"/>
        <v>54.595732795548003</v>
      </c>
      <c r="AG589" s="2">
        <f ca="1"/>
        <v>0.84127350825060843</v>
      </c>
      <c r="AH589" s="2" t="str">
        <f ca="1"/>
        <v>Bad</v>
      </c>
    </row>
    <row r="590" spans="2:34" x14ac:dyDescent="0.2">
      <c r="B590" s="2">
        <f ca="1"/>
        <v>0.12210154808194007</v>
      </c>
      <c r="O590" s="2">
        <f ca="1"/>
        <v>-2.0011804299587266</v>
      </c>
      <c r="X590" s="2">
        <f ca="1"/>
        <v>51.433867840304671</v>
      </c>
      <c r="AG590" s="2">
        <f ca="1"/>
        <v>0.43560818202266516</v>
      </c>
      <c r="AH590" s="2" t="str">
        <f ca="1"/>
        <v>Bad</v>
      </c>
    </row>
    <row r="591" spans="2:34" x14ac:dyDescent="0.2">
      <c r="B591" s="2">
        <f ca="1"/>
        <v>4.1877729600187097E-2</v>
      </c>
      <c r="O591" s="2">
        <f ca="1"/>
        <v>1.352306189230237</v>
      </c>
      <c r="X591" s="2">
        <f ca="1"/>
        <v>42.648462433426396</v>
      </c>
      <c r="AG591" s="2">
        <f ca="1"/>
        <v>0.86699111851998323</v>
      </c>
      <c r="AH591" s="2" t="str">
        <f ca="1"/>
        <v>Bad</v>
      </c>
    </row>
    <row r="592" spans="2:34" x14ac:dyDescent="0.2">
      <c r="B592" s="2">
        <f ca="1"/>
        <v>0.9083531032600789</v>
      </c>
      <c r="O592" s="2">
        <f ca="1"/>
        <v>-0.34650074056794922</v>
      </c>
      <c r="X592" s="2">
        <f ca="1"/>
        <v>55.126743765540489</v>
      </c>
      <c r="AG592" s="2">
        <f ca="1"/>
        <v>0.2432620818528608</v>
      </c>
      <c r="AH592" s="2" t="str">
        <f ca="1"/>
        <v>OK</v>
      </c>
    </row>
    <row r="593" spans="2:34" x14ac:dyDescent="0.2">
      <c r="B593" s="2">
        <f ca="1"/>
        <v>0.28451654303302276</v>
      </c>
      <c r="O593" s="2">
        <f ca="1"/>
        <v>5.4965799889632558E-2</v>
      </c>
      <c r="X593" s="2">
        <f ca="1"/>
        <v>55.17122005975444</v>
      </c>
      <c r="AG593" s="2">
        <f ca="1"/>
        <v>0.25011422023862284</v>
      </c>
      <c r="AH593" s="2" t="str">
        <f ca="1"/>
        <v>OK</v>
      </c>
    </row>
    <row r="594" spans="2:34" x14ac:dyDescent="0.2">
      <c r="B594" s="2">
        <f ca="1"/>
        <v>0.29311446117338025</v>
      </c>
      <c r="O594" s="2">
        <f ca="1"/>
        <v>1.9645165418104382</v>
      </c>
      <c r="X594" s="2">
        <f ca="1"/>
        <v>47.161958534410822</v>
      </c>
      <c r="AG594" s="2">
        <f ca="1"/>
        <v>0.93628222518338888</v>
      </c>
      <c r="AH594" s="2" t="str">
        <f ca="1"/>
        <v>Bad</v>
      </c>
    </row>
    <row r="595" spans="2:34" x14ac:dyDescent="0.2">
      <c r="B595" s="2">
        <f ca="1"/>
        <v>0.92561225350413889</v>
      </c>
      <c r="O595" s="2">
        <f ca="1"/>
        <v>0.28691708358573004</v>
      </c>
      <c r="X595" s="2">
        <f ca="1"/>
        <v>54.207879147232262</v>
      </c>
      <c r="AG595" s="2">
        <f ca="1"/>
        <v>0.580507483335021</v>
      </c>
      <c r="AH595" s="2" t="str">
        <f ca="1"/>
        <v>Bad</v>
      </c>
    </row>
    <row r="596" spans="2:34" x14ac:dyDescent="0.2">
      <c r="B596" s="2">
        <f ca="1"/>
        <v>0.29921009015748523</v>
      </c>
      <c r="O596" s="2">
        <f ca="1"/>
        <v>1.4439739318989024</v>
      </c>
      <c r="X596" s="2">
        <f ca="1"/>
        <v>48.222618727254925</v>
      </c>
      <c r="AG596" s="2">
        <f ca="1"/>
        <v>0.21345069767830327</v>
      </c>
      <c r="AH596" s="2" t="str">
        <f ca="1"/>
        <v>OK</v>
      </c>
    </row>
    <row r="597" spans="2:34" x14ac:dyDescent="0.2">
      <c r="B597" s="2">
        <f ca="1"/>
        <v>0.30463335515279621</v>
      </c>
      <c r="O597" s="2">
        <f ca="1"/>
        <v>0.4564390159085483</v>
      </c>
      <c r="X597" s="2">
        <f ca="1"/>
        <v>52.27890303619715</v>
      </c>
      <c r="AG597" s="2">
        <f ca="1"/>
        <v>0.55051173636688988</v>
      </c>
      <c r="AH597" s="2" t="str">
        <f ca="1"/>
        <v>Bad</v>
      </c>
    </row>
    <row r="598" spans="2:34" x14ac:dyDescent="0.2">
      <c r="B598" s="2">
        <f ca="1"/>
        <v>0.37228944698088928</v>
      </c>
      <c r="O598" s="2">
        <f ca="1"/>
        <v>-0.77459260386507256</v>
      </c>
      <c r="X598" s="2">
        <f ca="1"/>
        <v>46.973986677257741</v>
      </c>
      <c r="AG598" s="2">
        <f ca="1"/>
        <v>0.58433541505613373</v>
      </c>
      <c r="AH598" s="2" t="str">
        <f ca="1"/>
        <v>Bad</v>
      </c>
    </row>
    <row r="599" spans="2:34" x14ac:dyDescent="0.2">
      <c r="B599" s="2">
        <f ca="1"/>
        <v>0.96644396512985775</v>
      </c>
      <c r="O599" s="2">
        <f ca="1"/>
        <v>4.0683680125275561E-2</v>
      </c>
      <c r="X599" s="2">
        <f ca="1"/>
        <v>60.48573352099757</v>
      </c>
      <c r="AG599" s="2">
        <f ca="1"/>
        <v>0.16575349045601673</v>
      </c>
      <c r="AH599" s="2" t="str">
        <f ca="1"/>
        <v>OK</v>
      </c>
    </row>
    <row r="600" spans="2:34" x14ac:dyDescent="0.2">
      <c r="B600" s="2">
        <f ca="1"/>
        <v>0.21202518088365507</v>
      </c>
      <c r="O600" s="2">
        <f ca="1"/>
        <v>0.70808338024467132</v>
      </c>
      <c r="X600" s="2">
        <f ca="1"/>
        <v>42.051416060196132</v>
      </c>
      <c r="AG600" s="2">
        <f ca="1"/>
        <v>0.23253762339521344</v>
      </c>
      <c r="AH600" s="2" t="str">
        <f ca="1"/>
        <v>OK</v>
      </c>
    </row>
    <row r="601" spans="2:34" x14ac:dyDescent="0.2">
      <c r="B601" s="2">
        <f ca="1"/>
        <v>0.5865124704054141</v>
      </c>
      <c r="O601" s="2">
        <f ca="1"/>
        <v>-0.18959256670551189</v>
      </c>
      <c r="X601" s="2">
        <f ca="1"/>
        <v>39.978364266685126</v>
      </c>
      <c r="AG601" s="2">
        <f ca="1"/>
        <v>0.69347332426841524</v>
      </c>
      <c r="AH601" s="2" t="str">
        <f ca="1"/>
        <v>Bad</v>
      </c>
    </row>
    <row r="602" spans="2:34" x14ac:dyDescent="0.2">
      <c r="B602" s="2">
        <f ca="1"/>
        <v>0.36707433999103212</v>
      </c>
      <c r="O602" s="2">
        <f ca="1"/>
        <v>0.50822092138424801</v>
      </c>
      <c r="X602" s="2">
        <f ca="1"/>
        <v>37.116588769610807</v>
      </c>
      <c r="AG602" s="2">
        <f ca="1"/>
        <v>9.2055727367120754E-2</v>
      </c>
      <c r="AH602" s="2" t="str">
        <f ca="1"/>
        <v>OK</v>
      </c>
    </row>
    <row r="603" spans="2:34" x14ac:dyDescent="0.2">
      <c r="B603" s="2">
        <f ca="1"/>
        <v>0.94604347943016598</v>
      </c>
      <c r="O603" s="2">
        <f ca="1"/>
        <v>1.0520664890298317</v>
      </c>
      <c r="X603" s="2">
        <f ca="1"/>
        <v>54.912675555626024</v>
      </c>
      <c r="AG603" s="2">
        <f ca="1"/>
        <v>0.97708629357584265</v>
      </c>
      <c r="AH603" s="2" t="str">
        <f ca="1"/>
        <v>Bad</v>
      </c>
    </row>
    <row r="604" spans="2:34" x14ac:dyDescent="0.2">
      <c r="B604" s="2">
        <f ca="1"/>
        <v>0.54082636609494217</v>
      </c>
      <c r="O604" s="2">
        <f ca="1"/>
        <v>-0.20719136615447112</v>
      </c>
      <c r="X604" s="2">
        <f ca="1"/>
        <v>55.822934235777993</v>
      </c>
      <c r="AG604" s="2">
        <f ca="1"/>
        <v>0.47804911018342922</v>
      </c>
      <c r="AH604" s="2" t="str">
        <f ca="1"/>
        <v>Bad</v>
      </c>
    </row>
    <row r="605" spans="2:34" x14ac:dyDescent="0.2">
      <c r="B605" s="2">
        <f ca="1"/>
        <v>0.20378608556610778</v>
      </c>
      <c r="O605" s="2">
        <f ca="1"/>
        <v>-0.3959650452449604</v>
      </c>
      <c r="X605" s="2">
        <f ca="1"/>
        <v>38.204701469976882</v>
      </c>
      <c r="AG605" s="2">
        <f ca="1"/>
        <v>0.43495876316708748</v>
      </c>
      <c r="AH605" s="2" t="str">
        <f ca="1"/>
        <v>Bad</v>
      </c>
    </row>
    <row r="606" spans="2:34" x14ac:dyDescent="0.2">
      <c r="B606" s="2">
        <f ca="1"/>
        <v>0.57514035698582666</v>
      </c>
      <c r="O606" s="2">
        <f ca="1"/>
        <v>-1.765673441982667</v>
      </c>
      <c r="X606" s="2">
        <f ca="1"/>
        <v>80.904391667238826</v>
      </c>
      <c r="AG606" s="2">
        <f ca="1"/>
        <v>9.9113489265953758E-2</v>
      </c>
      <c r="AH606" s="2" t="str">
        <f ca="1"/>
        <v>OK</v>
      </c>
    </row>
    <row r="607" spans="2:34" x14ac:dyDescent="0.2">
      <c r="B607" s="2">
        <f ca="1"/>
        <v>0.49841975294184859</v>
      </c>
      <c r="O607" s="2">
        <f ca="1"/>
        <v>-1.3122339326248262</v>
      </c>
      <c r="X607" s="2">
        <f ca="1"/>
        <v>54.215806004267876</v>
      </c>
      <c r="AG607" s="2">
        <f ca="1"/>
        <v>0.1422307920496555</v>
      </c>
      <c r="AH607" s="2" t="str">
        <f ca="1"/>
        <v>OK</v>
      </c>
    </row>
    <row r="608" spans="2:34" x14ac:dyDescent="0.2">
      <c r="B608" s="2">
        <f ca="1"/>
        <v>0.23829623497498864</v>
      </c>
      <c r="O608" s="2">
        <f ca="1"/>
        <v>0.94164108446581818</v>
      </c>
      <c r="X608" s="2">
        <f ca="1"/>
        <v>55.213073990244872</v>
      </c>
      <c r="AG608" s="2">
        <f ca="1"/>
        <v>0.6659212112880688</v>
      </c>
      <c r="AH608" s="2" t="str">
        <f ca="1"/>
        <v>Bad</v>
      </c>
    </row>
    <row r="609" spans="2:34" x14ac:dyDescent="0.2">
      <c r="B609" s="2">
        <f ca="1"/>
        <v>0.27152874333330246</v>
      </c>
      <c r="O609" s="2">
        <f ca="1"/>
        <v>-1.2080181768874325</v>
      </c>
      <c r="X609" s="2">
        <f ca="1"/>
        <v>45.625952248479031</v>
      </c>
      <c r="AG609" s="2">
        <f ca="1"/>
        <v>0.45688362933162519</v>
      </c>
      <c r="AH609" s="2" t="str">
        <f ca="1"/>
        <v>Bad</v>
      </c>
    </row>
    <row r="610" spans="2:34" x14ac:dyDescent="0.2">
      <c r="B610" s="2">
        <f ca="1"/>
        <v>0.98495088710063716</v>
      </c>
      <c r="O610" s="2">
        <f ca="1"/>
        <v>0.98015292431919621</v>
      </c>
      <c r="X610" s="2">
        <f ca="1"/>
        <v>52.889388983016808</v>
      </c>
      <c r="AG610" s="2">
        <f ca="1"/>
        <v>0.38758319456841206</v>
      </c>
      <c r="AH610" s="2" t="str">
        <f ca="1"/>
        <v>OK</v>
      </c>
    </row>
    <row r="611" spans="2:34" x14ac:dyDescent="0.2">
      <c r="B611" s="2">
        <f ca="1"/>
        <v>0.4115967347595948</v>
      </c>
      <c r="O611" s="2">
        <f ca="1"/>
        <v>1.3569252546914201</v>
      </c>
      <c r="X611" s="2">
        <f ca="1"/>
        <v>55.448288284666098</v>
      </c>
      <c r="AG611" s="2">
        <f ca="1"/>
        <v>0.90587598738658714</v>
      </c>
      <c r="AH611" s="2" t="str">
        <f ca="1"/>
        <v>Bad</v>
      </c>
    </row>
    <row r="612" spans="2:34" x14ac:dyDescent="0.2">
      <c r="B612" s="2">
        <f ca="1"/>
        <v>0.2586218532597282</v>
      </c>
      <c r="O612" s="2">
        <f ca="1"/>
        <v>-1.2028857056854849</v>
      </c>
      <c r="X612" s="2">
        <f ca="1"/>
        <v>72.136719460239874</v>
      </c>
      <c r="AG612" s="2">
        <f ca="1"/>
        <v>0.81180070808287752</v>
      </c>
      <c r="AH612" s="2" t="str">
        <f ca="1"/>
        <v>Bad</v>
      </c>
    </row>
    <row r="613" spans="2:34" x14ac:dyDescent="0.2">
      <c r="B613" s="2">
        <f ca="1"/>
        <v>0.76170788409954704</v>
      </c>
      <c r="O613" s="2">
        <f ca="1"/>
        <v>-0.25290019660759894</v>
      </c>
      <c r="X613" s="2">
        <f ca="1"/>
        <v>44.615988993223333</v>
      </c>
      <c r="AG613" s="2">
        <f ca="1"/>
        <v>0.61536216974937319</v>
      </c>
      <c r="AH613" s="2" t="str">
        <f ca="1"/>
        <v>Bad</v>
      </c>
    </row>
    <row r="614" spans="2:34" x14ac:dyDescent="0.2">
      <c r="B614" s="2">
        <f ca="1"/>
        <v>0.52105930705775583</v>
      </c>
      <c r="O614" s="2">
        <f ca="1"/>
        <v>0.76854193299032836</v>
      </c>
      <c r="X614" s="2">
        <f ca="1"/>
        <v>71.969807138177316</v>
      </c>
      <c r="AG614" s="2">
        <f ca="1"/>
        <v>0.24129212492100005</v>
      </c>
      <c r="AH614" s="2" t="str">
        <f ca="1"/>
        <v>OK</v>
      </c>
    </row>
    <row r="615" spans="2:34" x14ac:dyDescent="0.2">
      <c r="B615" s="2">
        <f ca="1"/>
        <v>0.43938803545328975</v>
      </c>
      <c r="O615" s="2">
        <f ca="1"/>
        <v>0.16338386992745083</v>
      </c>
      <c r="X615" s="2">
        <f ca="1"/>
        <v>85.800134151805949</v>
      </c>
      <c r="AG615" s="2">
        <f ca="1"/>
        <v>0.27036259274881846</v>
      </c>
      <c r="AH615" s="2" t="str">
        <f ca="1"/>
        <v>OK</v>
      </c>
    </row>
    <row r="616" spans="2:34" x14ac:dyDescent="0.2">
      <c r="B616" s="2">
        <f ca="1"/>
        <v>0.27316575926994524</v>
      </c>
      <c r="O616" s="2">
        <f ca="1"/>
        <v>1.3652337610637557</v>
      </c>
      <c r="X616" s="2">
        <f ca="1"/>
        <v>43.609081245564809</v>
      </c>
      <c r="AG616" s="2">
        <f ca="1"/>
        <v>7.5233575912842632E-2</v>
      </c>
      <c r="AH616" s="2" t="str">
        <f ca="1"/>
        <v>OK</v>
      </c>
    </row>
    <row r="617" spans="2:34" x14ac:dyDescent="0.2">
      <c r="B617" s="2">
        <f ca="1"/>
        <v>0.32459203804378167</v>
      </c>
      <c r="O617" s="2">
        <f ca="1"/>
        <v>-0.44977238899686922</v>
      </c>
      <c r="X617" s="2">
        <f ca="1"/>
        <v>49.391889145446903</v>
      </c>
      <c r="AG617" s="2">
        <f ca="1"/>
        <v>0.15102597777703575</v>
      </c>
      <c r="AH617" s="2" t="str">
        <f ca="1"/>
        <v>OK</v>
      </c>
    </row>
    <row r="618" spans="2:34" x14ac:dyDescent="0.2">
      <c r="B618" s="2">
        <f ca="1"/>
        <v>0.63935654074426296</v>
      </c>
      <c r="O618" s="2">
        <f ca="1"/>
        <v>0.24777258535154156</v>
      </c>
      <c r="X618" s="2">
        <f ca="1"/>
        <v>68.441529421069021</v>
      </c>
      <c r="AG618" s="2">
        <f ca="1"/>
        <v>3.1473671265145553E-2</v>
      </c>
      <c r="AH618" s="2" t="str">
        <f ca="1"/>
        <v>Good</v>
      </c>
    </row>
    <row r="619" spans="2:34" x14ac:dyDescent="0.2">
      <c r="B619" s="2">
        <f ca="1"/>
        <v>0.74834122116229418</v>
      </c>
      <c r="O619" s="2">
        <f ca="1"/>
        <v>0.36482697601195668</v>
      </c>
      <c r="X619" s="2">
        <f ca="1"/>
        <v>52.00517012967061</v>
      </c>
      <c r="AG619" s="2">
        <f ca="1"/>
        <v>0.13816459986884233</v>
      </c>
      <c r="AH619" s="2" t="str">
        <f ca="1"/>
        <v>OK</v>
      </c>
    </row>
    <row r="620" spans="2:34" x14ac:dyDescent="0.2">
      <c r="B620" s="2">
        <f ca="1"/>
        <v>0.21553251625364589</v>
      </c>
      <c r="O620" s="2">
        <f ca="1"/>
        <v>0.96658124308149951</v>
      </c>
      <c r="X620" s="2">
        <f ca="1"/>
        <v>65.594121896006797</v>
      </c>
      <c r="AG620" s="2">
        <f ca="1"/>
        <v>0.94514121435328891</v>
      </c>
      <c r="AH620" s="2" t="str">
        <f ca="1"/>
        <v>Bad</v>
      </c>
    </row>
    <row r="621" spans="2:34" x14ac:dyDescent="0.2">
      <c r="B621" s="2">
        <f ca="1"/>
        <v>0.97664959279149755</v>
      </c>
      <c r="O621" s="2">
        <f ca="1"/>
        <v>0.73884470697957105</v>
      </c>
      <c r="X621" s="2">
        <f ca="1"/>
        <v>59.266810204852561</v>
      </c>
      <c r="AG621" s="2">
        <f ca="1"/>
        <v>0.88536556253567067</v>
      </c>
      <c r="AH621" s="2" t="str">
        <f ca="1"/>
        <v>Bad</v>
      </c>
    </row>
    <row r="622" spans="2:34" x14ac:dyDescent="0.2">
      <c r="B622" s="2">
        <f ca="1"/>
        <v>0.98337855088994286</v>
      </c>
      <c r="O622" s="2">
        <f ca="1"/>
        <v>-0.19097510847596411</v>
      </c>
      <c r="X622" s="2">
        <f ca="1"/>
        <v>85.179269663511391</v>
      </c>
      <c r="AG622" s="2">
        <f ca="1"/>
        <v>0.75789284609252494</v>
      </c>
      <c r="AH622" s="2" t="str">
        <f ca="1"/>
        <v>Bad</v>
      </c>
    </row>
    <row r="623" spans="2:34" x14ac:dyDescent="0.2">
      <c r="B623" s="2">
        <f ca="1"/>
        <v>3.4477506970990834E-2</v>
      </c>
      <c r="O623" s="2">
        <f ca="1"/>
        <v>1.3297122252127767</v>
      </c>
      <c r="X623" s="2">
        <f ca="1"/>
        <v>39.158264259756024</v>
      </c>
      <c r="AG623" s="2">
        <f ca="1"/>
        <v>0.83335696248302393</v>
      </c>
      <c r="AH623" s="2" t="str">
        <f ca="1"/>
        <v>Bad</v>
      </c>
    </row>
    <row r="624" spans="2:34" x14ac:dyDescent="0.2">
      <c r="B624" s="2">
        <f ca="1"/>
        <v>0.59436915511211841</v>
      </c>
      <c r="O624" s="2">
        <f ca="1"/>
        <v>-1.3358902031097639</v>
      </c>
      <c r="X624" s="2">
        <f ca="1"/>
        <v>55.067032412609429</v>
      </c>
      <c r="AG624" s="2">
        <f ca="1"/>
        <v>0.54039864218057376</v>
      </c>
      <c r="AH624" s="2" t="str">
        <f ca="1"/>
        <v>Bad</v>
      </c>
    </row>
    <row r="625" spans="2:34" x14ac:dyDescent="0.2">
      <c r="B625" s="2">
        <f ca="1"/>
        <v>0.30159324279102662</v>
      </c>
      <c r="O625" s="2">
        <f ca="1"/>
        <v>1.5684284797802108</v>
      </c>
      <c r="X625" s="2">
        <f ca="1"/>
        <v>34.520614158180145</v>
      </c>
      <c r="AG625" s="2">
        <f ca="1"/>
        <v>9.5217560206102725E-2</v>
      </c>
      <c r="AH625" s="2" t="str">
        <f ca="1"/>
        <v>OK</v>
      </c>
    </row>
    <row r="626" spans="2:34" x14ac:dyDescent="0.2">
      <c r="B626" s="2">
        <f ca="1"/>
        <v>0.33751091998486737</v>
      </c>
      <c r="O626" s="2">
        <f ca="1"/>
        <v>1.4736577385494265</v>
      </c>
      <c r="X626" s="2">
        <f ca="1"/>
        <v>50.200180403764804</v>
      </c>
      <c r="AG626" s="2">
        <f ca="1"/>
        <v>0.55461087575201362</v>
      </c>
      <c r="AH626" s="2" t="str">
        <f ca="1"/>
        <v>Bad</v>
      </c>
    </row>
    <row r="627" spans="2:34" x14ac:dyDescent="0.2">
      <c r="B627" s="2">
        <f ca="1"/>
        <v>0.37778210880082508</v>
      </c>
      <c r="O627" s="2">
        <f ca="1"/>
        <v>-1.1221926652662444</v>
      </c>
      <c r="X627" s="2">
        <f ca="1"/>
        <v>49.818714535645512</v>
      </c>
      <c r="AG627" s="2">
        <f ca="1"/>
        <v>0.9582088123589243</v>
      </c>
      <c r="AH627" s="2" t="str">
        <f ca="1"/>
        <v>Bad</v>
      </c>
    </row>
    <row r="628" spans="2:34" x14ac:dyDescent="0.2">
      <c r="B628" s="2">
        <f ca="1"/>
        <v>0.62524408246840801</v>
      </c>
      <c r="O628" s="2">
        <f ca="1"/>
        <v>1.8895885518598252</v>
      </c>
      <c r="X628" s="2">
        <f ca="1"/>
        <v>53.369258732553149</v>
      </c>
      <c r="AG628" s="2">
        <f ca="1"/>
        <v>3.2823256531265166E-2</v>
      </c>
      <c r="AH628" s="2" t="str">
        <f ca="1"/>
        <v>Good</v>
      </c>
    </row>
    <row r="629" spans="2:34" x14ac:dyDescent="0.2">
      <c r="B629" s="2">
        <f ca="1"/>
        <v>0.88584759109534628</v>
      </c>
      <c r="O629" s="2">
        <f ca="1"/>
        <v>0.90617979855787434</v>
      </c>
      <c r="X629" s="2">
        <f ca="1"/>
        <v>38.257449774693079</v>
      </c>
      <c r="AG629" s="2">
        <f ca="1"/>
        <v>0.80588370562451872</v>
      </c>
      <c r="AH629" s="2" t="str">
        <f ca="1"/>
        <v>Bad</v>
      </c>
    </row>
    <row r="630" spans="2:34" x14ac:dyDescent="0.2">
      <c r="B630" s="2">
        <f ca="1"/>
        <v>0.90427331679753054</v>
      </c>
      <c r="O630" s="2">
        <f ca="1"/>
        <v>0.4561829349671952</v>
      </c>
      <c r="X630" s="2">
        <f ca="1"/>
        <v>46.946872165331456</v>
      </c>
      <c r="AG630" s="2">
        <f ca="1"/>
        <v>0.93598053986244767</v>
      </c>
      <c r="AH630" s="2" t="str">
        <f ca="1"/>
        <v>Bad</v>
      </c>
    </row>
    <row r="631" spans="2:34" x14ac:dyDescent="0.2">
      <c r="B631" s="2">
        <f ca="1"/>
        <v>3.7464073889674321E-2</v>
      </c>
      <c r="O631" s="2">
        <f ca="1"/>
        <v>0.55919411904070782</v>
      </c>
      <c r="X631" s="2">
        <f ca="1"/>
        <v>55.973694759236338</v>
      </c>
      <c r="AG631" s="2">
        <f ca="1"/>
        <v>0.95390664246843704</v>
      </c>
      <c r="AH631" s="2" t="str">
        <f ca="1"/>
        <v>Bad</v>
      </c>
    </row>
    <row r="632" spans="2:34" x14ac:dyDescent="0.2">
      <c r="B632" s="2">
        <f ca="1"/>
        <v>0.10036123330820401</v>
      </c>
      <c r="O632" s="2">
        <f ca="1"/>
        <v>0.62014161545622093</v>
      </c>
      <c r="X632" s="2">
        <f ca="1"/>
        <v>64.999674229978567</v>
      </c>
      <c r="AG632" s="2">
        <f ca="1"/>
        <v>0.68197244149902114</v>
      </c>
      <c r="AH632" s="2" t="str">
        <f ca="1"/>
        <v>Bad</v>
      </c>
    </row>
    <row r="633" spans="2:34" x14ac:dyDescent="0.2">
      <c r="B633" s="2">
        <f ca="1"/>
        <v>2.8879086380821262E-2</v>
      </c>
      <c r="O633" s="2">
        <f ca="1"/>
        <v>1.6454512470208092E-2</v>
      </c>
      <c r="X633" s="2">
        <f ca="1"/>
        <v>59.409279203149822</v>
      </c>
      <c r="AG633" s="2">
        <f ca="1"/>
        <v>0.5762082405404485</v>
      </c>
      <c r="AH633" s="2" t="str">
        <f ca="1"/>
        <v>Bad</v>
      </c>
    </row>
    <row r="634" spans="2:34" x14ac:dyDescent="0.2">
      <c r="B634" s="2">
        <f ca="1"/>
        <v>0.91646751269837212</v>
      </c>
      <c r="O634" s="2">
        <f ca="1"/>
        <v>1.9848549249154273</v>
      </c>
      <c r="X634" s="2">
        <f ca="1"/>
        <v>36.976266704955535</v>
      </c>
      <c r="AG634" s="2">
        <f ca="1"/>
        <v>0.20640454826187882</v>
      </c>
      <c r="AH634" s="2" t="str">
        <f ca="1"/>
        <v>OK</v>
      </c>
    </row>
    <row r="635" spans="2:34" x14ac:dyDescent="0.2">
      <c r="B635" s="2">
        <f ca="1"/>
        <v>0.96329265943933606</v>
      </c>
      <c r="O635" s="2">
        <f ca="1"/>
        <v>4.3961793056115465E-2</v>
      </c>
      <c r="X635" s="2">
        <f ca="1"/>
        <v>23.486589536692403</v>
      </c>
      <c r="AG635" s="2">
        <f ca="1"/>
        <v>0.32983408044847073</v>
      </c>
      <c r="AH635" s="2" t="str">
        <f ca="1"/>
        <v>OK</v>
      </c>
    </row>
    <row r="636" spans="2:34" x14ac:dyDescent="0.2">
      <c r="B636" s="2">
        <f ca="1"/>
        <v>0.83915980526849254</v>
      </c>
      <c r="O636" s="2">
        <f ca="1"/>
        <v>-0.83031117894307949</v>
      </c>
      <c r="X636" s="2">
        <f ca="1"/>
        <v>44.73492633506325</v>
      </c>
      <c r="AG636" s="2">
        <f ca="1"/>
        <v>0.27074551343624975</v>
      </c>
      <c r="AH636" s="2" t="str">
        <f ca="1"/>
        <v>OK</v>
      </c>
    </row>
    <row r="637" spans="2:34" x14ac:dyDescent="0.2">
      <c r="B637" s="2">
        <f ca="1"/>
        <v>0.33064169675222121</v>
      </c>
      <c r="O637" s="2">
        <f ca="1"/>
        <v>1.101268262407237</v>
      </c>
      <c r="X637" s="2">
        <f ca="1"/>
        <v>60.034375661360372</v>
      </c>
      <c r="AG637" s="2">
        <f ca="1"/>
        <v>0.31264587741984906</v>
      </c>
      <c r="AH637" s="2" t="str">
        <f ca="1"/>
        <v>OK</v>
      </c>
    </row>
    <row r="638" spans="2:34" x14ac:dyDescent="0.2">
      <c r="B638" s="2">
        <f ca="1"/>
        <v>0.71826261916013867</v>
      </c>
      <c r="O638" s="2">
        <f ca="1"/>
        <v>0.46264214998663605</v>
      </c>
      <c r="X638" s="2">
        <f ca="1"/>
        <v>47.847804714010003</v>
      </c>
      <c r="AG638" s="2">
        <f ca="1"/>
        <v>0.32215800376812842</v>
      </c>
      <c r="AH638" s="2" t="str">
        <f ca="1"/>
        <v>OK</v>
      </c>
    </row>
    <row r="639" spans="2:34" x14ac:dyDescent="0.2">
      <c r="B639" s="2">
        <f ca="1"/>
        <v>0.44727783185403136</v>
      </c>
      <c r="O639" s="2">
        <f ca="1"/>
        <v>0.99220187829388828</v>
      </c>
      <c r="X639" s="2">
        <f ca="1"/>
        <v>50.965823893681524</v>
      </c>
      <c r="AG639" s="2">
        <f ca="1"/>
        <v>0.3095663764329899</v>
      </c>
      <c r="AH639" s="2" t="str">
        <f ca="1"/>
        <v>OK</v>
      </c>
    </row>
    <row r="640" spans="2:34" x14ac:dyDescent="0.2">
      <c r="B640" s="2">
        <f ca="1"/>
        <v>8.5832673407296278E-2</v>
      </c>
      <c r="O640" s="2">
        <f ca="1"/>
        <v>-0.60844058820101765</v>
      </c>
      <c r="X640" s="2">
        <f ca="1"/>
        <v>33.320814969276014</v>
      </c>
      <c r="AG640" s="2">
        <f ca="1"/>
        <v>0.1214391196996365</v>
      </c>
      <c r="AH640" s="2" t="str">
        <f ca="1"/>
        <v>OK</v>
      </c>
    </row>
    <row r="641" spans="2:34" x14ac:dyDescent="0.2">
      <c r="B641" s="2">
        <f ca="1"/>
        <v>0.15872211360440813</v>
      </c>
      <c r="O641" s="2">
        <f ca="1"/>
        <v>0.89512838850593079</v>
      </c>
      <c r="X641" s="2">
        <f ca="1"/>
        <v>20.0457569774284</v>
      </c>
      <c r="AG641" s="2">
        <f ca="1"/>
        <v>6.3785549147502563E-2</v>
      </c>
      <c r="AH641" s="2" t="str">
        <f ca="1"/>
        <v>OK</v>
      </c>
    </row>
    <row r="642" spans="2:34" x14ac:dyDescent="0.2">
      <c r="B642" s="2">
        <f ca="1"/>
        <v>4.3127540465537351E-2</v>
      </c>
      <c r="O642" s="2">
        <f ca="1"/>
        <v>1.46667623783339</v>
      </c>
      <c r="X642" s="2">
        <f ca="1"/>
        <v>38.036240393525723</v>
      </c>
      <c r="AG642" s="2">
        <f ca="1"/>
        <v>0.39886976093768167</v>
      </c>
      <c r="AH642" s="2" t="str">
        <f ca="1"/>
        <v>OK</v>
      </c>
    </row>
    <row r="643" spans="2:34" x14ac:dyDescent="0.2">
      <c r="B643" s="2">
        <f ca="1"/>
        <v>0.39540665550439313</v>
      </c>
      <c r="O643" s="2">
        <f ca="1"/>
        <v>-0.39583473574071149</v>
      </c>
      <c r="X643" s="2">
        <f ca="1"/>
        <v>63.146849435722025</v>
      </c>
      <c r="AG643" s="2">
        <f ca="1"/>
        <v>0.64477756793632413</v>
      </c>
      <c r="AH643" s="2" t="str">
        <f ca="1"/>
        <v>Bad</v>
      </c>
    </row>
    <row r="644" spans="2:34" x14ac:dyDescent="0.2">
      <c r="B644" s="2">
        <f ca="1"/>
        <v>0.15586378088169117</v>
      </c>
      <c r="O644" s="2">
        <f ca="1"/>
        <v>0.43876110329602552</v>
      </c>
      <c r="X644" s="2">
        <f ca="1"/>
        <v>137.12581790015636</v>
      </c>
      <c r="AG644" s="2">
        <f ca="1"/>
        <v>0.73408201378983806</v>
      </c>
      <c r="AH644" s="2" t="str">
        <f ca="1"/>
        <v>Bad</v>
      </c>
    </row>
    <row r="645" spans="2:34" x14ac:dyDescent="0.2">
      <c r="B645" s="2">
        <f ca="1"/>
        <v>0.9893598727355204</v>
      </c>
      <c r="O645" s="2">
        <f ca="1"/>
        <v>-0.44123394813873279</v>
      </c>
      <c r="X645" s="2">
        <f ca="1"/>
        <v>52.809906281740844</v>
      </c>
      <c r="AG645" s="2">
        <f ca="1"/>
        <v>0.23515279030155334</v>
      </c>
      <c r="AH645" s="2" t="str">
        <f ca="1"/>
        <v>OK</v>
      </c>
    </row>
    <row r="646" spans="2:34" x14ac:dyDescent="0.2">
      <c r="B646" s="2">
        <f ca="1"/>
        <v>0.84269720846230611</v>
      </c>
      <c r="O646" s="2">
        <f ca="1"/>
        <v>-0.82771967073075114</v>
      </c>
      <c r="X646" s="2">
        <f ca="1"/>
        <v>35.295382318509098</v>
      </c>
      <c r="AG646" s="2">
        <f ca="1"/>
        <v>0.81254554444746652</v>
      </c>
      <c r="AH646" s="2" t="str">
        <f ca="1"/>
        <v>Bad</v>
      </c>
    </row>
    <row r="647" spans="2:34" x14ac:dyDescent="0.2">
      <c r="B647" s="2">
        <f ca="1"/>
        <v>0.34646592075913141</v>
      </c>
      <c r="O647" s="2">
        <f ca="1"/>
        <v>-1.1695531517121593</v>
      </c>
      <c r="X647" s="2">
        <f ca="1"/>
        <v>41.661088105881852</v>
      </c>
      <c r="AG647" s="2">
        <f ca="1"/>
        <v>0.19334447813286082</v>
      </c>
      <c r="AH647" s="2" t="str">
        <f ca="1"/>
        <v>OK</v>
      </c>
    </row>
    <row r="648" spans="2:34" x14ac:dyDescent="0.2">
      <c r="B648" s="2">
        <f ca="1"/>
        <v>0.78569109044338736</v>
      </c>
      <c r="O648" s="2">
        <f ca="1"/>
        <v>-1.4653672347120381</v>
      </c>
      <c r="X648" s="2">
        <f ca="1"/>
        <v>19.749728075002775</v>
      </c>
      <c r="AG648" s="2">
        <f ca="1"/>
        <v>0.27438622900068999</v>
      </c>
      <c r="AH648" s="2" t="str">
        <f ca="1"/>
        <v>OK</v>
      </c>
    </row>
    <row r="649" spans="2:34" x14ac:dyDescent="0.2">
      <c r="B649" s="2">
        <f ca="1"/>
        <v>0.85768786092384763</v>
      </c>
      <c r="O649" s="2">
        <f ca="1"/>
        <v>0.38451313703187062</v>
      </c>
      <c r="X649" s="2">
        <f ca="1"/>
        <v>47.626294364165211</v>
      </c>
      <c r="AG649" s="2">
        <f ca="1"/>
        <v>0.94425177557046802</v>
      </c>
      <c r="AH649" s="2" t="str">
        <f ca="1"/>
        <v>Bad</v>
      </c>
    </row>
    <row r="650" spans="2:34" x14ac:dyDescent="0.2">
      <c r="B650" s="2">
        <f ca="1"/>
        <v>0.74327066141661802</v>
      </c>
      <c r="O650" s="2">
        <f ca="1"/>
        <v>-1.0730946397996377</v>
      </c>
      <c r="X650" s="2">
        <f ca="1"/>
        <v>40.446052829950361</v>
      </c>
      <c r="AG650" s="2">
        <f ca="1"/>
        <v>9.6598707525580085E-2</v>
      </c>
      <c r="AH650" s="2" t="str">
        <f ca="1"/>
        <v>OK</v>
      </c>
    </row>
    <row r="651" spans="2:34" x14ac:dyDescent="0.2">
      <c r="B651" s="2">
        <f ca="1"/>
        <v>0.95915333433851435</v>
      </c>
      <c r="O651" s="2">
        <f ca="1"/>
        <v>-0.85227888976347987</v>
      </c>
      <c r="X651" s="2">
        <f ca="1"/>
        <v>40.953532226885415</v>
      </c>
      <c r="AG651" s="2">
        <f ca="1"/>
        <v>0.87995588181082751</v>
      </c>
      <c r="AH651" s="2" t="str">
        <f ca="1"/>
        <v>Bad</v>
      </c>
    </row>
    <row r="652" spans="2:34" x14ac:dyDescent="0.2">
      <c r="B652" s="2">
        <f ca="1"/>
        <v>0.36958502782676583</v>
      </c>
      <c r="O652" s="2">
        <f ca="1"/>
        <v>0.69985989698907902</v>
      </c>
      <c r="X652" s="2">
        <f ca="1"/>
        <v>51.646391613150968</v>
      </c>
      <c r="AG652" s="2">
        <f ca="1"/>
        <v>0.2774353645222889</v>
      </c>
      <c r="AH652" s="2" t="str">
        <f ca="1"/>
        <v>OK</v>
      </c>
    </row>
    <row r="653" spans="2:34" x14ac:dyDescent="0.2">
      <c r="B653" s="2">
        <f ca="1"/>
        <v>0.59690769332319293</v>
      </c>
      <c r="O653" s="2">
        <f ca="1"/>
        <v>0.32478153344370175</v>
      </c>
      <c r="X653" s="2">
        <f ca="1"/>
        <v>62.330845714686959</v>
      </c>
      <c r="AG653" s="2">
        <f ca="1"/>
        <v>0.69051476011182888</v>
      </c>
      <c r="AH653" s="2" t="str">
        <f ca="1"/>
        <v>Bad</v>
      </c>
    </row>
    <row r="654" spans="2:34" x14ac:dyDescent="0.2">
      <c r="B654" s="2">
        <f ca="1"/>
        <v>0.16839573651483208</v>
      </c>
      <c r="O654" s="2">
        <f ca="1"/>
        <v>1.6076295424081219</v>
      </c>
      <c r="X654" s="2">
        <f ca="1"/>
        <v>31.202289804654406</v>
      </c>
      <c r="AG654" s="2">
        <f ca="1"/>
        <v>0.20538484675636504</v>
      </c>
      <c r="AH654" s="2" t="str">
        <f ca="1"/>
        <v>OK</v>
      </c>
    </row>
    <row r="655" spans="2:34" x14ac:dyDescent="0.2">
      <c r="B655" s="2">
        <f ca="1"/>
        <v>0.99583938024017482</v>
      </c>
      <c r="O655" s="2">
        <f ca="1"/>
        <v>0.38545763286873008</v>
      </c>
      <c r="X655" s="2">
        <f ca="1"/>
        <v>50.338245518117766</v>
      </c>
      <c r="AG655" s="2">
        <f ca="1"/>
        <v>0.72110207852178454</v>
      </c>
      <c r="AH655" s="2" t="str">
        <f ca="1"/>
        <v>Bad</v>
      </c>
    </row>
    <row r="656" spans="2:34" x14ac:dyDescent="0.2">
      <c r="B656" s="2">
        <f ca="1"/>
        <v>0.97315928370886584</v>
      </c>
      <c r="O656" s="2">
        <f ca="1"/>
        <v>0.8162813588346719</v>
      </c>
      <c r="X656" s="2">
        <f ca="1"/>
        <v>63.346933717825927</v>
      </c>
      <c r="AG656" s="2">
        <f ca="1"/>
        <v>9.966003419652214E-2</v>
      </c>
      <c r="AH656" s="2" t="str">
        <f ca="1"/>
        <v>OK</v>
      </c>
    </row>
    <row r="657" spans="2:34" x14ac:dyDescent="0.2">
      <c r="B657" s="2">
        <f ca="1"/>
        <v>0.46137226236539286</v>
      </c>
      <c r="O657" s="2">
        <f ca="1"/>
        <v>0.22510681279424272</v>
      </c>
      <c r="X657" s="2">
        <f ca="1"/>
        <v>51.417495468229177</v>
      </c>
      <c r="AG657" s="2">
        <f ca="1"/>
        <v>0.7095126851691691</v>
      </c>
      <c r="AH657" s="2" t="str">
        <f ca="1"/>
        <v>Bad</v>
      </c>
    </row>
    <row r="658" spans="2:34" x14ac:dyDescent="0.2">
      <c r="B658" s="2">
        <f ca="1"/>
        <v>0.96372229399347464</v>
      </c>
      <c r="O658" s="2">
        <f ca="1"/>
        <v>-0.96660188728327801</v>
      </c>
      <c r="X658" s="2">
        <f ca="1"/>
        <v>62.030311426342564</v>
      </c>
      <c r="AG658" s="2">
        <f ca="1"/>
        <v>0.24766869628139832</v>
      </c>
      <c r="AH658" s="2" t="str">
        <f ca="1"/>
        <v>OK</v>
      </c>
    </row>
    <row r="659" spans="2:34" x14ac:dyDescent="0.2">
      <c r="B659" s="2">
        <f ca="1"/>
        <v>0.8707273949243497</v>
      </c>
      <c r="O659" s="2">
        <f ca="1"/>
        <v>-1.2662635625813379</v>
      </c>
      <c r="X659" s="2">
        <f ca="1"/>
        <v>98.94935873460102</v>
      </c>
      <c r="AG659" s="2">
        <f ca="1"/>
        <v>0.88521529422329803</v>
      </c>
      <c r="AH659" s="2" t="str">
        <f ca="1"/>
        <v>Bad</v>
      </c>
    </row>
    <row r="660" spans="2:34" x14ac:dyDescent="0.2">
      <c r="B660" s="2">
        <f ca="1"/>
        <v>0.55641950883495728</v>
      </c>
      <c r="O660" s="2">
        <f ca="1"/>
        <v>-0.61514971278992392</v>
      </c>
      <c r="X660" s="2">
        <f ca="1"/>
        <v>67.765108682710462</v>
      </c>
      <c r="AG660" s="2">
        <f ca="1"/>
        <v>0.40429510151611292</v>
      </c>
      <c r="AH660" s="2" t="str">
        <f ca="1"/>
        <v>Bad</v>
      </c>
    </row>
    <row r="661" spans="2:34" x14ac:dyDescent="0.2">
      <c r="B661" s="2">
        <f ca="1"/>
        <v>0.23313043637411424</v>
      </c>
      <c r="O661" s="2">
        <f ca="1"/>
        <v>-1.179170024737767</v>
      </c>
      <c r="X661" s="2">
        <f ca="1"/>
        <v>50.434219350567211</v>
      </c>
      <c r="AG661" s="2">
        <f ca="1"/>
        <v>0.83528463207456971</v>
      </c>
      <c r="AH661" s="2" t="str">
        <f ca="1"/>
        <v>Bad</v>
      </c>
    </row>
    <row r="662" spans="2:34" x14ac:dyDescent="0.2">
      <c r="B662" s="2">
        <f ca="1"/>
        <v>0.6637136431783297</v>
      </c>
      <c r="O662" s="2">
        <f ca="1"/>
        <v>-1.7363618818678179</v>
      </c>
      <c r="X662" s="2">
        <f ca="1"/>
        <v>24.034086428602048</v>
      </c>
      <c r="AG662" s="2">
        <f ca="1"/>
        <v>0.7111704307097686</v>
      </c>
      <c r="AH662" s="2" t="str">
        <f ca="1"/>
        <v>Bad</v>
      </c>
    </row>
    <row r="663" spans="2:34" x14ac:dyDescent="0.2">
      <c r="B663" s="2">
        <f ca="1"/>
        <v>0.6740091838745208</v>
      </c>
      <c r="O663" s="2">
        <f ca="1"/>
        <v>0.10965862820229945</v>
      </c>
      <c r="X663" s="2">
        <f ca="1"/>
        <v>38.677255156352729</v>
      </c>
      <c r="AG663" s="2">
        <f ca="1"/>
        <v>0.54095540007043397</v>
      </c>
      <c r="AH663" s="2" t="str">
        <f ca="1"/>
        <v>Bad</v>
      </c>
    </row>
    <row r="664" spans="2:34" x14ac:dyDescent="0.2">
      <c r="B664" s="2">
        <f ca="1"/>
        <v>0.99312550273746525</v>
      </c>
      <c r="O664" s="2">
        <f ca="1"/>
        <v>-0.14246490729137959</v>
      </c>
      <c r="X664" s="2">
        <f ca="1"/>
        <v>49.781874327950668</v>
      </c>
      <c r="AG664" s="2">
        <f ca="1"/>
        <v>0.63544549143292017</v>
      </c>
      <c r="AH664" s="2" t="str">
        <f ca="1"/>
        <v>Bad</v>
      </c>
    </row>
    <row r="665" spans="2:34" x14ac:dyDescent="0.2">
      <c r="B665" s="2">
        <f ca="1"/>
        <v>0.69897874783341729</v>
      </c>
      <c r="O665" s="2">
        <f ca="1"/>
        <v>-0.34354034477450968</v>
      </c>
      <c r="X665" s="2">
        <f ca="1"/>
        <v>35.160213910461209</v>
      </c>
      <c r="AG665" s="2">
        <f ca="1"/>
        <v>0.8715939196478828</v>
      </c>
      <c r="AH665" s="2" t="str">
        <f ca="1"/>
        <v>Bad</v>
      </c>
    </row>
    <row r="666" spans="2:34" x14ac:dyDescent="0.2">
      <c r="B666" s="2">
        <f ca="1"/>
        <v>0.68096505873182656</v>
      </c>
      <c r="O666" s="2">
        <f ca="1"/>
        <v>1.4328842209515529</v>
      </c>
      <c r="X666" s="2">
        <f ca="1"/>
        <v>38.257564935949858</v>
      </c>
      <c r="AG666" s="2">
        <f ca="1"/>
        <v>0.6978566028123776</v>
      </c>
      <c r="AH666" s="2" t="str">
        <f ca="1"/>
        <v>Bad</v>
      </c>
    </row>
    <row r="667" spans="2:34" x14ac:dyDescent="0.2">
      <c r="B667" s="2">
        <f ca="1"/>
        <v>0.22899605206597706</v>
      </c>
      <c r="O667" s="2">
        <f ca="1"/>
        <v>0.42668943996808095</v>
      </c>
      <c r="X667" s="2">
        <f ca="1"/>
        <v>69.543465158406633</v>
      </c>
      <c r="AG667" s="2">
        <f ca="1"/>
        <v>0.79556214021625338</v>
      </c>
      <c r="AH667" s="2" t="str">
        <f ca="1"/>
        <v>Bad</v>
      </c>
    </row>
    <row r="668" spans="2:34" x14ac:dyDescent="0.2">
      <c r="B668" s="2">
        <f ca="1"/>
        <v>0.19272416328373554</v>
      </c>
      <c r="O668" s="2">
        <f ca="1"/>
        <v>4.9336889141410614E-2</v>
      </c>
      <c r="X668" s="2">
        <f ca="1"/>
        <v>43.130696760254146</v>
      </c>
      <c r="AG668" s="2">
        <f ca="1"/>
        <v>0.79246659537987085</v>
      </c>
      <c r="AH668" s="2" t="str">
        <f ca="1"/>
        <v>Bad</v>
      </c>
    </row>
    <row r="669" spans="2:34" x14ac:dyDescent="0.2">
      <c r="B669" s="2">
        <f ca="1"/>
        <v>0.64436038153492814</v>
      </c>
      <c r="O669" s="2">
        <f ca="1"/>
        <v>-0.88987823017757028</v>
      </c>
      <c r="X669" s="2">
        <f ca="1"/>
        <v>49.442508077603947</v>
      </c>
      <c r="AG669" s="2">
        <f ca="1"/>
        <v>0.33568489224030063</v>
      </c>
      <c r="AH669" s="2" t="str">
        <f ca="1"/>
        <v>OK</v>
      </c>
    </row>
    <row r="670" spans="2:34" x14ac:dyDescent="0.2">
      <c r="B670" s="2">
        <f ca="1"/>
        <v>0.31686889309250654</v>
      </c>
      <c r="O670" s="2">
        <f ca="1"/>
        <v>1.0542438644591685</v>
      </c>
      <c r="X670" s="2">
        <f ca="1"/>
        <v>49.643742535474551</v>
      </c>
      <c r="AG670" s="2">
        <f ca="1"/>
        <v>0.97588664134725533</v>
      </c>
      <c r="AH670" s="2" t="str">
        <f ca="1"/>
        <v>Bad</v>
      </c>
    </row>
    <row r="671" spans="2:34" x14ac:dyDescent="0.2">
      <c r="B671" s="2">
        <f ca="1"/>
        <v>8.9976113282531855E-2</v>
      </c>
      <c r="O671" s="2">
        <f ca="1"/>
        <v>-7.6274108199333335E-2</v>
      </c>
      <c r="X671" s="2">
        <f ca="1"/>
        <v>56.944232004520082</v>
      </c>
      <c r="AG671" s="2">
        <f ca="1"/>
        <v>0.3040032914387758</v>
      </c>
      <c r="AH671" s="2" t="str">
        <f ca="1"/>
        <v>OK</v>
      </c>
    </row>
    <row r="672" spans="2:34" x14ac:dyDescent="0.2">
      <c r="B672" s="2">
        <f ca="1"/>
        <v>0.2126734340535319</v>
      </c>
      <c r="O672" s="2">
        <f ca="1"/>
        <v>-1.4357751166495833</v>
      </c>
      <c r="X672" s="2">
        <f ca="1"/>
        <v>40.442011760716554</v>
      </c>
      <c r="AG672" s="2">
        <f ca="1"/>
        <v>0.85466842949986521</v>
      </c>
      <c r="AH672" s="2" t="str">
        <f ca="1"/>
        <v>Bad</v>
      </c>
    </row>
    <row r="673" spans="2:34" x14ac:dyDescent="0.2">
      <c r="B673" s="2">
        <f ca="1"/>
        <v>0.37922674231699016</v>
      </c>
      <c r="O673" s="2">
        <f ca="1"/>
        <v>0.93140515054538908</v>
      </c>
      <c r="X673" s="2">
        <f ca="1"/>
        <v>60.029818508277955</v>
      </c>
      <c r="AG673" s="2">
        <f ca="1"/>
        <v>0.41866135648088698</v>
      </c>
      <c r="AH673" s="2" t="str">
        <f ca="1"/>
        <v>Bad</v>
      </c>
    </row>
    <row r="674" spans="2:34" x14ac:dyDescent="0.2">
      <c r="B674" s="2">
        <f ca="1"/>
        <v>0.35837913525984844</v>
      </c>
      <c r="O674" s="2">
        <f ca="1"/>
        <v>-3.7048011536478971E-2</v>
      </c>
      <c r="X674" s="2">
        <f ca="1"/>
        <v>53.077028420012184</v>
      </c>
      <c r="AG674" s="2">
        <f ca="1"/>
        <v>0.96447282479185281</v>
      </c>
      <c r="AH674" s="2" t="str">
        <f ca="1"/>
        <v>Bad</v>
      </c>
    </row>
    <row r="675" spans="2:34" x14ac:dyDescent="0.2">
      <c r="B675" s="2">
        <f ca="1"/>
        <v>0.92916337788703784</v>
      </c>
      <c r="O675" s="2">
        <f ca="1"/>
        <v>-0.39618296253863894</v>
      </c>
      <c r="X675" s="2">
        <f ca="1"/>
        <v>78.195360253081233</v>
      </c>
      <c r="AG675" s="2">
        <f ca="1"/>
        <v>3.6732541961164156E-3</v>
      </c>
      <c r="AH675" s="2" t="str">
        <f ca="1"/>
        <v>Good</v>
      </c>
    </row>
    <row r="676" spans="2:34" x14ac:dyDescent="0.2">
      <c r="B676" s="2">
        <f ca="1"/>
        <v>0.99638883607967133</v>
      </c>
      <c r="O676" s="2">
        <f ca="1"/>
        <v>-2.0736070241597724</v>
      </c>
      <c r="X676" s="2">
        <f ca="1"/>
        <v>51.604429083401506</v>
      </c>
      <c r="AG676" s="2">
        <f ca="1"/>
        <v>0.1276019512031592</v>
      </c>
      <c r="AH676" s="2" t="str">
        <f ca="1"/>
        <v>OK</v>
      </c>
    </row>
    <row r="677" spans="2:34" x14ac:dyDescent="0.2">
      <c r="B677" s="2">
        <f ca="1"/>
        <v>0.33409154227160509</v>
      </c>
      <c r="O677" s="2">
        <f ca="1"/>
        <v>0.63920389973448932</v>
      </c>
      <c r="X677" s="2">
        <f ca="1"/>
        <v>60.472078521328676</v>
      </c>
      <c r="AG677" s="2">
        <f ca="1"/>
        <v>0.56667983434815139</v>
      </c>
      <c r="AH677" s="2" t="str">
        <f ca="1"/>
        <v>Bad</v>
      </c>
    </row>
    <row r="678" spans="2:34" x14ac:dyDescent="0.2">
      <c r="B678" s="2">
        <f ca="1"/>
        <v>0.70738837728771831</v>
      </c>
      <c r="O678" s="2">
        <f ca="1"/>
        <v>-0.555407154091766</v>
      </c>
      <c r="X678" s="2">
        <f ca="1"/>
        <v>41.984693042524555</v>
      </c>
      <c r="AG678" s="2">
        <f ca="1"/>
        <v>0.52748398667861673</v>
      </c>
      <c r="AH678" s="2" t="str">
        <f ca="1"/>
        <v>Bad</v>
      </c>
    </row>
    <row r="679" spans="2:34" x14ac:dyDescent="0.2">
      <c r="B679" s="2">
        <f ca="1"/>
        <v>0.519618651047139</v>
      </c>
      <c r="O679" s="2">
        <f ca="1"/>
        <v>1.7162917470264349</v>
      </c>
      <c r="X679" s="2">
        <f ca="1"/>
        <v>61.630358584066791</v>
      </c>
      <c r="AG679" s="2">
        <f ca="1"/>
        <v>0.98902083142043162</v>
      </c>
      <c r="AH679" s="2" t="str">
        <f ca="1"/>
        <v>Bad</v>
      </c>
    </row>
    <row r="680" spans="2:34" x14ac:dyDescent="0.2">
      <c r="B680" s="2">
        <f ca="1"/>
        <v>0.50234537848929461</v>
      </c>
      <c r="O680" s="2">
        <f ca="1"/>
        <v>0.66703778789349955</v>
      </c>
      <c r="X680" s="2">
        <f ca="1"/>
        <v>54.96223531599675</v>
      </c>
      <c r="AG680" s="2">
        <f ca="1"/>
        <v>0.334203601216988</v>
      </c>
      <c r="AH680" s="2" t="str">
        <f ca="1"/>
        <v>OK</v>
      </c>
    </row>
    <row r="681" spans="2:34" x14ac:dyDescent="0.2">
      <c r="B681" s="2">
        <f ca="1"/>
        <v>0.50746797013773426</v>
      </c>
      <c r="O681" s="2">
        <f ca="1"/>
        <v>-0.64752208116211829</v>
      </c>
      <c r="X681" s="2">
        <f ca="1"/>
        <v>53.528212499608195</v>
      </c>
      <c r="AG681" s="2">
        <f ca="1"/>
        <v>0.16214524537429353</v>
      </c>
      <c r="AH681" s="2" t="str">
        <f ca="1"/>
        <v>OK</v>
      </c>
    </row>
    <row r="682" spans="2:34" x14ac:dyDescent="0.2">
      <c r="B682" s="2">
        <f ca="1"/>
        <v>0.46081159775070035</v>
      </c>
      <c r="O682" s="2">
        <f ca="1"/>
        <v>-1.6924730912953816</v>
      </c>
      <c r="X682" s="2">
        <f ca="1"/>
        <v>52.141912584742713</v>
      </c>
      <c r="AG682" s="2">
        <f ca="1"/>
        <v>0.27366079244079167</v>
      </c>
      <c r="AH682" s="2" t="str">
        <f ca="1"/>
        <v>OK</v>
      </c>
    </row>
    <row r="683" spans="2:34" x14ac:dyDescent="0.2">
      <c r="B683" s="2">
        <f ca="1"/>
        <v>8.3844498392378286E-2</v>
      </c>
      <c r="O683" s="2">
        <f ca="1"/>
        <v>2.458124784027151</v>
      </c>
      <c r="X683" s="2">
        <f ca="1"/>
        <v>25.417726983873138</v>
      </c>
      <c r="AG683" s="2">
        <f ca="1"/>
        <v>0.64894424960620434</v>
      </c>
      <c r="AH683" s="2" t="str">
        <f ca="1"/>
        <v>Bad</v>
      </c>
    </row>
    <row r="684" spans="2:34" x14ac:dyDescent="0.2">
      <c r="B684" s="2">
        <f ca="1"/>
        <v>0.68490810175526673</v>
      </c>
      <c r="O684" s="2">
        <f ca="1"/>
        <v>1.1262112556725477</v>
      </c>
      <c r="X684" s="2">
        <f ca="1"/>
        <v>33.126452833702558</v>
      </c>
      <c r="AG684" s="2">
        <f ca="1"/>
        <v>0.38953222420079103</v>
      </c>
      <c r="AH684" s="2" t="str">
        <f ca="1"/>
        <v>OK</v>
      </c>
    </row>
    <row r="685" spans="2:34" x14ac:dyDescent="0.2">
      <c r="B685" s="2">
        <f ca="1"/>
        <v>0.80454134365801866</v>
      </c>
      <c r="O685" s="2">
        <f ca="1"/>
        <v>-0.81959346637829622</v>
      </c>
      <c r="X685" s="2">
        <f ca="1"/>
        <v>44.628400454553599</v>
      </c>
      <c r="AG685" s="2">
        <f ca="1"/>
        <v>0.8631227262822736</v>
      </c>
      <c r="AH685" s="2" t="str">
        <f ca="1"/>
        <v>Bad</v>
      </c>
    </row>
    <row r="686" spans="2:34" x14ac:dyDescent="0.2">
      <c r="B686" s="2">
        <f ca="1"/>
        <v>0.39846932224670595</v>
      </c>
      <c r="O686" s="2">
        <f ca="1"/>
        <v>1.237109741532515</v>
      </c>
      <c r="X686" s="2">
        <f ca="1"/>
        <v>59.7880323814476</v>
      </c>
      <c r="AG686" s="2">
        <f ca="1"/>
        <v>0.31269320236749842</v>
      </c>
      <c r="AH686" s="2" t="str">
        <f ca="1"/>
        <v>OK</v>
      </c>
    </row>
    <row r="687" spans="2:34" x14ac:dyDescent="0.2">
      <c r="B687" s="2">
        <f ca="1"/>
        <v>3.4087019730675294E-3</v>
      </c>
      <c r="O687" s="2">
        <f ca="1"/>
        <v>1.4588775357780042</v>
      </c>
      <c r="X687" s="2">
        <f ca="1"/>
        <v>44.575510661724451</v>
      </c>
      <c r="AG687" s="2">
        <f ca="1"/>
        <v>0.25770987356342379</v>
      </c>
      <c r="AH687" s="2" t="str">
        <f ca="1"/>
        <v>OK</v>
      </c>
    </row>
    <row r="688" spans="2:34" x14ac:dyDescent="0.2">
      <c r="B688" s="2">
        <f ca="1"/>
        <v>8.9841008539650824E-2</v>
      </c>
      <c r="O688" s="2">
        <f ca="1"/>
        <v>-1.3565270906446438</v>
      </c>
      <c r="X688" s="2">
        <f ca="1"/>
        <v>58.988606471928726</v>
      </c>
      <c r="AG688" s="2">
        <f ca="1"/>
        <v>0.51279596178312281</v>
      </c>
      <c r="AH688" s="2" t="str">
        <f ca="1"/>
        <v>Bad</v>
      </c>
    </row>
    <row r="689" spans="2:34" x14ac:dyDescent="0.2">
      <c r="B689" s="2">
        <f ca="1"/>
        <v>0.96532422489015213</v>
      </c>
      <c r="O689" s="2">
        <f ca="1"/>
        <v>0.27665934649655027</v>
      </c>
      <c r="X689" s="2">
        <f ca="1"/>
        <v>50.113462674790455</v>
      </c>
      <c r="AG689" s="2">
        <f ca="1"/>
        <v>0.64732321767896916</v>
      </c>
      <c r="AH689" s="2" t="str">
        <f ca="1"/>
        <v>Bad</v>
      </c>
    </row>
    <row r="690" spans="2:34" x14ac:dyDescent="0.2">
      <c r="B690" s="2">
        <f ca="1"/>
        <v>0.33785088094626059</v>
      </c>
      <c r="O690" s="2">
        <f ca="1"/>
        <v>-1.2762364742470036</v>
      </c>
      <c r="X690" s="2">
        <f ca="1"/>
        <v>71.900112900362402</v>
      </c>
      <c r="AG690" s="2">
        <f ca="1"/>
        <v>0.79441404423790329</v>
      </c>
      <c r="AH690" s="2" t="str">
        <f ca="1"/>
        <v>Bad</v>
      </c>
    </row>
    <row r="691" spans="2:34" x14ac:dyDescent="0.2">
      <c r="B691" s="2">
        <f ca="1"/>
        <v>0.28008228230747245</v>
      </c>
      <c r="O691" s="2">
        <f ca="1"/>
        <v>-0.2525032589594885</v>
      </c>
      <c r="X691" s="2">
        <f ca="1"/>
        <v>30.150528297799344</v>
      </c>
      <c r="AG691" s="2">
        <f ca="1"/>
        <v>0.81819737540323012</v>
      </c>
      <c r="AH691" s="2" t="str">
        <f ca="1"/>
        <v>Bad</v>
      </c>
    </row>
    <row r="692" spans="2:34" x14ac:dyDescent="0.2">
      <c r="B692" s="2">
        <f ca="1"/>
        <v>0.22623596408622237</v>
      </c>
      <c r="O692" s="2">
        <f ca="1"/>
        <v>-1.058610761734937</v>
      </c>
      <c r="X692" s="2">
        <f ca="1"/>
        <v>75.131334520018086</v>
      </c>
      <c r="AG692" s="2">
        <f ca="1"/>
        <v>0.53497003791178455</v>
      </c>
      <c r="AH692" s="2" t="str">
        <f ca="1"/>
        <v>Bad</v>
      </c>
    </row>
    <row r="693" spans="2:34" x14ac:dyDescent="0.2">
      <c r="B693" s="2">
        <f ca="1"/>
        <v>0.80420153776266501</v>
      </c>
      <c r="O693" s="2">
        <f ca="1"/>
        <v>1.5278055421060406</v>
      </c>
      <c r="X693" s="2">
        <f ca="1"/>
        <v>73.408484898064955</v>
      </c>
      <c r="AG693" s="2">
        <f ca="1"/>
        <v>0.13179220748971487</v>
      </c>
      <c r="AH693" s="2" t="str">
        <f ca="1"/>
        <v>OK</v>
      </c>
    </row>
    <row r="694" spans="2:34" x14ac:dyDescent="0.2">
      <c r="B694" s="2">
        <f ca="1"/>
        <v>0.32169198142230271</v>
      </c>
      <c r="O694" s="2">
        <f ca="1"/>
        <v>2.9327267410245956</v>
      </c>
      <c r="X694" s="2">
        <f ca="1"/>
        <v>52.292323378336334</v>
      </c>
      <c r="AG694" s="2">
        <f ca="1"/>
        <v>0.75771305781882492</v>
      </c>
      <c r="AH694" s="2" t="str">
        <f ca="1"/>
        <v>Bad</v>
      </c>
    </row>
    <row r="695" spans="2:34" x14ac:dyDescent="0.2">
      <c r="B695" s="2">
        <f ca="1"/>
        <v>0.23010401511222134</v>
      </c>
      <c r="O695" s="2">
        <f ca="1"/>
        <v>0.23907804378034175</v>
      </c>
      <c r="X695" s="2">
        <f ca="1"/>
        <v>37.30129784591945</v>
      </c>
      <c r="AG695" s="2">
        <f ca="1"/>
        <v>0.13617106770767196</v>
      </c>
      <c r="AH695" s="2" t="str">
        <f ca="1"/>
        <v>OK</v>
      </c>
    </row>
    <row r="696" spans="2:34" x14ac:dyDescent="0.2">
      <c r="B696" s="2">
        <f ca="1"/>
        <v>0.87651500617031175</v>
      </c>
      <c r="O696" s="2">
        <f ca="1"/>
        <v>1.2579905166587746</v>
      </c>
      <c r="X696" s="2">
        <f ca="1"/>
        <v>45.723439177133884</v>
      </c>
      <c r="AG696" s="2">
        <f ca="1"/>
        <v>0.32152926082239142</v>
      </c>
      <c r="AH696" s="2" t="str">
        <f ca="1"/>
        <v>OK</v>
      </c>
    </row>
    <row r="697" spans="2:34" x14ac:dyDescent="0.2">
      <c r="B697" s="2">
        <f ca="1"/>
        <v>0.91754511862849886</v>
      </c>
      <c r="O697" s="2">
        <f ca="1"/>
        <v>8.8606376939893844E-2</v>
      </c>
      <c r="X697" s="2">
        <f ca="1"/>
        <v>61.373286369545227</v>
      </c>
      <c r="AG697" s="2">
        <f ca="1"/>
        <v>0.37639611941048456</v>
      </c>
      <c r="AH697" s="2" t="str">
        <f ca="1"/>
        <v>OK</v>
      </c>
    </row>
    <row r="698" spans="2:34" x14ac:dyDescent="0.2">
      <c r="B698" s="2">
        <f ca="1"/>
        <v>0.41661974388785405</v>
      </c>
      <c r="O698" s="2">
        <f ca="1"/>
        <v>0.57184278885223905</v>
      </c>
      <c r="X698" s="2">
        <f ca="1"/>
        <v>52.649292007319524</v>
      </c>
      <c r="AG698" s="2">
        <f ca="1"/>
        <v>0.68131757067558585</v>
      </c>
      <c r="AH698" s="2" t="str">
        <f ca="1"/>
        <v>Bad</v>
      </c>
    </row>
    <row r="699" spans="2:34" x14ac:dyDescent="0.2">
      <c r="B699" s="2">
        <f ca="1"/>
        <v>0.98230316837183018</v>
      </c>
      <c r="O699" s="2">
        <f ca="1"/>
        <v>7.8222038714749198E-2</v>
      </c>
      <c r="X699" s="2">
        <f ca="1"/>
        <v>38.874671037311543</v>
      </c>
      <c r="AG699" s="2">
        <f ca="1"/>
        <v>0.84442932296312434</v>
      </c>
      <c r="AH699" s="2" t="str">
        <f ca="1"/>
        <v>Bad</v>
      </c>
    </row>
    <row r="700" spans="2:34" x14ac:dyDescent="0.2">
      <c r="B700" s="2">
        <f ca="1"/>
        <v>0.90641161332426412</v>
      </c>
      <c r="O700" s="2">
        <f ca="1"/>
        <v>-1.133291634927494</v>
      </c>
      <c r="X700" s="2">
        <f ca="1"/>
        <v>38.846049197411482</v>
      </c>
      <c r="AG700" s="2">
        <f ca="1"/>
        <v>3.1242715731690573E-2</v>
      </c>
      <c r="AH700" s="2" t="str">
        <f ca="1"/>
        <v>Good</v>
      </c>
    </row>
    <row r="701" spans="2:34" x14ac:dyDescent="0.2">
      <c r="B701" s="2">
        <f ca="1"/>
        <v>0.43280547905212963</v>
      </c>
      <c r="O701" s="2">
        <f ca="1"/>
        <v>1.8866742876000095</v>
      </c>
      <c r="X701" s="2">
        <f ca="1"/>
        <v>37.966431456871646</v>
      </c>
      <c r="AG701" s="2">
        <f ca="1"/>
        <v>0.84195271165378105</v>
      </c>
      <c r="AH701" s="2" t="str">
        <f ca="1"/>
        <v>Bad</v>
      </c>
    </row>
    <row r="702" spans="2:34" x14ac:dyDescent="0.2">
      <c r="B702" s="2">
        <f ca="1"/>
        <v>0.83051713824086359</v>
      </c>
      <c r="O702" s="2">
        <f ca="1"/>
        <v>-5.585304064588268E-2</v>
      </c>
      <c r="X702" s="2">
        <f ca="1"/>
        <v>31.693742265458003</v>
      </c>
      <c r="AG702" s="2">
        <f ca="1"/>
        <v>0.64061713650035856</v>
      </c>
      <c r="AH702" s="2" t="str">
        <f ca="1"/>
        <v>Bad</v>
      </c>
    </row>
    <row r="703" spans="2:34" x14ac:dyDescent="0.2">
      <c r="B703" s="2">
        <f ca="1"/>
        <v>0.75470600547573019</v>
      </c>
      <c r="O703" s="2">
        <f ca="1"/>
        <v>-0.49778649480786347</v>
      </c>
      <c r="X703" s="2">
        <f ca="1"/>
        <v>55.177572131837984</v>
      </c>
      <c r="AG703" s="2">
        <f ca="1"/>
        <v>0.54058900708683244</v>
      </c>
      <c r="AH703" s="2" t="str">
        <f ca="1"/>
        <v>Bad</v>
      </c>
    </row>
    <row r="704" spans="2:34" x14ac:dyDescent="0.2">
      <c r="B704" s="2">
        <f ca="1"/>
        <v>0.33385875700678103</v>
      </c>
      <c r="O704" s="2">
        <f ca="1"/>
        <v>0.29789045980904638</v>
      </c>
      <c r="X704" s="2">
        <f ca="1"/>
        <v>31.426002937271079</v>
      </c>
      <c r="AG704" s="2">
        <f ca="1"/>
        <v>0.40433774613714024</v>
      </c>
      <c r="AH704" s="2" t="str">
        <f ca="1"/>
        <v>Bad</v>
      </c>
    </row>
    <row r="705" spans="2:34" x14ac:dyDescent="0.2">
      <c r="B705" s="2">
        <f ca="1"/>
        <v>0.90859969155186948</v>
      </c>
      <c r="O705" s="2">
        <f ca="1"/>
        <v>0.3337617969670113</v>
      </c>
      <c r="X705" s="2">
        <f ca="1"/>
        <v>84.257276400296377</v>
      </c>
      <c r="AG705" s="2">
        <f ca="1"/>
        <v>0.39837761432906782</v>
      </c>
      <c r="AH705" s="2" t="str">
        <f ca="1"/>
        <v>OK</v>
      </c>
    </row>
    <row r="706" spans="2:34" x14ac:dyDescent="0.2">
      <c r="B706" s="2">
        <f ca="1"/>
        <v>0.97221558671441688</v>
      </c>
      <c r="O706" s="2">
        <f ca="1"/>
        <v>-0.66790814882827187</v>
      </c>
      <c r="X706" s="2">
        <f ca="1"/>
        <v>87.141544203970568</v>
      </c>
      <c r="AG706" s="2">
        <f ca="1"/>
        <v>0.91245275792104574</v>
      </c>
      <c r="AH706" s="2" t="str">
        <f ca="1"/>
        <v>Bad</v>
      </c>
    </row>
    <row r="707" spans="2:34" x14ac:dyDescent="0.2">
      <c r="B707" s="2">
        <f ca="1"/>
        <v>0.89824592936452508</v>
      </c>
      <c r="O707" s="2">
        <f ca="1"/>
        <v>0.26815611521567639</v>
      </c>
      <c r="X707" s="2">
        <f ca="1"/>
        <v>66.587396841501786</v>
      </c>
      <c r="AG707" s="2">
        <f ca="1"/>
        <v>0.67022049195320377</v>
      </c>
      <c r="AH707" s="2" t="str">
        <f ca="1"/>
        <v>Bad</v>
      </c>
    </row>
    <row r="708" spans="2:34" x14ac:dyDescent="0.2">
      <c r="B708" s="2">
        <f ca="1"/>
        <v>0.12238378228053848</v>
      </c>
      <c r="O708" s="2">
        <f ca="1"/>
        <v>0.34694589186346497</v>
      </c>
      <c r="X708" s="2">
        <f ca="1"/>
        <v>34.842447550649439</v>
      </c>
      <c r="AG708" s="2">
        <f ca="1"/>
        <v>0.79506337296660545</v>
      </c>
      <c r="AH708" s="2" t="str">
        <f ca="1"/>
        <v>Bad</v>
      </c>
    </row>
    <row r="709" spans="2:34" x14ac:dyDescent="0.2">
      <c r="B709" s="2">
        <f ca="1"/>
        <v>0.87846100879598898</v>
      </c>
      <c r="O709" s="2">
        <f ca="1"/>
        <v>1.9329324227706681</v>
      </c>
      <c r="X709" s="2">
        <f ca="1"/>
        <v>68.49608723414616</v>
      </c>
      <c r="AG709" s="2">
        <f ca="1"/>
        <v>3.445663446965086E-2</v>
      </c>
      <c r="AH709" s="2" t="str">
        <f ca="1"/>
        <v>Good</v>
      </c>
    </row>
    <row r="710" spans="2:34" x14ac:dyDescent="0.2">
      <c r="B710" s="2">
        <f ca="1"/>
        <v>0.20651790971993611</v>
      </c>
      <c r="O710" s="2">
        <f ca="1"/>
        <v>1.1975637377013131</v>
      </c>
      <c r="X710" s="2">
        <f ca="1"/>
        <v>39.875324835554068</v>
      </c>
      <c r="AG710" s="2">
        <f ca="1"/>
        <v>0.26498494676722428</v>
      </c>
      <c r="AH710" s="2" t="str">
        <f ca="1"/>
        <v>OK</v>
      </c>
    </row>
    <row r="711" spans="2:34" x14ac:dyDescent="0.2">
      <c r="B711" s="2">
        <f ca="1"/>
        <v>0.26426788457989181</v>
      </c>
      <c r="O711" s="2">
        <f ca="1"/>
        <v>-0.59851283662958144</v>
      </c>
      <c r="X711" s="2">
        <f ca="1"/>
        <v>40.84840764619728</v>
      </c>
      <c r="AG711" s="2">
        <f ca="1"/>
        <v>0.47666918798777336</v>
      </c>
      <c r="AH711" s="2" t="str">
        <f ca="1"/>
        <v>Bad</v>
      </c>
    </row>
    <row r="712" spans="2:34" x14ac:dyDescent="0.2">
      <c r="B712" s="2">
        <f ca="1"/>
        <v>0.47011305207358078</v>
      </c>
      <c r="O712" s="2">
        <f ca="1"/>
        <v>0.56632523018956271</v>
      </c>
      <c r="X712" s="2">
        <f ca="1"/>
        <v>32.105956932522815</v>
      </c>
      <c r="AG712" s="2">
        <f ca="1"/>
        <v>4.0886875097543074E-2</v>
      </c>
      <c r="AH712" s="2" t="str">
        <f ca="1"/>
        <v>Good</v>
      </c>
    </row>
    <row r="713" spans="2:34" x14ac:dyDescent="0.2">
      <c r="B713" s="2">
        <f ca="1"/>
        <v>0.1713516132630537</v>
      </c>
      <c r="O713" s="2">
        <f ca="1"/>
        <v>2.5082083248599467</v>
      </c>
      <c r="X713" s="2">
        <f ca="1"/>
        <v>34.134286888455208</v>
      </c>
      <c r="AG713" s="2">
        <f ca="1"/>
        <v>0.28505778386820135</v>
      </c>
      <c r="AH713" s="2" t="str">
        <f ca="1"/>
        <v>OK</v>
      </c>
    </row>
    <row r="714" spans="2:34" x14ac:dyDescent="0.2">
      <c r="B714" s="2">
        <f ca="1"/>
        <v>0.17226617072040784</v>
      </c>
      <c r="O714" s="2">
        <f ca="1"/>
        <v>-0.62952511117235299</v>
      </c>
      <c r="X714" s="2">
        <f ca="1"/>
        <v>43.1643192217403</v>
      </c>
      <c r="AG714" s="2">
        <f ca="1"/>
        <v>5.0679189255601331E-2</v>
      </c>
      <c r="AH714" s="2" t="str">
        <f ca="1"/>
        <v>OK</v>
      </c>
    </row>
    <row r="715" spans="2:34" x14ac:dyDescent="0.2">
      <c r="B715" s="2">
        <f ca="1"/>
        <v>0.54221951044035466</v>
      </c>
      <c r="O715" s="2">
        <f ca="1"/>
        <v>-0.43991445671419688</v>
      </c>
      <c r="X715" s="2">
        <f ca="1"/>
        <v>46.933643261329514</v>
      </c>
      <c r="AG715" s="2">
        <f ca="1"/>
        <v>0.17207745835310639</v>
      </c>
      <c r="AH715" s="2" t="str">
        <f ca="1"/>
        <v>OK</v>
      </c>
    </row>
    <row r="716" spans="2:34" x14ac:dyDescent="0.2">
      <c r="B716" s="2">
        <f ca="1"/>
        <v>1.9319989905868029E-2</v>
      </c>
      <c r="O716" s="2">
        <f ca="1"/>
        <v>1.0901742240311127</v>
      </c>
      <c r="X716" s="2">
        <f ca="1"/>
        <v>65.102358249763384</v>
      </c>
      <c r="AG716" s="2">
        <f ca="1"/>
        <v>0.42613294265679946</v>
      </c>
      <c r="AH716" s="2" t="str">
        <f ca="1"/>
        <v>Bad</v>
      </c>
    </row>
    <row r="717" spans="2:34" x14ac:dyDescent="0.2">
      <c r="B717" s="2">
        <f ca="1"/>
        <v>1.827968866959151E-2</v>
      </c>
      <c r="O717" s="2">
        <f ca="1"/>
        <v>0.72511825575231292</v>
      </c>
      <c r="X717" s="2">
        <f ca="1"/>
        <v>48.787460549117974</v>
      </c>
      <c r="AG717" s="2">
        <f ca="1"/>
        <v>0.25352513665345877</v>
      </c>
      <c r="AH717" s="2" t="str">
        <f ca="1"/>
        <v>OK</v>
      </c>
    </row>
    <row r="718" spans="2:34" x14ac:dyDescent="0.2">
      <c r="B718" s="2">
        <f ca="1"/>
        <v>0.60910129667871193</v>
      </c>
      <c r="O718" s="2">
        <f ca="1"/>
        <v>-2.327056718823072</v>
      </c>
      <c r="X718" s="2">
        <f ca="1"/>
        <v>47.404521995745704</v>
      </c>
      <c r="AG718" s="2">
        <f ca="1"/>
        <v>0.93879884083469167</v>
      </c>
      <c r="AH718" s="2" t="str">
        <f ca="1"/>
        <v>Bad</v>
      </c>
    </row>
    <row r="719" spans="2:34" x14ac:dyDescent="0.2">
      <c r="B719" s="2">
        <f ca="1"/>
        <v>0.53199187620777133</v>
      </c>
      <c r="O719" s="2">
        <f ca="1"/>
        <v>-1.2932258111283041</v>
      </c>
      <c r="X719" s="2">
        <f ca="1"/>
        <v>38.138811589984357</v>
      </c>
      <c r="AG719" s="2">
        <f ca="1"/>
        <v>0.66247538539768214</v>
      </c>
      <c r="AH719" s="2" t="str">
        <f ca="1"/>
        <v>Bad</v>
      </c>
    </row>
    <row r="720" spans="2:34" x14ac:dyDescent="0.2">
      <c r="B720" s="2">
        <f ca="1"/>
        <v>0.87848721331853352</v>
      </c>
      <c r="O720" s="2">
        <f ca="1"/>
        <v>8.6386812279406464E-2</v>
      </c>
      <c r="X720" s="2">
        <f ca="1"/>
        <v>45.079514255784197</v>
      </c>
      <c r="AG720" s="2">
        <f ca="1"/>
        <v>0.99972403260784248</v>
      </c>
      <c r="AH720" s="2" t="str">
        <f ca="1"/>
        <v>Bad</v>
      </c>
    </row>
    <row r="721" spans="2:34" x14ac:dyDescent="0.2">
      <c r="B721" s="2">
        <f ca="1"/>
        <v>0.2115705990141441</v>
      </c>
      <c r="O721" s="2">
        <f ca="1"/>
        <v>-0.8612070904535063</v>
      </c>
      <c r="X721" s="2">
        <f ca="1"/>
        <v>53.454628001750478</v>
      </c>
      <c r="AG721" s="2">
        <f ca="1"/>
        <v>0.57521684032932607</v>
      </c>
      <c r="AH721" s="2" t="str">
        <f ca="1"/>
        <v>Bad</v>
      </c>
    </row>
    <row r="722" spans="2:34" x14ac:dyDescent="0.2">
      <c r="B722" s="2">
        <f ca="1"/>
        <v>0.63933694756807902</v>
      </c>
      <c r="O722" s="2">
        <f ca="1"/>
        <v>3.5572027098338413E-2</v>
      </c>
      <c r="X722" s="2">
        <f ca="1"/>
        <v>64.13544037514032</v>
      </c>
      <c r="AG722" s="2">
        <f ca="1"/>
        <v>0.68019277063541206</v>
      </c>
      <c r="AH722" s="2" t="str">
        <f ca="1"/>
        <v>Bad</v>
      </c>
    </row>
    <row r="723" spans="2:34" x14ac:dyDescent="0.2">
      <c r="B723" s="2">
        <f ca="1"/>
        <v>0.73323157830626018</v>
      </c>
      <c r="O723" s="2">
        <f ca="1"/>
        <v>-0.84442661781835204</v>
      </c>
      <c r="X723" s="2">
        <f ca="1"/>
        <v>49.973015984616687</v>
      </c>
      <c r="AG723" s="2">
        <f ca="1"/>
        <v>0.16905709520297552</v>
      </c>
      <c r="AH723" s="2" t="str">
        <f ca="1"/>
        <v>OK</v>
      </c>
    </row>
    <row r="724" spans="2:34" x14ac:dyDescent="0.2">
      <c r="B724" s="2">
        <f ca="1"/>
        <v>0.86916416092367044</v>
      </c>
      <c r="O724" s="2">
        <f ca="1"/>
        <v>0.70659162684588495</v>
      </c>
      <c r="X724" s="2">
        <f ca="1"/>
        <v>51.436217717703684</v>
      </c>
      <c r="AG724" s="2">
        <f ca="1"/>
        <v>9.711764847898996E-2</v>
      </c>
      <c r="AH724" s="2" t="str">
        <f ca="1"/>
        <v>OK</v>
      </c>
    </row>
    <row r="725" spans="2:34" x14ac:dyDescent="0.2">
      <c r="B725" s="2">
        <f ca="1"/>
        <v>0.76722081754072047</v>
      </c>
      <c r="O725" s="2">
        <f ca="1"/>
        <v>-0.32890275956737064</v>
      </c>
      <c r="X725" s="2">
        <f ca="1"/>
        <v>47.831776003198911</v>
      </c>
      <c r="AG725" s="2">
        <f ca="1"/>
        <v>0.72493106718733191</v>
      </c>
      <c r="AH725" s="2" t="str">
        <f ca="1"/>
        <v>Bad</v>
      </c>
    </row>
    <row r="726" spans="2:34" x14ac:dyDescent="0.2">
      <c r="B726" s="2">
        <f ca="1"/>
        <v>0.63403151163256988</v>
      </c>
      <c r="O726" s="2">
        <f ca="1"/>
        <v>-1.5612893296440797</v>
      </c>
      <c r="X726" s="2">
        <f ca="1"/>
        <v>45.033142623210423</v>
      </c>
      <c r="AG726" s="2">
        <f ca="1"/>
        <v>0.75701055762631309</v>
      </c>
      <c r="AH726" s="2" t="str">
        <f ca="1"/>
        <v>Bad</v>
      </c>
    </row>
    <row r="727" spans="2:34" x14ac:dyDescent="0.2">
      <c r="B727" s="2">
        <f ca="1"/>
        <v>0.74145572174934538</v>
      </c>
      <c r="O727" s="2">
        <f ca="1"/>
        <v>1.012011362282796</v>
      </c>
      <c r="X727" s="2">
        <f ca="1"/>
        <v>65.575387598275526</v>
      </c>
      <c r="AG727" s="2">
        <f ca="1"/>
        <v>0.56581412523651009</v>
      </c>
      <c r="AH727" s="2" t="str">
        <f ca="1"/>
        <v>Bad</v>
      </c>
    </row>
    <row r="728" spans="2:34" x14ac:dyDescent="0.2">
      <c r="B728" s="2">
        <f ca="1"/>
        <v>0.75209915646191705</v>
      </c>
      <c r="O728" s="2">
        <f ca="1"/>
        <v>-0.43889133923009843</v>
      </c>
      <c r="X728" s="2">
        <f ca="1"/>
        <v>50.060626723166983</v>
      </c>
      <c r="AG728" s="2">
        <f ca="1"/>
        <v>4.401940015423067E-2</v>
      </c>
      <c r="AH728" s="2" t="str">
        <f ca="1"/>
        <v>Good</v>
      </c>
    </row>
    <row r="729" spans="2:34" x14ac:dyDescent="0.2">
      <c r="B729" s="2">
        <f ca="1"/>
        <v>0.25483566689214832</v>
      </c>
      <c r="O729" s="2">
        <f ca="1"/>
        <v>1.7247582524916254</v>
      </c>
      <c r="X729" s="2">
        <f ca="1"/>
        <v>46.853611356380611</v>
      </c>
      <c r="AG729" s="2">
        <f ca="1"/>
        <v>9.1724402080179956E-2</v>
      </c>
      <c r="AH729" s="2" t="str">
        <f ca="1"/>
        <v>OK</v>
      </c>
    </row>
    <row r="730" spans="2:34" x14ac:dyDescent="0.2">
      <c r="B730" s="2">
        <f ca="1"/>
        <v>0.77226006271044634</v>
      </c>
      <c r="O730" s="2">
        <f ca="1"/>
        <v>0.26525447582855533</v>
      </c>
      <c r="X730" s="2">
        <f ca="1"/>
        <v>53.397210053410554</v>
      </c>
      <c r="AG730" s="2">
        <f ca="1"/>
        <v>0.70879789833501472</v>
      </c>
      <c r="AH730" s="2" t="str">
        <f ca="1"/>
        <v>Bad</v>
      </c>
    </row>
    <row r="731" spans="2:34" x14ac:dyDescent="0.2">
      <c r="B731" s="2">
        <f ca="1"/>
        <v>0.57344424066110267</v>
      </c>
      <c r="O731" s="2">
        <f ca="1"/>
        <v>-0.41515573033346936</v>
      </c>
      <c r="X731" s="2">
        <f ca="1"/>
        <v>36.677067493847971</v>
      </c>
      <c r="AG731" s="2">
        <f ca="1"/>
        <v>0.35669771324844346</v>
      </c>
      <c r="AH731" s="2" t="str">
        <f ca="1"/>
        <v>OK</v>
      </c>
    </row>
    <row r="732" spans="2:34" x14ac:dyDescent="0.2">
      <c r="B732" s="2">
        <f ca="1"/>
        <v>0.7847768217134008</v>
      </c>
      <c r="O732" s="2">
        <f ca="1"/>
        <v>-0.18588454479916597</v>
      </c>
      <c r="X732" s="2">
        <f ca="1"/>
        <v>37.60911170044357</v>
      </c>
      <c r="AG732" s="2">
        <f ca="1"/>
        <v>0.39317678323702743</v>
      </c>
      <c r="AH732" s="2" t="str">
        <f ca="1"/>
        <v>OK</v>
      </c>
    </row>
    <row r="733" spans="2:34" x14ac:dyDescent="0.2">
      <c r="B733" s="2">
        <f ca="1"/>
        <v>0.78046606875551228</v>
      </c>
      <c r="O733" s="2">
        <f ca="1"/>
        <v>-1.424188082434735</v>
      </c>
      <c r="X733" s="2">
        <f ca="1"/>
        <v>36.097624146136837</v>
      </c>
      <c r="AG733" s="2">
        <f ca="1"/>
        <v>0.26679631037123852</v>
      </c>
      <c r="AH733" s="2" t="str">
        <f ca="1"/>
        <v>OK</v>
      </c>
    </row>
    <row r="734" spans="2:34" x14ac:dyDescent="0.2">
      <c r="B734" s="2">
        <f ca="1"/>
        <v>0.89409030564954017</v>
      </c>
      <c r="O734" s="2">
        <f ca="1"/>
        <v>-0.12878056038801397</v>
      </c>
      <c r="X734" s="2">
        <f ca="1"/>
        <v>35.604016678173316</v>
      </c>
      <c r="AG734" s="2">
        <f ca="1"/>
        <v>0.82435489658675443</v>
      </c>
      <c r="AH734" s="2" t="str">
        <f ca="1"/>
        <v>Bad</v>
      </c>
    </row>
    <row r="735" spans="2:34" x14ac:dyDescent="0.2">
      <c r="B735" s="2">
        <f ca="1"/>
        <v>0.40466754512220371</v>
      </c>
      <c r="O735" s="2">
        <f ca="1"/>
        <v>1.5612384175559058</v>
      </c>
      <c r="X735" s="2">
        <f ca="1"/>
        <v>86.097152633751705</v>
      </c>
      <c r="AG735" s="2">
        <f ca="1"/>
        <v>0.77625126751055951</v>
      </c>
      <c r="AH735" s="2" t="str">
        <f ca="1"/>
        <v>Bad</v>
      </c>
    </row>
    <row r="736" spans="2:34" x14ac:dyDescent="0.2">
      <c r="B736" s="2">
        <f ca="1"/>
        <v>0.5905577584400854</v>
      </c>
      <c r="O736" s="2">
        <f ca="1"/>
        <v>0.12988058465145103</v>
      </c>
      <c r="X736" s="2">
        <f ca="1"/>
        <v>82.735186848010386</v>
      </c>
      <c r="AG736" s="2">
        <f ca="1"/>
        <v>0.68798609718370729</v>
      </c>
      <c r="AH736" s="2" t="str">
        <f ca="1"/>
        <v>Bad</v>
      </c>
    </row>
    <row r="737" spans="2:34" x14ac:dyDescent="0.2">
      <c r="B737" s="2">
        <f ca="1"/>
        <v>0.72401770636992357</v>
      </c>
      <c r="O737" s="2">
        <f ca="1"/>
        <v>-4.7594885873322501E-2</v>
      </c>
      <c r="X737" s="2">
        <f ca="1"/>
        <v>45.533455495760208</v>
      </c>
      <c r="AG737" s="2">
        <f ca="1"/>
        <v>5.618030912070493E-2</v>
      </c>
      <c r="AH737" s="2" t="str">
        <f ca="1"/>
        <v>OK</v>
      </c>
    </row>
    <row r="738" spans="2:34" x14ac:dyDescent="0.2">
      <c r="B738" s="2">
        <f ca="1"/>
        <v>0.96071920859133209</v>
      </c>
      <c r="O738" s="2">
        <f ca="1"/>
        <v>-5.1579781768171372E-2</v>
      </c>
      <c r="X738" s="2">
        <f ca="1"/>
        <v>47.218578655181361</v>
      </c>
      <c r="AG738" s="2">
        <f ca="1"/>
        <v>0.5814648519732466</v>
      </c>
      <c r="AH738" s="2" t="str">
        <f ca="1"/>
        <v>Bad</v>
      </c>
    </row>
    <row r="739" spans="2:34" x14ac:dyDescent="0.2">
      <c r="B739" s="2">
        <f ca="1"/>
        <v>6.6547998769691086E-2</v>
      </c>
      <c r="O739" s="2">
        <f ca="1"/>
        <v>9.9367461352450406E-3</v>
      </c>
      <c r="X739" s="2">
        <f ca="1"/>
        <v>35.384391704468413</v>
      </c>
      <c r="AG739" s="2">
        <f ca="1"/>
        <v>7.4898248199134931E-2</v>
      </c>
      <c r="AH739" s="2" t="str">
        <f ca="1"/>
        <v>OK</v>
      </c>
    </row>
    <row r="740" spans="2:34" x14ac:dyDescent="0.2">
      <c r="B740" s="2">
        <f ca="1"/>
        <v>5.0117845615883727E-2</v>
      </c>
      <c r="O740" s="2">
        <f ca="1"/>
        <v>-0.43786401919006496</v>
      </c>
      <c r="X740" s="2">
        <f ca="1"/>
        <v>36.222084806605622</v>
      </c>
      <c r="AG740" s="2">
        <f ca="1"/>
        <v>0.27340815380974171</v>
      </c>
      <c r="AH740" s="2" t="str">
        <f ca="1"/>
        <v>OK</v>
      </c>
    </row>
    <row r="741" spans="2:34" x14ac:dyDescent="0.2">
      <c r="B741" s="2">
        <f ca="1"/>
        <v>9.2251965761575239E-2</v>
      </c>
      <c r="O741" s="2">
        <f ca="1"/>
        <v>-9.593623683028565E-3</v>
      </c>
      <c r="X741" s="2">
        <f ca="1"/>
        <v>59.41878459349639</v>
      </c>
      <c r="AG741" s="2">
        <f ca="1"/>
        <v>0.55641818403433785</v>
      </c>
      <c r="AH741" s="2" t="str">
        <f ca="1"/>
        <v>Bad</v>
      </c>
    </row>
    <row r="742" spans="2:34" x14ac:dyDescent="0.2">
      <c r="B742" s="2">
        <f ca="1"/>
        <v>0.88287252608605482</v>
      </c>
      <c r="O742" s="2">
        <f ca="1"/>
        <v>0.26684177362805123</v>
      </c>
      <c r="X742" s="2">
        <f ca="1"/>
        <v>56.185763557189134</v>
      </c>
      <c r="AG742" s="2">
        <f ca="1"/>
        <v>0.37156840285039738</v>
      </c>
      <c r="AH742" s="2" t="str">
        <f ca="1"/>
        <v>OK</v>
      </c>
    </row>
    <row r="743" spans="2:34" x14ac:dyDescent="0.2">
      <c r="B743" s="2">
        <f ca="1"/>
        <v>5.3133907697031635E-2</v>
      </c>
      <c r="O743" s="2">
        <f ca="1"/>
        <v>0.90572891575976211</v>
      </c>
      <c r="X743" s="2">
        <f ca="1"/>
        <v>76.595477501502685</v>
      </c>
      <c r="AG743" s="2">
        <f ca="1"/>
        <v>0.60978278083585469</v>
      </c>
      <c r="AH743" s="2" t="str">
        <f ca="1"/>
        <v>Bad</v>
      </c>
    </row>
    <row r="744" spans="2:34" x14ac:dyDescent="0.2">
      <c r="B744" s="2">
        <f ca="1"/>
        <v>0.85614213129109906</v>
      </c>
      <c r="O744" s="2">
        <f ca="1"/>
        <v>0.22534703251015323</v>
      </c>
      <c r="X744" s="2">
        <f ca="1"/>
        <v>29.892134079586</v>
      </c>
      <c r="AG744" s="2">
        <f ca="1"/>
        <v>0.98839220775135184</v>
      </c>
      <c r="AH744" s="2" t="str">
        <f ca="1"/>
        <v>Bad</v>
      </c>
    </row>
    <row r="745" spans="2:34" x14ac:dyDescent="0.2">
      <c r="B745" s="2">
        <f ca="1"/>
        <v>0.50765452396289512</v>
      </c>
      <c r="O745" s="2">
        <f ca="1"/>
        <v>2.3374714069535134</v>
      </c>
      <c r="X745" s="2">
        <f ca="1"/>
        <v>47.224488141100252</v>
      </c>
      <c r="AG745" s="2">
        <f ca="1"/>
        <v>0.82197579730890991</v>
      </c>
      <c r="AH745" s="2" t="str">
        <f ca="1"/>
        <v>Bad</v>
      </c>
    </row>
    <row r="746" spans="2:34" x14ac:dyDescent="0.2">
      <c r="B746" s="2">
        <f ca="1"/>
        <v>0.31636735301632934</v>
      </c>
      <c r="O746" s="2">
        <f ca="1"/>
        <v>-0.67844939526341252</v>
      </c>
      <c r="X746" s="2">
        <f ca="1"/>
        <v>39.79604395531674</v>
      </c>
      <c r="AG746" s="2">
        <f ca="1"/>
        <v>0.60032053078471836</v>
      </c>
      <c r="AH746" s="2" t="str">
        <f ca="1"/>
        <v>Bad</v>
      </c>
    </row>
    <row r="747" spans="2:34" x14ac:dyDescent="0.2">
      <c r="B747" s="2">
        <f ca="1"/>
        <v>0.4259485527702962</v>
      </c>
      <c r="O747" s="2">
        <f ca="1"/>
        <v>-0.60049157634058281</v>
      </c>
      <c r="X747" s="2">
        <f ca="1"/>
        <v>25.09622590353414</v>
      </c>
      <c r="AG747" s="2">
        <f ca="1"/>
        <v>0.99803266396154666</v>
      </c>
      <c r="AH747" s="2" t="str">
        <f ca="1"/>
        <v>Bad</v>
      </c>
    </row>
    <row r="748" spans="2:34" x14ac:dyDescent="0.2">
      <c r="B748" s="2">
        <f ca="1"/>
        <v>0.94819802690847044</v>
      </c>
      <c r="O748" s="2">
        <f ca="1"/>
        <v>0.4957893270853142</v>
      </c>
      <c r="X748" s="2">
        <f ca="1"/>
        <v>56.137136310140853</v>
      </c>
      <c r="AG748" s="2">
        <f ca="1"/>
        <v>0.71011737450214785</v>
      </c>
      <c r="AH748" s="2" t="str">
        <f ca="1"/>
        <v>Bad</v>
      </c>
    </row>
    <row r="749" spans="2:34" x14ac:dyDescent="0.2">
      <c r="B749" s="2">
        <f ca="1"/>
        <v>0.59946453665344124</v>
      </c>
      <c r="O749" s="2">
        <f ca="1"/>
        <v>-0.79574512093692018</v>
      </c>
      <c r="X749" s="2">
        <f ca="1"/>
        <v>43.563849972656442</v>
      </c>
      <c r="AG749" s="2">
        <f ca="1"/>
        <v>0.64996323994976102</v>
      </c>
      <c r="AH749" s="2" t="str">
        <f ca="1"/>
        <v>Bad</v>
      </c>
    </row>
    <row r="750" spans="2:34" x14ac:dyDescent="0.2">
      <c r="B750" s="2">
        <f ca="1"/>
        <v>0.90607801253801856</v>
      </c>
      <c r="O750" s="2">
        <f ca="1"/>
        <v>-1.8623135713444066</v>
      </c>
      <c r="X750" s="2">
        <f ca="1"/>
        <v>49.51557789082117</v>
      </c>
      <c r="AG750" s="2">
        <f ca="1"/>
        <v>0.18083135730697353</v>
      </c>
      <c r="AH750" s="2" t="str">
        <f ca="1"/>
        <v>OK</v>
      </c>
    </row>
    <row r="751" spans="2:34" x14ac:dyDescent="0.2">
      <c r="B751" s="2">
        <f ca="1"/>
        <v>0.46552110765505117</v>
      </c>
      <c r="O751" s="2">
        <f ca="1"/>
        <v>-0.44290205059554894</v>
      </c>
      <c r="X751" s="2">
        <f ca="1"/>
        <v>31.865008059827385</v>
      </c>
      <c r="AG751" s="2">
        <f ca="1"/>
        <v>0.45981210136933948</v>
      </c>
      <c r="AH751" s="2" t="str">
        <f ca="1"/>
        <v>Bad</v>
      </c>
    </row>
    <row r="752" spans="2:34" x14ac:dyDescent="0.2">
      <c r="B752" s="2">
        <f ca="1"/>
        <v>0.36192317631575199</v>
      </c>
      <c r="O752" s="2">
        <f ca="1"/>
        <v>1.0931465259652779</v>
      </c>
      <c r="X752" s="2">
        <f ca="1"/>
        <v>40.718128607696897</v>
      </c>
      <c r="AG752" s="2">
        <f ca="1"/>
        <v>0.26050121410292149</v>
      </c>
      <c r="AH752" s="2" t="str">
        <f ca="1"/>
        <v>OK</v>
      </c>
    </row>
    <row r="753" spans="2:34" x14ac:dyDescent="0.2">
      <c r="B753" s="2">
        <f ca="1"/>
        <v>0.54894397504588377</v>
      </c>
      <c r="O753" s="2">
        <f ca="1"/>
        <v>-0.62711548208069456</v>
      </c>
      <c r="X753" s="2">
        <f ca="1"/>
        <v>34.191843412623626</v>
      </c>
      <c r="AG753" s="2">
        <f ca="1"/>
        <v>0.49168465280815932</v>
      </c>
      <c r="AH753" s="2" t="str">
        <f ca="1"/>
        <v>Bad</v>
      </c>
    </row>
    <row r="754" spans="2:34" x14ac:dyDescent="0.2">
      <c r="B754" s="2">
        <f ca="1"/>
        <v>0.59972139825933701</v>
      </c>
      <c r="O754" s="2">
        <f ca="1"/>
        <v>-0.20977843142048355</v>
      </c>
      <c r="X754" s="2">
        <f ca="1"/>
        <v>63.568035100983423</v>
      </c>
      <c r="AG754" s="2">
        <f ca="1"/>
        <v>0.66416961443196332</v>
      </c>
      <c r="AH754" s="2" t="str">
        <f ca="1"/>
        <v>Bad</v>
      </c>
    </row>
    <row r="755" spans="2:34" x14ac:dyDescent="0.2">
      <c r="B755" s="2">
        <f ca="1"/>
        <v>0.1931650647784271</v>
      </c>
      <c r="O755" s="2">
        <f ca="1"/>
        <v>0.53291330081657229</v>
      </c>
      <c r="X755" s="2">
        <f ca="1"/>
        <v>49.538906320784378</v>
      </c>
      <c r="AG755" s="2">
        <f ca="1"/>
        <v>0.97019898768014778</v>
      </c>
      <c r="AH755" s="2" t="str">
        <f ca="1"/>
        <v>Bad</v>
      </c>
    </row>
    <row r="756" spans="2:34" x14ac:dyDescent="0.2">
      <c r="B756" s="2">
        <f ca="1"/>
        <v>2.1868143496240666E-2</v>
      </c>
      <c r="O756" s="2">
        <f ca="1"/>
        <v>-1.5102105451165038</v>
      </c>
      <c r="X756" s="2">
        <f ca="1"/>
        <v>36.970914095675205</v>
      </c>
      <c r="AG756" s="2">
        <f ca="1"/>
        <v>0.4517551942104836</v>
      </c>
      <c r="AH756" s="2" t="str">
        <f ca="1"/>
        <v>Bad</v>
      </c>
    </row>
    <row r="757" spans="2:34" x14ac:dyDescent="0.2">
      <c r="B757" s="2">
        <f ca="1"/>
        <v>0.88878273125859408</v>
      </c>
      <c r="O757" s="2">
        <f ca="1"/>
        <v>0.11410504254491682</v>
      </c>
      <c r="X757" s="2">
        <f ca="1"/>
        <v>36.626339026826614</v>
      </c>
      <c r="AG757" s="2">
        <f ca="1"/>
        <v>4.6338559240215904E-2</v>
      </c>
      <c r="AH757" s="2" t="str">
        <f ca="1"/>
        <v>Good</v>
      </c>
    </row>
    <row r="758" spans="2:34" x14ac:dyDescent="0.2">
      <c r="B758" s="2">
        <f ca="1"/>
        <v>0.64667230540686194</v>
      </c>
      <c r="O758" s="2">
        <f ca="1"/>
        <v>0.93944846594828446</v>
      </c>
      <c r="X758" s="2">
        <f ca="1"/>
        <v>51.560731200375969</v>
      </c>
      <c r="AG758" s="2">
        <f ca="1"/>
        <v>6.1044839364920556E-2</v>
      </c>
      <c r="AH758" s="2" t="str">
        <f ca="1"/>
        <v>OK</v>
      </c>
    </row>
    <row r="759" spans="2:34" x14ac:dyDescent="0.2">
      <c r="B759" s="2">
        <f ca="1"/>
        <v>0.99873713837593359</v>
      </c>
      <c r="O759" s="2">
        <f ca="1"/>
        <v>1.0169193637740623</v>
      </c>
      <c r="X759" s="2">
        <f ca="1"/>
        <v>40.718523601044545</v>
      </c>
      <c r="AG759" s="2">
        <f ca="1"/>
        <v>0.49066841403612171</v>
      </c>
      <c r="AH759" s="2" t="str">
        <f ca="1"/>
        <v>Bad</v>
      </c>
    </row>
    <row r="760" spans="2:34" x14ac:dyDescent="0.2">
      <c r="B760" s="2">
        <f ca="1"/>
        <v>0.49440885647875255</v>
      </c>
      <c r="O760" s="2">
        <f ca="1"/>
        <v>0.80743757128217786</v>
      </c>
      <c r="X760" s="2">
        <f ca="1"/>
        <v>22.730079752558588</v>
      </c>
      <c r="AG760" s="2">
        <f ca="1"/>
        <v>0.81926541386309748</v>
      </c>
      <c r="AH760" s="2" t="str">
        <f ca="1"/>
        <v>Bad</v>
      </c>
    </row>
    <row r="761" spans="2:34" x14ac:dyDescent="0.2">
      <c r="B761" s="2">
        <f ca="1"/>
        <v>0.91259406828471112</v>
      </c>
      <c r="O761" s="2">
        <f ca="1"/>
        <v>-0.21660347606297403</v>
      </c>
      <c r="X761" s="2">
        <f ca="1"/>
        <v>73.414870562862845</v>
      </c>
      <c r="AG761" s="2">
        <f ca="1"/>
        <v>0.30294544829596193</v>
      </c>
      <c r="AH761" s="2" t="str">
        <f ca="1"/>
        <v>OK</v>
      </c>
    </row>
    <row r="762" spans="2:34" x14ac:dyDescent="0.2">
      <c r="B762" s="2">
        <f ca="1"/>
        <v>0.68884671511335882</v>
      </c>
      <c r="O762" s="2">
        <f ca="1"/>
        <v>-0.28633459284245216</v>
      </c>
      <c r="X762" s="2">
        <f ca="1"/>
        <v>42.466839501351004</v>
      </c>
      <c r="AG762" s="2">
        <f ca="1"/>
        <v>0.27973017665612043</v>
      </c>
      <c r="AH762" s="2" t="str">
        <f ca="1"/>
        <v>OK</v>
      </c>
    </row>
    <row r="763" spans="2:34" x14ac:dyDescent="0.2">
      <c r="B763" s="2">
        <f ca="1"/>
        <v>0.76198655295917095</v>
      </c>
      <c r="O763" s="2">
        <f ca="1"/>
        <v>-1.3349028329319004</v>
      </c>
      <c r="X763" s="2">
        <f ca="1"/>
        <v>54.944355611098423</v>
      </c>
      <c r="AG763" s="2">
        <f ca="1"/>
        <v>0.95169234050079932</v>
      </c>
      <c r="AH763" s="2" t="str">
        <f ca="1"/>
        <v>Bad</v>
      </c>
    </row>
    <row r="764" spans="2:34" x14ac:dyDescent="0.2">
      <c r="B764" s="2">
        <f ca="1"/>
        <v>0.35719071106644296</v>
      </c>
      <c r="O764" s="2">
        <f ca="1"/>
        <v>1.1155609167073257</v>
      </c>
      <c r="X764" s="2">
        <f ca="1"/>
        <v>27.056001246898038</v>
      </c>
      <c r="AG764" s="2">
        <f ca="1"/>
        <v>0.93681300242835142</v>
      </c>
      <c r="AH764" s="2" t="str">
        <f ca="1"/>
        <v>Bad</v>
      </c>
    </row>
    <row r="765" spans="2:34" x14ac:dyDescent="0.2">
      <c r="B765" s="2">
        <f ca="1"/>
        <v>0.19667025085876166</v>
      </c>
      <c r="O765" s="2">
        <f ca="1"/>
        <v>0.44071610228858665</v>
      </c>
      <c r="X765" s="2">
        <f ca="1"/>
        <v>42.87817644457931</v>
      </c>
      <c r="AG765" s="2">
        <f ca="1"/>
        <v>0.32747461799279942</v>
      </c>
      <c r="AH765" s="2" t="str">
        <f ca="1"/>
        <v>OK</v>
      </c>
    </row>
    <row r="766" spans="2:34" x14ac:dyDescent="0.2">
      <c r="B766" s="2">
        <f ca="1"/>
        <v>0.65027392454174104</v>
      </c>
      <c r="O766" s="2">
        <f ca="1"/>
        <v>0.12940508519921598</v>
      </c>
      <c r="X766" s="2">
        <f ca="1"/>
        <v>26.281161689618067</v>
      </c>
      <c r="AG766" s="2">
        <f ca="1"/>
        <v>3.8334938777639049E-2</v>
      </c>
      <c r="AH766" s="2" t="str">
        <f ca="1"/>
        <v>Good</v>
      </c>
    </row>
    <row r="767" spans="2:34" x14ac:dyDescent="0.2">
      <c r="B767" s="2">
        <f ca="1"/>
        <v>0.97652357114039456</v>
      </c>
      <c r="O767" s="2">
        <f ca="1"/>
        <v>1.3990171525620154</v>
      </c>
      <c r="X767" s="2">
        <f ca="1"/>
        <v>56.125842022231211</v>
      </c>
      <c r="AG767" s="2">
        <f ca="1"/>
        <v>0.39510896181518262</v>
      </c>
      <c r="AH767" s="2" t="str">
        <f ca="1"/>
        <v>OK</v>
      </c>
    </row>
    <row r="768" spans="2:34" x14ac:dyDescent="0.2">
      <c r="B768" s="2">
        <f ca="1"/>
        <v>0.78571874836664013</v>
      </c>
      <c r="O768" s="2">
        <f ca="1"/>
        <v>0.73242096587088268</v>
      </c>
      <c r="X768" s="2">
        <f ca="1"/>
        <v>64.436841158662574</v>
      </c>
      <c r="AG768" s="2">
        <f ca="1"/>
        <v>0.93033280130916518</v>
      </c>
      <c r="AH768" s="2" t="str">
        <f ca="1"/>
        <v>Bad</v>
      </c>
    </row>
    <row r="769" spans="2:34" x14ac:dyDescent="0.2">
      <c r="B769" s="2">
        <f ca="1"/>
        <v>0.30250640091551873</v>
      </c>
      <c r="O769" s="2">
        <f ca="1"/>
        <v>0.9512856515590884</v>
      </c>
      <c r="X769" s="2">
        <f ca="1"/>
        <v>93.136702390208256</v>
      </c>
      <c r="AG769" s="2">
        <f ca="1"/>
        <v>0.2358368994943203</v>
      </c>
      <c r="AH769" s="2" t="str">
        <f ca="1"/>
        <v>OK</v>
      </c>
    </row>
    <row r="770" spans="2:34" x14ac:dyDescent="0.2">
      <c r="B770" s="2">
        <f ca="1"/>
        <v>0.67171744646804621</v>
      </c>
      <c r="O770" s="2">
        <f ca="1"/>
        <v>8.6089757455955984E-2</v>
      </c>
      <c r="X770" s="2">
        <f ca="1"/>
        <v>43.160943276635365</v>
      </c>
      <c r="AG770" s="2">
        <f ca="1"/>
        <v>0.13608986611622242</v>
      </c>
      <c r="AH770" s="2" t="str">
        <f ca="1"/>
        <v>OK</v>
      </c>
    </row>
    <row r="771" spans="2:34" x14ac:dyDescent="0.2">
      <c r="B771" s="2">
        <f ca="1"/>
        <v>0.15215190065524209</v>
      </c>
      <c r="O771" s="2">
        <f ca="1"/>
        <v>0.54392149009664881</v>
      </c>
      <c r="X771" s="2">
        <f ca="1"/>
        <v>29.71715092427733</v>
      </c>
      <c r="AG771" s="2">
        <f ca="1"/>
        <v>0.37314143483564322</v>
      </c>
      <c r="AH771" s="2" t="str">
        <f ca="1"/>
        <v>OK</v>
      </c>
    </row>
    <row r="772" spans="2:34" x14ac:dyDescent="0.2">
      <c r="B772" s="2">
        <f ca="1"/>
        <v>0.29082161450968447</v>
      </c>
      <c r="O772" s="2">
        <f ca="1"/>
        <v>0.13061484893643693</v>
      </c>
      <c r="X772" s="2">
        <f ca="1"/>
        <v>44.891706756883814</v>
      </c>
      <c r="AG772" s="2">
        <f ca="1"/>
        <v>0.96034722304255338</v>
      </c>
      <c r="AH772" s="2" t="str">
        <f ca="1"/>
        <v>Bad</v>
      </c>
    </row>
    <row r="773" spans="2:34" x14ac:dyDescent="0.2">
      <c r="B773" s="2">
        <f ca="1"/>
        <v>0.65845487439564865</v>
      </c>
      <c r="O773" s="2">
        <f ca="1"/>
        <v>-0.87633661120493367</v>
      </c>
      <c r="X773" s="2">
        <f ca="1"/>
        <v>44.748646105439711</v>
      </c>
      <c r="AG773" s="2">
        <f ca="1"/>
        <v>0.32164819888993335</v>
      </c>
      <c r="AH773" s="2" t="str">
        <f ca="1"/>
        <v>OK</v>
      </c>
    </row>
    <row r="774" spans="2:34" x14ac:dyDescent="0.2">
      <c r="B774" s="2">
        <f ca="1"/>
        <v>0.40477512906332325</v>
      </c>
      <c r="O774" s="2">
        <f ca="1"/>
        <v>0.44740825041320487</v>
      </c>
      <c r="X774" s="2">
        <f ca="1"/>
        <v>44.970536827199467</v>
      </c>
      <c r="AG774" s="2">
        <f ca="1"/>
        <v>0.25396171979332349</v>
      </c>
      <c r="AH774" s="2" t="str">
        <f ca="1"/>
        <v>OK</v>
      </c>
    </row>
    <row r="775" spans="2:34" x14ac:dyDescent="0.2">
      <c r="B775" s="2">
        <f ca="1"/>
        <v>0.24624143879144134</v>
      </c>
      <c r="O775" s="2">
        <f ca="1"/>
        <v>0.75230183065486045</v>
      </c>
      <c r="X775" s="2">
        <f ca="1"/>
        <v>25.183848688216969</v>
      </c>
      <c r="AG775" s="2">
        <f ca="1"/>
        <v>0.84006348949099929</v>
      </c>
      <c r="AH775" s="2" t="str">
        <f ca="1"/>
        <v>Bad</v>
      </c>
    </row>
    <row r="776" spans="2:34" x14ac:dyDescent="0.2">
      <c r="B776" s="2">
        <f ca="1"/>
        <v>0.62625170090496618</v>
      </c>
      <c r="O776" s="2">
        <f ca="1"/>
        <v>-0.43416855686745537</v>
      </c>
      <c r="X776" s="2">
        <f ca="1"/>
        <v>69.704180695361103</v>
      </c>
      <c r="AG776" s="2">
        <f ca="1"/>
        <v>0.8454339551918475</v>
      </c>
      <c r="AH776" s="2" t="str">
        <f ca="1"/>
        <v>Bad</v>
      </c>
    </row>
    <row r="777" spans="2:34" x14ac:dyDescent="0.2">
      <c r="B777" s="2">
        <f ca="1"/>
        <v>0.5225556221568235</v>
      </c>
      <c r="O777" s="2">
        <f ca="1"/>
        <v>-8.1387514399247796E-2</v>
      </c>
      <c r="X777" s="2">
        <f ca="1"/>
        <v>55.670734838090901</v>
      </c>
      <c r="AG777" s="2">
        <f ca="1"/>
        <v>0.37087298790487333</v>
      </c>
      <c r="AH777" s="2" t="str">
        <f ca="1"/>
        <v>OK</v>
      </c>
    </row>
    <row r="778" spans="2:34" x14ac:dyDescent="0.2">
      <c r="B778" s="2">
        <f ca="1"/>
        <v>0.13003534410055972</v>
      </c>
      <c r="O778" s="2">
        <f ca="1"/>
        <v>-2.3998437829750525</v>
      </c>
      <c r="X778" s="2">
        <f ca="1"/>
        <v>61.156583036794309</v>
      </c>
      <c r="AG778" s="2">
        <f ca="1"/>
        <v>0.70949782742141521</v>
      </c>
      <c r="AH778" s="2" t="str">
        <f ca="1"/>
        <v>Bad</v>
      </c>
    </row>
    <row r="779" spans="2:34" x14ac:dyDescent="0.2">
      <c r="B779" s="2">
        <f ca="1"/>
        <v>0.47975803502253278</v>
      </c>
      <c r="O779" s="2">
        <f ca="1"/>
        <v>-0.96670517345104812</v>
      </c>
      <c r="X779" s="2">
        <f ca="1"/>
        <v>62.632346619152443</v>
      </c>
      <c r="AG779" s="2">
        <f ca="1"/>
        <v>0.95352949122218611</v>
      </c>
      <c r="AH779" s="2" t="str">
        <f ca="1"/>
        <v>Bad</v>
      </c>
    </row>
    <row r="780" spans="2:34" x14ac:dyDescent="0.2">
      <c r="B780" s="2">
        <f ca="1"/>
        <v>0.80788171504639172</v>
      </c>
      <c r="O780" s="2">
        <f ca="1"/>
        <v>0.26524880786601668</v>
      </c>
      <c r="X780" s="2">
        <f ca="1"/>
        <v>46.065619818863333</v>
      </c>
      <c r="AG780" s="2">
        <f ca="1"/>
        <v>0.55776320371718424</v>
      </c>
      <c r="AH780" s="2" t="str">
        <f ca="1"/>
        <v>Bad</v>
      </c>
    </row>
    <row r="781" spans="2:34" x14ac:dyDescent="0.2">
      <c r="B781" s="2">
        <f ca="1"/>
        <v>0.16597502607436687</v>
      </c>
      <c r="O781" s="2">
        <f ca="1"/>
        <v>0.90564412280025297</v>
      </c>
      <c r="X781" s="2">
        <f ca="1"/>
        <v>45.5627673970899</v>
      </c>
      <c r="AG781" s="2">
        <f ca="1"/>
        <v>0.23286871439352907</v>
      </c>
      <c r="AH781" s="2" t="str">
        <f ca="1"/>
        <v>OK</v>
      </c>
    </row>
    <row r="782" spans="2:34" x14ac:dyDescent="0.2">
      <c r="B782" s="2">
        <f ca="1"/>
        <v>0.22939061688222306</v>
      </c>
      <c r="O782" s="2">
        <f ca="1"/>
        <v>-0.89998420192119954</v>
      </c>
      <c r="X782" s="2">
        <f ca="1"/>
        <v>35.709177665089648</v>
      </c>
      <c r="AG782" s="2">
        <f ca="1"/>
        <v>0.24139449737040963</v>
      </c>
      <c r="AH782" s="2" t="str">
        <f ca="1"/>
        <v>OK</v>
      </c>
    </row>
    <row r="783" spans="2:34" x14ac:dyDescent="0.2">
      <c r="B783" s="2">
        <f ca="1"/>
        <v>0.19985059485464451</v>
      </c>
      <c r="O783" s="2">
        <f ca="1"/>
        <v>0.13572349186352098</v>
      </c>
      <c r="X783" s="2">
        <f ca="1"/>
        <v>65.459047421762492</v>
      </c>
      <c r="AG783" s="2">
        <f ca="1"/>
        <v>0.51349312351946974</v>
      </c>
      <c r="AH783" s="2" t="str">
        <f ca="1"/>
        <v>Bad</v>
      </c>
    </row>
    <row r="784" spans="2:34" x14ac:dyDescent="0.2">
      <c r="B784" s="2">
        <f ca="1"/>
        <v>0.92023827056537288</v>
      </c>
      <c r="O784" s="2">
        <f ca="1"/>
        <v>-5.0827994373664427E-2</v>
      </c>
      <c r="X784" s="2">
        <f ca="1"/>
        <v>58.968290005597304</v>
      </c>
      <c r="AG784" s="2">
        <f ca="1"/>
        <v>9.3312560083272489E-2</v>
      </c>
      <c r="AH784" s="2" t="str">
        <f ca="1"/>
        <v>OK</v>
      </c>
    </row>
    <row r="785" spans="2:34" x14ac:dyDescent="0.2">
      <c r="B785" s="2">
        <f ca="1"/>
        <v>0.92984545470393276</v>
      </c>
      <c r="O785" s="2">
        <f ca="1"/>
        <v>0.76995400390325619</v>
      </c>
      <c r="X785" s="2">
        <f ca="1"/>
        <v>35.250319948847022</v>
      </c>
      <c r="AG785" s="2">
        <f ca="1"/>
        <v>0.53391628517943301</v>
      </c>
      <c r="AH785" s="2" t="str">
        <f ca="1"/>
        <v>Bad</v>
      </c>
    </row>
    <row r="786" spans="2:34" x14ac:dyDescent="0.2">
      <c r="B786" s="2">
        <f ca="1"/>
        <v>2.5380942234700443E-2</v>
      </c>
      <c r="O786" s="2">
        <f ca="1"/>
        <v>-6.3778719495093908E-2</v>
      </c>
      <c r="X786" s="2">
        <f ca="1"/>
        <v>34.966627023822888</v>
      </c>
      <c r="AG786" s="2">
        <f ca="1"/>
        <v>0.84331023899568014</v>
      </c>
      <c r="AH786" s="2" t="str">
        <f ca="1"/>
        <v>Bad</v>
      </c>
    </row>
    <row r="787" spans="2:34" x14ac:dyDescent="0.2">
      <c r="B787" s="2">
        <f ca="1"/>
        <v>0.56233481628340498</v>
      </c>
      <c r="O787" s="2">
        <f ca="1"/>
        <v>-0.32791929783090978</v>
      </c>
      <c r="X787" s="2">
        <f ca="1"/>
        <v>51.596074382133345</v>
      </c>
      <c r="AG787" s="2">
        <f ca="1"/>
        <v>0.95241937198974624</v>
      </c>
      <c r="AH787" s="2" t="str">
        <f ca="1"/>
        <v>Bad</v>
      </c>
    </row>
    <row r="788" spans="2:34" x14ac:dyDescent="0.2">
      <c r="B788" s="2">
        <f ca="1"/>
        <v>0.51300179815483005</v>
      </c>
      <c r="O788" s="2">
        <f ca="1"/>
        <v>9.2371976722455021E-2</v>
      </c>
      <c r="X788" s="2">
        <f ca="1"/>
        <v>59.237136459799196</v>
      </c>
      <c r="AG788" s="2">
        <f ca="1"/>
        <v>0.51984531004517698</v>
      </c>
      <c r="AH788" s="2" t="str">
        <f ca="1"/>
        <v>Bad</v>
      </c>
    </row>
    <row r="789" spans="2:34" x14ac:dyDescent="0.2">
      <c r="B789" s="2">
        <f ca="1"/>
        <v>0.29952778076905573</v>
      </c>
      <c r="O789" s="2">
        <f ca="1"/>
        <v>-4.322532573593197E-2</v>
      </c>
      <c r="X789" s="2">
        <f ca="1"/>
        <v>48.357346869338038</v>
      </c>
      <c r="AG789" s="2">
        <f ca="1"/>
        <v>0.61262143833374272</v>
      </c>
      <c r="AH789" s="2" t="str">
        <f ca="1"/>
        <v>Bad</v>
      </c>
    </row>
    <row r="790" spans="2:34" x14ac:dyDescent="0.2">
      <c r="B790" s="2">
        <f ca="1"/>
        <v>0.19425471261390559</v>
      </c>
      <c r="O790" s="2">
        <f ca="1"/>
        <v>-4.8637886433526636E-2</v>
      </c>
      <c r="X790" s="2">
        <f ca="1"/>
        <v>61.028528796907686</v>
      </c>
      <c r="AG790" s="2">
        <f ca="1"/>
        <v>0.28131676685415652</v>
      </c>
      <c r="AH790" s="2" t="str">
        <f ca="1"/>
        <v>OK</v>
      </c>
    </row>
    <row r="791" spans="2:34" x14ac:dyDescent="0.2">
      <c r="B791" s="2">
        <f ca="1"/>
        <v>0.7661446262346252</v>
      </c>
      <c r="O791" s="2">
        <f ca="1"/>
        <v>-0.2463725029355093</v>
      </c>
      <c r="X791" s="2">
        <f ca="1"/>
        <v>43.793991286374442</v>
      </c>
      <c r="AG791" s="2">
        <f ca="1"/>
        <v>0.38239910306301228</v>
      </c>
      <c r="AH791" s="2" t="str">
        <f ca="1"/>
        <v>OK</v>
      </c>
    </row>
    <row r="792" spans="2:34" x14ac:dyDescent="0.2">
      <c r="B792" s="2">
        <f ca="1"/>
        <v>0.20737067143959975</v>
      </c>
      <c r="O792" s="2">
        <f ca="1"/>
        <v>1.0527491106784972</v>
      </c>
      <c r="X792" s="2">
        <f ca="1"/>
        <v>48.731044300410019</v>
      </c>
      <c r="AG792" s="2">
        <f ca="1"/>
        <v>0.49218981850067345</v>
      </c>
      <c r="AH792" s="2" t="str">
        <f ca="1"/>
        <v>Bad</v>
      </c>
    </row>
    <row r="793" spans="2:34" x14ac:dyDescent="0.2">
      <c r="B793" s="2">
        <f ca="1"/>
        <v>0.99754238611883239</v>
      </c>
      <c r="O793" s="2">
        <f ca="1"/>
        <v>0.54767615491161081</v>
      </c>
      <c r="X793" s="2">
        <f ca="1"/>
        <v>46.624241688254024</v>
      </c>
      <c r="AG793" s="2">
        <f ca="1"/>
        <v>0.81431666198418418</v>
      </c>
      <c r="AH793" s="2" t="str">
        <f ca="1"/>
        <v>Bad</v>
      </c>
    </row>
    <row r="794" spans="2:34" x14ac:dyDescent="0.2">
      <c r="B794" s="2">
        <f ca="1"/>
        <v>1.4365792074224837E-2</v>
      </c>
      <c r="O794" s="2">
        <f ca="1"/>
        <v>-0.14680251495679511</v>
      </c>
      <c r="X794" s="2">
        <f ca="1"/>
        <v>31.664932991218429</v>
      </c>
      <c r="AG794" s="2">
        <f ca="1"/>
        <v>0.74026403695021381</v>
      </c>
      <c r="AH794" s="2" t="str">
        <f ca="1"/>
        <v>Bad</v>
      </c>
    </row>
    <row r="795" spans="2:34" x14ac:dyDescent="0.2">
      <c r="B795" s="2">
        <f ca="1"/>
        <v>0.69813481754696749</v>
      </c>
      <c r="O795" s="2">
        <f ca="1"/>
        <v>0.91348186335694193</v>
      </c>
      <c r="X795" s="2">
        <f ca="1"/>
        <v>38.478144082775941</v>
      </c>
      <c r="AG795" s="2">
        <f ca="1"/>
        <v>0.94340538047937073</v>
      </c>
      <c r="AH795" s="2" t="str">
        <f ca="1"/>
        <v>Bad</v>
      </c>
    </row>
    <row r="796" spans="2:34" x14ac:dyDescent="0.2">
      <c r="B796" s="2">
        <f ca="1"/>
        <v>0.8367446386081514</v>
      </c>
      <c r="O796" s="2">
        <f ca="1"/>
        <v>0.42827490321853978</v>
      </c>
      <c r="X796" s="2">
        <f ca="1"/>
        <v>33.965409778738291</v>
      </c>
      <c r="AG796" s="2">
        <f ca="1"/>
        <v>0.35360050054514658</v>
      </c>
      <c r="AH796" s="2" t="str">
        <f ca="1"/>
        <v>OK</v>
      </c>
    </row>
    <row r="797" spans="2:34" x14ac:dyDescent="0.2">
      <c r="B797" s="2">
        <f ca="1"/>
        <v>0.18283468520666224</v>
      </c>
      <c r="O797" s="2">
        <f ca="1"/>
        <v>-0.87517665784792342</v>
      </c>
      <c r="X797" s="2">
        <f ca="1"/>
        <v>30.804679405172557</v>
      </c>
      <c r="AG797" s="2">
        <f ca="1"/>
        <v>0.82784202130507234</v>
      </c>
      <c r="AH797" s="2" t="str">
        <f ca="1"/>
        <v>Bad</v>
      </c>
    </row>
    <row r="798" spans="2:34" x14ac:dyDescent="0.2">
      <c r="B798" s="2">
        <f ca="1"/>
        <v>0.27194793096746683</v>
      </c>
      <c r="O798" s="2">
        <f ca="1"/>
        <v>0.9080691939725799</v>
      </c>
      <c r="X798" s="2">
        <f ca="1"/>
        <v>33.835607660766016</v>
      </c>
      <c r="AG798" s="2">
        <f ca="1"/>
        <v>0.19458138729040697</v>
      </c>
      <c r="AH798" s="2" t="str">
        <f ca="1"/>
        <v>OK</v>
      </c>
    </row>
    <row r="799" spans="2:34" x14ac:dyDescent="0.2">
      <c r="B799" s="2">
        <f ca="1"/>
        <v>0.87501061989963058</v>
      </c>
      <c r="O799" s="2">
        <f ca="1"/>
        <v>-0.70053306654080749</v>
      </c>
      <c r="X799" s="2">
        <f ca="1"/>
        <v>45.207395263599246</v>
      </c>
      <c r="AG799" s="2">
        <f ca="1"/>
        <v>0.50589699934736521</v>
      </c>
      <c r="AH799" s="2" t="str">
        <f ca="1"/>
        <v>Bad</v>
      </c>
    </row>
    <row r="800" spans="2:34" x14ac:dyDescent="0.2">
      <c r="B800" s="2">
        <f ca="1"/>
        <v>0.74991201555870313</v>
      </c>
      <c r="O800" s="2">
        <f ca="1"/>
        <v>-2.4430127481750135</v>
      </c>
      <c r="X800" s="2">
        <f ca="1"/>
        <v>51.61897247846818</v>
      </c>
      <c r="AG800" s="2">
        <f ca="1"/>
        <v>0.38410077516583541</v>
      </c>
      <c r="AH800" s="2" t="str">
        <f ca="1"/>
        <v>OK</v>
      </c>
    </row>
    <row r="801" spans="2:34" x14ac:dyDescent="0.2">
      <c r="B801" s="2">
        <f ca="1"/>
        <v>0.78544650491263779</v>
      </c>
      <c r="O801" s="2">
        <f ca="1"/>
        <v>-1.0967803248049535</v>
      </c>
      <c r="X801" s="2">
        <f ca="1"/>
        <v>34.899980624918712</v>
      </c>
      <c r="AG801" s="2">
        <f ca="1"/>
        <v>0.86505342148930886</v>
      </c>
      <c r="AH801" s="2" t="str">
        <f ca="1"/>
        <v>Bad</v>
      </c>
    </row>
    <row r="802" spans="2:34" x14ac:dyDescent="0.2">
      <c r="B802" s="2">
        <f ca="1"/>
        <v>0.26746015227278863</v>
      </c>
      <c r="O802" s="2">
        <f ca="1"/>
        <v>-0.4662826651072699</v>
      </c>
      <c r="X802" s="2">
        <f ca="1"/>
        <v>57.898310945827191</v>
      </c>
      <c r="AG802" s="2">
        <f ca="1"/>
        <v>0.14042502473113117</v>
      </c>
      <c r="AH802" s="2" t="str">
        <f ca="1"/>
        <v>OK</v>
      </c>
    </row>
    <row r="803" spans="2:34" x14ac:dyDescent="0.2">
      <c r="B803" s="2">
        <f ca="1"/>
        <v>0.38951006359498996</v>
      </c>
      <c r="O803" s="2">
        <f ca="1"/>
        <v>1.0313431938934627</v>
      </c>
      <c r="X803" s="2">
        <f ca="1"/>
        <v>58.390985062946434</v>
      </c>
      <c r="AG803" s="2">
        <f ca="1"/>
        <v>0.95420768053257232</v>
      </c>
      <c r="AH803" s="2" t="str">
        <f ca="1"/>
        <v>Bad</v>
      </c>
    </row>
    <row r="804" spans="2:34" x14ac:dyDescent="0.2">
      <c r="B804" s="2">
        <f ca="1"/>
        <v>0.76516117631469704</v>
      </c>
      <c r="O804" s="2">
        <f ca="1"/>
        <v>1.5059336117846145</v>
      </c>
      <c r="X804" s="2">
        <f ca="1"/>
        <v>56.767737770994543</v>
      </c>
      <c r="AG804" s="2">
        <f ca="1"/>
        <v>0.29437369912666767</v>
      </c>
      <c r="AH804" s="2" t="str">
        <f ca="1"/>
        <v>OK</v>
      </c>
    </row>
    <row r="805" spans="2:34" x14ac:dyDescent="0.2">
      <c r="B805" s="2">
        <f ca="1"/>
        <v>0.29363393693062423</v>
      </c>
      <c r="O805" s="2">
        <f ca="1"/>
        <v>-6.3646969467996153E-2</v>
      </c>
      <c r="X805" s="2">
        <f ca="1"/>
        <v>88.372648290130115</v>
      </c>
      <c r="AG805" s="2">
        <f ca="1"/>
        <v>0.39169415387208639</v>
      </c>
      <c r="AH805" s="2" t="str">
        <f ca="1"/>
        <v>OK</v>
      </c>
    </row>
    <row r="806" spans="2:34" x14ac:dyDescent="0.2">
      <c r="B806" s="2">
        <f ca="1"/>
        <v>0.66851254554719586</v>
      </c>
      <c r="O806" s="2">
        <f ca="1"/>
        <v>0.54459181870963458</v>
      </c>
      <c r="X806" s="2">
        <f ca="1"/>
        <v>45.498894447057914</v>
      </c>
      <c r="AG806" s="2">
        <f ca="1"/>
        <v>0.74830628736899873</v>
      </c>
      <c r="AH806" s="2" t="str">
        <f ca="1"/>
        <v>Bad</v>
      </c>
    </row>
    <row r="807" spans="2:34" x14ac:dyDescent="0.2">
      <c r="B807" s="2">
        <f ca="1"/>
        <v>0.6616313791044266</v>
      </c>
      <c r="O807" s="2">
        <f ca="1"/>
        <v>2.7391678556785138E-2</v>
      </c>
      <c r="X807" s="2">
        <f ca="1"/>
        <v>37.286602481468194</v>
      </c>
      <c r="AG807" s="2">
        <f ca="1"/>
        <v>0.17871782817953008</v>
      </c>
      <c r="AH807" s="2" t="str">
        <f ca="1"/>
        <v>OK</v>
      </c>
    </row>
    <row r="808" spans="2:34" x14ac:dyDescent="0.2">
      <c r="B808" s="2">
        <f ca="1"/>
        <v>0.98762782614051137</v>
      </c>
      <c r="O808" s="2">
        <f ca="1"/>
        <v>0.8205912466987525</v>
      </c>
      <c r="X808" s="2">
        <f ca="1"/>
        <v>55.257372782771633</v>
      </c>
      <c r="AG808" s="2">
        <f ca="1"/>
        <v>0.62432494768832525</v>
      </c>
      <c r="AH808" s="2" t="str">
        <f ca="1"/>
        <v>Bad</v>
      </c>
    </row>
    <row r="809" spans="2:34" x14ac:dyDescent="0.2">
      <c r="B809" s="2">
        <f ca="1"/>
        <v>0.86506473794588068</v>
      </c>
      <c r="O809" s="2">
        <f ca="1"/>
        <v>-0.82743571368217839</v>
      </c>
      <c r="X809" s="2">
        <f ca="1"/>
        <v>55.965708991126569</v>
      </c>
      <c r="AG809" s="2">
        <f ca="1"/>
        <v>0.26693312020832383</v>
      </c>
      <c r="AH809" s="2" t="str">
        <f ca="1"/>
        <v>OK</v>
      </c>
    </row>
    <row r="810" spans="2:34" x14ac:dyDescent="0.2">
      <c r="B810" s="2">
        <f ca="1"/>
        <v>0.28550117798704133</v>
      </c>
      <c r="O810" s="2">
        <f ca="1"/>
        <v>0.85020987789033031</v>
      </c>
      <c r="X810" s="2">
        <f ca="1"/>
        <v>44.06821591636713</v>
      </c>
      <c r="AG810" s="2">
        <f ca="1"/>
        <v>0.72807425749018928</v>
      </c>
      <c r="AH810" s="2" t="str">
        <f ca="1"/>
        <v>Bad</v>
      </c>
    </row>
    <row r="811" spans="2:34" x14ac:dyDescent="0.2">
      <c r="B811" s="2">
        <f ca="1"/>
        <v>0.77642780504821873</v>
      </c>
      <c r="O811" s="2">
        <f ca="1"/>
        <v>0.8495752795272874</v>
      </c>
      <c r="X811" s="2">
        <f ca="1"/>
        <v>54.207200925895989</v>
      </c>
      <c r="AG811" s="2">
        <f ca="1"/>
        <v>0.4609838933237036</v>
      </c>
      <c r="AH811" s="2" t="str">
        <f ca="1"/>
        <v>Bad</v>
      </c>
    </row>
    <row r="812" spans="2:34" x14ac:dyDescent="0.2">
      <c r="B812" s="2">
        <f ca="1"/>
        <v>4.4396873006927073E-2</v>
      </c>
      <c r="O812" s="2">
        <f ca="1"/>
        <v>0.4970804938475083</v>
      </c>
      <c r="X812" s="2">
        <f ca="1"/>
        <v>47.766760996119253</v>
      </c>
      <c r="AG812" s="2">
        <f ca="1"/>
        <v>0.18533046242283358</v>
      </c>
      <c r="AH812" s="2" t="str">
        <f ca="1"/>
        <v>OK</v>
      </c>
    </row>
    <row r="813" spans="2:34" x14ac:dyDescent="0.2">
      <c r="B813" s="2">
        <f ca="1"/>
        <v>0.20247454661741071</v>
      </c>
      <c r="O813" s="2">
        <f ca="1"/>
        <v>-1.2992063669324185</v>
      </c>
      <c r="X813" s="2">
        <f ca="1"/>
        <v>56.406883157533954</v>
      </c>
      <c r="AG813" s="2">
        <f ca="1"/>
        <v>0.80205683396361804</v>
      </c>
      <c r="AH813" s="2" t="str">
        <f ca="1"/>
        <v>Bad</v>
      </c>
    </row>
    <row r="814" spans="2:34" x14ac:dyDescent="0.2">
      <c r="B814" s="2">
        <f ca="1"/>
        <v>0.48031958027520649</v>
      </c>
      <c r="O814" s="2">
        <f ca="1"/>
        <v>1.501716612719006</v>
      </c>
      <c r="X814" s="2">
        <f ca="1"/>
        <v>24.273743975964312</v>
      </c>
      <c r="AG814" s="2">
        <f ca="1"/>
        <v>0.21091361572768097</v>
      </c>
      <c r="AH814" s="2" t="str">
        <f ca="1"/>
        <v>OK</v>
      </c>
    </row>
    <row r="815" spans="2:34" x14ac:dyDescent="0.2">
      <c r="B815" s="2">
        <f ca="1"/>
        <v>0.60171349249937589</v>
      </c>
      <c r="O815" s="2">
        <f ca="1"/>
        <v>0.20633258424164655</v>
      </c>
      <c r="X815" s="2">
        <f ca="1"/>
        <v>58.772728441219201</v>
      </c>
      <c r="AG815" s="2">
        <f ca="1"/>
        <v>0.47936858495732593</v>
      </c>
      <c r="AH815" s="2" t="str">
        <f ca="1"/>
        <v>Bad</v>
      </c>
    </row>
    <row r="816" spans="2:34" x14ac:dyDescent="0.2">
      <c r="B816" s="2">
        <f ca="1"/>
        <v>0.53678895761899992</v>
      </c>
      <c r="O816" s="2">
        <f ca="1"/>
        <v>1.0114435475898027</v>
      </c>
      <c r="X816" s="2">
        <f ca="1"/>
        <v>62.715437724386447</v>
      </c>
      <c r="AG816" s="2">
        <f ca="1"/>
        <v>2.8209917393281492E-2</v>
      </c>
      <c r="AH816" s="2" t="str">
        <f ca="1"/>
        <v>Good</v>
      </c>
    </row>
    <row r="817" spans="2:34" x14ac:dyDescent="0.2">
      <c r="B817" s="2">
        <f ca="1"/>
        <v>0.12114709269591684</v>
      </c>
      <c r="O817" s="2">
        <f ca="1"/>
        <v>1.4433323130668279</v>
      </c>
      <c r="X817" s="2">
        <f ca="1"/>
        <v>48.37037000027847</v>
      </c>
      <c r="AG817" s="2">
        <f ca="1"/>
        <v>4.8633679309482813E-2</v>
      </c>
      <c r="AH817" s="2" t="str">
        <f ca="1"/>
        <v>Good</v>
      </c>
    </row>
    <row r="818" spans="2:34" x14ac:dyDescent="0.2">
      <c r="B818" s="2">
        <f ca="1"/>
        <v>0.78658753986807239</v>
      </c>
      <c r="O818" s="2">
        <f ca="1"/>
        <v>0.18868284249160389</v>
      </c>
      <c r="X818" s="2">
        <f ca="1"/>
        <v>53.110908138166408</v>
      </c>
      <c r="AG818" s="2">
        <f ca="1"/>
        <v>0.74786356621377004</v>
      </c>
      <c r="AH818" s="2" t="str">
        <f ca="1"/>
        <v>Bad</v>
      </c>
    </row>
    <row r="819" spans="2:34" x14ac:dyDescent="0.2">
      <c r="B819" s="2">
        <f ca="1"/>
        <v>0.970038301547548</v>
      </c>
      <c r="O819" s="2">
        <f ca="1"/>
        <v>0.53459194953259603</v>
      </c>
      <c r="X819" s="2">
        <f ca="1"/>
        <v>48.266423041712237</v>
      </c>
      <c r="AG819" s="2">
        <f ca="1"/>
        <v>5.2106466132830542E-2</v>
      </c>
      <c r="AH819" s="2" t="str">
        <f ca="1"/>
        <v>OK</v>
      </c>
    </row>
    <row r="820" spans="2:34" x14ac:dyDescent="0.2">
      <c r="B820" s="2">
        <f ca="1"/>
        <v>0.24229903491839799</v>
      </c>
      <c r="O820" s="2">
        <f ca="1"/>
        <v>-0.44923669937021332</v>
      </c>
      <c r="X820" s="2">
        <f ca="1"/>
        <v>67.856114307738494</v>
      </c>
      <c r="AG820" s="2">
        <f ca="1"/>
        <v>0.19552282671501731</v>
      </c>
      <c r="AH820" s="2" t="str">
        <f ca="1"/>
        <v>OK</v>
      </c>
    </row>
    <row r="821" spans="2:34" x14ac:dyDescent="0.2">
      <c r="B821" s="2">
        <f ca="1"/>
        <v>0.88354286909647262</v>
      </c>
      <c r="O821" s="2">
        <f ca="1"/>
        <v>-0.99544239174353732</v>
      </c>
      <c r="X821" s="2">
        <f ca="1"/>
        <v>54.149041552292971</v>
      </c>
      <c r="AG821" s="2">
        <f ca="1"/>
        <v>0.60887881135902089</v>
      </c>
      <c r="AH821" s="2" t="str">
        <f ca="1"/>
        <v>Bad</v>
      </c>
    </row>
    <row r="822" spans="2:34" x14ac:dyDescent="0.2">
      <c r="B822" s="2">
        <f ca="1"/>
        <v>0.78587108234704406</v>
      </c>
      <c r="O822" s="2">
        <f ca="1"/>
        <v>7.7905861373181159E-2</v>
      </c>
      <c r="X822" s="2">
        <f ca="1"/>
        <v>37.027419115044104</v>
      </c>
      <c r="AG822" s="2">
        <f ca="1"/>
        <v>6.1327207483028445E-2</v>
      </c>
      <c r="AH822" s="2" t="str">
        <f ca="1"/>
        <v>OK</v>
      </c>
    </row>
    <row r="823" spans="2:34" x14ac:dyDescent="0.2">
      <c r="B823" s="2">
        <f ca="1"/>
        <v>0.69927022950997419</v>
      </c>
      <c r="O823" s="2">
        <f ca="1"/>
        <v>0.44562329599421513</v>
      </c>
      <c r="X823" s="2">
        <f ca="1"/>
        <v>44.532549403290496</v>
      </c>
      <c r="AG823" s="2">
        <f ca="1"/>
        <v>0.4747477393622026</v>
      </c>
      <c r="AH823" s="2" t="str">
        <f ca="1"/>
        <v>Bad</v>
      </c>
    </row>
    <row r="824" spans="2:34" x14ac:dyDescent="0.2">
      <c r="B824" s="2">
        <f ca="1"/>
        <v>0.46173338571509381</v>
      </c>
      <c r="O824" s="2">
        <f ca="1"/>
        <v>-1.0127230064776425</v>
      </c>
      <c r="X824" s="2">
        <f ca="1"/>
        <v>28.863227344317004</v>
      </c>
      <c r="AG824" s="2">
        <f ca="1"/>
        <v>0.52864467599891674</v>
      </c>
      <c r="AH824" s="2" t="str">
        <f ca="1"/>
        <v>Bad</v>
      </c>
    </row>
    <row r="825" spans="2:34" x14ac:dyDescent="0.2">
      <c r="B825" s="2">
        <f ca="1"/>
        <v>0.62287873880631195</v>
      </c>
      <c r="O825" s="2">
        <f ca="1"/>
        <v>0.95925490090856691</v>
      </c>
      <c r="X825" s="2">
        <f ca="1"/>
        <v>57.394900431743636</v>
      </c>
      <c r="AG825" s="2">
        <f ca="1"/>
        <v>0.88009020815840211</v>
      </c>
      <c r="AH825" s="2" t="str">
        <f ca="1"/>
        <v>Bad</v>
      </c>
    </row>
    <row r="826" spans="2:34" x14ac:dyDescent="0.2">
      <c r="B826" s="2">
        <f ca="1"/>
        <v>0.40598659815963978</v>
      </c>
      <c r="O826" s="2">
        <f ca="1"/>
        <v>-1.1441012095377912</v>
      </c>
      <c r="X826" s="2">
        <f ca="1"/>
        <v>53.524344084315835</v>
      </c>
      <c r="AG826" s="2">
        <f ca="1"/>
        <v>0.10343148928767398</v>
      </c>
      <c r="AH826" s="2" t="str">
        <f ca="1"/>
        <v>OK</v>
      </c>
    </row>
    <row r="827" spans="2:34" x14ac:dyDescent="0.2">
      <c r="B827" s="2">
        <f ca="1"/>
        <v>0.1445136225246848</v>
      </c>
      <c r="O827" s="2">
        <f ca="1"/>
        <v>1.5267056951619724</v>
      </c>
      <c r="X827" s="2">
        <f ca="1"/>
        <v>60.191254275169513</v>
      </c>
      <c r="AG827" s="2">
        <f ca="1"/>
        <v>0.94519356266872534</v>
      </c>
      <c r="AH827" s="2" t="str">
        <f ca="1"/>
        <v>Bad</v>
      </c>
    </row>
    <row r="828" spans="2:34" x14ac:dyDescent="0.2">
      <c r="B828" s="2">
        <f ca="1"/>
        <v>0.48291146426494858</v>
      </c>
      <c r="O828" s="2">
        <f ca="1"/>
        <v>-1.4149199339190717</v>
      </c>
      <c r="X828" s="2">
        <f ca="1"/>
        <v>53.147282707804436</v>
      </c>
      <c r="AG828" s="2">
        <f ca="1"/>
        <v>5.5282847423438142E-2</v>
      </c>
      <c r="AH828" s="2" t="str">
        <f ca="1"/>
        <v>OK</v>
      </c>
    </row>
    <row r="829" spans="2:34" x14ac:dyDescent="0.2">
      <c r="B829" s="2">
        <f ca="1"/>
        <v>0.8436779950429818</v>
      </c>
      <c r="O829" s="2">
        <f ca="1"/>
        <v>7.4925009238139398E-2</v>
      </c>
      <c r="X829" s="2">
        <f ca="1"/>
        <v>58.752225739967827</v>
      </c>
      <c r="AG829" s="2">
        <f ca="1"/>
        <v>0.68857402534825907</v>
      </c>
      <c r="AH829" s="2" t="str">
        <f ca="1"/>
        <v>Bad</v>
      </c>
    </row>
    <row r="830" spans="2:34" x14ac:dyDescent="0.2">
      <c r="B830" s="2">
        <f ca="1"/>
        <v>0.4239937950509951</v>
      </c>
      <c r="O830" s="2">
        <f ca="1"/>
        <v>1.5229096832992848</v>
      </c>
      <c r="X830" s="2">
        <f ca="1"/>
        <v>64.289800383781071</v>
      </c>
      <c r="AG830" s="2">
        <f ca="1"/>
        <v>0.14434936156825784</v>
      </c>
      <c r="AH830" s="2" t="str">
        <f ca="1"/>
        <v>OK</v>
      </c>
    </row>
    <row r="831" spans="2:34" x14ac:dyDescent="0.2">
      <c r="B831" s="2">
        <f ca="1"/>
        <v>0.57331996373036187</v>
      </c>
      <c r="O831" s="2">
        <f ca="1"/>
        <v>-1.1222805486173377</v>
      </c>
      <c r="X831" s="2">
        <f ca="1"/>
        <v>42.240499678085051</v>
      </c>
      <c r="AG831" s="2">
        <f ca="1"/>
        <v>0.78603103443576616</v>
      </c>
      <c r="AH831" s="2" t="str">
        <f ca="1"/>
        <v>Bad</v>
      </c>
    </row>
    <row r="832" spans="2:34" x14ac:dyDescent="0.2">
      <c r="B832" s="2">
        <f ca="1"/>
        <v>0.17097830413936532</v>
      </c>
      <c r="O832" s="2">
        <f ca="1"/>
        <v>-0.20646348499091166</v>
      </c>
      <c r="X832" s="2">
        <f ca="1"/>
        <v>52.21104849587006</v>
      </c>
      <c r="AG832" s="2">
        <f ca="1"/>
        <v>0.31299968950682477</v>
      </c>
      <c r="AH832" s="2" t="str">
        <f ca="1"/>
        <v>OK</v>
      </c>
    </row>
    <row r="833" spans="2:34" x14ac:dyDescent="0.2">
      <c r="B833" s="2">
        <f ca="1"/>
        <v>0.81139604191002546</v>
      </c>
      <c r="O833" s="2">
        <f ca="1"/>
        <v>-0.33159433593773896</v>
      </c>
      <c r="X833" s="2">
        <f ca="1"/>
        <v>47.049490406315172</v>
      </c>
      <c r="AG833" s="2">
        <f ca="1"/>
        <v>0.76351689122527655</v>
      </c>
      <c r="AH833" s="2" t="str">
        <f ca="1"/>
        <v>Bad</v>
      </c>
    </row>
    <row r="834" spans="2:34" x14ac:dyDescent="0.2">
      <c r="B834" s="2">
        <f ca="1"/>
        <v>0.25431602866301084</v>
      </c>
      <c r="O834" s="2">
        <f ca="1"/>
        <v>0.27322954521855025</v>
      </c>
      <c r="X834" s="2">
        <f ca="1"/>
        <v>26.073950646203564</v>
      </c>
      <c r="AG834" s="2">
        <f ca="1"/>
        <v>2.1953800127942236E-2</v>
      </c>
      <c r="AH834" s="2" t="str">
        <f ca="1"/>
        <v>Good</v>
      </c>
    </row>
    <row r="835" spans="2:34" x14ac:dyDescent="0.2">
      <c r="B835" s="2">
        <f ca="1"/>
        <v>0.80030177130622482</v>
      </c>
      <c r="O835" s="2">
        <f ca="1"/>
        <v>-1.7064351628206957</v>
      </c>
      <c r="X835" s="2">
        <f ca="1"/>
        <v>78.116637316445406</v>
      </c>
      <c r="AG835" s="2">
        <f ca="1"/>
        <v>0.93479510641172436</v>
      </c>
      <c r="AH835" s="2" t="str">
        <f ca="1"/>
        <v>Bad</v>
      </c>
    </row>
    <row r="836" spans="2:34" x14ac:dyDescent="0.2">
      <c r="B836" s="2">
        <f ca="1"/>
        <v>0.13519749020845251</v>
      </c>
      <c r="O836" s="2">
        <f ca="1"/>
        <v>-0.53856508264252156</v>
      </c>
      <c r="X836" s="2">
        <f ca="1"/>
        <v>54.604973328263078</v>
      </c>
      <c r="AG836" s="2">
        <f ca="1"/>
        <v>0.57706441491613036</v>
      </c>
      <c r="AH836" s="2" t="str">
        <f ca="1"/>
        <v>Bad</v>
      </c>
    </row>
    <row r="837" spans="2:34" x14ac:dyDescent="0.2">
      <c r="B837" s="2">
        <f ca="1"/>
        <v>0.4550537341612193</v>
      </c>
      <c r="O837" s="2">
        <f ca="1"/>
        <v>-2.9745404398552449</v>
      </c>
      <c r="X837" s="2">
        <f ca="1"/>
        <v>40.312489338079544</v>
      </c>
      <c r="AG837" s="2">
        <f ca="1"/>
        <v>0.37565254602164933</v>
      </c>
      <c r="AH837" s="2" t="str">
        <f ca="1"/>
        <v>OK</v>
      </c>
    </row>
    <row r="838" spans="2:34" x14ac:dyDescent="0.2">
      <c r="B838" s="2">
        <f ca="1"/>
        <v>0.70212017674750737</v>
      </c>
      <c r="O838" s="2">
        <f ca="1"/>
        <v>1.0644345973302647</v>
      </c>
      <c r="X838" s="2">
        <f ca="1"/>
        <v>42.599176612426191</v>
      </c>
      <c r="AG838" s="2">
        <f ca="1"/>
        <v>0.63297169854446689</v>
      </c>
      <c r="AH838" s="2" t="str">
        <f ca="1"/>
        <v>Bad</v>
      </c>
    </row>
    <row r="839" spans="2:34" x14ac:dyDescent="0.2">
      <c r="B839" s="2">
        <f ca="1"/>
        <v>0.42809170843566946</v>
      </c>
      <c r="O839" s="2">
        <f ca="1"/>
        <v>-0.48565260414998213</v>
      </c>
      <c r="X839" s="2">
        <f ca="1"/>
        <v>58.828369551787162</v>
      </c>
      <c r="AG839" s="2">
        <f ca="1"/>
        <v>0.57987551107132806</v>
      </c>
      <c r="AH839" s="2" t="str">
        <f ca="1"/>
        <v>Bad</v>
      </c>
    </row>
    <row r="840" spans="2:34" x14ac:dyDescent="0.2">
      <c r="B840" s="2">
        <f ca="1"/>
        <v>0.75401065054801153</v>
      </c>
      <c r="O840" s="2">
        <f ca="1"/>
        <v>-0.23170763740980399</v>
      </c>
      <c r="X840" s="2">
        <f ca="1"/>
        <v>41.086814900372026</v>
      </c>
      <c r="AG840" s="2">
        <f ca="1"/>
        <v>0.20465625046500802</v>
      </c>
      <c r="AH840" s="2" t="str">
        <f ca="1"/>
        <v>OK</v>
      </c>
    </row>
    <row r="841" spans="2:34" x14ac:dyDescent="0.2">
      <c r="B841" s="2">
        <f ca="1"/>
        <v>0.50588450610122582</v>
      </c>
      <c r="O841" s="2">
        <f ca="1"/>
        <v>-0.94119244874880559</v>
      </c>
      <c r="X841" s="2">
        <f ca="1"/>
        <v>40.820945078563831</v>
      </c>
      <c r="AG841" s="2">
        <f ca="1"/>
        <v>0.91937805073157719</v>
      </c>
      <c r="AH841" s="2" t="str">
        <f ca="1"/>
        <v>Bad</v>
      </c>
    </row>
    <row r="842" spans="2:34" x14ac:dyDescent="0.2">
      <c r="B842" s="2">
        <f ca="1"/>
        <v>0.56204818421851921</v>
      </c>
      <c r="O842" s="2">
        <f ca="1"/>
        <v>0.50210835289716949</v>
      </c>
      <c r="X842" s="2">
        <f ca="1"/>
        <v>36.604579806238966</v>
      </c>
      <c r="AG842" s="2">
        <f ca="1"/>
        <v>0.46770330516558745</v>
      </c>
      <c r="AH842" s="2" t="str">
        <f ca="1"/>
        <v>Bad</v>
      </c>
    </row>
    <row r="843" spans="2:34" x14ac:dyDescent="0.2">
      <c r="B843" s="2">
        <f ca="1"/>
        <v>4.0764521890927163E-2</v>
      </c>
      <c r="O843" s="2">
        <f ca="1"/>
        <v>0.38942934386849209</v>
      </c>
      <c r="X843" s="2">
        <f ca="1"/>
        <v>90.868501889661587</v>
      </c>
      <c r="AG843" s="2">
        <f ca="1"/>
        <v>0.97249412374096056</v>
      </c>
      <c r="AH843" s="2" t="str">
        <f ca="1"/>
        <v>Bad</v>
      </c>
    </row>
    <row r="844" spans="2:34" x14ac:dyDescent="0.2">
      <c r="B844" s="2">
        <f ca="1"/>
        <v>0.32137894366606501</v>
      </c>
      <c r="O844" s="2">
        <f ca="1"/>
        <v>0.20745939574402189</v>
      </c>
      <c r="X844" s="2">
        <f ca="1"/>
        <v>24.305033493318561</v>
      </c>
      <c r="AG844" s="2">
        <f ca="1"/>
        <v>0.1681511488512577</v>
      </c>
      <c r="AH844" s="2" t="str">
        <f ca="1"/>
        <v>OK</v>
      </c>
    </row>
    <row r="845" spans="2:34" x14ac:dyDescent="0.2">
      <c r="B845" s="2">
        <f ca="1"/>
        <v>0.80227810658576337</v>
      </c>
      <c r="O845" s="2">
        <f ca="1"/>
        <v>0.72767050311672021</v>
      </c>
      <c r="X845" s="2">
        <f ca="1"/>
        <v>63.951893020832713</v>
      </c>
      <c r="AG845" s="2">
        <f ca="1"/>
        <v>0.70647031021512641</v>
      </c>
      <c r="AH845" s="2" t="str">
        <f ca="1"/>
        <v>Bad</v>
      </c>
    </row>
    <row r="846" spans="2:34" x14ac:dyDescent="0.2">
      <c r="B846" s="2">
        <f ca="1"/>
        <v>0.28127466041703331</v>
      </c>
      <c r="O846" s="2">
        <f ca="1"/>
        <v>1.2754884749455488</v>
      </c>
      <c r="X846" s="2">
        <f ca="1"/>
        <v>54.911791386517102</v>
      </c>
      <c r="AG846" s="2">
        <f ca="1"/>
        <v>4.3943038117011168E-2</v>
      </c>
      <c r="AH846" s="2" t="str">
        <f ca="1"/>
        <v>Good</v>
      </c>
    </row>
    <row r="847" spans="2:34" x14ac:dyDescent="0.2">
      <c r="B847" s="2">
        <f ca="1"/>
        <v>0.31997613659321056</v>
      </c>
      <c r="O847" s="2">
        <f ca="1"/>
        <v>-1.4547957467568158</v>
      </c>
      <c r="X847" s="2">
        <f ca="1"/>
        <v>36.210815498415862</v>
      </c>
      <c r="AG847" s="2">
        <f ca="1"/>
        <v>0.98505652572597713</v>
      </c>
      <c r="AH847" s="2" t="str">
        <f ca="1"/>
        <v>Bad</v>
      </c>
    </row>
    <row r="848" spans="2:34" x14ac:dyDescent="0.2">
      <c r="B848" s="2">
        <f ca="1"/>
        <v>0.91200667018668935</v>
      </c>
      <c r="O848" s="2">
        <f ca="1"/>
        <v>-0.49067262977702508</v>
      </c>
      <c r="X848" s="2">
        <f ca="1"/>
        <v>35.934700596384616</v>
      </c>
      <c r="AG848" s="2">
        <f ca="1"/>
        <v>0.26741722608028229</v>
      </c>
      <c r="AH848" s="2" t="str">
        <f ca="1"/>
        <v>OK</v>
      </c>
    </row>
    <row r="849" spans="2:34" x14ac:dyDescent="0.2">
      <c r="B849" s="2">
        <f ca="1"/>
        <v>0.83369173468250413</v>
      </c>
      <c r="O849" s="2">
        <f ca="1"/>
        <v>-0.72410458032226388</v>
      </c>
      <c r="X849" s="2">
        <f ca="1"/>
        <v>63.498903758655949</v>
      </c>
      <c r="AG849" s="2">
        <f ca="1"/>
        <v>0.74474684025526749</v>
      </c>
      <c r="AH849" s="2" t="str">
        <f ca="1"/>
        <v>Bad</v>
      </c>
    </row>
    <row r="850" spans="2:34" x14ac:dyDescent="0.2">
      <c r="B850" s="2">
        <f ca="1"/>
        <v>0.33914699072664023</v>
      </c>
      <c r="O850" s="2">
        <f ca="1"/>
        <v>-0.70916016914291735</v>
      </c>
      <c r="X850" s="2">
        <f ca="1"/>
        <v>30.693309327948533</v>
      </c>
      <c r="AG850" s="2">
        <f ca="1"/>
        <v>0.4731555868801316</v>
      </c>
      <c r="AH850" s="2" t="str">
        <f ca="1"/>
        <v>Bad</v>
      </c>
    </row>
    <row r="851" spans="2:34" x14ac:dyDescent="0.2">
      <c r="B851" s="2">
        <f ca="1"/>
        <v>0.47489399980147828</v>
      </c>
      <c r="O851" s="2">
        <f ca="1"/>
        <v>0.24993481290435254</v>
      </c>
      <c r="X851" s="2">
        <f ca="1"/>
        <v>43.638824410178287</v>
      </c>
      <c r="AG851" s="2">
        <f ca="1"/>
        <v>0.3661158754784084</v>
      </c>
      <c r="AH851" s="2" t="str">
        <f ca="1"/>
        <v>OK</v>
      </c>
    </row>
    <row r="852" spans="2:34" x14ac:dyDescent="0.2">
      <c r="B852" s="2">
        <f ca="1"/>
        <v>0.70046077558305875</v>
      </c>
      <c r="O852" s="2">
        <f ca="1"/>
        <v>-0.91792738683817787</v>
      </c>
      <c r="X852" s="2">
        <f ca="1"/>
        <v>82.655621062277774</v>
      </c>
      <c r="AG852" s="2">
        <f ca="1"/>
        <v>0.44737802082680433</v>
      </c>
      <c r="AH852" s="2" t="str">
        <f ca="1"/>
        <v>Bad</v>
      </c>
    </row>
    <row r="853" spans="2:34" x14ac:dyDescent="0.2">
      <c r="B853" s="2">
        <f ca="1"/>
        <v>0.50416901871497211</v>
      </c>
      <c r="O853" s="2">
        <f ca="1"/>
        <v>-0.21803398421473752</v>
      </c>
      <c r="X853" s="2">
        <f ca="1"/>
        <v>31.449242823052295</v>
      </c>
      <c r="AG853" s="2">
        <f ca="1"/>
        <v>0.7604691210490151</v>
      </c>
      <c r="AH853" s="2" t="str">
        <f ca="1"/>
        <v>Bad</v>
      </c>
    </row>
    <row r="854" spans="2:34" x14ac:dyDescent="0.2">
      <c r="B854" s="2">
        <f ca="1"/>
        <v>0.66285168009168705</v>
      </c>
      <c r="O854" s="2">
        <f ca="1"/>
        <v>2.1831861748020964</v>
      </c>
      <c r="X854" s="2">
        <f ca="1"/>
        <v>27.593051207863045</v>
      </c>
      <c r="AG854" s="2">
        <f ca="1"/>
        <v>0.13002641168390849</v>
      </c>
      <c r="AH854" s="2" t="str">
        <f ca="1"/>
        <v>OK</v>
      </c>
    </row>
    <row r="855" spans="2:34" x14ac:dyDescent="0.2">
      <c r="B855" s="2">
        <f ca="1"/>
        <v>0.22224163265596242</v>
      </c>
      <c r="O855" s="2">
        <f ca="1"/>
        <v>1.862883688595024</v>
      </c>
      <c r="X855" s="2">
        <f ca="1"/>
        <v>51.059282122544417</v>
      </c>
      <c r="AG855" s="2">
        <f ca="1"/>
        <v>0.94675253201674714</v>
      </c>
      <c r="AH855" s="2" t="str">
        <f ca="1"/>
        <v>Bad</v>
      </c>
    </row>
    <row r="856" spans="2:34" x14ac:dyDescent="0.2">
      <c r="B856" s="2">
        <f ca="1"/>
        <v>3.3384864181299045E-2</v>
      </c>
      <c r="O856" s="2">
        <f ca="1"/>
        <v>2.0246375434995859E-2</v>
      </c>
      <c r="X856" s="2">
        <f ca="1"/>
        <v>38.149349383158672</v>
      </c>
      <c r="AG856" s="2">
        <f ca="1"/>
        <v>0.95230332659994565</v>
      </c>
      <c r="AH856" s="2" t="str">
        <f ca="1"/>
        <v>Bad</v>
      </c>
    </row>
    <row r="857" spans="2:34" x14ac:dyDescent="0.2">
      <c r="B857" s="2">
        <f ca="1"/>
        <v>0.62809787718792731</v>
      </c>
      <c r="O857" s="2">
        <f ca="1"/>
        <v>0.60637506232899174</v>
      </c>
      <c r="X857" s="2">
        <f ca="1"/>
        <v>31.510042694828204</v>
      </c>
      <c r="AG857" s="2">
        <f ca="1"/>
        <v>0.67608129412917495</v>
      </c>
      <c r="AH857" s="2" t="str">
        <f ca="1"/>
        <v>Bad</v>
      </c>
    </row>
    <row r="858" spans="2:34" x14ac:dyDescent="0.2">
      <c r="B858" s="2">
        <f ca="1"/>
        <v>0.8495569308073645</v>
      </c>
      <c r="O858" s="2">
        <f ca="1"/>
        <v>1.1385058334778126</v>
      </c>
      <c r="X858" s="2">
        <f ca="1"/>
        <v>36.478216976687257</v>
      </c>
      <c r="AG858" s="2">
        <f ca="1"/>
        <v>0.91637737002038877</v>
      </c>
      <c r="AH858" s="2" t="str">
        <f ca="1"/>
        <v>Bad</v>
      </c>
    </row>
    <row r="859" spans="2:34" x14ac:dyDescent="0.2">
      <c r="B859" s="2">
        <f ca="1"/>
        <v>0.24152192667988159</v>
      </c>
      <c r="O859" s="2">
        <f ca="1"/>
        <v>-1.6237788747275401</v>
      </c>
      <c r="X859" s="2">
        <f ca="1"/>
        <v>64.950304124255837</v>
      </c>
      <c r="AG859" s="2">
        <f ca="1"/>
        <v>0.62434509806060867</v>
      </c>
      <c r="AH859" s="2" t="str">
        <f ca="1"/>
        <v>Bad</v>
      </c>
    </row>
    <row r="860" spans="2:34" x14ac:dyDescent="0.2">
      <c r="B860" s="2">
        <f ca="1"/>
        <v>0.15932015557062762</v>
      </c>
      <c r="O860" s="2">
        <f ca="1"/>
        <v>0.29424862833664228</v>
      </c>
      <c r="X860" s="2">
        <f ca="1"/>
        <v>63.44039462260082</v>
      </c>
      <c r="AG860" s="2">
        <f ca="1"/>
        <v>0.66318078768757172</v>
      </c>
      <c r="AH860" s="2" t="str">
        <f ca="1"/>
        <v>Bad</v>
      </c>
    </row>
    <row r="861" spans="2:34" x14ac:dyDescent="0.2">
      <c r="B861" s="2">
        <f ca="1"/>
        <v>0.30377762414542842</v>
      </c>
      <c r="O861" s="2">
        <f ca="1"/>
        <v>-0.16419089340698406</v>
      </c>
      <c r="X861" s="2">
        <f ca="1"/>
        <v>67.439879496579366</v>
      </c>
      <c r="AG861" s="2">
        <f ca="1"/>
        <v>0.548898827615524</v>
      </c>
      <c r="AH861" s="2" t="str">
        <f ca="1"/>
        <v>Bad</v>
      </c>
    </row>
    <row r="862" spans="2:34" x14ac:dyDescent="0.2">
      <c r="B862" s="2">
        <f ca="1"/>
        <v>0.98893146122972064</v>
      </c>
      <c r="O862" s="2">
        <f ca="1"/>
        <v>-0.19462246390032176</v>
      </c>
      <c r="X862" s="2">
        <f ca="1"/>
        <v>68.631306919227811</v>
      </c>
      <c r="AG862" s="2">
        <f ca="1"/>
        <v>0.30514040386059649</v>
      </c>
      <c r="AH862" s="2" t="str">
        <f ca="1"/>
        <v>OK</v>
      </c>
    </row>
    <row r="863" spans="2:34" x14ac:dyDescent="0.2">
      <c r="B863" s="2">
        <f ca="1"/>
        <v>0.7864643193052363</v>
      </c>
      <c r="O863" s="2">
        <f ca="1"/>
        <v>-0.46339004669236855</v>
      </c>
      <c r="X863" s="2">
        <f ca="1"/>
        <v>31.618043531165327</v>
      </c>
      <c r="AG863" s="2">
        <f ca="1"/>
        <v>0.3635450812800991</v>
      </c>
      <c r="AH863" s="2" t="str">
        <f ca="1"/>
        <v>OK</v>
      </c>
    </row>
    <row r="864" spans="2:34" x14ac:dyDescent="0.2">
      <c r="B864" s="2">
        <f ca="1"/>
        <v>0.35281435365935909</v>
      </c>
      <c r="O864" s="2">
        <f ca="1"/>
        <v>-0.65718438704414539</v>
      </c>
      <c r="X864" s="2">
        <f ca="1"/>
        <v>37.134391976939519</v>
      </c>
      <c r="AG864" s="2">
        <f ca="1"/>
        <v>0.49601401771823084</v>
      </c>
      <c r="AH864" s="2" t="str">
        <f ca="1"/>
        <v>Bad</v>
      </c>
    </row>
    <row r="865" spans="2:34" x14ac:dyDescent="0.2">
      <c r="B865" s="2">
        <f ca="1"/>
        <v>0.78376071615736476</v>
      </c>
      <c r="O865" s="2">
        <f ca="1"/>
        <v>-0.59960829021352458</v>
      </c>
      <c r="X865" s="2">
        <f ca="1"/>
        <v>40.469402443895859</v>
      </c>
      <c r="AG865" s="2">
        <f ca="1"/>
        <v>0.5289122647417579</v>
      </c>
      <c r="AH865" s="2" t="str">
        <f ca="1"/>
        <v>Bad</v>
      </c>
    </row>
    <row r="866" spans="2:34" x14ac:dyDescent="0.2">
      <c r="B866" s="2">
        <f ca="1"/>
        <v>0.8243989437980157</v>
      </c>
      <c r="O866" s="2">
        <f ca="1"/>
        <v>-2.037547575622451</v>
      </c>
      <c r="X866" s="2">
        <f ca="1"/>
        <v>81.506682264501293</v>
      </c>
      <c r="AG866" s="2">
        <f ca="1"/>
        <v>0.72588306188061802</v>
      </c>
      <c r="AH866" s="2" t="str">
        <f ca="1"/>
        <v>Bad</v>
      </c>
    </row>
    <row r="867" spans="2:34" x14ac:dyDescent="0.2">
      <c r="B867" s="2">
        <f ca="1"/>
        <v>0.1769117710764565</v>
      </c>
      <c r="O867" s="2">
        <f ca="1"/>
        <v>0.82357930280273006</v>
      </c>
      <c r="X867" s="2">
        <f ca="1"/>
        <v>58.589729893652049</v>
      </c>
      <c r="AG867" s="2">
        <f ca="1"/>
        <v>0.462268411494414</v>
      </c>
      <c r="AH867" s="2" t="str">
        <f ca="1"/>
        <v>Bad</v>
      </c>
    </row>
    <row r="868" spans="2:34" x14ac:dyDescent="0.2">
      <c r="B868" s="2">
        <f ca="1"/>
        <v>0.31402492821478489</v>
      </c>
      <c r="O868" s="2">
        <f ca="1"/>
        <v>-0.54958432572371252</v>
      </c>
      <c r="X868" s="2">
        <f ca="1"/>
        <v>37.276320055443996</v>
      </c>
      <c r="AG868" s="2">
        <f ca="1"/>
        <v>0.40654368349151837</v>
      </c>
      <c r="AH868" s="2" t="str">
        <f ca="1"/>
        <v>Bad</v>
      </c>
    </row>
    <row r="869" spans="2:34" x14ac:dyDescent="0.2">
      <c r="B869" s="2">
        <f ca="1"/>
        <v>0.28858783140264244</v>
      </c>
      <c r="O869" s="2">
        <f ca="1"/>
        <v>1.4691407115776292</v>
      </c>
      <c r="X869" s="2">
        <f ca="1"/>
        <v>47.398635427951781</v>
      </c>
      <c r="AG869" s="2">
        <f ca="1"/>
        <v>0.94913225571164972</v>
      </c>
      <c r="AH869" s="2" t="str">
        <f ca="1"/>
        <v>Bad</v>
      </c>
    </row>
    <row r="870" spans="2:34" x14ac:dyDescent="0.2">
      <c r="B870" s="2">
        <f ca="1"/>
        <v>0.5512137456564612</v>
      </c>
      <c r="O870" s="2">
        <f ca="1"/>
        <v>0.23358026630468778</v>
      </c>
      <c r="X870" s="2">
        <f ca="1"/>
        <v>55.812590477101224</v>
      </c>
      <c r="AG870" s="2">
        <f ca="1"/>
        <v>0.27918100138278068</v>
      </c>
      <c r="AH870" s="2" t="str">
        <f ca="1"/>
        <v>OK</v>
      </c>
    </row>
    <row r="871" spans="2:34" x14ac:dyDescent="0.2">
      <c r="B871" s="2">
        <f ca="1"/>
        <v>0.29229427786713336</v>
      </c>
      <c r="O871" s="2">
        <f ca="1"/>
        <v>-0.31573601219214331</v>
      </c>
      <c r="X871" s="2">
        <f ca="1"/>
        <v>45.860352190505481</v>
      </c>
      <c r="AG871" s="2">
        <f ca="1"/>
        <v>0.55728225629392081</v>
      </c>
      <c r="AH871" s="2" t="str">
        <f ca="1"/>
        <v>Bad</v>
      </c>
    </row>
    <row r="872" spans="2:34" x14ac:dyDescent="0.2">
      <c r="B872" s="2">
        <f ca="1"/>
        <v>0.99846439382438246</v>
      </c>
      <c r="O872" s="2">
        <f ca="1"/>
        <v>-1.2173934567198024</v>
      </c>
      <c r="X872" s="2">
        <f ca="1"/>
        <v>59.081073305703306</v>
      </c>
      <c r="AG872" s="2">
        <f ca="1"/>
        <v>0.47353846905478547</v>
      </c>
      <c r="AH872" s="2" t="str">
        <f ca="1"/>
        <v>Bad</v>
      </c>
    </row>
    <row r="873" spans="2:34" x14ac:dyDescent="0.2">
      <c r="B873" s="2">
        <f ca="1"/>
        <v>0.11481375595669774</v>
      </c>
      <c r="O873" s="2">
        <f ca="1"/>
        <v>0.10845652687195288</v>
      </c>
      <c r="X873" s="2">
        <f ca="1"/>
        <v>32.863706402353074</v>
      </c>
      <c r="AG873" s="2">
        <f ca="1"/>
        <v>0.95321037770559358</v>
      </c>
      <c r="AH873" s="2" t="str">
        <f ca="1"/>
        <v>Bad</v>
      </c>
    </row>
    <row r="874" spans="2:34" x14ac:dyDescent="0.2">
      <c r="B874" s="2">
        <f ca="1"/>
        <v>0.52324415510953171</v>
      </c>
      <c r="O874" s="2">
        <f ca="1"/>
        <v>-0.91612081026338821</v>
      </c>
      <c r="X874" s="2">
        <f ca="1"/>
        <v>69.874604634095263</v>
      </c>
      <c r="AG874" s="2">
        <f ca="1"/>
        <v>0.95566224904077957</v>
      </c>
      <c r="AH874" s="2" t="str">
        <f ca="1"/>
        <v>Bad</v>
      </c>
    </row>
    <row r="875" spans="2:34" x14ac:dyDescent="0.2">
      <c r="B875" s="2">
        <f ca="1"/>
        <v>0.1054154914156098</v>
      </c>
      <c r="O875" s="2">
        <f ca="1"/>
        <v>-0.18283509799557968</v>
      </c>
      <c r="X875" s="2">
        <f ca="1"/>
        <v>46.801063771554432</v>
      </c>
      <c r="AG875" s="2">
        <f ca="1"/>
        <v>8.7628986225776195E-2</v>
      </c>
      <c r="AH875" s="2" t="str">
        <f ca="1"/>
        <v>OK</v>
      </c>
    </row>
    <row r="876" spans="2:34" x14ac:dyDescent="0.2">
      <c r="B876" s="2">
        <f ca="1"/>
        <v>0.71923140501706229</v>
      </c>
      <c r="O876" s="2">
        <f ca="1"/>
        <v>0.51101668376664522</v>
      </c>
      <c r="X876" s="2">
        <f ca="1"/>
        <v>55.750080593587128</v>
      </c>
      <c r="AG876" s="2">
        <f ca="1"/>
        <v>0.72077614757482511</v>
      </c>
      <c r="AH876" s="2" t="str">
        <f ca="1"/>
        <v>Bad</v>
      </c>
    </row>
    <row r="877" spans="2:34" x14ac:dyDescent="0.2">
      <c r="B877" s="2">
        <f ca="1"/>
        <v>0.4754792725404462</v>
      </c>
      <c r="O877" s="2">
        <f ca="1"/>
        <v>5.4445201306288556E-2</v>
      </c>
      <c r="X877" s="2">
        <f ca="1"/>
        <v>45.812586766562347</v>
      </c>
      <c r="AG877" s="2">
        <f ca="1"/>
        <v>0.51923870999697574</v>
      </c>
      <c r="AH877" s="2" t="str">
        <f ca="1"/>
        <v>Bad</v>
      </c>
    </row>
    <row r="878" spans="2:34" x14ac:dyDescent="0.2">
      <c r="B878" s="2">
        <f ca="1"/>
        <v>0.25520805815402059</v>
      </c>
      <c r="O878" s="2">
        <f ca="1"/>
        <v>-0.58642701518597695</v>
      </c>
      <c r="X878" s="2">
        <f ca="1"/>
        <v>68.865445893021487</v>
      </c>
      <c r="AG878" s="2">
        <f ca="1"/>
        <v>7.6194935719203327E-2</v>
      </c>
      <c r="AH878" s="2" t="str">
        <f ca="1"/>
        <v>OK</v>
      </c>
    </row>
    <row r="879" spans="2:34" x14ac:dyDescent="0.2">
      <c r="B879" s="2">
        <f ca="1"/>
        <v>0.70661872849116003</v>
      </c>
      <c r="O879" s="2">
        <f ca="1"/>
        <v>-4.4093279449533687E-2</v>
      </c>
      <c r="X879" s="2">
        <f ca="1"/>
        <v>40.763321556395404</v>
      </c>
      <c r="AG879" s="2">
        <f ca="1"/>
        <v>0.84548923761770678</v>
      </c>
      <c r="AH879" s="2" t="str">
        <f ca="1"/>
        <v>Bad</v>
      </c>
    </row>
    <row r="880" spans="2:34" x14ac:dyDescent="0.2">
      <c r="B880" s="2">
        <f ca="1"/>
        <v>0.35547432052998573</v>
      </c>
      <c r="O880" s="2">
        <f ca="1"/>
        <v>-0.76110946296866389</v>
      </c>
      <c r="X880" s="2">
        <f ca="1"/>
        <v>71.958111802936884</v>
      </c>
      <c r="AG880" s="2">
        <f ca="1"/>
        <v>0.18586614745715968</v>
      </c>
      <c r="AH880" s="2" t="str">
        <f ca="1"/>
        <v>OK</v>
      </c>
    </row>
    <row r="881" spans="2:34" x14ac:dyDescent="0.2">
      <c r="B881" s="2">
        <f ca="1"/>
        <v>0.84757539540186055</v>
      </c>
      <c r="O881" s="2">
        <f ca="1"/>
        <v>-1.6171322623492299</v>
      </c>
      <c r="X881" s="2">
        <f ca="1"/>
        <v>41.034752358664015</v>
      </c>
      <c r="AG881" s="2">
        <f ca="1"/>
        <v>0.53648745573294576</v>
      </c>
      <c r="AH881" s="2" t="str">
        <f ca="1"/>
        <v>Bad</v>
      </c>
    </row>
    <row r="882" spans="2:34" x14ac:dyDescent="0.2">
      <c r="B882" s="2">
        <f ca="1"/>
        <v>0.75157758941011021</v>
      </c>
      <c r="O882" s="2">
        <f ca="1"/>
        <v>0.26006394529366345</v>
      </c>
      <c r="X882" s="2">
        <f ca="1"/>
        <v>76.928271027000889</v>
      </c>
      <c r="AG882" s="2">
        <f ca="1"/>
        <v>0.32247754257010164</v>
      </c>
      <c r="AH882" s="2" t="str">
        <f ca="1"/>
        <v>OK</v>
      </c>
    </row>
    <row r="883" spans="2:34" x14ac:dyDescent="0.2">
      <c r="B883" s="2">
        <f ca="1"/>
        <v>0.36336360440945148</v>
      </c>
      <c r="O883" s="2">
        <f ca="1"/>
        <v>0.18922900693130346</v>
      </c>
      <c r="X883" s="2">
        <f ca="1"/>
        <v>60.654125907524914</v>
      </c>
      <c r="AG883" s="2">
        <f ca="1"/>
        <v>0.42228979951128198</v>
      </c>
      <c r="AH883" s="2" t="str">
        <f ca="1"/>
        <v>Bad</v>
      </c>
    </row>
    <row r="884" spans="2:34" x14ac:dyDescent="0.2">
      <c r="B884" s="2">
        <f ca="1"/>
        <v>0.81571699190331559</v>
      </c>
      <c r="O884" s="2">
        <f ca="1"/>
        <v>-1.2103863031370006</v>
      </c>
      <c r="X884" s="2">
        <f ca="1"/>
        <v>40.385951452491149</v>
      </c>
      <c r="AG884" s="2">
        <f ca="1"/>
        <v>0.10714837705493663</v>
      </c>
      <c r="AH884" s="2" t="str">
        <f ca="1"/>
        <v>OK</v>
      </c>
    </row>
    <row r="885" spans="2:34" x14ac:dyDescent="0.2">
      <c r="B885" s="2">
        <f ca="1"/>
        <v>0.36440269830657823</v>
      </c>
      <c r="O885" s="2">
        <f ca="1"/>
        <v>-0.56048022937806952</v>
      </c>
      <c r="X885" s="2">
        <f ca="1"/>
        <v>33.21621852837194</v>
      </c>
      <c r="AG885" s="2">
        <f ca="1"/>
        <v>0.67035464494295338</v>
      </c>
      <c r="AH885" s="2" t="str">
        <f ca="1"/>
        <v>Bad</v>
      </c>
    </row>
    <row r="886" spans="2:34" x14ac:dyDescent="0.2">
      <c r="B886" s="2">
        <f ca="1"/>
        <v>0.75535691464093313</v>
      </c>
      <c r="O886" s="2">
        <f ca="1"/>
        <v>0.24227105195757911</v>
      </c>
      <c r="X886" s="2">
        <f ca="1"/>
        <v>81.140116609598337</v>
      </c>
      <c r="AG886" s="2">
        <f ca="1"/>
        <v>0.86083151843811812</v>
      </c>
      <c r="AH886" s="2" t="str">
        <f ca="1"/>
        <v>Bad</v>
      </c>
    </row>
    <row r="887" spans="2:34" x14ac:dyDescent="0.2">
      <c r="B887" s="2">
        <f ca="1"/>
        <v>0.44014576165662223</v>
      </c>
      <c r="O887" s="2">
        <f ca="1"/>
        <v>0.24547142089819093</v>
      </c>
      <c r="X887" s="2">
        <f ca="1"/>
        <v>62.414050590025482</v>
      </c>
      <c r="AG887" s="2">
        <f ca="1"/>
        <v>0.14752589847255471</v>
      </c>
      <c r="AH887" s="2" t="str">
        <f ca="1"/>
        <v>OK</v>
      </c>
    </row>
    <row r="888" spans="2:34" x14ac:dyDescent="0.2">
      <c r="B888" s="2">
        <f ca="1"/>
        <v>0.67486923880506611</v>
      </c>
      <c r="O888" s="2">
        <f ca="1"/>
        <v>7.7831115238781889E-2</v>
      </c>
      <c r="X888" s="2">
        <f ca="1"/>
        <v>54.251623119465762</v>
      </c>
      <c r="AG888" s="2">
        <f ca="1"/>
        <v>8.1490281330456327E-2</v>
      </c>
      <c r="AH888" s="2" t="str">
        <f ca="1"/>
        <v>OK</v>
      </c>
    </row>
    <row r="889" spans="2:34" x14ac:dyDescent="0.2">
      <c r="B889" s="2">
        <f ca="1"/>
        <v>0.23063081188866486</v>
      </c>
      <c r="O889" s="2">
        <f ca="1"/>
        <v>1.7943607128947898</v>
      </c>
      <c r="X889" s="2">
        <f ca="1"/>
        <v>51.872137250029581</v>
      </c>
      <c r="AG889" s="2">
        <f ca="1"/>
        <v>0.52879356485951989</v>
      </c>
      <c r="AH889" s="2" t="str">
        <f ca="1"/>
        <v>Bad</v>
      </c>
    </row>
    <row r="890" spans="2:34" x14ac:dyDescent="0.2">
      <c r="B890" s="2">
        <f ca="1"/>
        <v>0.68657526380662492</v>
      </c>
      <c r="O890" s="2">
        <f ca="1"/>
        <v>-0.32732159115397597</v>
      </c>
      <c r="X890" s="2">
        <f ca="1"/>
        <v>38.130884401536257</v>
      </c>
      <c r="AG890" s="2">
        <f ca="1"/>
        <v>0.22731834564535447</v>
      </c>
      <c r="AH890" s="2" t="str">
        <f ca="1"/>
        <v>OK</v>
      </c>
    </row>
    <row r="891" spans="2:34" x14ac:dyDescent="0.2">
      <c r="B891" s="2">
        <f ca="1"/>
        <v>0.84548252299836624</v>
      </c>
      <c r="O891" s="2">
        <f ca="1"/>
        <v>1.5803644961406822</v>
      </c>
      <c r="X891" s="2">
        <f ca="1"/>
        <v>68.588353851881692</v>
      </c>
      <c r="AG891" s="2">
        <f ca="1"/>
        <v>0.50798552139649078</v>
      </c>
      <c r="AH891" s="2" t="str">
        <f ca="1"/>
        <v>Bad</v>
      </c>
    </row>
    <row r="892" spans="2:34" x14ac:dyDescent="0.2">
      <c r="B892" s="2">
        <f ca="1"/>
        <v>0.87816351136857973</v>
      </c>
      <c r="O892" s="2">
        <f ca="1"/>
        <v>-0.41174186673810764</v>
      </c>
      <c r="X892" s="2">
        <f ca="1"/>
        <v>31.887545762578256</v>
      </c>
      <c r="AG892" s="2">
        <f ca="1"/>
        <v>0.8252909982547465</v>
      </c>
      <c r="AH892" s="2" t="str">
        <f ca="1"/>
        <v>Bad</v>
      </c>
    </row>
    <row r="893" spans="2:34" x14ac:dyDescent="0.2">
      <c r="B893" s="2">
        <f ca="1"/>
        <v>2.310877595131533E-2</v>
      </c>
      <c r="O893" s="2">
        <f ca="1"/>
        <v>1.2205966769684122E-2</v>
      </c>
      <c r="X893" s="2">
        <f ca="1"/>
        <v>46.470100990725228</v>
      </c>
      <c r="AG893" s="2">
        <f ca="1"/>
        <v>0.28903346162359411</v>
      </c>
      <c r="AH893" s="2" t="str">
        <f ca="1"/>
        <v>OK</v>
      </c>
    </row>
    <row r="894" spans="2:34" x14ac:dyDescent="0.2">
      <c r="B894" s="2">
        <f ca="1"/>
        <v>0.15918979746039974</v>
      </c>
      <c r="O894" s="2">
        <f ca="1"/>
        <v>-0.19944302461385577</v>
      </c>
      <c r="X894" s="2">
        <f ca="1"/>
        <v>33.390798651054041</v>
      </c>
      <c r="AG894" s="2">
        <f ca="1"/>
        <v>0.97472927248839869</v>
      </c>
      <c r="AH894" s="2" t="str">
        <f ca="1"/>
        <v>Bad</v>
      </c>
    </row>
    <row r="895" spans="2:34" x14ac:dyDescent="0.2">
      <c r="B895" s="2">
        <f ca="1"/>
        <v>0.51460539976488895</v>
      </c>
      <c r="O895" s="2">
        <f ca="1"/>
        <v>-1.3429601672634428</v>
      </c>
      <c r="X895" s="2">
        <f ca="1"/>
        <v>44.562920719292272</v>
      </c>
      <c r="AG895" s="2">
        <f ca="1"/>
        <v>1.8761950274986949E-2</v>
      </c>
      <c r="AH895" s="2" t="str">
        <f ca="1"/>
        <v>Good</v>
      </c>
    </row>
    <row r="896" spans="2:34" x14ac:dyDescent="0.2">
      <c r="B896" s="2">
        <f ca="1"/>
        <v>0.87793604606625109</v>
      </c>
      <c r="O896" s="2">
        <f ca="1"/>
        <v>-1.1859025670743664</v>
      </c>
      <c r="X896" s="2">
        <f ca="1"/>
        <v>44.57504156278322</v>
      </c>
      <c r="AG896" s="2">
        <f ca="1"/>
        <v>0.88887074932890786</v>
      </c>
      <c r="AH896" s="2" t="str">
        <f ca="1"/>
        <v>Bad</v>
      </c>
    </row>
    <row r="897" spans="2:34" x14ac:dyDescent="0.2">
      <c r="B897" s="2">
        <f ca="1"/>
        <v>0.14317361051425737</v>
      </c>
      <c r="O897" s="2">
        <f ca="1"/>
        <v>0.75084307492378111</v>
      </c>
      <c r="X897" s="2">
        <f ca="1"/>
        <v>69.483346311329868</v>
      </c>
      <c r="AG897" s="2">
        <f ca="1"/>
        <v>0.53577289802014216</v>
      </c>
      <c r="AH897" s="2" t="str">
        <f ca="1"/>
        <v>Bad</v>
      </c>
    </row>
    <row r="898" spans="2:34" x14ac:dyDescent="0.2">
      <c r="B898" s="2">
        <f ca="1"/>
        <v>0.93167063053467358</v>
      </c>
      <c r="O898" s="2">
        <f ca="1"/>
        <v>0.11654779112776839</v>
      </c>
      <c r="X898" s="2">
        <f ca="1"/>
        <v>43.248141433984841</v>
      </c>
      <c r="AG898" s="2">
        <f ca="1"/>
        <v>0.21003811738682843</v>
      </c>
      <c r="AH898" s="2" t="str">
        <f ca="1"/>
        <v>OK</v>
      </c>
    </row>
    <row r="899" spans="2:34" x14ac:dyDescent="0.2">
      <c r="B899" s="2">
        <f ca="1"/>
        <v>0.85632399164421069</v>
      </c>
      <c r="O899" s="2">
        <f ca="1"/>
        <v>-2.489280018116389E-3</v>
      </c>
      <c r="X899" s="2">
        <f ca="1"/>
        <v>49.254502950041882</v>
      </c>
      <c r="AG899" s="2">
        <f ca="1"/>
        <v>0.52425678412120291</v>
      </c>
      <c r="AH899" s="2" t="str">
        <f ca="1"/>
        <v>Bad</v>
      </c>
    </row>
    <row r="900" spans="2:34" x14ac:dyDescent="0.2">
      <c r="B900" s="2">
        <f ca="1"/>
        <v>8.0602308514481136E-2</v>
      </c>
      <c r="O900" s="2">
        <f ca="1"/>
        <v>1.5104929448920501</v>
      </c>
      <c r="X900" s="2">
        <f ca="1"/>
        <v>37.520739576619533</v>
      </c>
      <c r="AG900" s="2">
        <f ca="1"/>
        <v>0.99589177576486621</v>
      </c>
      <c r="AH900" s="2" t="str">
        <f ca="1"/>
        <v>Bad</v>
      </c>
    </row>
    <row r="901" spans="2:34" x14ac:dyDescent="0.2">
      <c r="B901" s="2">
        <f ca="1"/>
        <v>0.7114307743406092</v>
      </c>
      <c r="O901" s="2">
        <f ca="1"/>
        <v>-1.0787848107926006</v>
      </c>
      <c r="X901" s="2">
        <f ca="1"/>
        <v>30.85989917906965</v>
      </c>
      <c r="AG901" s="2">
        <f ca="1"/>
        <v>3.7290045521045201E-2</v>
      </c>
      <c r="AH901" s="2" t="str">
        <f ca="1"/>
        <v>Good</v>
      </c>
    </row>
    <row r="902" spans="2:34" x14ac:dyDescent="0.2">
      <c r="B902" s="2">
        <f ca="1"/>
        <v>0.55550000544265687</v>
      </c>
      <c r="O902" s="2">
        <f ca="1"/>
        <v>0.56097530710512211</v>
      </c>
      <c r="X902" s="2">
        <f ca="1"/>
        <v>87.808906167703498</v>
      </c>
      <c r="AG902" s="2">
        <f ca="1"/>
        <v>0.76188636147216049</v>
      </c>
      <c r="AH902" s="2" t="str">
        <f ca="1"/>
        <v>Bad</v>
      </c>
    </row>
    <row r="903" spans="2:34" x14ac:dyDescent="0.2">
      <c r="B903" s="2">
        <f ca="1"/>
        <v>0.5099499389634945</v>
      </c>
      <c r="O903" s="2">
        <f ca="1"/>
        <v>0.8559071847079941</v>
      </c>
      <c r="X903" s="2">
        <f ca="1"/>
        <v>69.201461937073361</v>
      </c>
      <c r="AG903" s="2">
        <f ca="1"/>
        <v>0.56822721876217863</v>
      </c>
      <c r="AH903" s="2" t="str">
        <f ca="1"/>
        <v>Bad</v>
      </c>
    </row>
    <row r="904" spans="2:34" x14ac:dyDescent="0.2">
      <c r="B904" s="2">
        <f ca="1"/>
        <v>0.54908263316879813</v>
      </c>
      <c r="O904" s="2">
        <f ca="1"/>
        <v>-0.84287799842640609</v>
      </c>
      <c r="X904" s="2">
        <f ca="1"/>
        <v>52.554959678534736</v>
      </c>
      <c r="AG904" s="2">
        <f ca="1"/>
        <v>0.39271489058207187</v>
      </c>
      <c r="AH904" s="2" t="str">
        <f ca="1"/>
        <v>OK</v>
      </c>
    </row>
    <row r="905" spans="2:34" x14ac:dyDescent="0.2">
      <c r="B905" s="2">
        <f ca="1"/>
        <v>0.1009001268673142</v>
      </c>
      <c r="O905" s="2">
        <f ca="1"/>
        <v>1.9985750388278793</v>
      </c>
      <c r="X905" s="2">
        <f ca="1"/>
        <v>58.879574565035291</v>
      </c>
      <c r="AG905" s="2">
        <f ca="1"/>
        <v>0.85459953547997092</v>
      </c>
      <c r="AH905" s="2" t="str">
        <f ca="1"/>
        <v>Bad</v>
      </c>
    </row>
    <row r="906" spans="2:34" x14ac:dyDescent="0.2">
      <c r="B906" s="2">
        <f ca="1"/>
        <v>0.82096272186212693</v>
      </c>
      <c r="O906" s="2">
        <f ca="1"/>
        <v>1.1082984133130447</v>
      </c>
      <c r="X906" s="2">
        <f ca="1"/>
        <v>37.988573410382642</v>
      </c>
      <c r="AG906" s="2">
        <f ca="1"/>
        <v>0.79838084095748507</v>
      </c>
      <c r="AH906" s="2" t="str">
        <f ca="1"/>
        <v>Bad</v>
      </c>
    </row>
    <row r="907" spans="2:34" x14ac:dyDescent="0.2">
      <c r="B907" s="2">
        <f ca="1"/>
        <v>0.28950518380074453</v>
      </c>
      <c r="O907" s="2">
        <f ca="1"/>
        <v>-0.67512389890929358</v>
      </c>
      <c r="X907" s="2">
        <f ca="1"/>
        <v>31.566603235222797</v>
      </c>
      <c r="AG907" s="2">
        <f ca="1"/>
        <v>0.88845750338167795</v>
      </c>
      <c r="AH907" s="2" t="str">
        <f ca="1"/>
        <v>Bad</v>
      </c>
    </row>
    <row r="908" spans="2:34" x14ac:dyDescent="0.2">
      <c r="B908" s="2">
        <f ca="1"/>
        <v>0.2550074638058224</v>
      </c>
      <c r="O908" s="2">
        <f ca="1"/>
        <v>-1.4155108152832969</v>
      </c>
      <c r="X908" s="2">
        <f ca="1"/>
        <v>39.759968340969493</v>
      </c>
      <c r="AG908" s="2">
        <f ca="1"/>
        <v>5.6251882859862379E-2</v>
      </c>
      <c r="AH908" s="2" t="str">
        <f ca="1"/>
        <v>OK</v>
      </c>
    </row>
    <row r="909" spans="2:34" x14ac:dyDescent="0.2">
      <c r="B909" s="2">
        <f ca="1"/>
        <v>0.2377472595230965</v>
      </c>
      <c r="O909" s="2">
        <f ca="1"/>
        <v>-0.28878821175398117</v>
      </c>
      <c r="X909" s="2">
        <f ca="1"/>
        <v>30.764328320295704</v>
      </c>
      <c r="AG909" s="2">
        <f ca="1"/>
        <v>0.67953858901677711</v>
      </c>
      <c r="AH909" s="2" t="str">
        <f ca="1"/>
        <v>Bad</v>
      </c>
    </row>
    <row r="910" spans="2:34" x14ac:dyDescent="0.2">
      <c r="B910" s="2">
        <f ca="1"/>
        <v>0.23691297778309561</v>
      </c>
      <c r="O910" s="2">
        <f ca="1"/>
        <v>-0.75439691768895656</v>
      </c>
      <c r="X910" s="2">
        <f ca="1"/>
        <v>37.695695062518986</v>
      </c>
      <c r="AG910" s="2">
        <f ca="1"/>
        <v>5.3049744100396978E-2</v>
      </c>
      <c r="AH910" s="2" t="str">
        <f ca="1"/>
        <v>OK</v>
      </c>
    </row>
    <row r="911" spans="2:34" x14ac:dyDescent="0.2">
      <c r="B911" s="2">
        <f ca="1"/>
        <v>0.28463274391627524</v>
      </c>
      <c r="O911" s="2">
        <f ca="1"/>
        <v>-0.13233904841880181</v>
      </c>
      <c r="X911" s="2">
        <f ca="1"/>
        <v>34.141430669643825</v>
      </c>
      <c r="AG911" s="2">
        <f ca="1"/>
        <v>0.44046385809490385</v>
      </c>
      <c r="AH911" s="2" t="str">
        <f ca="1"/>
        <v>Bad</v>
      </c>
    </row>
    <row r="912" spans="2:34" x14ac:dyDescent="0.2">
      <c r="B912" s="2">
        <f ca="1"/>
        <v>0.29846156090958487</v>
      </c>
      <c r="O912" s="2">
        <f ca="1"/>
        <v>0.11090932421063185</v>
      </c>
      <c r="X912" s="2">
        <f ca="1"/>
        <v>32.659108149252702</v>
      </c>
      <c r="AG912" s="2">
        <f ca="1"/>
        <v>0.70955534565075307</v>
      </c>
      <c r="AH912" s="2" t="str">
        <f ca="1"/>
        <v>Bad</v>
      </c>
    </row>
    <row r="913" spans="2:34" x14ac:dyDescent="0.2">
      <c r="B913" s="2">
        <f ca="1"/>
        <v>9.7519387186838946E-2</v>
      </c>
      <c r="O913" s="2">
        <f ca="1"/>
        <v>-1.3329659948068102</v>
      </c>
      <c r="X913" s="2">
        <f ca="1"/>
        <v>16.258976006007334</v>
      </c>
      <c r="AG913" s="2">
        <f ca="1"/>
        <v>0.59523109615781533</v>
      </c>
      <c r="AH913" s="2" t="str">
        <f ca="1"/>
        <v>Bad</v>
      </c>
    </row>
    <row r="914" spans="2:34" x14ac:dyDescent="0.2">
      <c r="B914" s="2">
        <f ca="1"/>
        <v>0.80637346058043358</v>
      </c>
      <c r="O914" s="2">
        <f ca="1"/>
        <v>0.36065550118104039</v>
      </c>
      <c r="X914" s="2">
        <f ca="1"/>
        <v>46.804074780317578</v>
      </c>
      <c r="AG914" s="2">
        <f ca="1"/>
        <v>0.41965675444932016</v>
      </c>
      <c r="AH914" s="2" t="str">
        <f ca="1"/>
        <v>Bad</v>
      </c>
    </row>
    <row r="915" spans="2:34" x14ac:dyDescent="0.2">
      <c r="B915" s="2">
        <f ca="1"/>
        <v>0.46778011365420258</v>
      </c>
      <c r="O915" s="2">
        <f ca="1"/>
        <v>1.2696619849514281</v>
      </c>
      <c r="X915" s="2">
        <f ca="1"/>
        <v>29.512741762127128</v>
      </c>
      <c r="AG915" s="2">
        <f ca="1"/>
        <v>0.17577043400097603</v>
      </c>
      <c r="AH915" s="2" t="str">
        <f ca="1"/>
        <v>OK</v>
      </c>
    </row>
    <row r="916" spans="2:34" x14ac:dyDescent="0.2">
      <c r="B916" s="2">
        <f ca="1"/>
        <v>0.98118248836120703</v>
      </c>
      <c r="O916" s="2">
        <f ca="1"/>
        <v>-1.1644365015912217</v>
      </c>
      <c r="X916" s="2">
        <f ca="1"/>
        <v>68.997803270717228</v>
      </c>
      <c r="AG916" s="2">
        <f ca="1"/>
        <v>0.95277944694155403</v>
      </c>
      <c r="AH916" s="2" t="str">
        <f ca="1"/>
        <v>Bad</v>
      </c>
    </row>
    <row r="917" spans="2:34" x14ac:dyDescent="0.2">
      <c r="B917" s="2">
        <f ca="1"/>
        <v>0.60001333187697758</v>
      </c>
      <c r="O917" s="2">
        <f ca="1"/>
        <v>2.1568362937118981</v>
      </c>
      <c r="X917" s="2">
        <f ca="1"/>
        <v>43.068510935479161</v>
      </c>
      <c r="AG917" s="2">
        <f ca="1"/>
        <v>0.44106344634469141</v>
      </c>
      <c r="AH917" s="2" t="str">
        <f ca="1"/>
        <v>Bad</v>
      </c>
    </row>
    <row r="918" spans="2:34" x14ac:dyDescent="0.2">
      <c r="B918" s="2">
        <f ca="1"/>
        <v>0.49286286168996907</v>
      </c>
      <c r="O918" s="2">
        <f ca="1"/>
        <v>-0.70950060328222697</v>
      </c>
      <c r="X918" s="2">
        <f ca="1"/>
        <v>35.108988576763721</v>
      </c>
      <c r="AG918" s="2">
        <f ca="1"/>
        <v>0.18560402850326829</v>
      </c>
      <c r="AH918" s="2" t="str">
        <f ca="1"/>
        <v>OK</v>
      </c>
    </row>
    <row r="919" spans="2:34" x14ac:dyDescent="0.2">
      <c r="B919" s="2">
        <f ca="1"/>
        <v>0.28176892350407079</v>
      </c>
      <c r="O919" s="2">
        <f ca="1"/>
        <v>1.0307160941340041</v>
      </c>
      <c r="X919" s="2">
        <f ca="1"/>
        <v>37.641530824451721</v>
      </c>
      <c r="AG919" s="2">
        <f ca="1"/>
        <v>0.87073086230170316</v>
      </c>
      <c r="AH919" s="2" t="str">
        <f ca="1"/>
        <v>Bad</v>
      </c>
    </row>
    <row r="920" spans="2:34" x14ac:dyDescent="0.2">
      <c r="B920" s="2">
        <f ca="1"/>
        <v>0.273798802988382</v>
      </c>
      <c r="O920" s="2">
        <f ca="1"/>
        <v>-1.1217661716711924</v>
      </c>
      <c r="X920" s="2">
        <f ca="1"/>
        <v>78.422696628532805</v>
      </c>
      <c r="AG920" s="2">
        <f ca="1"/>
        <v>0.76691434755055354</v>
      </c>
      <c r="AH920" s="2" t="str">
        <f ca="1"/>
        <v>Bad</v>
      </c>
    </row>
    <row r="921" spans="2:34" x14ac:dyDescent="0.2">
      <c r="B921" s="2">
        <f ca="1"/>
        <v>0.93361962398439902</v>
      </c>
      <c r="O921" s="2">
        <f ca="1"/>
        <v>-1.8429897982294836</v>
      </c>
      <c r="X921" s="2">
        <f ca="1"/>
        <v>46.901395449441367</v>
      </c>
      <c r="AG921" s="2">
        <f ca="1"/>
        <v>0.30483513552034891</v>
      </c>
      <c r="AH921" s="2" t="str">
        <f ca="1"/>
        <v>OK</v>
      </c>
    </row>
    <row r="922" spans="2:34" x14ac:dyDescent="0.2">
      <c r="B922" s="2">
        <f ca="1"/>
        <v>0.33774294086967349</v>
      </c>
      <c r="O922" s="2">
        <f ca="1"/>
        <v>1.5371409851667326</v>
      </c>
      <c r="X922" s="2">
        <f ca="1"/>
        <v>69.794741321875108</v>
      </c>
      <c r="AG922" s="2">
        <f ca="1"/>
        <v>0.62488471180757044</v>
      </c>
      <c r="AH922" s="2" t="str">
        <f ca="1"/>
        <v>Bad</v>
      </c>
    </row>
    <row r="923" spans="2:34" x14ac:dyDescent="0.2">
      <c r="B923" s="2">
        <f ca="1"/>
        <v>0.28093537838166593</v>
      </c>
      <c r="O923" s="2">
        <f ca="1"/>
        <v>-2.2392246676415763</v>
      </c>
      <c r="X923" s="2">
        <f ca="1"/>
        <v>69.273518930289242</v>
      </c>
      <c r="AG923" s="2">
        <f ca="1"/>
        <v>0.21183077062077271</v>
      </c>
      <c r="AH923" s="2" t="str">
        <f ca="1"/>
        <v>OK</v>
      </c>
    </row>
    <row r="924" spans="2:34" x14ac:dyDescent="0.2">
      <c r="B924" s="2">
        <f ca="1"/>
        <v>0.11451124904181365</v>
      </c>
      <c r="O924" s="2">
        <f ca="1"/>
        <v>0.11897975846572258</v>
      </c>
      <c r="X924" s="2">
        <f ca="1"/>
        <v>39.014145119278673</v>
      </c>
      <c r="AG924" s="2">
        <f ca="1"/>
        <v>0.44226769530335974</v>
      </c>
      <c r="AH924" s="2" t="str">
        <f ca="1"/>
        <v>Bad</v>
      </c>
    </row>
    <row r="925" spans="2:34" x14ac:dyDescent="0.2">
      <c r="B925" s="2">
        <f ca="1"/>
        <v>0.71800757431751072</v>
      </c>
      <c r="O925" s="2">
        <f ca="1"/>
        <v>-6.1339225601796721E-2</v>
      </c>
      <c r="X925" s="2">
        <f ca="1"/>
        <v>53.403874190536442</v>
      </c>
      <c r="AG925" s="2">
        <f ca="1"/>
        <v>0.83420538381173226</v>
      </c>
      <c r="AH925" s="2" t="str">
        <f ca="1"/>
        <v>Bad</v>
      </c>
    </row>
    <row r="926" spans="2:34" x14ac:dyDescent="0.2">
      <c r="B926" s="2">
        <f ca="1"/>
        <v>0.97024324084276659</v>
      </c>
      <c r="O926" s="2">
        <f ca="1"/>
        <v>0.8919434208564081</v>
      </c>
      <c r="X926" s="2">
        <f ca="1"/>
        <v>38.513206729294936</v>
      </c>
      <c r="AG926" s="2">
        <f ca="1"/>
        <v>0.64515781572163111</v>
      </c>
      <c r="AH926" s="2" t="str">
        <f ca="1"/>
        <v>Bad</v>
      </c>
    </row>
    <row r="927" spans="2:34" x14ac:dyDescent="0.2">
      <c r="B927" s="2">
        <f ca="1"/>
        <v>5.5603004066787198E-2</v>
      </c>
      <c r="O927" s="2">
        <f ca="1"/>
        <v>-0.21385739183696384</v>
      </c>
      <c r="X927" s="2">
        <f ca="1"/>
        <v>36.152066561577222</v>
      </c>
      <c r="AG927" s="2">
        <f ca="1"/>
        <v>0.54508196523048413</v>
      </c>
      <c r="AH927" s="2" t="str">
        <f ca="1"/>
        <v>Bad</v>
      </c>
    </row>
    <row r="928" spans="2:34" x14ac:dyDescent="0.2">
      <c r="B928" s="2">
        <f ca="1"/>
        <v>0.11191774899708795</v>
      </c>
      <c r="O928" s="2">
        <f ca="1"/>
        <v>0.51158462783961911</v>
      </c>
      <c r="X928" s="2">
        <f ca="1"/>
        <v>61.374886966470953</v>
      </c>
      <c r="AG928" s="2">
        <f ca="1"/>
        <v>0.87084119364475465</v>
      </c>
      <c r="AH928" s="2" t="str">
        <f ca="1"/>
        <v>Bad</v>
      </c>
    </row>
    <row r="929" spans="2:34" x14ac:dyDescent="0.2">
      <c r="B929" s="2">
        <f ca="1"/>
        <v>7.7742300708912637E-2</v>
      </c>
      <c r="O929" s="2">
        <f ca="1"/>
        <v>0.36469893551957128</v>
      </c>
      <c r="X929" s="2">
        <f ca="1"/>
        <v>29.059579748314171</v>
      </c>
      <c r="AG929" s="2">
        <f ca="1"/>
        <v>0.3984190316996683</v>
      </c>
      <c r="AH929" s="2" t="str">
        <f ca="1"/>
        <v>OK</v>
      </c>
    </row>
    <row r="930" spans="2:34" x14ac:dyDescent="0.2">
      <c r="B930" s="2">
        <f ca="1"/>
        <v>0.22240858635073413</v>
      </c>
      <c r="O930" s="2">
        <f ca="1"/>
        <v>0.73702260817956966</v>
      </c>
      <c r="X930" s="2">
        <f ca="1"/>
        <v>30.928315405886671</v>
      </c>
      <c r="AG930" s="2">
        <f ca="1"/>
        <v>0.84891064747520351</v>
      </c>
      <c r="AH930" s="2" t="str">
        <f ca="1"/>
        <v>Bad</v>
      </c>
    </row>
    <row r="931" spans="2:34" x14ac:dyDescent="0.2">
      <c r="B931" s="2">
        <f ca="1"/>
        <v>0.17770683851593772</v>
      </c>
      <c r="O931" s="2">
        <f ca="1"/>
        <v>-0.49528898975310381</v>
      </c>
      <c r="X931" s="2">
        <f ca="1"/>
        <v>59.325898147644622</v>
      </c>
      <c r="AG931" s="2">
        <f ca="1"/>
        <v>0.95458415718685785</v>
      </c>
      <c r="AH931" s="2" t="str">
        <f ca="1"/>
        <v>Bad</v>
      </c>
    </row>
    <row r="932" spans="2:34" x14ac:dyDescent="0.2">
      <c r="B932" s="2">
        <f ca="1"/>
        <v>0.67651180375479925</v>
      </c>
      <c r="O932" s="2">
        <f ca="1"/>
        <v>-0.21015691034380779</v>
      </c>
      <c r="X932" s="2">
        <f ca="1"/>
        <v>92.522363483183199</v>
      </c>
      <c r="AG932" s="2">
        <f ca="1"/>
        <v>8.0502783848729553E-2</v>
      </c>
      <c r="AH932" s="2" t="str">
        <f ca="1"/>
        <v>OK</v>
      </c>
    </row>
    <row r="933" spans="2:34" x14ac:dyDescent="0.2">
      <c r="B933" s="2">
        <f ca="1"/>
        <v>0.88772336010255071</v>
      </c>
      <c r="O933" s="2">
        <f ca="1"/>
        <v>-1.398745576325005</v>
      </c>
      <c r="X933" s="2">
        <f ca="1"/>
        <v>25.87863185689271</v>
      </c>
      <c r="AG933" s="2">
        <f ca="1"/>
        <v>0.78243677661979083</v>
      </c>
      <c r="AH933" s="2" t="str">
        <f ca="1"/>
        <v>Bad</v>
      </c>
    </row>
    <row r="934" spans="2:34" x14ac:dyDescent="0.2">
      <c r="B934" s="2">
        <f ca="1"/>
        <v>8.3786277358684602E-2</v>
      </c>
      <c r="O934" s="2">
        <f ca="1"/>
        <v>-0.84113810355835394</v>
      </c>
      <c r="X934" s="2">
        <f ca="1"/>
        <v>50.066679724265519</v>
      </c>
      <c r="AG934" s="2">
        <f ca="1"/>
        <v>4.2181831677641224E-2</v>
      </c>
      <c r="AH934" s="2" t="str">
        <f ca="1"/>
        <v>Good</v>
      </c>
    </row>
    <row r="935" spans="2:34" x14ac:dyDescent="0.2">
      <c r="B935" s="2">
        <f ca="1"/>
        <v>0.47259658291106854</v>
      </c>
      <c r="O935" s="2">
        <f ca="1"/>
        <v>-0.96645158936304665</v>
      </c>
      <c r="X935" s="2">
        <f ca="1"/>
        <v>31.248699149003755</v>
      </c>
      <c r="AG935" s="2">
        <f ca="1"/>
        <v>0.14890048360522012</v>
      </c>
      <c r="AH935" s="2" t="str">
        <f ca="1"/>
        <v>OK</v>
      </c>
    </row>
    <row r="936" spans="2:34" x14ac:dyDescent="0.2">
      <c r="B936" s="2">
        <f ca="1"/>
        <v>0.51898098821643868</v>
      </c>
      <c r="O936" s="2">
        <f ca="1"/>
        <v>0.82062375319858893</v>
      </c>
      <c r="X936" s="2">
        <f ca="1"/>
        <v>30.629165532264505</v>
      </c>
      <c r="AG936" s="2">
        <f ca="1"/>
        <v>0.39443723535105302</v>
      </c>
      <c r="AH936" s="2" t="str">
        <f ca="1"/>
        <v>OK</v>
      </c>
    </row>
    <row r="937" spans="2:34" x14ac:dyDescent="0.2">
      <c r="B937" s="2">
        <f ca="1"/>
        <v>0.90111538639325328</v>
      </c>
      <c r="O937" s="2">
        <f ca="1"/>
        <v>0.79185550317500653</v>
      </c>
      <c r="X937" s="2">
        <f ca="1"/>
        <v>39.716646343443372</v>
      </c>
      <c r="AG937" s="2">
        <f ca="1"/>
        <v>0.26350309940975492</v>
      </c>
      <c r="AH937" s="2" t="str">
        <f ca="1"/>
        <v>OK</v>
      </c>
    </row>
    <row r="938" spans="2:34" x14ac:dyDescent="0.2">
      <c r="B938" s="2">
        <f ca="1"/>
        <v>0.20719442434368274</v>
      </c>
      <c r="O938" s="2">
        <f ca="1"/>
        <v>-0.47821475640169087</v>
      </c>
      <c r="X938" s="2">
        <f ca="1"/>
        <v>47.027178064587474</v>
      </c>
      <c r="AG938" s="2">
        <f ca="1"/>
        <v>0.43462587003428998</v>
      </c>
      <c r="AH938" s="2" t="str">
        <f ca="1"/>
        <v>Bad</v>
      </c>
    </row>
    <row r="939" spans="2:34" x14ac:dyDescent="0.2">
      <c r="B939" s="2">
        <f ca="1"/>
        <v>0.78582560329826023</v>
      </c>
      <c r="O939" s="2">
        <f ca="1"/>
        <v>0.73698983515610428</v>
      </c>
      <c r="X939" s="2">
        <f ca="1"/>
        <v>42.954438091680693</v>
      </c>
      <c r="AG939" s="2">
        <f ca="1"/>
        <v>0.5548478061062283</v>
      </c>
      <c r="AH939" s="2" t="str">
        <f ca="1"/>
        <v>Bad</v>
      </c>
    </row>
    <row r="940" spans="2:34" x14ac:dyDescent="0.2">
      <c r="B940" s="2">
        <f ca="1"/>
        <v>0.12108837727441535</v>
      </c>
      <c r="O940" s="2">
        <f ca="1"/>
        <v>-1.6646031659979419</v>
      </c>
      <c r="X940" s="2">
        <f ca="1"/>
        <v>50.837891370011015</v>
      </c>
      <c r="AG940" s="2">
        <f ca="1"/>
        <v>4.9288969446038555E-2</v>
      </c>
      <c r="AH940" s="2" t="str">
        <f ca="1"/>
        <v>Good</v>
      </c>
    </row>
    <row r="941" spans="2:34" x14ac:dyDescent="0.2">
      <c r="B941" s="2">
        <f ca="1"/>
        <v>0.27959989065615432</v>
      </c>
      <c r="O941" s="2">
        <f ca="1"/>
        <v>-1.0059435825275878</v>
      </c>
      <c r="X941" s="2">
        <f ca="1"/>
        <v>43.797259236782182</v>
      </c>
      <c r="AG941" s="2">
        <f ca="1"/>
        <v>0.74033360119857039</v>
      </c>
      <c r="AH941" s="2" t="str">
        <f ca="1"/>
        <v>Bad</v>
      </c>
    </row>
    <row r="942" spans="2:34" x14ac:dyDescent="0.2">
      <c r="B942" s="2">
        <f ca="1"/>
        <v>0.8386925664982503</v>
      </c>
      <c r="O942" s="2">
        <f ca="1"/>
        <v>-1.6620170742665625</v>
      </c>
      <c r="X942" s="2">
        <f ca="1"/>
        <v>36.423601580213955</v>
      </c>
      <c r="AG942" s="2">
        <f ca="1"/>
        <v>0.36624804806193967</v>
      </c>
      <c r="AH942" s="2" t="str">
        <f ca="1"/>
        <v>OK</v>
      </c>
    </row>
    <row r="943" spans="2:34" x14ac:dyDescent="0.2">
      <c r="B943" s="2">
        <f ca="1"/>
        <v>0.82184778415522097</v>
      </c>
      <c r="O943" s="2">
        <f ca="1"/>
        <v>0.39398521908049405</v>
      </c>
      <c r="X943" s="2">
        <f ca="1"/>
        <v>38.850523295386949</v>
      </c>
      <c r="AG943" s="2">
        <f ca="1"/>
        <v>5.6016808275358043E-2</v>
      </c>
      <c r="AH943" s="2" t="str">
        <f ca="1"/>
        <v>OK</v>
      </c>
    </row>
    <row r="944" spans="2:34" x14ac:dyDescent="0.2">
      <c r="B944" s="2">
        <f ca="1"/>
        <v>0.33548705754940777</v>
      </c>
      <c r="O944" s="2">
        <f ca="1"/>
        <v>-0.50241317739414082</v>
      </c>
      <c r="X944" s="2">
        <f ca="1"/>
        <v>59.794362082993175</v>
      </c>
      <c r="AG944" s="2">
        <f ca="1"/>
        <v>0.7724969388628673</v>
      </c>
      <c r="AH944" s="2" t="str">
        <f ca="1"/>
        <v>Bad</v>
      </c>
    </row>
    <row r="945" spans="2:34" x14ac:dyDescent="0.2">
      <c r="B945" s="2">
        <f ca="1"/>
        <v>0.55143131862772621</v>
      </c>
      <c r="O945" s="2">
        <f ca="1"/>
        <v>0.7531537061396496</v>
      </c>
      <c r="X945" s="2">
        <f ca="1"/>
        <v>55.883910569701612</v>
      </c>
      <c r="AG945" s="2">
        <f ca="1"/>
        <v>0.15164062179452253</v>
      </c>
      <c r="AH945" s="2" t="str">
        <f ca="1"/>
        <v>OK</v>
      </c>
    </row>
    <row r="946" spans="2:34" x14ac:dyDescent="0.2">
      <c r="B946" s="2">
        <f ca="1"/>
        <v>0.12520873774716068</v>
      </c>
      <c r="O946" s="2">
        <f ca="1"/>
        <v>0.61916469149326758</v>
      </c>
      <c r="X946" s="2">
        <f ca="1"/>
        <v>24.346451476004475</v>
      </c>
      <c r="AG946" s="2">
        <f ca="1"/>
        <v>0.3635468620388389</v>
      </c>
      <c r="AH946" s="2" t="str">
        <f ca="1"/>
        <v>OK</v>
      </c>
    </row>
    <row r="947" spans="2:34" x14ac:dyDescent="0.2">
      <c r="B947" s="2">
        <f ca="1"/>
        <v>0.39854480655703339</v>
      </c>
      <c r="O947" s="2">
        <f ca="1"/>
        <v>0.91643371310522803</v>
      </c>
      <c r="X947" s="2">
        <f ca="1"/>
        <v>63.214679342997428</v>
      </c>
      <c r="AG947" s="2">
        <f ca="1"/>
        <v>0.51331517475388821</v>
      </c>
      <c r="AH947" s="2" t="str">
        <f ca="1"/>
        <v>Bad</v>
      </c>
    </row>
    <row r="948" spans="2:34" x14ac:dyDescent="0.2">
      <c r="B948" s="2">
        <f ca="1"/>
        <v>0.51329153545058248</v>
      </c>
      <c r="O948" s="2">
        <f ca="1"/>
        <v>1.676032926554355</v>
      </c>
      <c r="X948" s="2">
        <f ca="1"/>
        <v>62.744113101124235</v>
      </c>
      <c r="AG948" s="2">
        <f ca="1"/>
        <v>0.49813912448334952</v>
      </c>
      <c r="AH948" s="2" t="str">
        <f ca="1"/>
        <v>Bad</v>
      </c>
    </row>
    <row r="949" spans="2:34" x14ac:dyDescent="0.2">
      <c r="B949" s="2">
        <f ca="1"/>
        <v>0.69621058836539529</v>
      </c>
      <c r="O949" s="2">
        <f ca="1"/>
        <v>-3.9445005599905374E-2</v>
      </c>
      <c r="X949" s="2">
        <f ca="1"/>
        <v>40.852421593824822</v>
      </c>
      <c r="AG949" s="2">
        <f ca="1"/>
        <v>0.11339842196745376</v>
      </c>
      <c r="AH949" s="2" t="str">
        <f ca="1"/>
        <v>OK</v>
      </c>
    </row>
    <row r="950" spans="2:34" x14ac:dyDescent="0.2">
      <c r="B950" s="2">
        <f ca="1"/>
        <v>0.24316839702445447</v>
      </c>
      <c r="O950" s="2">
        <f ca="1"/>
        <v>-0.2746125250644148</v>
      </c>
      <c r="X950" s="2">
        <f ca="1"/>
        <v>43.213571374015686</v>
      </c>
      <c r="AG950" s="2">
        <f ca="1"/>
        <v>0.90666110511171571</v>
      </c>
      <c r="AH950" s="2" t="str">
        <f ca="1"/>
        <v>Bad</v>
      </c>
    </row>
    <row r="951" spans="2:34" x14ac:dyDescent="0.2">
      <c r="B951" s="2">
        <f ca="1"/>
        <v>0.30676666956951459</v>
      </c>
      <c r="O951" s="2">
        <f ca="1"/>
        <v>-2.271487906460441</v>
      </c>
      <c r="X951" s="2">
        <f ca="1"/>
        <v>49.588667249984148</v>
      </c>
      <c r="AG951" s="2">
        <f ca="1"/>
        <v>0.72185128571857926</v>
      </c>
      <c r="AH951" s="2" t="str">
        <f ca="1"/>
        <v>Bad</v>
      </c>
    </row>
    <row r="952" spans="2:34" x14ac:dyDescent="0.2">
      <c r="B952" s="2">
        <f ca="1"/>
        <v>2.2506960462393311E-2</v>
      </c>
      <c r="O952" s="2">
        <f ca="1"/>
        <v>1.5013837621613295</v>
      </c>
      <c r="X952" s="2">
        <f ca="1"/>
        <v>54.097131727387662</v>
      </c>
      <c r="AG952" s="2">
        <f ca="1"/>
        <v>0.88726659073941527</v>
      </c>
      <c r="AH952" s="2" t="str">
        <f ca="1"/>
        <v>Bad</v>
      </c>
    </row>
    <row r="953" spans="2:34" x14ac:dyDescent="0.2">
      <c r="B953" s="2">
        <f ca="1"/>
        <v>0.4547332843578149</v>
      </c>
      <c r="O953" s="2">
        <f ca="1"/>
        <v>0.37608502019712375</v>
      </c>
      <c r="X953" s="2">
        <f ca="1"/>
        <v>38.351080752068697</v>
      </c>
      <c r="AG953" s="2">
        <f ca="1"/>
        <v>0.53304139163501341</v>
      </c>
      <c r="AH953" s="2" t="str">
        <f ca="1"/>
        <v>Bad</v>
      </c>
    </row>
    <row r="954" spans="2:34" x14ac:dyDescent="0.2">
      <c r="B954" s="2">
        <f ca="1"/>
        <v>0.44210043637046059</v>
      </c>
      <c r="O954" s="2">
        <f ca="1"/>
        <v>-0.96661359067063302</v>
      </c>
      <c r="X954" s="2">
        <f ca="1"/>
        <v>47.357977396995153</v>
      </c>
      <c r="AG954" s="2">
        <f ca="1"/>
        <v>0.535412814845039</v>
      </c>
      <c r="AH954" s="2" t="str">
        <f ca="1"/>
        <v>Bad</v>
      </c>
    </row>
    <row r="955" spans="2:34" x14ac:dyDescent="0.2">
      <c r="B955" s="2">
        <f ca="1"/>
        <v>0.40544642273224474</v>
      </c>
      <c r="O955" s="2">
        <f ca="1"/>
        <v>1.627419260930955</v>
      </c>
      <c r="X955" s="2">
        <f ca="1"/>
        <v>52.818478763317714</v>
      </c>
      <c r="AG955" s="2">
        <f ca="1"/>
        <v>0.38686796751365193</v>
      </c>
      <c r="AH955" s="2" t="str">
        <f ca="1"/>
        <v>OK</v>
      </c>
    </row>
    <row r="956" spans="2:34" x14ac:dyDescent="0.2">
      <c r="B956" s="2">
        <f ca="1"/>
        <v>0.22001627559871695</v>
      </c>
      <c r="O956" s="2">
        <f ca="1"/>
        <v>0.13727517376566184</v>
      </c>
      <c r="X956" s="2">
        <f ca="1"/>
        <v>34.088117939853902</v>
      </c>
      <c r="AG956" s="2">
        <f ca="1"/>
        <v>0.7572090728234866</v>
      </c>
      <c r="AH956" s="2" t="str">
        <f ca="1"/>
        <v>Bad</v>
      </c>
    </row>
    <row r="957" spans="2:34" x14ac:dyDescent="0.2">
      <c r="B957" s="2">
        <f ca="1"/>
        <v>0.76735707223438987</v>
      </c>
      <c r="O957" s="2">
        <f ca="1"/>
        <v>0.95910268548087874</v>
      </c>
      <c r="X957" s="2">
        <f ca="1"/>
        <v>38.825115235838581</v>
      </c>
      <c r="AG957" s="2">
        <f ca="1"/>
        <v>0.45662459750661677</v>
      </c>
      <c r="AH957" s="2" t="str">
        <f ca="1"/>
        <v>Bad</v>
      </c>
    </row>
    <row r="958" spans="2:34" x14ac:dyDescent="0.2">
      <c r="B958" s="2">
        <f ca="1"/>
        <v>0.12270174279202983</v>
      </c>
      <c r="O958" s="2">
        <f ca="1"/>
        <v>-0.81163885011961412</v>
      </c>
      <c r="X958" s="2">
        <f ca="1"/>
        <v>38.503912001866226</v>
      </c>
      <c r="AG958" s="2">
        <f ca="1"/>
        <v>0.95887856104779834</v>
      </c>
      <c r="AH958" s="2" t="str">
        <f ca="1"/>
        <v>Bad</v>
      </c>
    </row>
    <row r="959" spans="2:34" x14ac:dyDescent="0.2">
      <c r="B959" s="2">
        <f ca="1"/>
        <v>2.9735034973652041E-2</v>
      </c>
      <c r="O959" s="2">
        <f ca="1"/>
        <v>-1.2778202737904021</v>
      </c>
      <c r="X959" s="2">
        <f ca="1"/>
        <v>45.526443726586777</v>
      </c>
      <c r="AG959" s="2">
        <f ca="1"/>
        <v>7.5332105214266809E-2</v>
      </c>
      <c r="AH959" s="2" t="str">
        <f ca="1"/>
        <v>OK</v>
      </c>
    </row>
    <row r="960" spans="2:34" x14ac:dyDescent="0.2">
      <c r="B960" s="2">
        <f ca="1"/>
        <v>5.5990026191420794E-2</v>
      </c>
      <c r="O960" s="2">
        <f ca="1"/>
        <v>-0.84927250737413484</v>
      </c>
      <c r="X960" s="2">
        <f ca="1"/>
        <v>36.600603285515689</v>
      </c>
      <c r="AG960" s="2">
        <f ca="1"/>
        <v>0.47984898595718728</v>
      </c>
      <c r="AH960" s="2" t="str">
        <f ca="1"/>
        <v>Bad</v>
      </c>
    </row>
    <row r="961" spans="2:34" x14ac:dyDescent="0.2">
      <c r="B961" s="2">
        <f ca="1"/>
        <v>6.328526765062481E-2</v>
      </c>
      <c r="O961" s="2">
        <f ca="1"/>
        <v>1.7894416496118233</v>
      </c>
      <c r="X961" s="2">
        <f ca="1"/>
        <v>35.976649246226472</v>
      </c>
      <c r="AG961" s="2">
        <f ca="1"/>
        <v>0.51893466060123794</v>
      </c>
      <c r="AH961" s="2" t="str">
        <f ca="1"/>
        <v>Bad</v>
      </c>
    </row>
    <row r="962" spans="2:34" x14ac:dyDescent="0.2">
      <c r="B962" s="2">
        <f ca="1"/>
        <v>4.0755193651188071E-2</v>
      </c>
      <c r="O962" s="2">
        <f ca="1"/>
        <v>-0.93345084258345701</v>
      </c>
      <c r="X962" s="2">
        <f ca="1"/>
        <v>47.092608011422556</v>
      </c>
      <c r="AG962" s="2">
        <f ca="1"/>
        <v>0.36572695955440016</v>
      </c>
      <c r="AH962" s="2" t="str">
        <f ca="1"/>
        <v>OK</v>
      </c>
    </row>
    <row r="963" spans="2:34" x14ac:dyDescent="0.2">
      <c r="B963" s="2">
        <f ca="1"/>
        <v>0.96307536391074677</v>
      </c>
      <c r="O963" s="2">
        <f ca="1"/>
        <v>8.0863375081611996E-2</v>
      </c>
      <c r="X963" s="2">
        <f ca="1"/>
        <v>35.295735122025221</v>
      </c>
      <c r="AG963" s="2">
        <f ca="1"/>
        <v>0.81935818235057134</v>
      </c>
      <c r="AH963" s="2" t="str">
        <f ca="1"/>
        <v>Bad</v>
      </c>
    </row>
    <row r="964" spans="2:34" x14ac:dyDescent="0.2">
      <c r="B964" s="2">
        <f ca="1"/>
        <v>0.23417791411531685</v>
      </c>
      <c r="O964" s="2">
        <f ca="1"/>
        <v>-0.15795182960089596</v>
      </c>
      <c r="X964" s="2">
        <f ca="1"/>
        <v>51.576809457637822</v>
      </c>
      <c r="AG964" s="2">
        <f ca="1"/>
        <v>9.7238622718079482E-2</v>
      </c>
      <c r="AH964" s="2" t="str">
        <f ca="1"/>
        <v>OK</v>
      </c>
    </row>
    <row r="965" spans="2:34" x14ac:dyDescent="0.2">
      <c r="B965" s="2">
        <f ca="1"/>
        <v>0.10320552680844908</v>
      </c>
      <c r="O965" s="2">
        <f ca="1"/>
        <v>0.8367374452291495</v>
      </c>
      <c r="X965" s="2">
        <f ca="1"/>
        <v>47.31316330030333</v>
      </c>
      <c r="AG965" s="2">
        <f ca="1"/>
        <v>0.37054076300970107</v>
      </c>
      <c r="AH965" s="2" t="str">
        <f ca="1"/>
        <v>OK</v>
      </c>
    </row>
    <row r="966" spans="2:34" x14ac:dyDescent="0.2">
      <c r="B966" s="2">
        <f ca="1"/>
        <v>0.75032124643091991</v>
      </c>
      <c r="O966" s="2">
        <f ca="1"/>
        <v>-0.44918741086997777</v>
      </c>
      <c r="X966" s="2">
        <f ca="1"/>
        <v>68.834112515805344</v>
      </c>
      <c r="AG966" s="2">
        <f ca="1"/>
        <v>0.51796656384457207</v>
      </c>
      <c r="AH966" s="2" t="str">
        <f ca="1"/>
        <v>Bad</v>
      </c>
    </row>
    <row r="967" spans="2:34" x14ac:dyDescent="0.2">
      <c r="B967" s="2">
        <f ca="1"/>
        <v>0.30994742024096555</v>
      </c>
      <c r="O967" s="2">
        <f ca="1"/>
        <v>0.20404838061775221</v>
      </c>
      <c r="X967" s="2">
        <f ca="1"/>
        <v>45.480062771004555</v>
      </c>
      <c r="AG967" s="2">
        <f ca="1"/>
        <v>0.37810372517595936</v>
      </c>
      <c r="AH967" s="2" t="str">
        <f ca="1"/>
        <v>OK</v>
      </c>
    </row>
    <row r="968" spans="2:34" x14ac:dyDescent="0.2">
      <c r="B968" s="2">
        <f ca="1"/>
        <v>0.60385687569707125</v>
      </c>
      <c r="O968" s="2">
        <f ca="1"/>
        <v>0.18464469585071785</v>
      </c>
      <c r="X968" s="2">
        <f ca="1"/>
        <v>46.552013050254828</v>
      </c>
      <c r="AG968" s="2">
        <f ca="1"/>
        <v>0.17456033819989658</v>
      </c>
      <c r="AH968" s="2" t="str">
        <f ca="1"/>
        <v>OK</v>
      </c>
    </row>
    <row r="969" spans="2:34" x14ac:dyDescent="0.2">
      <c r="B969" s="2">
        <f ca="1"/>
        <v>0.60142679833371648</v>
      </c>
      <c r="O969" s="2">
        <f ca="1"/>
        <v>0.40801946560712055</v>
      </c>
      <c r="X969" s="2">
        <f ca="1"/>
        <v>34.476499926747742</v>
      </c>
      <c r="AG969" s="2">
        <f ca="1"/>
        <v>0.51280821820945355</v>
      </c>
      <c r="AH969" s="2" t="str">
        <f ca="1"/>
        <v>Bad</v>
      </c>
    </row>
    <row r="970" spans="2:34" x14ac:dyDescent="0.2">
      <c r="B970" s="2">
        <f ca="1"/>
        <v>0.74724127924428996</v>
      </c>
      <c r="O970" s="2">
        <f ca="1"/>
        <v>-0.21713588669235678</v>
      </c>
      <c r="X970" s="2">
        <f ca="1"/>
        <v>31.35478300760515</v>
      </c>
      <c r="AG970" s="2">
        <f ca="1"/>
        <v>2.7220502548242376E-2</v>
      </c>
      <c r="AH970" s="2" t="str">
        <f ca="1"/>
        <v>Good</v>
      </c>
    </row>
    <row r="971" spans="2:34" x14ac:dyDescent="0.2">
      <c r="B971" s="2">
        <f ca="1"/>
        <v>0.93174474208245117</v>
      </c>
      <c r="O971" s="2">
        <f ca="1"/>
        <v>0.34262273265735554</v>
      </c>
      <c r="X971" s="2">
        <f ca="1"/>
        <v>51.313297981948011</v>
      </c>
      <c r="AG971" s="2">
        <f ca="1"/>
        <v>0.28622308477251979</v>
      </c>
      <c r="AH971" s="2" t="str">
        <f ca="1"/>
        <v>OK</v>
      </c>
    </row>
    <row r="972" spans="2:34" x14ac:dyDescent="0.2">
      <c r="B972" s="2">
        <f ca="1"/>
        <v>0.59049402243907956</v>
      </c>
      <c r="O972" s="2">
        <f ca="1"/>
        <v>8.6119252369987728E-2</v>
      </c>
      <c r="X972" s="2">
        <f ca="1"/>
        <v>25.967731945551684</v>
      </c>
      <c r="AG972" s="2">
        <f ca="1"/>
        <v>0.63860786347858212</v>
      </c>
      <c r="AH972" s="2" t="str">
        <f ca="1"/>
        <v>Bad</v>
      </c>
    </row>
    <row r="973" spans="2:34" x14ac:dyDescent="0.2">
      <c r="B973" s="2">
        <f ca="1"/>
        <v>0.35007118718410934</v>
      </c>
      <c r="O973" s="2">
        <f ca="1"/>
        <v>-1.8553808171269734</v>
      </c>
      <c r="X973" s="2">
        <f ca="1"/>
        <v>46.009901778886174</v>
      </c>
      <c r="AG973" s="2">
        <f ca="1"/>
        <v>0.91943177188119241</v>
      </c>
      <c r="AH973" s="2" t="str">
        <f ca="1"/>
        <v>Bad</v>
      </c>
    </row>
    <row r="974" spans="2:34" x14ac:dyDescent="0.2">
      <c r="B974" s="2">
        <f ca="1"/>
        <v>0.98283572059227353</v>
      </c>
      <c r="O974" s="2">
        <f ca="1"/>
        <v>-2.0608281059226981</v>
      </c>
      <c r="X974" s="2">
        <f ca="1"/>
        <v>70.488946418681849</v>
      </c>
      <c r="AG974" s="2">
        <f ca="1"/>
        <v>0.16951607455230855</v>
      </c>
      <c r="AH974" s="2" t="str">
        <f ca="1"/>
        <v>OK</v>
      </c>
    </row>
    <row r="975" spans="2:34" x14ac:dyDescent="0.2">
      <c r="B975" s="2">
        <f ca="1"/>
        <v>0.71651867138687919</v>
      </c>
      <c r="O975" s="2">
        <f ca="1"/>
        <v>1.5226808821395468</v>
      </c>
      <c r="X975" s="2">
        <f ca="1"/>
        <v>41.833889779617827</v>
      </c>
      <c r="AG975" s="2">
        <f ca="1"/>
        <v>0.33761310115076926</v>
      </c>
      <c r="AH975" s="2" t="str">
        <f ca="1"/>
        <v>OK</v>
      </c>
    </row>
    <row r="976" spans="2:34" x14ac:dyDescent="0.2">
      <c r="B976" s="2">
        <f ca="1"/>
        <v>0.88001015164213237</v>
      </c>
      <c r="O976" s="2">
        <f ca="1"/>
        <v>0.30654827644718535</v>
      </c>
      <c r="X976" s="2">
        <f ca="1"/>
        <v>45.510146842228387</v>
      </c>
      <c r="AG976" s="2">
        <f ca="1"/>
        <v>9.9766037869538415E-2</v>
      </c>
      <c r="AH976" s="2" t="str">
        <f ca="1"/>
        <v>OK</v>
      </c>
    </row>
    <row r="977" spans="2:34" x14ac:dyDescent="0.2">
      <c r="B977" s="2">
        <f ca="1"/>
        <v>5.6946525577986629E-2</v>
      </c>
      <c r="O977" s="2">
        <f ca="1"/>
        <v>-0.16143446985431625</v>
      </c>
      <c r="X977" s="2">
        <f ca="1"/>
        <v>49.051261047825278</v>
      </c>
      <c r="AG977" s="2">
        <f ca="1"/>
        <v>0.90454991491060488</v>
      </c>
      <c r="AH977" s="2" t="str">
        <f ca="1"/>
        <v>Bad</v>
      </c>
    </row>
    <row r="978" spans="2:34" x14ac:dyDescent="0.2">
      <c r="B978" s="2">
        <f ca="1"/>
        <v>0.2815535596340184</v>
      </c>
      <c r="O978" s="2">
        <f ca="1"/>
        <v>1.4482485378849157E-2</v>
      </c>
      <c r="X978" s="2">
        <f ca="1"/>
        <v>25.310131141274205</v>
      </c>
      <c r="AG978" s="2">
        <f ca="1"/>
        <v>0.5925395532424429</v>
      </c>
      <c r="AH978" s="2" t="str">
        <f ca="1"/>
        <v>Bad</v>
      </c>
    </row>
    <row r="979" spans="2:34" x14ac:dyDescent="0.2">
      <c r="B979" s="2">
        <f ca="1"/>
        <v>0.74739605773872864</v>
      </c>
      <c r="O979" s="2">
        <f ca="1"/>
        <v>0.26165471428169595</v>
      </c>
      <c r="X979" s="2">
        <f ca="1"/>
        <v>73.264684569657717</v>
      </c>
      <c r="AG979" s="2">
        <f ca="1"/>
        <v>0.80128980159320773</v>
      </c>
      <c r="AH979" s="2" t="str">
        <f ca="1"/>
        <v>Bad</v>
      </c>
    </row>
    <row r="980" spans="2:34" x14ac:dyDescent="0.2">
      <c r="B980" s="2">
        <f ca="1"/>
        <v>0.57812399381463098</v>
      </c>
      <c r="O980" s="2">
        <f ca="1"/>
        <v>0.24508314430797665</v>
      </c>
      <c r="X980" s="2">
        <f ca="1"/>
        <v>45.230133458282715</v>
      </c>
      <c r="AG980" s="2">
        <f ca="1"/>
        <v>0.81873894790635937</v>
      </c>
      <c r="AH980" s="2" t="str">
        <f ca="1"/>
        <v>Bad</v>
      </c>
    </row>
    <row r="981" spans="2:34" x14ac:dyDescent="0.2">
      <c r="B981" s="2">
        <f ca="1"/>
        <v>0.34229931698956428</v>
      </c>
      <c r="O981" s="2">
        <f ca="1"/>
        <v>-0.49664458153689761</v>
      </c>
      <c r="X981" s="2">
        <f ca="1"/>
        <v>53.140323591527626</v>
      </c>
      <c r="AG981" s="2">
        <f ca="1"/>
        <v>0.58447341641652817</v>
      </c>
      <c r="AH981" s="2" t="str">
        <f ca="1"/>
        <v>Bad</v>
      </c>
    </row>
    <row r="982" spans="2:34" x14ac:dyDescent="0.2">
      <c r="B982" s="2">
        <f ca="1"/>
        <v>0.30414325615528859</v>
      </c>
      <c r="O982" s="2">
        <f ca="1"/>
        <v>7.7230640941538142E-2</v>
      </c>
      <c r="X982" s="2">
        <f ca="1"/>
        <v>23.714595178763137</v>
      </c>
      <c r="AG982" s="2">
        <f ca="1"/>
        <v>0.93446481415056826</v>
      </c>
      <c r="AH982" s="2" t="str">
        <f ca="1"/>
        <v>Bad</v>
      </c>
    </row>
    <row r="983" spans="2:34" x14ac:dyDescent="0.2">
      <c r="B983" s="2">
        <f ca="1"/>
        <v>0.24346802592769379</v>
      </c>
      <c r="O983" s="2">
        <f ca="1"/>
        <v>0.26440748265672281</v>
      </c>
      <c r="X983" s="2">
        <f ca="1"/>
        <v>39.350770130584685</v>
      </c>
      <c r="AG983" s="2">
        <f ca="1"/>
        <v>0.11900375998153923</v>
      </c>
      <c r="AH983" s="2" t="str">
        <f ca="1"/>
        <v>OK</v>
      </c>
    </row>
    <row r="984" spans="2:34" x14ac:dyDescent="0.2">
      <c r="B984" s="2">
        <f ca="1"/>
        <v>0.33382122944771786</v>
      </c>
      <c r="O984" s="2">
        <f ca="1"/>
        <v>-1.9939871375393394</v>
      </c>
      <c r="X984" s="2">
        <f ca="1"/>
        <v>51.668705675744533</v>
      </c>
      <c r="AG984" s="2">
        <f ca="1"/>
        <v>0.32360530161626233</v>
      </c>
      <c r="AH984" s="2" t="str">
        <f ca="1"/>
        <v>OK</v>
      </c>
    </row>
    <row r="985" spans="2:34" x14ac:dyDescent="0.2">
      <c r="B985" s="2">
        <f ca="1"/>
        <v>0.82093466128519221</v>
      </c>
      <c r="O985" s="2">
        <f ca="1"/>
        <v>1.1280691372195586</v>
      </c>
      <c r="X985" s="2">
        <f ca="1"/>
        <v>62.920723304191227</v>
      </c>
      <c r="AG985" s="2">
        <f ca="1"/>
        <v>0.1316451266266927</v>
      </c>
      <c r="AH985" s="2" t="str">
        <f ca="1"/>
        <v>OK</v>
      </c>
    </row>
    <row r="986" spans="2:34" x14ac:dyDescent="0.2">
      <c r="B986" s="2">
        <f ca="1"/>
        <v>0.5627826289274982</v>
      </c>
      <c r="O986" s="2">
        <f ca="1"/>
        <v>-1.3761955653315108</v>
      </c>
      <c r="X986" s="2">
        <f ca="1"/>
        <v>60.590372551434434</v>
      </c>
      <c r="AG986" s="2">
        <f ca="1"/>
        <v>9.7589308875587477E-3</v>
      </c>
      <c r="AH986" s="2" t="str">
        <f ca="1"/>
        <v>Good</v>
      </c>
    </row>
    <row r="987" spans="2:34" x14ac:dyDescent="0.2">
      <c r="B987" s="2">
        <f ca="1"/>
        <v>0.31723321248084635</v>
      </c>
      <c r="O987" s="2">
        <f ca="1"/>
        <v>0.10027911512753333</v>
      </c>
      <c r="X987" s="2">
        <f ca="1"/>
        <v>16.784796302445987</v>
      </c>
      <c r="AG987" s="2">
        <f ca="1"/>
        <v>0.22720057015360018</v>
      </c>
      <c r="AH987" s="2" t="str">
        <f ca="1"/>
        <v>OK</v>
      </c>
    </row>
    <row r="988" spans="2:34" x14ac:dyDescent="0.2">
      <c r="B988" s="2">
        <f ca="1"/>
        <v>2.9488607598910921E-2</v>
      </c>
      <c r="O988" s="2">
        <f ca="1"/>
        <v>-0.37209723876354367</v>
      </c>
      <c r="X988" s="2">
        <f ca="1"/>
        <v>56.99057656384096</v>
      </c>
      <c r="AG988" s="2">
        <f ca="1"/>
        <v>0.19349711156675298</v>
      </c>
      <c r="AH988" s="2" t="str">
        <f ca="1"/>
        <v>OK</v>
      </c>
    </row>
    <row r="989" spans="2:34" x14ac:dyDescent="0.2">
      <c r="B989" s="2">
        <f ca="1"/>
        <v>0.28039733692433</v>
      </c>
      <c r="O989" s="2">
        <f ca="1"/>
        <v>0.37104639403291989</v>
      </c>
      <c r="X989" s="2">
        <f ca="1"/>
        <v>81.185429343215461</v>
      </c>
      <c r="AG989" s="2">
        <f ca="1"/>
        <v>0.6312137013434771</v>
      </c>
      <c r="AH989" s="2" t="str">
        <f ca="1"/>
        <v>Bad</v>
      </c>
    </row>
    <row r="990" spans="2:34" x14ac:dyDescent="0.2">
      <c r="B990" s="2">
        <f ca="1"/>
        <v>0.48935980370739629</v>
      </c>
      <c r="O990" s="2">
        <f ca="1"/>
        <v>0.13684877812513171</v>
      </c>
      <c r="X990" s="2">
        <f ca="1"/>
        <v>25.047147662913861</v>
      </c>
      <c r="AG990" s="2">
        <f ca="1"/>
        <v>0.72247170729002752</v>
      </c>
      <c r="AH990" s="2" t="str">
        <f ca="1"/>
        <v>Bad</v>
      </c>
    </row>
    <row r="991" spans="2:34" x14ac:dyDescent="0.2">
      <c r="B991" s="2">
        <f ca="1"/>
        <v>0.60979591394688937</v>
      </c>
      <c r="O991" s="2">
        <f ca="1"/>
        <v>1.3599338164771819</v>
      </c>
      <c r="X991" s="2">
        <f ca="1"/>
        <v>29.958839596578194</v>
      </c>
      <c r="AG991" s="2">
        <f ca="1"/>
        <v>0.41880464718224908</v>
      </c>
      <c r="AH991" s="2" t="str">
        <f ca="1"/>
        <v>Bad</v>
      </c>
    </row>
    <row r="992" spans="2:34" x14ac:dyDescent="0.2">
      <c r="B992" s="2">
        <f ca="1"/>
        <v>0.8288845594551395</v>
      </c>
      <c r="O992" s="2">
        <f ca="1"/>
        <v>0.2020689836301498</v>
      </c>
      <c r="X992" s="2">
        <f ca="1"/>
        <v>40.961831936521442</v>
      </c>
      <c r="AG992" s="2">
        <f ca="1"/>
        <v>0.80675503464230314</v>
      </c>
      <c r="AH992" s="2" t="str">
        <f ca="1"/>
        <v>Bad</v>
      </c>
    </row>
    <row r="993" spans="2:34" x14ac:dyDescent="0.2">
      <c r="B993" s="2">
        <f ca="1"/>
        <v>0.90766685855499762</v>
      </c>
      <c r="O993" s="2">
        <f ca="1"/>
        <v>-0.69724127398447744</v>
      </c>
      <c r="X993" s="2">
        <f ca="1"/>
        <v>65.682189254147147</v>
      </c>
      <c r="AG993" s="2">
        <f ca="1"/>
        <v>0.57195779257940016</v>
      </c>
      <c r="AH993" s="2" t="str">
        <f ca="1"/>
        <v>Bad</v>
      </c>
    </row>
    <row r="994" spans="2:34" x14ac:dyDescent="0.2">
      <c r="B994" s="2">
        <f ca="1"/>
        <v>0.30828092183755285</v>
      </c>
      <c r="O994" s="2">
        <f ca="1"/>
        <v>1.1844406827540725</v>
      </c>
      <c r="X994" s="2">
        <f ca="1"/>
        <v>27.663307510537813</v>
      </c>
      <c r="AG994" s="2">
        <f ca="1"/>
        <v>0.57637307958450745</v>
      </c>
      <c r="AH994" s="2" t="str">
        <f ca="1"/>
        <v>Bad</v>
      </c>
    </row>
    <row r="995" spans="2:34" x14ac:dyDescent="0.2">
      <c r="B995" s="2">
        <f ca="1"/>
        <v>0.70870342062452041</v>
      </c>
      <c r="O995" s="2">
        <f ca="1"/>
        <v>3.0103600818772863E-2</v>
      </c>
      <c r="X995" s="2">
        <f ca="1"/>
        <v>67.133425644869902</v>
      </c>
      <c r="AG995" s="2">
        <f ca="1"/>
        <v>0.17928442405183409</v>
      </c>
      <c r="AH995" s="2" t="str">
        <f ca="1"/>
        <v>OK</v>
      </c>
    </row>
    <row r="996" spans="2:34" x14ac:dyDescent="0.2">
      <c r="B996" s="2">
        <f ca="1"/>
        <v>0.55660127086596956</v>
      </c>
      <c r="O996" s="2">
        <f ca="1"/>
        <v>-1.0723568109817052</v>
      </c>
      <c r="X996" s="2">
        <f ca="1"/>
        <v>56.318501906896884</v>
      </c>
      <c r="AG996" s="2">
        <f ca="1"/>
        <v>0.74840210386154582</v>
      </c>
      <c r="AH996" s="2" t="str">
        <f ca="1"/>
        <v>Bad</v>
      </c>
    </row>
    <row r="997" spans="2:34" x14ac:dyDescent="0.2">
      <c r="B997" s="2">
        <f ca="1"/>
        <v>0.75884361891695873</v>
      </c>
      <c r="O997" s="2">
        <f ca="1"/>
        <v>-0.66273095727792841</v>
      </c>
      <c r="X997" s="2">
        <f ca="1"/>
        <v>50.262042991307027</v>
      </c>
      <c r="AG997" s="2">
        <f ca="1"/>
        <v>0.64891726136396999</v>
      </c>
      <c r="AH997" s="2" t="str">
        <f ca="1"/>
        <v>Bad</v>
      </c>
    </row>
    <row r="998" spans="2:34" x14ac:dyDescent="0.2">
      <c r="B998" s="2">
        <f ca="1"/>
        <v>0.69719789958332856</v>
      </c>
      <c r="O998" s="2">
        <f ca="1"/>
        <v>1.3678209481374179</v>
      </c>
      <c r="X998" s="2">
        <f ca="1"/>
        <v>60.223616851458004</v>
      </c>
      <c r="AG998" s="2">
        <f ca="1"/>
        <v>0.5342344328965889</v>
      </c>
      <c r="AH998" s="2" t="str">
        <f ca="1"/>
        <v>Bad</v>
      </c>
    </row>
    <row r="999" spans="2:34" x14ac:dyDescent="0.2">
      <c r="B999" s="2">
        <f ca="1"/>
        <v>0.7215372067412571</v>
      </c>
      <c r="O999" s="2">
        <f ca="1"/>
        <v>-0.50839601975833593</v>
      </c>
      <c r="X999" s="2">
        <f ca="1"/>
        <v>37.473507279323229</v>
      </c>
      <c r="AG999" s="2">
        <f ca="1"/>
        <v>0.4829629460179008</v>
      </c>
      <c r="AH999" s="2" t="str">
        <f ca="1"/>
        <v>Bad</v>
      </c>
    </row>
    <row r="1000" spans="2:34" x14ac:dyDescent="0.2">
      <c r="B1000" s="2">
        <f ca="1"/>
        <v>0.9816709460830173</v>
      </c>
      <c r="O1000" s="2">
        <f ca="1"/>
        <v>0.52366315652410977</v>
      </c>
      <c r="X1000" s="2">
        <f ca="1"/>
        <v>78.439930128856219</v>
      </c>
      <c r="AG1000" s="2">
        <f ca="1"/>
        <v>0.15666169565649413</v>
      </c>
      <c r="AH1000" s="2" t="str">
        <f ca="1"/>
        <v>OK</v>
      </c>
    </row>
    <row r="1001" spans="2:34" x14ac:dyDescent="0.2">
      <c r="B1001" s="2">
        <f ca="1"/>
        <v>0.2695372341408504</v>
      </c>
      <c r="O1001" s="2">
        <f ca="1"/>
        <v>-9.9583475717437614E-2</v>
      </c>
      <c r="X1001" s="2">
        <f ca="1"/>
        <v>66.875819185081099</v>
      </c>
      <c r="AG1001" s="2">
        <f ca="1"/>
        <v>0.25412768004181574</v>
      </c>
      <c r="AH1001" s="2" t="str">
        <f ca="1"/>
        <v>OK</v>
      </c>
    </row>
    <row r="1002" spans="2:34" x14ac:dyDescent="0.2">
      <c r="B1002" s="2">
        <f ca="1"/>
        <v>0.40528150814334385</v>
      </c>
      <c r="O1002" s="2">
        <f ca="1"/>
        <v>-2.8277896402574627</v>
      </c>
      <c r="X1002" s="2">
        <f ca="1"/>
        <v>111.83512370024373</v>
      </c>
      <c r="AG1002" s="2">
        <f ca="1"/>
        <v>0.9703810387929781</v>
      </c>
      <c r="AH1002" s="2" t="str">
        <f ca="1"/>
        <v>Bad</v>
      </c>
    </row>
    <row r="1003" spans="2:34" x14ac:dyDescent="0.2">
      <c r="B1003" s="2">
        <f ca="1"/>
        <v>0.55012193577106139</v>
      </c>
      <c r="O1003" s="2">
        <f ca="1"/>
        <v>-0.21162708397318025</v>
      </c>
      <c r="X1003" s="2">
        <f ca="1"/>
        <v>72.269778794753577</v>
      </c>
      <c r="AG1003" s="2">
        <f ca="1"/>
        <v>0.76285031187208929</v>
      </c>
      <c r="AH1003" s="2" t="str">
        <f ca="1"/>
        <v>Bad</v>
      </c>
    </row>
    <row r="1004" spans="2:34" x14ac:dyDescent="0.2">
      <c r="B1004" s="2">
        <f ca="1"/>
        <v>0.37658030124671193</v>
      </c>
      <c r="O1004" s="2">
        <f ca="1"/>
        <v>-0.4825491711221605</v>
      </c>
      <c r="X1004" s="2">
        <f ca="1"/>
        <v>58.304252576725759</v>
      </c>
      <c r="AG1004" s="2">
        <f ca="1"/>
        <v>0.89547753689239973</v>
      </c>
      <c r="AH1004" s="2" t="str">
        <f ca="1"/>
        <v>Bad</v>
      </c>
    </row>
    <row r="1005" spans="2:34" x14ac:dyDescent="0.2">
      <c r="B1005" s="2">
        <f ca="1"/>
        <v>5.8464835165662254E-2</v>
      </c>
      <c r="O1005" s="2">
        <f ca="1"/>
        <v>-0.34935535961251807</v>
      </c>
      <c r="X1005" s="2">
        <f ca="1"/>
        <v>48.657125373079644</v>
      </c>
      <c r="AG1005" s="2">
        <f ca="1"/>
        <v>0.96230806566209548</v>
      </c>
      <c r="AH1005" s="2" t="str">
        <f ca="1"/>
        <v>Bad</v>
      </c>
    </row>
    <row r="1006" spans="2:34" x14ac:dyDescent="0.2">
      <c r="B1006" s="2">
        <f ca="1"/>
        <v>0.11569540298597425</v>
      </c>
      <c r="O1006" s="2">
        <f ca="1"/>
        <v>-0.41609496296598564</v>
      </c>
      <c r="X1006" s="2">
        <f ca="1"/>
        <v>59.050819922158581</v>
      </c>
      <c r="AG1006" s="2">
        <f ca="1"/>
        <v>0.49977763445942713</v>
      </c>
      <c r="AH1006" s="2" t="str">
        <f ca="1"/>
        <v>Bad</v>
      </c>
    </row>
    <row r="1007" spans="2:34" x14ac:dyDescent="0.2">
      <c r="B1007" s="2">
        <f ca="1"/>
        <v>0.40181891389961932</v>
      </c>
      <c r="O1007" s="2">
        <f ca="1"/>
        <v>1.084593398675836</v>
      </c>
      <c r="X1007" s="2">
        <f ca="1"/>
        <v>69.392167467726125</v>
      </c>
      <c r="AG1007" s="2">
        <f ca="1"/>
        <v>0.88404891988319978</v>
      </c>
      <c r="AH1007" s="2" t="str">
        <f ca="1"/>
        <v>Bad</v>
      </c>
    </row>
    <row r="1008" spans="2:34" x14ac:dyDescent="0.2">
      <c r="B1008" s="2">
        <f ca="1"/>
        <v>0.90592992074223333</v>
      </c>
      <c r="O1008" s="2">
        <f ca="1"/>
        <v>-0.80109178425150795</v>
      </c>
      <c r="X1008" s="2">
        <f ca="1"/>
        <v>48.695552643105167</v>
      </c>
      <c r="AG1008" s="2">
        <f ca="1"/>
        <v>0.19929150706101217</v>
      </c>
      <c r="AH1008" s="2" t="str">
        <f ca="1"/>
        <v>OK</v>
      </c>
    </row>
    <row r="1009" spans="2:34" x14ac:dyDescent="0.2">
      <c r="B1009" s="2">
        <f ca="1"/>
        <v>0.24279419014556436</v>
      </c>
      <c r="O1009" s="2">
        <f ca="1"/>
        <v>0.15015013038748284</v>
      </c>
      <c r="X1009" s="2">
        <f ca="1"/>
        <v>56.366785464324224</v>
      </c>
      <c r="AG1009" s="2">
        <f ca="1"/>
        <v>6.5627466766191578E-2</v>
      </c>
      <c r="AH1009" s="2" t="str">
        <f ca="1"/>
        <v>OK</v>
      </c>
    </row>
    <row r="1010" spans="2:34" x14ac:dyDescent="0.2">
      <c r="B1010" s="2">
        <f ca="1"/>
        <v>0.48484147697218472</v>
      </c>
      <c r="O1010" s="2">
        <f ca="1"/>
        <v>-0.9479096586395116</v>
      </c>
      <c r="X1010" s="2">
        <f ca="1"/>
        <v>59.499767948191902</v>
      </c>
      <c r="AG1010" s="2">
        <f ca="1"/>
        <v>0.517861615331352</v>
      </c>
      <c r="AH1010" s="2" t="str">
        <f ca="1"/>
        <v>Bad</v>
      </c>
    </row>
    <row r="1011" spans="2:34" x14ac:dyDescent="0.2">
      <c r="B1011" s="2">
        <f ca="1"/>
        <v>0.8263355047606542</v>
      </c>
      <c r="O1011" s="2">
        <f ca="1"/>
        <v>-0.69063742293395358</v>
      </c>
      <c r="X1011" s="2">
        <f ca="1"/>
        <v>49.664543467981169</v>
      </c>
      <c r="AG1011" s="2">
        <f ca="1"/>
        <v>0.39938995680735356</v>
      </c>
      <c r="AH1011" s="2" t="str">
        <f ca="1"/>
        <v>OK</v>
      </c>
    </row>
    <row r="1012" spans="2:34" x14ac:dyDescent="0.2">
      <c r="B1012" s="2">
        <f ca="1"/>
        <v>0.1044557206080341</v>
      </c>
      <c r="O1012" s="2">
        <f ca="1"/>
        <v>1.0698795735473248</v>
      </c>
      <c r="X1012" s="2">
        <f ca="1"/>
        <v>41.100972735875594</v>
      </c>
      <c r="AG1012" s="2">
        <f ca="1"/>
        <v>0.5141401177565339</v>
      </c>
      <c r="AH1012" s="2" t="str">
        <f ca="1"/>
        <v>Bad</v>
      </c>
    </row>
    <row r="1013" spans="2:34" x14ac:dyDescent="0.2">
      <c r="B1013" s="2">
        <f ca="1"/>
        <v>0.43866597924081674</v>
      </c>
      <c r="O1013" s="2">
        <f ca="1"/>
        <v>1.5275872203770648</v>
      </c>
      <c r="X1013" s="2">
        <f ca="1"/>
        <v>59.42852613350265</v>
      </c>
      <c r="AG1013" s="2">
        <f ca="1"/>
        <v>0.9032955361120123</v>
      </c>
      <c r="AH1013" s="2" t="str">
        <f ca="1"/>
        <v>Bad</v>
      </c>
    </row>
    <row r="1014" spans="2:34" x14ac:dyDescent="0.2">
      <c r="B1014" s="2">
        <f ca="1"/>
        <v>0.5087637645997527</v>
      </c>
      <c r="O1014" s="2">
        <f ca="1"/>
        <v>-9.6393715527727644E-2</v>
      </c>
      <c r="X1014" s="2">
        <f ca="1"/>
        <v>70.834122299059203</v>
      </c>
      <c r="AG1014" s="2">
        <f ca="1"/>
        <v>0.9360112738558326</v>
      </c>
      <c r="AH1014" s="2" t="str">
        <f ca="1"/>
        <v>Bad</v>
      </c>
    </row>
    <row r="1015" spans="2:34" x14ac:dyDescent="0.2">
      <c r="B1015" s="2">
        <f ca="1"/>
        <v>0.5629029163376631</v>
      </c>
      <c r="O1015" s="2">
        <f ca="1"/>
        <v>1.3259789520941268</v>
      </c>
      <c r="X1015" s="2">
        <f ca="1"/>
        <v>45.394241082651817</v>
      </c>
      <c r="AG1015" s="2">
        <f ca="1"/>
        <v>0.68753194182189703</v>
      </c>
      <c r="AH1015" s="2" t="str">
        <f ca="1"/>
        <v>Bad</v>
      </c>
    </row>
    <row r="1016" spans="2:34" x14ac:dyDescent="0.2">
      <c r="B1016" s="2">
        <f ca="1"/>
        <v>0.26560754394026564</v>
      </c>
      <c r="O1016" s="2">
        <f ca="1"/>
        <v>1.6711739041047377E-2</v>
      </c>
      <c r="X1016" s="2">
        <f ca="1"/>
        <v>62.455088454811822</v>
      </c>
      <c r="AG1016" s="2">
        <f ca="1"/>
        <v>0.29235672037435911</v>
      </c>
      <c r="AH1016" s="2" t="str">
        <f ca="1"/>
        <v>OK</v>
      </c>
    </row>
    <row r="1017" spans="2:34" x14ac:dyDescent="0.2">
      <c r="B1017" s="2">
        <f ca="1"/>
        <v>0.5548824620595818</v>
      </c>
      <c r="O1017" s="2">
        <f ca="1"/>
        <v>0.49245446150138084</v>
      </c>
      <c r="X1017" s="2">
        <f ca="1"/>
        <v>33.254909707269171</v>
      </c>
      <c r="AG1017" s="2">
        <f ca="1"/>
        <v>0.99092225327494243</v>
      </c>
      <c r="AH1017" s="2" t="str">
        <f ca="1"/>
        <v>Bad</v>
      </c>
    </row>
    <row r="1018" spans="2:34" x14ac:dyDescent="0.2">
      <c r="B1018" s="2">
        <f ca="1"/>
        <v>0.21660572710791914</v>
      </c>
      <c r="O1018" s="2">
        <f ca="1"/>
        <v>-1.9421179839605416</v>
      </c>
      <c r="X1018" s="2">
        <f ca="1"/>
        <v>48.965381870994946</v>
      </c>
      <c r="AG1018" s="2">
        <f ca="1"/>
        <v>0.25692621489543166</v>
      </c>
      <c r="AH1018" s="2" t="str">
        <f ca="1"/>
        <v>OK</v>
      </c>
    </row>
    <row r="1019" spans="2:34" x14ac:dyDescent="0.2">
      <c r="B1019" s="2">
        <f ca="1"/>
        <v>0.64670000965379648</v>
      </c>
      <c r="O1019" s="2">
        <f ca="1"/>
        <v>-8.932179242804808E-2</v>
      </c>
      <c r="X1019" s="2">
        <f ca="1"/>
        <v>57.043733781999464</v>
      </c>
      <c r="AG1019" s="2">
        <f ca="1"/>
        <v>0.60324868833991685</v>
      </c>
      <c r="AH1019" s="2" t="str">
        <f ca="1"/>
        <v>Bad</v>
      </c>
    </row>
    <row r="1020" spans="2:34" x14ac:dyDescent="0.2">
      <c r="B1020" s="2">
        <f ca="1"/>
        <v>0.84856673453816001</v>
      </c>
      <c r="O1020" s="2">
        <f ca="1"/>
        <v>1.100462489120011</v>
      </c>
      <c r="X1020" s="2">
        <f ca="1"/>
        <v>64.682306691977999</v>
      </c>
      <c r="AG1020" s="2">
        <f ca="1"/>
        <v>0.89131908649166269</v>
      </c>
      <c r="AH1020" s="2" t="str">
        <f ca="1"/>
        <v>Bad</v>
      </c>
    </row>
    <row r="1021" spans="2:34" x14ac:dyDescent="0.2">
      <c r="B1021" s="2">
        <f ca="1"/>
        <v>0.39649123422318167</v>
      </c>
      <c r="O1021" s="2">
        <f ca="1"/>
        <v>-0.47721129242766169</v>
      </c>
      <c r="X1021" s="2">
        <f ca="1"/>
        <v>112.58225614583432</v>
      </c>
      <c r="AG1021" s="2">
        <f ca="1"/>
        <v>0.94434057654821135</v>
      </c>
      <c r="AH1021" s="2" t="str">
        <f ca="1"/>
        <v>Bad</v>
      </c>
    </row>
    <row r="1022" spans="2:34" x14ac:dyDescent="0.2">
      <c r="B1022" s="2">
        <f ca="1"/>
        <v>0.56678417563009709</v>
      </c>
      <c r="O1022" s="2">
        <f ca="1"/>
        <v>-1.6137966150382854</v>
      </c>
      <c r="X1022" s="2">
        <f ca="1"/>
        <v>32.283331097765085</v>
      </c>
      <c r="AG1022" s="2">
        <f ca="1"/>
        <v>0.98257132979128325</v>
      </c>
      <c r="AH1022" s="2" t="str">
        <f ca="1"/>
        <v>Bad</v>
      </c>
    </row>
    <row r="1023" spans="2:34" x14ac:dyDescent="0.2">
      <c r="B1023" s="2">
        <f ca="1"/>
        <v>0.89988001424419273</v>
      </c>
      <c r="O1023" s="2">
        <f ca="1"/>
        <v>-0.61105566124970234</v>
      </c>
      <c r="X1023" s="2">
        <f ca="1"/>
        <v>46.862683161296857</v>
      </c>
      <c r="AG1023" s="2">
        <f ca="1"/>
        <v>0.18537409403092986</v>
      </c>
      <c r="AH1023" s="2" t="str">
        <f ca="1"/>
        <v>OK</v>
      </c>
    </row>
    <row r="1024" spans="2:34" x14ac:dyDescent="0.2">
      <c r="B1024" s="2">
        <f ca="1"/>
        <v>3.4235291000585866E-2</v>
      </c>
      <c r="O1024" s="2">
        <f ca="1"/>
        <v>-9.1179539578369554E-3</v>
      </c>
      <c r="X1024" s="2">
        <f ca="1"/>
        <v>44.663711322926851</v>
      </c>
      <c r="AG1024" s="2">
        <f ca="1"/>
        <v>0.67363251678326819</v>
      </c>
      <c r="AH1024" s="2" t="str">
        <f ca="1"/>
        <v>Bad</v>
      </c>
    </row>
    <row r="1025" spans="2:34" x14ac:dyDescent="0.2">
      <c r="B1025" s="2">
        <f ca="1"/>
        <v>0.91324129419726452</v>
      </c>
      <c r="O1025" s="2">
        <f ca="1"/>
        <v>0.69218992430677828</v>
      </c>
      <c r="X1025" s="2">
        <f ca="1"/>
        <v>36.163370131157301</v>
      </c>
      <c r="AG1025" s="2">
        <f ca="1"/>
        <v>6.8395460323302348E-2</v>
      </c>
      <c r="AH1025" s="2" t="str">
        <f ca="1"/>
        <v>OK</v>
      </c>
    </row>
    <row r="1026" spans="2:34" x14ac:dyDescent="0.2">
      <c r="B1026" s="2">
        <f ca="1"/>
        <v>3.0964375153249124E-2</v>
      </c>
      <c r="O1026" s="2">
        <f ca="1"/>
        <v>-0.51289431659828111</v>
      </c>
      <c r="X1026" s="2">
        <f ca="1"/>
        <v>69.012192622144482</v>
      </c>
      <c r="AG1026" s="2">
        <f ca="1"/>
        <v>0.19722948900975434</v>
      </c>
      <c r="AH1026" s="2" t="str">
        <f ca="1"/>
        <v>OK</v>
      </c>
    </row>
    <row r="1027" spans="2:34" x14ac:dyDescent="0.2">
      <c r="B1027" s="2">
        <f ca="1"/>
        <v>0.90437876149905616</v>
      </c>
      <c r="O1027" s="2">
        <f ca="1"/>
        <v>1.3309648011661086</v>
      </c>
      <c r="X1027" s="2">
        <f ca="1"/>
        <v>60.200779370086579</v>
      </c>
      <c r="AG1027" s="2">
        <f ca="1"/>
        <v>0.91824851336389735</v>
      </c>
      <c r="AH1027" s="2" t="str">
        <f ca="1"/>
        <v>Bad</v>
      </c>
    </row>
    <row r="1028" spans="2:34" x14ac:dyDescent="0.2">
      <c r="B1028" s="2">
        <f ca="1"/>
        <v>0.74241910958093937</v>
      </c>
      <c r="O1028" s="2">
        <f ca="1"/>
        <v>0.13514303999195343</v>
      </c>
      <c r="X1028" s="2">
        <f ca="1"/>
        <v>33.124015612643831</v>
      </c>
      <c r="AG1028" s="2">
        <f ca="1"/>
        <v>0.31930341334932311</v>
      </c>
      <c r="AH1028" s="2" t="str">
        <f ca="1"/>
        <v>OK</v>
      </c>
    </row>
    <row r="1029" spans="2:34" x14ac:dyDescent="0.2">
      <c r="B1029" s="2">
        <f ca="1"/>
        <v>0.11742310693631342</v>
      </c>
      <c r="O1029" s="2">
        <f ca="1"/>
        <v>-0.37556549493495506</v>
      </c>
      <c r="X1029" s="2">
        <f ca="1"/>
        <v>27.9406969027449</v>
      </c>
      <c r="AG1029" s="2">
        <f ca="1"/>
        <v>0.23957595702008061</v>
      </c>
      <c r="AH1029" s="2" t="str">
        <f ca="1"/>
        <v>OK</v>
      </c>
    </row>
    <row r="1030" spans="2:34" x14ac:dyDescent="0.2">
      <c r="B1030" s="2">
        <f ca="1"/>
        <v>0.17498812735520253</v>
      </c>
      <c r="O1030" s="2">
        <f ca="1"/>
        <v>2.5745577500827492</v>
      </c>
      <c r="X1030" s="2">
        <f ca="1"/>
        <v>41.859615007810334</v>
      </c>
      <c r="AG1030" s="2">
        <f ca="1"/>
        <v>0.53641693296528126</v>
      </c>
      <c r="AH1030" s="2" t="str">
        <f ca="1"/>
        <v>Bad</v>
      </c>
    </row>
    <row r="1031" spans="2:34" x14ac:dyDescent="0.2">
      <c r="B1031" s="2">
        <f ca="1"/>
        <v>4.3835318748875585E-2</v>
      </c>
      <c r="O1031" s="2">
        <f ca="1"/>
        <v>-1.2004719247656224</v>
      </c>
      <c r="X1031" s="2">
        <f ca="1"/>
        <v>78.024228971382144</v>
      </c>
      <c r="AG1031" s="2">
        <f ca="1"/>
        <v>0.41535663631415987</v>
      </c>
      <c r="AH1031" s="2" t="str">
        <f ca="1"/>
        <v>Bad</v>
      </c>
    </row>
    <row r="1032" spans="2:34" x14ac:dyDescent="0.2">
      <c r="B1032" s="2">
        <f ca="1"/>
        <v>0.35377708450366074</v>
      </c>
      <c r="O1032" s="2">
        <f ca="1"/>
        <v>-0.81541100179600501</v>
      </c>
      <c r="X1032" s="2">
        <f ca="1"/>
        <v>45.228041809299341</v>
      </c>
      <c r="AG1032" s="2">
        <f ca="1"/>
        <v>0.43141908362190073</v>
      </c>
      <c r="AH1032" s="2" t="str">
        <f ca="1"/>
        <v>Bad</v>
      </c>
    </row>
    <row r="1033" spans="2:34" x14ac:dyDescent="0.2">
      <c r="B1033" s="2">
        <f ca="1"/>
        <v>0.61367674472523737</v>
      </c>
      <c r="O1033" s="2">
        <f ca="1"/>
        <v>-1.6190067834759061</v>
      </c>
      <c r="X1033" s="2">
        <f ca="1"/>
        <v>43.34387323366046</v>
      </c>
      <c r="AG1033" s="2">
        <f ca="1"/>
        <v>0.61858819439447044</v>
      </c>
      <c r="AH1033" s="2" t="str">
        <f ca="1"/>
        <v>Bad</v>
      </c>
    </row>
    <row r="1034" spans="2:34" x14ac:dyDescent="0.2">
      <c r="B1034" s="2">
        <f ca="1"/>
        <v>9.8720489520001564E-2</v>
      </c>
      <c r="O1034" s="2">
        <f ca="1"/>
        <v>-0.20374945432215608</v>
      </c>
      <c r="X1034" s="2">
        <f ca="1"/>
        <v>49.582831445476081</v>
      </c>
      <c r="AG1034" s="2">
        <f ca="1"/>
        <v>6.2532573677171577E-2</v>
      </c>
      <c r="AH1034" s="2" t="str">
        <f ca="1"/>
        <v>OK</v>
      </c>
    </row>
    <row r="1035" spans="2:34" x14ac:dyDescent="0.2">
      <c r="B1035" s="2">
        <f ca="1"/>
        <v>0.49152934516056557</v>
      </c>
      <c r="O1035" s="2">
        <f ca="1"/>
        <v>1.9644733153988232</v>
      </c>
      <c r="X1035" s="2">
        <f ca="1"/>
        <v>55.622022669165219</v>
      </c>
      <c r="AG1035" s="2">
        <f ca="1"/>
        <v>0.39596545919038606</v>
      </c>
      <c r="AH1035" s="2" t="str">
        <f ca="1"/>
        <v>OK</v>
      </c>
    </row>
    <row r="1036" spans="2:34" x14ac:dyDescent="0.2">
      <c r="B1036" s="2">
        <f ca="1"/>
        <v>0.32644876193380834</v>
      </c>
      <c r="O1036" s="2">
        <f ca="1"/>
        <v>1.4471181113057385</v>
      </c>
      <c r="X1036" s="2">
        <f ca="1"/>
        <v>69.489215751308791</v>
      </c>
      <c r="AG1036" s="2">
        <f ca="1"/>
        <v>0.70065880676571579</v>
      </c>
      <c r="AH1036" s="2" t="str">
        <f ca="1"/>
        <v>Bad</v>
      </c>
    </row>
    <row r="1037" spans="2:34" x14ac:dyDescent="0.2">
      <c r="B1037" s="2">
        <f ca="1"/>
        <v>0.5932439471958102</v>
      </c>
      <c r="O1037" s="2">
        <f ca="1"/>
        <v>-1.279757982890432</v>
      </c>
      <c r="X1037" s="2">
        <f ca="1"/>
        <v>41.154303485126178</v>
      </c>
      <c r="AG1037" s="2">
        <f ca="1"/>
        <v>0.92247337192744894</v>
      </c>
      <c r="AH1037" s="2" t="str">
        <f ca="1"/>
        <v>Bad</v>
      </c>
    </row>
    <row r="1038" spans="2:34" x14ac:dyDescent="0.2">
      <c r="B1038" s="2">
        <f ca="1"/>
        <v>4.5548082416912328E-2</v>
      </c>
      <c r="O1038" s="2">
        <f ca="1"/>
        <v>-0.59433407715609654</v>
      </c>
      <c r="X1038" s="2">
        <f ca="1"/>
        <v>100.9653979018814</v>
      </c>
      <c r="AG1038" s="2">
        <f ca="1"/>
        <v>0.37082310341921154</v>
      </c>
      <c r="AH1038" s="2" t="str">
        <f ca="1"/>
        <v>OK</v>
      </c>
    </row>
    <row r="1039" spans="2:34" x14ac:dyDescent="0.2">
      <c r="B1039" s="2">
        <f ca="1"/>
        <v>0.59777805045976851</v>
      </c>
      <c r="O1039" s="2">
        <f ca="1"/>
        <v>0.13790181605021629</v>
      </c>
      <c r="X1039" s="2">
        <f ca="1"/>
        <v>45.049433419998167</v>
      </c>
      <c r="AG1039" s="2">
        <f ca="1"/>
        <v>0.91755125216067301</v>
      </c>
      <c r="AH1039" s="2" t="str">
        <f ca="1"/>
        <v>Bad</v>
      </c>
    </row>
    <row r="1040" spans="2:34" x14ac:dyDescent="0.2">
      <c r="B1040" s="2">
        <f ca="1"/>
        <v>0.80803362860217787</v>
      </c>
      <c r="O1040" s="2">
        <f ca="1"/>
        <v>-1.2345008343088681</v>
      </c>
      <c r="X1040" s="2">
        <f ca="1"/>
        <v>37.462315362170656</v>
      </c>
      <c r="AG1040" s="2">
        <f ca="1"/>
        <v>0.82696496246999107</v>
      </c>
      <c r="AH1040" s="2" t="str">
        <f ca="1"/>
        <v>Bad</v>
      </c>
    </row>
    <row r="1041" spans="2:34" x14ac:dyDescent="0.2">
      <c r="B1041" s="2">
        <f ca="1"/>
        <v>0.55626075079590742</v>
      </c>
      <c r="O1041" s="2">
        <f ca="1"/>
        <v>2.428748031427745</v>
      </c>
      <c r="X1041" s="2">
        <f ca="1"/>
        <v>21.403729083860075</v>
      </c>
      <c r="AG1041" s="2">
        <f ca="1"/>
        <v>0.35894789535536886</v>
      </c>
      <c r="AH1041" s="2" t="str">
        <f ca="1"/>
        <v>OK</v>
      </c>
    </row>
    <row r="1042" spans="2:34" x14ac:dyDescent="0.2">
      <c r="B1042" s="2">
        <f ca="1"/>
        <v>0.97848214739463057</v>
      </c>
      <c r="O1042" s="2">
        <f ca="1"/>
        <v>-1.8012298028985705</v>
      </c>
      <c r="X1042" s="2">
        <f ca="1"/>
        <v>27.812986869212235</v>
      </c>
      <c r="AG1042" s="2">
        <f ca="1"/>
        <v>0.16721656696782028</v>
      </c>
      <c r="AH1042" s="2" t="str">
        <f ca="1"/>
        <v>OK</v>
      </c>
    </row>
    <row r="1043" spans="2:34" x14ac:dyDescent="0.2">
      <c r="B1043" s="2">
        <f ca="1"/>
        <v>0.60621967433315671</v>
      </c>
      <c r="O1043" s="2">
        <f ca="1"/>
        <v>0.92474595814073002</v>
      </c>
      <c r="X1043" s="2">
        <f ca="1"/>
        <v>33.672546185363373</v>
      </c>
      <c r="AG1043" s="2">
        <f ca="1"/>
        <v>0.87977447212775139</v>
      </c>
      <c r="AH1043" s="2" t="str">
        <f ca="1"/>
        <v>Bad</v>
      </c>
    </row>
    <row r="1044" spans="2:34" x14ac:dyDescent="0.2">
      <c r="B1044" s="2">
        <f ca="1"/>
        <v>0.17971167024522727</v>
      </c>
      <c r="O1044" s="2">
        <f ca="1"/>
        <v>1.2689629445413251</v>
      </c>
      <c r="X1044" s="2">
        <f ca="1"/>
        <v>52.233108504059885</v>
      </c>
      <c r="AG1044" s="2">
        <f ca="1"/>
        <v>0.98895239849241867</v>
      </c>
      <c r="AH1044" s="2" t="str">
        <f ca="1"/>
        <v>Bad</v>
      </c>
    </row>
    <row r="1045" spans="2:34" x14ac:dyDescent="0.2">
      <c r="B1045" s="2">
        <f ca="1"/>
        <v>0.92704341605139651</v>
      </c>
      <c r="O1045" s="2">
        <f ca="1"/>
        <v>7.2086396251487092E-2</v>
      </c>
      <c r="X1045" s="2">
        <f ca="1"/>
        <v>52.671073781533153</v>
      </c>
      <c r="AG1045" s="2">
        <f ca="1"/>
        <v>0.54364589708588773</v>
      </c>
      <c r="AH1045" s="2" t="str">
        <f ca="1"/>
        <v>Bad</v>
      </c>
    </row>
    <row r="1046" spans="2:34" x14ac:dyDescent="0.2">
      <c r="B1046" s="2">
        <f ca="1"/>
        <v>0.16669826912847396</v>
      </c>
      <c r="O1046" s="2">
        <f ca="1"/>
        <v>1.6926514590121127</v>
      </c>
      <c r="X1046" s="2">
        <f ca="1"/>
        <v>33.963653383699189</v>
      </c>
      <c r="AG1046" s="2">
        <f ca="1"/>
        <v>0.9652821099732305</v>
      </c>
      <c r="AH1046" s="2" t="str">
        <f ca="1"/>
        <v>Bad</v>
      </c>
    </row>
    <row r="1047" spans="2:34" x14ac:dyDescent="0.2">
      <c r="B1047" s="2">
        <f ca="1"/>
        <v>0.36025236737329602</v>
      </c>
      <c r="O1047" s="2">
        <f ca="1"/>
        <v>0.18573328027105263</v>
      </c>
      <c r="X1047" s="2">
        <f ca="1"/>
        <v>59.849496238454883</v>
      </c>
      <c r="AG1047" s="2">
        <f ca="1"/>
        <v>0.10454441804311099</v>
      </c>
      <c r="AH1047" s="2" t="str">
        <f ca="1"/>
        <v>OK</v>
      </c>
    </row>
    <row r="1048" spans="2:34" x14ac:dyDescent="0.2">
      <c r="B1048" s="2">
        <f ca="1"/>
        <v>9.0959657498768554E-2</v>
      </c>
      <c r="O1048" s="2">
        <f ca="1"/>
        <v>0.7134512235434628</v>
      </c>
      <c r="X1048" s="2">
        <f ca="1"/>
        <v>53.970510574949785</v>
      </c>
      <c r="AG1048" s="2">
        <f ca="1"/>
        <v>0.19834864737039037</v>
      </c>
      <c r="AH1048" s="2" t="str">
        <f ca="1"/>
        <v>OK</v>
      </c>
    </row>
    <row r="1049" spans="2:34" x14ac:dyDescent="0.2">
      <c r="B1049" s="2">
        <f ca="1"/>
        <v>0.16453292682357668</v>
      </c>
      <c r="O1049" s="2">
        <f ca="1"/>
        <v>-2.3273803926744694E-2</v>
      </c>
      <c r="X1049" s="2">
        <f ca="1"/>
        <v>55.570720220273202</v>
      </c>
      <c r="AG1049" s="2">
        <f ca="1"/>
        <v>0.56086402876437402</v>
      </c>
      <c r="AH1049" s="2" t="str">
        <f ca="1"/>
        <v>Bad</v>
      </c>
    </row>
    <row r="1050" spans="2:34" x14ac:dyDescent="0.2">
      <c r="B1050" s="2">
        <f ca="1"/>
        <v>0.95741915144321688</v>
      </c>
      <c r="O1050" s="2">
        <f ca="1"/>
        <v>-0.62827525222156999</v>
      </c>
      <c r="X1050" s="2">
        <f ca="1"/>
        <v>52.094705979222027</v>
      </c>
      <c r="AG1050" s="2">
        <f ca="1"/>
        <v>0.28397503021507053</v>
      </c>
      <c r="AH1050" s="2" t="str">
        <f ca="1"/>
        <v>OK</v>
      </c>
    </row>
    <row r="1051" spans="2:34" x14ac:dyDescent="0.2">
      <c r="B1051" s="2">
        <f ca="1"/>
        <v>0.405346759304968</v>
      </c>
      <c r="O1051" s="2">
        <f ca="1"/>
        <v>1.2734199619763609</v>
      </c>
      <c r="X1051" s="2">
        <f ca="1"/>
        <v>52.726006948748214</v>
      </c>
      <c r="AG1051" s="2">
        <f ca="1"/>
        <v>9.1628092136638806E-2</v>
      </c>
      <c r="AH1051" s="2" t="str">
        <f ca="1"/>
        <v>OK</v>
      </c>
    </row>
    <row r="1052" spans="2:34" x14ac:dyDescent="0.2">
      <c r="B1052" s="2">
        <f ca="1"/>
        <v>0.70304029961610182</v>
      </c>
      <c r="O1052" s="2">
        <f ca="1"/>
        <v>8.7169066757608257E-2</v>
      </c>
      <c r="X1052" s="2">
        <f ca="1"/>
        <v>37.88608579341507</v>
      </c>
      <c r="AG1052" s="2">
        <f ca="1"/>
        <v>0.30320580266840169</v>
      </c>
      <c r="AH1052" s="2" t="str">
        <f ca="1"/>
        <v>OK</v>
      </c>
    </row>
    <row r="1053" spans="2:34" x14ac:dyDescent="0.2">
      <c r="B1053" s="2">
        <f ca="1"/>
        <v>0.69437775339432695</v>
      </c>
      <c r="O1053" s="2">
        <f ca="1"/>
        <v>1.4149753678238712</v>
      </c>
      <c r="X1053" s="2">
        <f ca="1"/>
        <v>48.18240075021339</v>
      </c>
      <c r="AG1053" s="2">
        <f ca="1"/>
        <v>0.90311509547849367</v>
      </c>
      <c r="AH1053" s="2" t="str">
        <f ca="1"/>
        <v>Bad</v>
      </c>
    </row>
    <row r="1054" spans="2:34" x14ac:dyDescent="0.2">
      <c r="B1054" s="2">
        <f ca="1"/>
        <v>4.6992643293378933E-2</v>
      </c>
      <c r="O1054" s="2">
        <f ca="1"/>
        <v>-1.1537821965034838</v>
      </c>
      <c r="X1054" s="2">
        <f ca="1"/>
        <v>75.275762000797272</v>
      </c>
      <c r="AG1054" s="2">
        <f ca="1"/>
        <v>0.71380751994340019</v>
      </c>
      <c r="AH1054" s="2" t="str">
        <f ca="1"/>
        <v>Bad</v>
      </c>
    </row>
    <row r="1055" spans="2:34" x14ac:dyDescent="0.2">
      <c r="B1055" s="2">
        <f ca="1"/>
        <v>0.19199748002277017</v>
      </c>
      <c r="O1055" s="2">
        <f ca="1"/>
        <v>-6.022988626726334E-3</v>
      </c>
      <c r="X1055" s="2">
        <f ca="1"/>
        <v>60.632812112491258</v>
      </c>
      <c r="AG1055" s="2">
        <f ca="1"/>
        <v>0.38326101613661212</v>
      </c>
      <c r="AH1055" s="2" t="str">
        <f ca="1"/>
        <v>OK</v>
      </c>
    </row>
    <row r="1056" spans="2:34" x14ac:dyDescent="0.2">
      <c r="B1056" s="2">
        <f ca="1"/>
        <v>0.46847994629027534</v>
      </c>
      <c r="O1056" s="2">
        <f ca="1"/>
        <v>-1.7918236592322447</v>
      </c>
      <c r="X1056" s="2">
        <f ca="1"/>
        <v>55.078799614481966</v>
      </c>
      <c r="AG1056" s="2">
        <f ca="1"/>
        <v>0.28626292804946241</v>
      </c>
      <c r="AH1056" s="2" t="str">
        <f ca="1"/>
        <v>OK</v>
      </c>
    </row>
    <row r="1057" spans="2:34" x14ac:dyDescent="0.2">
      <c r="B1057" s="2">
        <f ca="1"/>
        <v>0.86763707577827032</v>
      </c>
      <c r="O1057" s="2">
        <f ca="1"/>
        <v>0.63419997118337379</v>
      </c>
      <c r="X1057" s="2">
        <f ca="1"/>
        <v>86.27146417800148</v>
      </c>
      <c r="AG1057" s="2">
        <f ca="1"/>
        <v>0.95309120684958115</v>
      </c>
      <c r="AH1057" s="2" t="str">
        <f ca="1"/>
        <v>Bad</v>
      </c>
    </row>
    <row r="1058" spans="2:34" x14ac:dyDescent="0.2">
      <c r="B1058" s="2">
        <f ca="1"/>
        <v>0.42835285708466064</v>
      </c>
      <c r="O1058" s="2">
        <f ca="1"/>
        <v>-0.24317196727282639</v>
      </c>
      <c r="X1058" s="2">
        <f ca="1"/>
        <v>65.914008029913148</v>
      </c>
      <c r="AG1058" s="2">
        <f ca="1"/>
        <v>0.17028606091746279</v>
      </c>
      <c r="AH1058" s="2" t="str">
        <f ca="1"/>
        <v>OK</v>
      </c>
    </row>
    <row r="1059" spans="2:34" x14ac:dyDescent="0.2">
      <c r="B1059" s="2">
        <f ca="1"/>
        <v>0.62297570712486583</v>
      </c>
      <c r="O1059" s="2">
        <f ca="1"/>
        <v>-0.52877381285281899</v>
      </c>
      <c r="X1059" s="2">
        <f ca="1"/>
        <v>39.582124293302471</v>
      </c>
      <c r="AG1059" s="2">
        <f ca="1"/>
        <v>0.76196187814843896</v>
      </c>
      <c r="AH1059" s="2" t="str">
        <f ca="1"/>
        <v>Bad</v>
      </c>
    </row>
    <row r="1060" spans="2:34" x14ac:dyDescent="0.2">
      <c r="B1060" s="2">
        <f ca="1"/>
        <v>0.8744014719623534</v>
      </c>
      <c r="O1060" s="2">
        <f ca="1"/>
        <v>1.1371465098531233</v>
      </c>
      <c r="X1060" s="2">
        <f ca="1"/>
        <v>43.581139513395833</v>
      </c>
      <c r="AG1060" s="2">
        <f ca="1"/>
        <v>2.9815384959817282E-2</v>
      </c>
      <c r="AH1060" s="2" t="str">
        <f ca="1"/>
        <v>Good</v>
      </c>
    </row>
    <row r="1061" spans="2:34" x14ac:dyDescent="0.2">
      <c r="B1061" s="2">
        <f ca="1"/>
        <v>0.58760721539244964</v>
      </c>
      <c r="O1061" s="2">
        <f ca="1"/>
        <v>1.0960737486870205</v>
      </c>
      <c r="X1061" s="2">
        <f ca="1"/>
        <v>33.615818024488441</v>
      </c>
      <c r="AG1061" s="2">
        <f ca="1"/>
        <v>5.847030518967089E-2</v>
      </c>
      <c r="AH1061" s="2" t="str">
        <f ca="1"/>
        <v>OK</v>
      </c>
    </row>
    <row r="1062" spans="2:34" x14ac:dyDescent="0.2">
      <c r="B1062" s="2">
        <f ca="1"/>
        <v>0.34464214009632954</v>
      </c>
      <c r="O1062" s="2">
        <f ca="1"/>
        <v>8.1144552188851943E-2</v>
      </c>
      <c r="X1062" s="2">
        <f ca="1"/>
        <v>51.772615430991095</v>
      </c>
      <c r="AG1062" s="2">
        <f ca="1"/>
        <v>0.99146309955227263</v>
      </c>
      <c r="AH1062" s="2" t="str">
        <f ca="1"/>
        <v>Bad</v>
      </c>
    </row>
    <row r="1063" spans="2:34" x14ac:dyDescent="0.2">
      <c r="B1063" s="2">
        <f ca="1"/>
        <v>0.59970727006303193</v>
      </c>
      <c r="O1063" s="2">
        <f ca="1"/>
        <v>0.10103429555820183</v>
      </c>
      <c r="X1063" s="2">
        <f ca="1"/>
        <v>41.090240720984099</v>
      </c>
      <c r="AG1063" s="2">
        <f ca="1"/>
        <v>0.43798973451422452</v>
      </c>
      <c r="AH1063" s="2" t="str">
        <f ca="1"/>
        <v>Bad</v>
      </c>
    </row>
    <row r="1064" spans="2:34" x14ac:dyDescent="0.2">
      <c r="B1064" s="2">
        <f ca="1"/>
        <v>0.14294279956853084</v>
      </c>
      <c r="O1064" s="2">
        <f ca="1"/>
        <v>-3.5982082800982397E-2</v>
      </c>
      <c r="X1064" s="2">
        <f ca="1"/>
        <v>37.557605572886935</v>
      </c>
      <c r="AG1064" s="2">
        <f ca="1"/>
        <v>0.79192419154224014</v>
      </c>
      <c r="AH1064" s="2" t="str">
        <f ca="1"/>
        <v>Bad</v>
      </c>
    </row>
    <row r="1065" spans="2:34" x14ac:dyDescent="0.2">
      <c r="B1065" s="2">
        <f ca="1"/>
        <v>0.19970893867070605</v>
      </c>
      <c r="O1065" s="2">
        <f ca="1"/>
        <v>2.152879175463982</v>
      </c>
      <c r="X1065" s="2">
        <f ca="1"/>
        <v>66.70831532779394</v>
      </c>
      <c r="AG1065" s="2">
        <f ca="1"/>
        <v>0.1426225009847073</v>
      </c>
      <c r="AH1065" s="2" t="str">
        <f ca="1"/>
        <v>OK</v>
      </c>
    </row>
    <row r="1066" spans="2:34" x14ac:dyDescent="0.2">
      <c r="B1066" s="2">
        <f ca="1"/>
        <v>0.53800088131535362</v>
      </c>
      <c r="O1066" s="2">
        <f ca="1"/>
        <v>-0.70849659428792666</v>
      </c>
      <c r="X1066" s="2">
        <f ca="1"/>
        <v>53.987567507530045</v>
      </c>
      <c r="AG1066" s="2">
        <f ca="1"/>
        <v>0.78122298032555171</v>
      </c>
      <c r="AH1066" s="2" t="str">
        <f ca="1"/>
        <v>Bad</v>
      </c>
    </row>
    <row r="1067" spans="2:34" x14ac:dyDescent="0.2">
      <c r="B1067" s="2">
        <f ca="1"/>
        <v>0.97188842605274606</v>
      </c>
      <c r="O1067" s="2">
        <f ca="1"/>
        <v>-0.33126500018159499</v>
      </c>
      <c r="X1067" s="2">
        <f ca="1"/>
        <v>58.444727738741221</v>
      </c>
      <c r="AG1067" s="2">
        <f ca="1"/>
        <v>0.24709674238334367</v>
      </c>
      <c r="AH1067" s="2" t="str">
        <f ca="1"/>
        <v>OK</v>
      </c>
    </row>
    <row r="1068" spans="2:34" x14ac:dyDescent="0.2">
      <c r="B1068" s="2">
        <f ca="1"/>
        <v>4.6727465361450449E-2</v>
      </c>
      <c r="O1068" s="2">
        <f ca="1"/>
        <v>0.48787754996378474</v>
      </c>
      <c r="X1068" s="2">
        <f ca="1"/>
        <v>62.704232586712784</v>
      </c>
      <c r="AG1068" s="2">
        <f ca="1"/>
        <v>0.91612962920129681</v>
      </c>
      <c r="AH1068" s="2" t="str">
        <f ca="1"/>
        <v>Bad</v>
      </c>
    </row>
    <row r="1069" spans="2:34" x14ac:dyDescent="0.2">
      <c r="B1069" s="2">
        <f ca="1"/>
        <v>0.91628410263204541</v>
      </c>
      <c r="O1069" s="2">
        <f ca="1"/>
        <v>0.48753141581617648</v>
      </c>
      <c r="X1069" s="2">
        <f ca="1"/>
        <v>37.005120272425089</v>
      </c>
      <c r="AG1069" s="2">
        <f ca="1"/>
        <v>0.85163150289778655</v>
      </c>
      <c r="AH1069" s="2" t="str">
        <f ca="1"/>
        <v>Bad</v>
      </c>
    </row>
    <row r="1070" spans="2:34" x14ac:dyDescent="0.2">
      <c r="B1070" s="2">
        <f ca="1"/>
        <v>0.94098774961438347</v>
      </c>
      <c r="O1070" s="2">
        <f ca="1"/>
        <v>0.95115051775134107</v>
      </c>
      <c r="X1070" s="2">
        <f ca="1"/>
        <v>56.570070406816143</v>
      </c>
      <c r="AG1070" s="2">
        <f ca="1"/>
        <v>0.42253600662900204</v>
      </c>
      <c r="AH1070" s="2" t="str">
        <f ca="1"/>
        <v>Bad</v>
      </c>
    </row>
    <row r="1071" spans="2:34" x14ac:dyDescent="0.2">
      <c r="B1071" s="2">
        <f ca="1"/>
        <v>0.85142739558293079</v>
      </c>
      <c r="O1071" s="2">
        <f ca="1"/>
        <v>-0.63723680746779554</v>
      </c>
      <c r="X1071" s="2">
        <f ca="1"/>
        <v>37.394482408445093</v>
      </c>
      <c r="AG1071" s="2">
        <f ca="1"/>
        <v>0.32730885141893551</v>
      </c>
      <c r="AH1071" s="2" t="str">
        <f ca="1"/>
        <v>OK</v>
      </c>
    </row>
    <row r="1072" spans="2:34" x14ac:dyDescent="0.2">
      <c r="B1072" s="2">
        <f ca="1"/>
        <v>0.48410013256999007</v>
      </c>
      <c r="O1072" s="2">
        <f ca="1"/>
        <v>5.3050529270166874E-2</v>
      </c>
      <c r="X1072" s="2">
        <f ca="1"/>
        <v>35.539751051366586</v>
      </c>
      <c r="AG1072" s="2">
        <f ca="1"/>
        <v>0.94833544348681476</v>
      </c>
      <c r="AH1072" s="2" t="str">
        <f ca="1"/>
        <v>Bad</v>
      </c>
    </row>
    <row r="1073" spans="2:34" x14ac:dyDescent="0.2">
      <c r="B1073" s="2">
        <f ca="1"/>
        <v>0.49803720102157634</v>
      </c>
      <c r="O1073" s="2">
        <f ca="1"/>
        <v>0.15194690661278026</v>
      </c>
      <c r="X1073" s="2">
        <f ca="1"/>
        <v>47.302750032659169</v>
      </c>
      <c r="AG1073" s="2">
        <f ca="1"/>
        <v>0.70453991740928124</v>
      </c>
      <c r="AH1073" s="2" t="str">
        <f ca="1"/>
        <v>Bad</v>
      </c>
    </row>
    <row r="1074" spans="2:34" x14ac:dyDescent="0.2">
      <c r="B1074" s="2">
        <f ca="1"/>
        <v>0.73752719949386969</v>
      </c>
      <c r="O1074" s="2">
        <f ca="1"/>
        <v>1.4983031103457349</v>
      </c>
      <c r="X1074" s="2">
        <f ca="1"/>
        <v>40.690582147400896</v>
      </c>
      <c r="AG1074" s="2">
        <f ca="1"/>
        <v>0.56330149412829056</v>
      </c>
      <c r="AH1074" s="2" t="str">
        <f ca="1"/>
        <v>Bad</v>
      </c>
    </row>
    <row r="1075" spans="2:34" x14ac:dyDescent="0.2">
      <c r="B1075" s="2">
        <f ca="1"/>
        <v>0.89564776854650363</v>
      </c>
      <c r="O1075" s="2">
        <f ca="1"/>
        <v>0.11793126532642112</v>
      </c>
      <c r="X1075" s="2">
        <f ca="1"/>
        <v>64.14690313027306</v>
      </c>
      <c r="AG1075" s="2">
        <f ca="1"/>
        <v>2.8849530500724363E-2</v>
      </c>
      <c r="AH1075" s="2" t="str">
        <f ca="1"/>
        <v>Good</v>
      </c>
    </row>
    <row r="1076" spans="2:34" x14ac:dyDescent="0.2">
      <c r="B1076" s="2">
        <f ca="1"/>
        <v>7.0551905404083959E-2</v>
      </c>
      <c r="O1076" s="2">
        <f ca="1"/>
        <v>-1.1482935045380349</v>
      </c>
      <c r="X1076" s="2">
        <f ca="1"/>
        <v>38.354641266964506</v>
      </c>
      <c r="AG1076" s="2">
        <f ca="1"/>
        <v>0.75848090799528878</v>
      </c>
      <c r="AH1076" s="2" t="str">
        <f ca="1"/>
        <v>Bad</v>
      </c>
    </row>
    <row r="1077" spans="2:34" x14ac:dyDescent="0.2">
      <c r="B1077" s="2">
        <f ca="1"/>
        <v>0.88287009092420377</v>
      </c>
      <c r="O1077" s="2">
        <f ca="1"/>
        <v>0.20642952919609378</v>
      </c>
      <c r="X1077" s="2">
        <f ca="1"/>
        <v>21.360586956671451</v>
      </c>
      <c r="AG1077" s="2">
        <f ca="1"/>
        <v>0.4906060284827396</v>
      </c>
      <c r="AH1077" s="2" t="str">
        <f ca="1"/>
        <v>Bad</v>
      </c>
    </row>
    <row r="1078" spans="2:34" x14ac:dyDescent="0.2">
      <c r="B1078" s="2">
        <f ca="1"/>
        <v>0.45180270073441431</v>
      </c>
      <c r="O1078" s="2">
        <f ca="1"/>
        <v>0.57894881301756052</v>
      </c>
      <c r="X1078" s="2">
        <f ca="1"/>
        <v>42.137714461143403</v>
      </c>
      <c r="AG1078" s="2">
        <f ca="1"/>
        <v>6.1501337524483723E-2</v>
      </c>
      <c r="AH1078" s="2" t="str">
        <f ca="1"/>
        <v>OK</v>
      </c>
    </row>
    <row r="1079" spans="2:34" x14ac:dyDescent="0.2">
      <c r="B1079" s="2">
        <f ca="1"/>
        <v>7.9792428742043509E-2</v>
      </c>
      <c r="O1079" s="2">
        <f ca="1"/>
        <v>0.71510106303894894</v>
      </c>
      <c r="X1079" s="2">
        <f ca="1"/>
        <v>48.142775757438216</v>
      </c>
      <c r="AG1079" s="2">
        <f ca="1"/>
        <v>0.87781708628706534</v>
      </c>
      <c r="AH1079" s="2" t="str">
        <f ca="1"/>
        <v>Bad</v>
      </c>
    </row>
    <row r="1080" spans="2:34" x14ac:dyDescent="0.2">
      <c r="B1080" s="2">
        <f ca="1"/>
        <v>0.16798396873913646</v>
      </c>
      <c r="O1080" s="2">
        <f ca="1"/>
        <v>-0.72400010800931858</v>
      </c>
      <c r="X1080" s="2">
        <f ca="1"/>
        <v>75.754868394151757</v>
      </c>
      <c r="AG1080" s="2">
        <f ca="1"/>
        <v>0.63875745311444998</v>
      </c>
      <c r="AH1080" s="2" t="str">
        <f ca="1"/>
        <v>Bad</v>
      </c>
    </row>
    <row r="1081" spans="2:34" x14ac:dyDescent="0.2">
      <c r="B1081" s="2">
        <f ca="1"/>
        <v>7.0459036396956609E-2</v>
      </c>
      <c r="O1081" s="2">
        <f ca="1"/>
        <v>-1.5280333329905427</v>
      </c>
      <c r="X1081" s="2">
        <f ca="1"/>
        <v>38.864276258041691</v>
      </c>
      <c r="AG1081" s="2">
        <f ca="1"/>
        <v>0.85105814093217536</v>
      </c>
      <c r="AH1081" s="2" t="str">
        <f ca="1"/>
        <v>Bad</v>
      </c>
    </row>
    <row r="1082" spans="2:34" x14ac:dyDescent="0.2">
      <c r="B1082" s="2">
        <f ca="1"/>
        <v>0.97633540571415978</v>
      </c>
      <c r="O1082" s="2">
        <f ca="1"/>
        <v>1.2576406254135737</v>
      </c>
      <c r="X1082" s="2">
        <f ca="1"/>
        <v>93.136166818455862</v>
      </c>
      <c r="AG1082" s="2">
        <f ca="1"/>
        <v>0.62570290969724796</v>
      </c>
      <c r="AH1082" s="2" t="str">
        <f ca="1"/>
        <v>Bad</v>
      </c>
    </row>
    <row r="1083" spans="2:34" x14ac:dyDescent="0.2">
      <c r="B1083" s="2">
        <f ca="1"/>
        <v>0.56984485740072399</v>
      </c>
      <c r="O1083" s="2">
        <f ca="1"/>
        <v>-0.5717968630961453</v>
      </c>
      <c r="X1083" s="2">
        <f ca="1"/>
        <v>57.836138106011049</v>
      </c>
      <c r="AG1083" s="2">
        <f ca="1"/>
        <v>0.25656396357670741</v>
      </c>
      <c r="AH1083" s="2" t="str">
        <f ca="1"/>
        <v>OK</v>
      </c>
    </row>
    <row r="1084" spans="2:34" x14ac:dyDescent="0.2">
      <c r="B1084" s="2">
        <f ca="1"/>
        <v>0.32140136390042273</v>
      </c>
      <c r="O1084" s="2">
        <f ca="1"/>
        <v>1.4617598766314188</v>
      </c>
      <c r="X1084" s="2">
        <f ca="1"/>
        <v>57.140746911881351</v>
      </c>
      <c r="AG1084" s="2">
        <f ca="1"/>
        <v>0.92709766026252849</v>
      </c>
      <c r="AH1084" s="2" t="str">
        <f ca="1"/>
        <v>Bad</v>
      </c>
    </row>
    <row r="1085" spans="2:34" x14ac:dyDescent="0.2">
      <c r="B1085" s="2">
        <f ca="1"/>
        <v>4.3927794259192687E-2</v>
      </c>
      <c r="O1085" s="2">
        <f ca="1"/>
        <v>-2.4338576461529957</v>
      </c>
      <c r="X1085" s="2">
        <f ca="1"/>
        <v>64.427998978802719</v>
      </c>
      <c r="AG1085" s="2">
        <f ca="1"/>
        <v>0.78242214670140875</v>
      </c>
      <c r="AH1085" s="2" t="str">
        <f ca="1"/>
        <v>Bad</v>
      </c>
    </row>
    <row r="1086" spans="2:34" x14ac:dyDescent="0.2">
      <c r="B1086" s="2">
        <f ca="1"/>
        <v>0.40881063511858184</v>
      </c>
      <c r="O1086" s="2">
        <f ca="1"/>
        <v>0.44345486333696632</v>
      </c>
      <c r="X1086" s="2">
        <f ca="1"/>
        <v>86.114410248093094</v>
      </c>
      <c r="AG1086" s="2">
        <f ca="1"/>
        <v>3.6324376080051346E-2</v>
      </c>
      <c r="AH1086" s="2" t="str">
        <f ca="1"/>
        <v>Good</v>
      </c>
    </row>
    <row r="1087" spans="2:34" x14ac:dyDescent="0.2">
      <c r="B1087" s="2">
        <f ca="1"/>
        <v>0.57458849342190432</v>
      </c>
      <c r="O1087" s="2">
        <f ca="1"/>
        <v>0.80649714383383875</v>
      </c>
      <c r="X1087" s="2">
        <f ca="1"/>
        <v>31.993521639526922</v>
      </c>
      <c r="AG1087" s="2">
        <f ca="1"/>
        <v>0.61656257363189138</v>
      </c>
      <c r="AH1087" s="2" t="str">
        <f ca="1"/>
        <v>Bad</v>
      </c>
    </row>
    <row r="1088" spans="2:34" x14ac:dyDescent="0.2">
      <c r="B1088" s="2">
        <f ca="1"/>
        <v>0.83145202197135082</v>
      </c>
      <c r="O1088" s="2">
        <f ca="1"/>
        <v>-1.7670694763813739E-2</v>
      </c>
      <c r="X1088" s="2">
        <f ca="1"/>
        <v>46.270791424253332</v>
      </c>
      <c r="AG1088" s="2">
        <f ca="1"/>
        <v>0.89977299268377608</v>
      </c>
      <c r="AH1088" s="2" t="str">
        <f ca="1"/>
        <v>Bad</v>
      </c>
    </row>
    <row r="1089" spans="2:34" x14ac:dyDescent="0.2">
      <c r="B1089" s="2">
        <f ca="1"/>
        <v>0.80909579804460918</v>
      </c>
      <c r="O1089" s="2">
        <f ca="1"/>
        <v>0.68903607233115127</v>
      </c>
      <c r="X1089" s="2">
        <f ca="1"/>
        <v>39.255404958440245</v>
      </c>
      <c r="AG1089" s="2">
        <f ca="1"/>
        <v>0.80341841839525152</v>
      </c>
      <c r="AH1089" s="2" t="str">
        <f ca="1"/>
        <v>Bad</v>
      </c>
    </row>
    <row r="1090" spans="2:34" x14ac:dyDescent="0.2">
      <c r="B1090" s="2">
        <f ca="1"/>
        <v>0.78168659047473832</v>
      </c>
      <c r="O1090" s="2">
        <f ca="1"/>
        <v>0.40364706804726896</v>
      </c>
      <c r="X1090" s="2">
        <f ca="1"/>
        <v>46.096463292322973</v>
      </c>
      <c r="AG1090" s="2">
        <f ca="1"/>
        <v>0.94700768021734993</v>
      </c>
      <c r="AH1090" s="2" t="str">
        <f ca="1"/>
        <v>Bad</v>
      </c>
    </row>
    <row r="1091" spans="2:34" x14ac:dyDescent="0.2">
      <c r="B1091" s="2">
        <f ca="1"/>
        <v>0.24935174650139502</v>
      </c>
      <c r="O1091" s="2">
        <f ca="1"/>
        <v>0.24306728055137067</v>
      </c>
      <c r="X1091" s="2">
        <f ca="1"/>
        <v>56.87971503792361</v>
      </c>
      <c r="AG1091" s="2">
        <f ca="1"/>
        <v>0.99822306008263273</v>
      </c>
      <c r="AH1091" s="2" t="str">
        <f ca="1"/>
        <v>Bad</v>
      </c>
    </row>
    <row r="1092" spans="2:34" x14ac:dyDescent="0.2">
      <c r="B1092" s="2">
        <f ca="1"/>
        <v>0.17814143781600422</v>
      </c>
      <c r="O1092" s="2">
        <f ca="1"/>
        <v>-0.29253165466326481</v>
      </c>
      <c r="X1092" s="2">
        <f ca="1"/>
        <v>50.723168873423532</v>
      </c>
      <c r="AG1092" s="2">
        <f ca="1"/>
        <v>0.13638718530442584</v>
      </c>
      <c r="AH1092" s="2" t="str">
        <f ca="1"/>
        <v>OK</v>
      </c>
    </row>
    <row r="1093" spans="2:34" x14ac:dyDescent="0.2">
      <c r="B1093" s="2">
        <f ca="1"/>
        <v>0.46512499185766298</v>
      </c>
      <c r="O1093" s="2">
        <f ca="1"/>
        <v>-0.34951342211420428</v>
      </c>
      <c r="X1093" s="2">
        <f ca="1"/>
        <v>49.099199173859027</v>
      </c>
      <c r="AG1093" s="2">
        <f ca="1"/>
        <v>0.28022367890698963</v>
      </c>
      <c r="AH1093" s="2" t="str">
        <f ca="1"/>
        <v>OK</v>
      </c>
    </row>
    <row r="1094" spans="2:34" x14ac:dyDescent="0.2">
      <c r="B1094" s="2">
        <f ca="1"/>
        <v>0.59629661849456084</v>
      </c>
      <c r="O1094" s="2">
        <f ca="1"/>
        <v>-1.4958913718747906</v>
      </c>
      <c r="X1094" s="2">
        <f ca="1"/>
        <v>41.210564386544206</v>
      </c>
      <c r="AG1094" s="2">
        <f ca="1"/>
        <v>0.94734813853471023</v>
      </c>
      <c r="AH1094" s="2" t="str">
        <f ca="1"/>
        <v>Bad</v>
      </c>
    </row>
    <row r="1095" spans="2:34" x14ac:dyDescent="0.2">
      <c r="B1095" s="2">
        <f ca="1"/>
        <v>0.45815206929446251</v>
      </c>
      <c r="O1095" s="2">
        <f ca="1"/>
        <v>2.1058148925002604</v>
      </c>
      <c r="X1095" s="2">
        <f ca="1"/>
        <v>59.154749017648065</v>
      </c>
      <c r="AG1095" s="2">
        <f ca="1"/>
        <v>0.40201107110765788</v>
      </c>
      <c r="AH1095" s="2" t="str">
        <f ca="1"/>
        <v>Bad</v>
      </c>
    </row>
    <row r="1096" spans="2:34" x14ac:dyDescent="0.2">
      <c r="B1096" s="2">
        <f ca="1"/>
        <v>0.80015460387603188</v>
      </c>
      <c r="O1096" s="2">
        <f ca="1"/>
        <v>-1.6013425024533943</v>
      </c>
      <c r="X1096" s="2">
        <f ca="1"/>
        <v>39.873104260899467</v>
      </c>
      <c r="AG1096" s="2">
        <f ca="1"/>
        <v>0.56229250781940099</v>
      </c>
      <c r="AH1096" s="2" t="str">
        <f ca="1"/>
        <v>Bad</v>
      </c>
    </row>
    <row r="1097" spans="2:34" x14ac:dyDescent="0.2">
      <c r="B1097" s="2">
        <f ca="1"/>
        <v>0.67433002463368963</v>
      </c>
      <c r="O1097" s="2">
        <f ca="1"/>
        <v>-0.19096193079327214</v>
      </c>
      <c r="X1097" s="2">
        <f ca="1"/>
        <v>46.866724266929758</v>
      </c>
      <c r="AG1097" s="2">
        <f ca="1"/>
        <v>0.10962136441183179</v>
      </c>
      <c r="AH1097" s="2" t="str">
        <f ca="1"/>
        <v>OK</v>
      </c>
    </row>
    <row r="1098" spans="2:34" x14ac:dyDescent="0.2">
      <c r="B1098" s="2">
        <f ca="1"/>
        <v>0.41280443884954132</v>
      </c>
      <c r="O1098" s="2">
        <f ca="1"/>
        <v>0.49206921011854438</v>
      </c>
      <c r="X1098" s="2">
        <f ca="1"/>
        <v>73.022201855143777</v>
      </c>
      <c r="AG1098" s="2">
        <f ca="1"/>
        <v>0.37012310577682062</v>
      </c>
      <c r="AH1098" s="2" t="str">
        <f ca="1"/>
        <v>OK</v>
      </c>
    </row>
    <row r="1099" spans="2:34" x14ac:dyDescent="0.2">
      <c r="B1099" s="2">
        <f ca="1"/>
        <v>0.68201059604074898</v>
      </c>
      <c r="O1099" s="2">
        <f ca="1"/>
        <v>0.30706975676049247</v>
      </c>
      <c r="X1099" s="2">
        <f ca="1"/>
        <v>48.440544958398149</v>
      </c>
      <c r="AG1099" s="2">
        <f ca="1"/>
        <v>0.20618941237955157</v>
      </c>
      <c r="AH1099" s="2" t="str">
        <f ca="1"/>
        <v>OK</v>
      </c>
    </row>
    <row r="1100" spans="2:34" x14ac:dyDescent="0.2">
      <c r="B1100" s="2">
        <f ca="1"/>
        <v>0.29084524743725293</v>
      </c>
      <c r="O1100" s="2">
        <f ca="1"/>
        <v>0.55773725135928731</v>
      </c>
      <c r="X1100" s="2">
        <f ca="1"/>
        <v>51.08154929082886</v>
      </c>
      <c r="AG1100" s="2">
        <f ca="1"/>
        <v>0.36257200197538997</v>
      </c>
      <c r="AH1100" s="2" t="str">
        <f ca="1"/>
        <v>OK</v>
      </c>
    </row>
    <row r="1101" spans="2:34" x14ac:dyDescent="0.2">
      <c r="B1101" s="2">
        <f ca="1"/>
        <v>9.4226637101954891E-2</v>
      </c>
      <c r="O1101" s="2">
        <f ca="1"/>
        <v>0.98195322525062279</v>
      </c>
      <c r="X1101" s="2">
        <f ca="1"/>
        <v>41.750566537704856</v>
      </c>
      <c r="AG1101" s="2">
        <f ca="1"/>
        <v>0.30005740087734489</v>
      </c>
      <c r="AH1101" s="2" t="str">
        <f ca="1"/>
        <v>OK</v>
      </c>
    </row>
    <row r="1102" spans="2:34" x14ac:dyDescent="0.2">
      <c r="B1102" s="2">
        <f ca="1"/>
        <v>0.56954210506886493</v>
      </c>
      <c r="O1102" s="2">
        <f ca="1"/>
        <v>-0.73724730607414346</v>
      </c>
      <c r="X1102" s="2">
        <f ca="1"/>
        <v>22.868564979823347</v>
      </c>
      <c r="AG1102" s="2">
        <f ca="1"/>
        <v>0.81757702711462366</v>
      </c>
      <c r="AH1102" s="2" t="str">
        <f ca="1"/>
        <v>Bad</v>
      </c>
    </row>
    <row r="1103" spans="2:34" x14ac:dyDescent="0.2">
      <c r="B1103" s="2">
        <f ca="1"/>
        <v>0.39241264218817262</v>
      </c>
      <c r="O1103" s="2">
        <f ca="1"/>
        <v>1.9441488767201229</v>
      </c>
      <c r="X1103" s="2">
        <f ca="1"/>
        <v>18.174657464057528</v>
      </c>
      <c r="AG1103" s="2">
        <f ca="1"/>
        <v>0.14704567281084757</v>
      </c>
      <c r="AH1103" s="2" t="str">
        <f ca="1"/>
        <v>OK</v>
      </c>
    </row>
    <row r="1104" spans="2:34" x14ac:dyDescent="0.2">
      <c r="B1104" s="2">
        <f ca="1"/>
        <v>0.97258667960041212</v>
      </c>
      <c r="O1104" s="2">
        <f ca="1"/>
        <v>-0.53072895365673534</v>
      </c>
      <c r="X1104" s="2">
        <f ca="1"/>
        <v>58.271173464246829</v>
      </c>
      <c r="AG1104" s="2">
        <f ca="1"/>
        <v>0.30845340087965134</v>
      </c>
      <c r="AH1104" s="2" t="str">
        <f ca="1"/>
        <v>OK</v>
      </c>
    </row>
    <row r="1105" spans="2:34" x14ac:dyDescent="0.2">
      <c r="B1105" s="2">
        <f ca="1"/>
        <v>0.40384289667716944</v>
      </c>
      <c r="O1105" s="2">
        <f ca="1"/>
        <v>0.42079728765145402</v>
      </c>
      <c r="X1105" s="2">
        <f ca="1"/>
        <v>45.261522193015374</v>
      </c>
      <c r="AG1105" s="2">
        <f ca="1"/>
        <v>0.79793510960678349</v>
      </c>
      <c r="AH1105" s="2" t="str">
        <f ca="1"/>
        <v>Bad</v>
      </c>
    </row>
    <row r="1106" spans="2:34" x14ac:dyDescent="0.2">
      <c r="B1106" s="2">
        <f ca="1"/>
        <v>0.73451048459379442</v>
      </c>
      <c r="O1106" s="2">
        <f ca="1"/>
        <v>-0.7453794843373216</v>
      </c>
      <c r="X1106" s="2">
        <f ca="1"/>
        <v>60.015286918339818</v>
      </c>
      <c r="AG1106" s="2">
        <f ca="1"/>
        <v>0.72091787566140297</v>
      </c>
      <c r="AH1106" s="2" t="str">
        <f ca="1"/>
        <v>Bad</v>
      </c>
    </row>
    <row r="1107" spans="2:34" x14ac:dyDescent="0.2">
      <c r="B1107" s="2">
        <f ca="1"/>
        <v>0.23518581546823025</v>
      </c>
      <c r="O1107" s="2">
        <f ca="1"/>
        <v>1.7872930155590121</v>
      </c>
      <c r="X1107" s="2">
        <f ca="1"/>
        <v>56.584521571305174</v>
      </c>
      <c r="AG1107" s="2">
        <f ca="1"/>
        <v>0.49030043783952904</v>
      </c>
      <c r="AH1107" s="2" t="str">
        <f ca="1"/>
        <v>Bad</v>
      </c>
    </row>
    <row r="1108" spans="2:34" x14ac:dyDescent="0.2">
      <c r="B1108" s="2">
        <f ca="1"/>
        <v>0.34718549979543645</v>
      </c>
      <c r="O1108" s="2">
        <f ca="1"/>
        <v>-0.33408487529654352</v>
      </c>
      <c r="X1108" s="2">
        <f ca="1"/>
        <v>44.004445369546914</v>
      </c>
      <c r="AG1108" s="2">
        <f ca="1"/>
        <v>0.16162475480800165</v>
      </c>
      <c r="AH1108" s="2" t="str">
        <f ca="1"/>
        <v>OK</v>
      </c>
    </row>
    <row r="1109" spans="2:34" x14ac:dyDescent="0.2">
      <c r="B1109" s="2">
        <f ca="1"/>
        <v>0.82688807328867986</v>
      </c>
      <c r="O1109" s="2">
        <f ca="1"/>
        <v>-1.1512437322292148</v>
      </c>
      <c r="X1109" s="2">
        <f ca="1"/>
        <v>49.966321982495913</v>
      </c>
      <c r="AG1109" s="2">
        <f ca="1"/>
        <v>0.19085293056984587</v>
      </c>
      <c r="AH1109" s="2" t="str">
        <f ca="1"/>
        <v>OK</v>
      </c>
    </row>
    <row r="1110" spans="2:34" x14ac:dyDescent="0.2">
      <c r="B1110" s="2">
        <f ca="1"/>
        <v>0.66688644205998893</v>
      </c>
      <c r="O1110" s="2">
        <f ca="1"/>
        <v>-1.7150860088038022</v>
      </c>
      <c r="X1110" s="2">
        <f ca="1"/>
        <v>58.742757211186756</v>
      </c>
      <c r="AG1110" s="2">
        <f ca="1"/>
        <v>0.83523655751678372</v>
      </c>
      <c r="AH1110" s="2" t="str">
        <f ca="1"/>
        <v>Bad</v>
      </c>
    </row>
    <row r="1111" spans="2:34" x14ac:dyDescent="0.2">
      <c r="B1111" s="2">
        <f ca="1"/>
        <v>0.72075373427171008</v>
      </c>
      <c r="O1111" s="2">
        <f ca="1"/>
        <v>0.37449660729904077</v>
      </c>
      <c r="X1111" s="2">
        <f ca="1"/>
        <v>35.835872230608814</v>
      </c>
      <c r="AG1111" s="2">
        <f ca="1"/>
        <v>0.30514255415951697</v>
      </c>
      <c r="AH1111" s="2" t="str">
        <f ca="1"/>
        <v>OK</v>
      </c>
    </row>
    <row r="1112" spans="2:34" x14ac:dyDescent="0.2">
      <c r="B1112" s="2">
        <f ca="1"/>
        <v>0.39998363771138257</v>
      </c>
      <c r="O1112" s="2">
        <f ca="1"/>
        <v>0.22939647078811112</v>
      </c>
      <c r="X1112" s="2">
        <f ca="1"/>
        <v>40.580596282932213</v>
      </c>
      <c r="AG1112" s="2">
        <f ca="1"/>
        <v>0.22002777990485622</v>
      </c>
      <c r="AH1112" s="2" t="str">
        <f ca="1"/>
        <v>OK</v>
      </c>
    </row>
    <row r="1113" spans="2:34" x14ac:dyDescent="0.2">
      <c r="B1113" s="2">
        <f ca="1"/>
        <v>0.51324318960864734</v>
      </c>
      <c r="O1113" s="2">
        <f ca="1"/>
        <v>0.22876076588817404</v>
      </c>
      <c r="X1113" s="2">
        <f ca="1"/>
        <v>37.815114108422684</v>
      </c>
      <c r="AG1113" s="2">
        <f ca="1"/>
        <v>0.30547205938891508</v>
      </c>
      <c r="AH1113" s="2" t="str">
        <f ca="1"/>
        <v>OK</v>
      </c>
    </row>
    <row r="1114" spans="2:34" x14ac:dyDescent="0.2">
      <c r="B1114" s="2">
        <f ca="1"/>
        <v>0.44315367498275338</v>
      </c>
      <c r="O1114" s="2">
        <f ca="1"/>
        <v>-0.67219002271328487</v>
      </c>
      <c r="X1114" s="2">
        <f ca="1"/>
        <v>66.724742328368848</v>
      </c>
      <c r="AG1114" s="2">
        <f ca="1"/>
        <v>9.2548889070025897E-2</v>
      </c>
      <c r="AH1114" s="2" t="str">
        <f ca="1"/>
        <v>OK</v>
      </c>
    </row>
    <row r="1115" spans="2:34" x14ac:dyDescent="0.2">
      <c r="B1115" s="2">
        <f ca="1"/>
        <v>0.10021669398953881</v>
      </c>
      <c r="O1115" s="2">
        <f ca="1"/>
        <v>1.5230926233698954</v>
      </c>
      <c r="X1115" s="2">
        <f ca="1"/>
        <v>28.063969376693748</v>
      </c>
      <c r="AG1115" s="2">
        <f ca="1"/>
        <v>0.78386137814273016</v>
      </c>
      <c r="AH1115" s="2" t="str">
        <f ca="1"/>
        <v>Bad</v>
      </c>
    </row>
    <row r="1116" spans="2:34" x14ac:dyDescent="0.2">
      <c r="B1116" s="2">
        <f ca="1"/>
        <v>0.48846354719696983</v>
      </c>
      <c r="O1116" s="2">
        <f ca="1"/>
        <v>-8.6934844268879881E-3</v>
      </c>
      <c r="X1116" s="2">
        <f ca="1"/>
        <v>54.780289128666418</v>
      </c>
      <c r="AG1116" s="2">
        <f ca="1"/>
        <v>0.80910100802676643</v>
      </c>
      <c r="AH1116" s="2" t="str">
        <f ca="1"/>
        <v>Bad</v>
      </c>
    </row>
    <row r="1117" spans="2:34" x14ac:dyDescent="0.2">
      <c r="B1117" s="2">
        <f ca="1"/>
        <v>0.42277862142401412</v>
      </c>
      <c r="O1117" s="2">
        <f ca="1"/>
        <v>0.76099257792706843</v>
      </c>
      <c r="X1117" s="2">
        <f ca="1"/>
        <v>38.171914702604155</v>
      </c>
      <c r="AG1117" s="2">
        <f ca="1"/>
        <v>0.65909492327214037</v>
      </c>
      <c r="AH1117" s="2" t="str">
        <f ca="1"/>
        <v>Bad</v>
      </c>
    </row>
    <row r="1118" spans="2:34" x14ac:dyDescent="0.2">
      <c r="B1118" s="2">
        <f ca="1"/>
        <v>0.42561100222204873</v>
      </c>
      <c r="O1118" s="2">
        <f ca="1"/>
        <v>-1.7888926023941698</v>
      </c>
      <c r="X1118" s="2">
        <f ca="1"/>
        <v>42.759694190230661</v>
      </c>
      <c r="AG1118" s="2">
        <f ca="1"/>
        <v>0.4433120471213583</v>
      </c>
      <c r="AH1118" s="2" t="str">
        <f ca="1"/>
        <v>Bad</v>
      </c>
    </row>
    <row r="1119" spans="2:34" x14ac:dyDescent="0.2">
      <c r="B1119" s="2">
        <f ca="1"/>
        <v>0.46067496926072815</v>
      </c>
      <c r="O1119" s="2">
        <f ca="1"/>
        <v>9.4091709014855751E-2</v>
      </c>
      <c r="X1119" s="2">
        <f ca="1"/>
        <v>54.438964513169203</v>
      </c>
      <c r="AG1119" s="2">
        <f ca="1"/>
        <v>0.61800559985793213</v>
      </c>
      <c r="AH1119" s="2" t="str">
        <f ca="1"/>
        <v>Bad</v>
      </c>
    </row>
    <row r="1120" spans="2:34" x14ac:dyDescent="0.2">
      <c r="B1120" s="2">
        <f ca="1"/>
        <v>0.92665150405939567</v>
      </c>
      <c r="O1120" s="2">
        <f ca="1"/>
        <v>-0.42227554492588126</v>
      </c>
      <c r="X1120" s="2">
        <f ca="1"/>
        <v>59.839476328381984</v>
      </c>
      <c r="AG1120" s="2">
        <f ca="1"/>
        <v>0.88962391468297009</v>
      </c>
      <c r="AH1120" s="2" t="str">
        <f ca="1"/>
        <v>Bad</v>
      </c>
    </row>
    <row r="1121" spans="2:34" x14ac:dyDescent="0.2">
      <c r="B1121" s="2">
        <f ca="1"/>
        <v>0.53686260810800013</v>
      </c>
      <c r="O1121" s="2">
        <f ca="1"/>
        <v>0.3727304852223533</v>
      </c>
      <c r="X1121" s="2">
        <f ca="1"/>
        <v>88.27252557470581</v>
      </c>
      <c r="AG1121" s="2">
        <f ca="1"/>
        <v>0.21176374391659381</v>
      </c>
      <c r="AH1121" s="2" t="str">
        <f ca="1"/>
        <v>OK</v>
      </c>
    </row>
    <row r="1122" spans="2:34" x14ac:dyDescent="0.2">
      <c r="B1122" s="2">
        <f ca="1"/>
        <v>0.40552577788961752</v>
      </c>
      <c r="O1122" s="2">
        <f ca="1"/>
        <v>-0.51168453886089105</v>
      </c>
      <c r="X1122" s="2">
        <f ca="1"/>
        <v>21.597019479999862</v>
      </c>
      <c r="AG1122" s="2">
        <f ca="1"/>
        <v>0.80186400462992791</v>
      </c>
      <c r="AH1122" s="2" t="str">
        <f ca="1"/>
        <v>Bad</v>
      </c>
    </row>
    <row r="1123" spans="2:34" x14ac:dyDescent="0.2">
      <c r="B1123" s="2">
        <f ca="1"/>
        <v>0.50072459937244096</v>
      </c>
      <c r="O1123" s="2">
        <f ca="1"/>
        <v>-0.6296898232967657</v>
      </c>
      <c r="X1123" s="2">
        <f ca="1"/>
        <v>50.396702377754259</v>
      </c>
      <c r="AG1123" s="2">
        <f ca="1"/>
        <v>0.6548994934586343</v>
      </c>
      <c r="AH1123" s="2" t="str">
        <f ca="1"/>
        <v>Bad</v>
      </c>
    </row>
    <row r="1124" spans="2:34" x14ac:dyDescent="0.2">
      <c r="B1124" s="2">
        <f ca="1"/>
        <v>0.97501724461750516</v>
      </c>
      <c r="O1124" s="2">
        <f ca="1"/>
        <v>-0.10969649796372788</v>
      </c>
      <c r="X1124" s="2">
        <f ca="1"/>
        <v>59.600118856153671</v>
      </c>
      <c r="AG1124" s="2">
        <f ca="1"/>
        <v>9.5946724584045739E-2</v>
      </c>
      <c r="AH1124" s="2" t="str">
        <f ca="1"/>
        <v>OK</v>
      </c>
    </row>
    <row r="1125" spans="2:34" x14ac:dyDescent="0.2">
      <c r="B1125" s="2">
        <f ca="1"/>
        <v>0.26018372890924901</v>
      </c>
      <c r="O1125" s="2">
        <f ca="1"/>
        <v>1.7626800291754439</v>
      </c>
      <c r="X1125" s="2">
        <f ca="1"/>
        <v>54.59299020173124</v>
      </c>
      <c r="AG1125" s="2">
        <f ca="1"/>
        <v>0.47206125815501077</v>
      </c>
      <c r="AH1125" s="2" t="str">
        <f ca="1"/>
        <v>Bad</v>
      </c>
    </row>
    <row r="1126" spans="2:34" x14ac:dyDescent="0.2">
      <c r="B1126" s="2">
        <f ca="1"/>
        <v>0.72622460538811495</v>
      </c>
      <c r="O1126" s="2">
        <f ca="1"/>
        <v>-0.71216304124617413</v>
      </c>
      <c r="X1126" s="2">
        <f ca="1"/>
        <v>46.960646530605608</v>
      </c>
      <c r="AG1126" s="2">
        <f ca="1"/>
        <v>0.15658923392916835</v>
      </c>
      <c r="AH1126" s="2" t="str">
        <f ca="1"/>
        <v>OK</v>
      </c>
    </row>
    <row r="1127" spans="2:34" x14ac:dyDescent="0.2">
      <c r="B1127" s="2">
        <f ca="1"/>
        <v>0.81543569427540086</v>
      </c>
      <c r="O1127" s="2">
        <f ca="1"/>
        <v>-1.1274118872396517</v>
      </c>
      <c r="X1127" s="2">
        <f ca="1"/>
        <v>74.176069235214698</v>
      </c>
      <c r="AG1127" s="2">
        <f ca="1"/>
        <v>0.38169838734632067</v>
      </c>
      <c r="AH1127" s="2" t="str">
        <f ca="1"/>
        <v>OK</v>
      </c>
    </row>
    <row r="1128" spans="2:34" x14ac:dyDescent="0.2">
      <c r="B1128" s="2">
        <f ca="1"/>
        <v>0.21863610960751734</v>
      </c>
      <c r="O1128" s="2">
        <f ca="1"/>
        <v>0.88154206789824641</v>
      </c>
      <c r="X1128" s="2">
        <f ca="1"/>
        <v>52.709628545752722</v>
      </c>
      <c r="AG1128" s="2">
        <f ca="1"/>
        <v>0.35449387140145383</v>
      </c>
      <c r="AH1128" s="2" t="str">
        <f ca="1"/>
        <v>OK</v>
      </c>
    </row>
    <row r="1129" spans="2:34" x14ac:dyDescent="0.2">
      <c r="B1129" s="2">
        <f ca="1"/>
        <v>1.1890959812976831E-3</v>
      </c>
      <c r="O1129" s="2">
        <f ca="1"/>
        <v>-0.23390682648070524</v>
      </c>
      <c r="X1129" s="2">
        <f ca="1"/>
        <v>27.442260344460063</v>
      </c>
      <c r="AG1129" s="2">
        <f ca="1"/>
        <v>0.86083638096979098</v>
      </c>
      <c r="AH1129" s="2" t="str">
        <f ca="1"/>
        <v>Bad</v>
      </c>
    </row>
    <row r="1130" spans="2:34" x14ac:dyDescent="0.2">
      <c r="B1130" s="2">
        <f ca="1"/>
        <v>0.42937754072044165</v>
      </c>
      <c r="O1130" s="2">
        <f ca="1"/>
        <v>3.4766381643908549E-3</v>
      </c>
      <c r="X1130" s="2">
        <f ca="1"/>
        <v>44.681605766633325</v>
      </c>
      <c r="AG1130" s="2">
        <f ca="1"/>
        <v>0.64148481744347774</v>
      </c>
      <c r="AH1130" s="2" t="str">
        <f ca="1"/>
        <v>Bad</v>
      </c>
    </row>
    <row r="1131" spans="2:34" x14ac:dyDescent="0.2">
      <c r="B1131" s="2">
        <f ca="1"/>
        <v>0.64365358407551843</v>
      </c>
      <c r="O1131" s="2">
        <f ca="1"/>
        <v>0.52491761591340624</v>
      </c>
      <c r="X1131" s="2">
        <f ca="1"/>
        <v>34.910303777295752</v>
      </c>
      <c r="AG1131" s="2">
        <f ca="1"/>
        <v>0.23017316503870999</v>
      </c>
      <c r="AH1131" s="2" t="str">
        <f ca="1"/>
        <v>OK</v>
      </c>
    </row>
    <row r="1132" spans="2:34" x14ac:dyDescent="0.2">
      <c r="B1132" s="2">
        <f ca="1"/>
        <v>3.0308048882918603E-2</v>
      </c>
      <c r="O1132" s="2">
        <f ca="1"/>
        <v>0.69811930341327011</v>
      </c>
      <c r="X1132" s="2">
        <f ca="1"/>
        <v>56.272650004291158</v>
      </c>
      <c r="AG1132" s="2">
        <f ca="1"/>
        <v>0.42925556583025237</v>
      </c>
      <c r="AH1132" s="2" t="str">
        <f ca="1"/>
        <v>Bad</v>
      </c>
    </row>
    <row r="1133" spans="2:34" x14ac:dyDescent="0.2">
      <c r="B1133" s="2">
        <f ca="1"/>
        <v>0.16331638679793792</v>
      </c>
      <c r="O1133" s="2">
        <f ca="1"/>
        <v>-0.70584126827916549</v>
      </c>
      <c r="X1133" s="2">
        <f ca="1"/>
        <v>49.448399777146655</v>
      </c>
      <c r="AG1133" s="2">
        <f ca="1"/>
        <v>3.4742248452918956E-2</v>
      </c>
      <c r="AH1133" s="2" t="str">
        <f ca="1"/>
        <v>Good</v>
      </c>
    </row>
    <row r="1134" spans="2:34" x14ac:dyDescent="0.2">
      <c r="B1134" s="2">
        <f ca="1"/>
        <v>0.22189068827619596</v>
      </c>
      <c r="O1134" s="2">
        <f ca="1"/>
        <v>0.27448805900938433</v>
      </c>
      <c r="X1134" s="2">
        <f ca="1"/>
        <v>52.321039632934323</v>
      </c>
      <c r="AG1134" s="2">
        <f ca="1"/>
        <v>0.46953553961716121</v>
      </c>
      <c r="AH1134" s="2" t="str">
        <f ca="1"/>
        <v>Bad</v>
      </c>
    </row>
    <row r="1135" spans="2:34" x14ac:dyDescent="0.2">
      <c r="B1135" s="2">
        <f ca="1"/>
        <v>0.9651616356786914</v>
      </c>
      <c r="O1135" s="2">
        <f ca="1"/>
        <v>0.47672115584954777</v>
      </c>
      <c r="X1135" s="2">
        <f ca="1"/>
        <v>39.416986433997863</v>
      </c>
      <c r="AG1135" s="2">
        <f ca="1"/>
        <v>0.21359912313697538</v>
      </c>
      <c r="AH1135" s="2" t="str">
        <f ca="1"/>
        <v>OK</v>
      </c>
    </row>
    <row r="1136" spans="2:34" x14ac:dyDescent="0.2">
      <c r="B1136" s="2">
        <f ca="1"/>
        <v>0.32670084077284045</v>
      </c>
      <c r="O1136" s="2">
        <f ca="1"/>
        <v>1.0073731658756606</v>
      </c>
      <c r="X1136" s="2">
        <f ca="1"/>
        <v>39.93346583282753</v>
      </c>
      <c r="AG1136" s="2">
        <f ca="1"/>
        <v>8.2297335347054634E-3</v>
      </c>
      <c r="AH1136" s="2" t="str">
        <f ca="1"/>
        <v>Good</v>
      </c>
    </row>
    <row r="1137" spans="2:34" x14ac:dyDescent="0.2">
      <c r="B1137" s="2">
        <f ca="1"/>
        <v>0.38468590409511694</v>
      </c>
      <c r="O1137" s="2">
        <f ca="1"/>
        <v>0.20722960227852602</v>
      </c>
      <c r="X1137" s="2">
        <f ca="1"/>
        <v>33.605692518919767</v>
      </c>
      <c r="AG1137" s="2">
        <f ca="1"/>
        <v>0.47903819438362394</v>
      </c>
      <c r="AH1137" s="2" t="str">
        <f ca="1"/>
        <v>Bad</v>
      </c>
    </row>
    <row r="1138" spans="2:34" x14ac:dyDescent="0.2">
      <c r="B1138" s="2">
        <f ca="1"/>
        <v>0.99444923335606328</v>
      </c>
      <c r="O1138" s="2">
        <f ca="1"/>
        <v>0.69727488269880034</v>
      </c>
      <c r="X1138" s="2">
        <f ca="1"/>
        <v>49.589600305340298</v>
      </c>
      <c r="AG1138" s="2">
        <f ca="1"/>
        <v>0.11819077849677884</v>
      </c>
      <c r="AH1138" s="2" t="str">
        <f ca="1"/>
        <v>OK</v>
      </c>
    </row>
    <row r="1139" spans="2:34" x14ac:dyDescent="0.2">
      <c r="B1139" s="2">
        <f ca="1"/>
        <v>9.5956008383735192E-2</v>
      </c>
      <c r="O1139" s="2">
        <f ca="1"/>
        <v>0.70593931783146147</v>
      </c>
      <c r="X1139" s="2">
        <f ca="1"/>
        <v>96.880611695060992</v>
      </c>
      <c r="AG1139" s="2">
        <f ca="1"/>
        <v>0.96066254396364559</v>
      </c>
      <c r="AH1139" s="2" t="str">
        <f ca="1"/>
        <v>Bad</v>
      </c>
    </row>
    <row r="1140" spans="2:34" x14ac:dyDescent="0.2">
      <c r="B1140" s="2">
        <f ca="1"/>
        <v>0.60714905045926026</v>
      </c>
      <c r="O1140" s="2">
        <f ca="1"/>
        <v>0.24017804205352725</v>
      </c>
      <c r="X1140" s="2">
        <f ca="1"/>
        <v>69.515098166063538</v>
      </c>
      <c r="AG1140" s="2">
        <f ca="1"/>
        <v>0.37466976209045155</v>
      </c>
      <c r="AH1140" s="2" t="str">
        <f ca="1"/>
        <v>OK</v>
      </c>
    </row>
    <row r="1141" spans="2:34" x14ac:dyDescent="0.2">
      <c r="B1141" s="2">
        <f ca="1"/>
        <v>0.15576848472235527</v>
      </c>
      <c r="O1141" s="2">
        <f ca="1"/>
        <v>-0.57311948025761039</v>
      </c>
      <c r="X1141" s="2">
        <f ca="1"/>
        <v>59.934043383527893</v>
      </c>
      <c r="AG1141" s="2">
        <f ca="1"/>
        <v>1.5954423967732501E-2</v>
      </c>
      <c r="AH1141" s="2" t="str">
        <f ca="1"/>
        <v>Good</v>
      </c>
    </row>
    <row r="1142" spans="2:34" x14ac:dyDescent="0.2">
      <c r="B1142" s="2">
        <f ca="1"/>
        <v>0.4503039424275832</v>
      </c>
      <c r="O1142" s="2">
        <f ca="1"/>
        <v>-0.88646911914496118</v>
      </c>
      <c r="X1142" s="2">
        <f ca="1"/>
        <v>30.503428294030591</v>
      </c>
      <c r="AG1142" s="2">
        <f ca="1"/>
        <v>0.31756684310732175</v>
      </c>
      <c r="AH1142" s="2" t="str">
        <f ca="1"/>
        <v>OK</v>
      </c>
    </row>
    <row r="1143" spans="2:34" x14ac:dyDescent="0.2">
      <c r="B1143" s="2">
        <f ca="1"/>
        <v>0.21332178900089582</v>
      </c>
      <c r="O1143" s="2">
        <f ca="1"/>
        <v>-0.16319687902225258</v>
      </c>
      <c r="X1143" s="2">
        <f ca="1"/>
        <v>39.846512435798388</v>
      </c>
      <c r="AG1143" s="2">
        <f ca="1"/>
        <v>0.53788628096637248</v>
      </c>
      <c r="AH1143" s="2" t="str">
        <f ca="1"/>
        <v>Bad</v>
      </c>
    </row>
    <row r="1144" spans="2:34" x14ac:dyDescent="0.2">
      <c r="B1144" s="2">
        <f ca="1"/>
        <v>0.16894159718626645</v>
      </c>
      <c r="O1144" s="2">
        <f ca="1"/>
        <v>0.24888280458127121</v>
      </c>
      <c r="X1144" s="2">
        <f ca="1"/>
        <v>24.448284642208925</v>
      </c>
      <c r="AG1144" s="2">
        <f ca="1"/>
        <v>0.66949128044072048</v>
      </c>
      <c r="AH1144" s="2" t="str">
        <f ca="1"/>
        <v>Bad</v>
      </c>
    </row>
    <row r="1145" spans="2:34" x14ac:dyDescent="0.2">
      <c r="B1145" s="2">
        <f ca="1"/>
        <v>0.34270501903677664</v>
      </c>
      <c r="O1145" s="2">
        <f ca="1"/>
        <v>1.1770967582380509</v>
      </c>
      <c r="X1145" s="2">
        <f ca="1"/>
        <v>84.666478540504585</v>
      </c>
      <c r="AG1145" s="2">
        <f ca="1"/>
        <v>4.7883356200322469E-2</v>
      </c>
      <c r="AH1145" s="2" t="str">
        <f ca="1"/>
        <v>Good</v>
      </c>
    </row>
    <row r="1146" spans="2:34" x14ac:dyDescent="0.2">
      <c r="B1146" s="2">
        <f ca="1"/>
        <v>0.6109850802829746</v>
      </c>
      <c r="O1146" s="2">
        <f ca="1"/>
        <v>0.55364573367444669</v>
      </c>
      <c r="X1146" s="2">
        <f ca="1"/>
        <v>44.113681105209906</v>
      </c>
      <c r="AG1146" s="2">
        <f ca="1"/>
        <v>0.95643831573820615</v>
      </c>
      <c r="AH1146" s="2" t="str">
        <f ca="1"/>
        <v>Bad</v>
      </c>
    </row>
    <row r="1147" spans="2:34" x14ac:dyDescent="0.2">
      <c r="B1147" s="2">
        <f ca="1"/>
        <v>2.7241302717849303E-2</v>
      </c>
      <c r="O1147" s="2">
        <f ca="1"/>
        <v>-0.37098730208919639</v>
      </c>
      <c r="X1147" s="2">
        <f ca="1"/>
        <v>54.478009001724274</v>
      </c>
      <c r="AG1147" s="2">
        <f ca="1"/>
        <v>0.96702475261034371</v>
      </c>
      <c r="AH1147" s="2" t="str">
        <f ca="1"/>
        <v>Bad</v>
      </c>
    </row>
    <row r="1148" spans="2:34" x14ac:dyDescent="0.2">
      <c r="B1148" s="2">
        <f ca="1"/>
        <v>0.14412851914749125</v>
      </c>
      <c r="O1148" s="2">
        <f ca="1"/>
        <v>-1.369128931121623</v>
      </c>
      <c r="X1148" s="2">
        <f ca="1"/>
        <v>44.268870819281283</v>
      </c>
      <c r="AG1148" s="2">
        <f ca="1"/>
        <v>0.10372196777060072</v>
      </c>
      <c r="AH1148" s="2" t="str">
        <f ca="1"/>
        <v>OK</v>
      </c>
    </row>
    <row r="1149" spans="2:34" x14ac:dyDescent="0.2">
      <c r="B1149" s="2">
        <f ca="1"/>
        <v>1.9638943528783148E-2</v>
      </c>
      <c r="O1149" s="2">
        <f ca="1"/>
        <v>0.18718078400810265</v>
      </c>
      <c r="X1149" s="2">
        <f ca="1"/>
        <v>72.785916798441349</v>
      </c>
      <c r="AG1149" s="2">
        <f ca="1"/>
        <v>0.46291869186332968</v>
      </c>
      <c r="AH1149" s="2" t="str">
        <f ca="1"/>
        <v>Bad</v>
      </c>
    </row>
    <row r="1150" spans="2:34" x14ac:dyDescent="0.2">
      <c r="B1150" s="2">
        <f ca="1"/>
        <v>0.39100758279689951</v>
      </c>
      <c r="O1150" s="2">
        <f ca="1"/>
        <v>0.42409339606064589</v>
      </c>
      <c r="X1150" s="2">
        <f ca="1"/>
        <v>62.986128750020718</v>
      </c>
      <c r="AG1150" s="2">
        <f ca="1"/>
        <v>0.97580084817324209</v>
      </c>
      <c r="AH1150" s="2" t="str">
        <f ca="1"/>
        <v>Bad</v>
      </c>
    </row>
    <row r="1151" spans="2:34" x14ac:dyDescent="0.2">
      <c r="B1151" s="2">
        <f ca="1"/>
        <v>0.49224783725607391</v>
      </c>
      <c r="O1151" s="2">
        <f ca="1"/>
        <v>1.7170661976483104</v>
      </c>
      <c r="X1151" s="2">
        <f ca="1"/>
        <v>59.228596752743371</v>
      </c>
      <c r="AG1151" s="2">
        <f ca="1"/>
        <v>0.5871423100746278</v>
      </c>
      <c r="AH1151" s="2" t="str">
        <f ca="1"/>
        <v>Bad</v>
      </c>
    </row>
    <row r="1152" spans="2:34" x14ac:dyDescent="0.2">
      <c r="B1152" s="2">
        <f ca="1"/>
        <v>0.86136157771025346</v>
      </c>
      <c r="O1152" s="2">
        <f ca="1"/>
        <v>-0.16755012351940593</v>
      </c>
      <c r="X1152" s="2">
        <f ca="1"/>
        <v>28.190688346464469</v>
      </c>
      <c r="AG1152" s="2">
        <f ca="1"/>
        <v>0.16571409917582391</v>
      </c>
      <c r="AH1152" s="2" t="str">
        <f ca="1"/>
        <v>OK</v>
      </c>
    </row>
    <row r="1153" spans="2:34" x14ac:dyDescent="0.2">
      <c r="B1153" s="2">
        <f ca="1"/>
        <v>0.51045327781535743</v>
      </c>
      <c r="O1153" s="2">
        <f ca="1"/>
        <v>1.2620431609479403</v>
      </c>
      <c r="X1153" s="2">
        <f ca="1"/>
        <v>39.662902282861644</v>
      </c>
      <c r="AG1153" s="2">
        <f ca="1"/>
        <v>0.89627752117398196</v>
      </c>
      <c r="AH1153" s="2" t="str">
        <f ca="1"/>
        <v>Bad</v>
      </c>
    </row>
    <row r="1154" spans="2:34" x14ac:dyDescent="0.2">
      <c r="B1154" s="2">
        <f ca="1"/>
        <v>0.21702207123852624</v>
      </c>
      <c r="O1154" s="2">
        <f ca="1"/>
        <v>-1.5701721698677042</v>
      </c>
      <c r="X1154" s="2">
        <f ca="1"/>
        <v>45.656157033022666</v>
      </c>
      <c r="AG1154" s="2">
        <f ca="1"/>
        <v>0.3082603435339295</v>
      </c>
      <c r="AH1154" s="2" t="str">
        <f ca="1"/>
        <v>OK</v>
      </c>
    </row>
    <row r="1155" spans="2:34" x14ac:dyDescent="0.2">
      <c r="B1155" s="2">
        <f ca="1"/>
        <v>0.62107454639312554</v>
      </c>
      <c r="O1155" s="2">
        <f ca="1"/>
        <v>0.33893706761510417</v>
      </c>
      <c r="X1155" s="2">
        <f ca="1"/>
        <v>30.775924132474302</v>
      </c>
      <c r="AG1155" s="2">
        <f ca="1"/>
        <v>0.67727628793071304</v>
      </c>
      <c r="AH1155" s="2" t="str">
        <f ca="1"/>
        <v>Bad</v>
      </c>
    </row>
    <row r="1156" spans="2:34" x14ac:dyDescent="0.2">
      <c r="B1156" s="2">
        <f ca="1"/>
        <v>0.8428575766172004</v>
      </c>
      <c r="O1156" s="2">
        <f ca="1"/>
        <v>1.2093344353741822</v>
      </c>
      <c r="X1156" s="2">
        <f ca="1"/>
        <v>41.335310996491437</v>
      </c>
      <c r="AG1156" s="2">
        <f ca="1"/>
        <v>5.3772222584371976E-2</v>
      </c>
      <c r="AH1156" s="2" t="str">
        <f ca="1"/>
        <v>OK</v>
      </c>
    </row>
    <row r="1157" spans="2:34" x14ac:dyDescent="0.2">
      <c r="B1157" s="2">
        <f ca="1"/>
        <v>0.31908499628830733</v>
      </c>
      <c r="O1157" s="2">
        <f ca="1"/>
        <v>0.35542388695362431</v>
      </c>
      <c r="X1157" s="2">
        <f ca="1"/>
        <v>88.138405123478094</v>
      </c>
      <c r="AG1157" s="2">
        <f ca="1"/>
        <v>0.56119593662595579</v>
      </c>
      <c r="AH1157" s="2" t="str">
        <f ca="1"/>
        <v>Bad</v>
      </c>
    </row>
    <row r="1158" spans="2:34" x14ac:dyDescent="0.2">
      <c r="B1158" s="2">
        <f ca="1"/>
        <v>0.24517433796048449</v>
      </c>
      <c r="O1158" s="2">
        <f ca="1"/>
        <v>-9.3361714017421282E-3</v>
      </c>
      <c r="X1158" s="2">
        <f ca="1"/>
        <v>52.961933474776124</v>
      </c>
      <c r="AG1158" s="2">
        <f ca="1"/>
        <v>0.33793390860824957</v>
      </c>
      <c r="AH1158" s="2" t="str">
        <f ca="1"/>
        <v>OK</v>
      </c>
    </row>
    <row r="1159" spans="2:34" x14ac:dyDescent="0.2">
      <c r="B1159" s="2">
        <f ca="1"/>
        <v>0.90721414028787462</v>
      </c>
      <c r="O1159" s="2">
        <f ca="1"/>
        <v>-1.1401988007666071</v>
      </c>
      <c r="X1159" s="2">
        <f ca="1"/>
        <v>53.500011396683902</v>
      </c>
      <c r="AG1159" s="2">
        <f ca="1"/>
        <v>0.91698809429886086</v>
      </c>
      <c r="AH1159" s="2" t="str">
        <f ca="1"/>
        <v>Bad</v>
      </c>
    </row>
    <row r="1160" spans="2:34" x14ac:dyDescent="0.2">
      <c r="B1160" s="2">
        <f ca="1"/>
        <v>0.498339421164949</v>
      </c>
      <c r="O1160" s="2">
        <f ca="1"/>
        <v>-0.56705475480785039</v>
      </c>
      <c r="X1160" s="2">
        <f ca="1"/>
        <v>57.773472646678883</v>
      </c>
      <c r="AG1160" s="2">
        <f ca="1"/>
        <v>0.97335335767275533</v>
      </c>
      <c r="AH1160" s="2" t="str">
        <f ca="1"/>
        <v>Bad</v>
      </c>
    </row>
    <row r="1161" spans="2:34" x14ac:dyDescent="0.2">
      <c r="B1161" s="2">
        <f ca="1"/>
        <v>0.85538775019482416</v>
      </c>
      <c r="O1161" s="2">
        <f ca="1"/>
        <v>-0.51555986975902013</v>
      </c>
      <c r="X1161" s="2">
        <f ca="1"/>
        <v>32.20874409731929</v>
      </c>
      <c r="AG1161" s="2">
        <f ca="1"/>
        <v>0.47347221205431134</v>
      </c>
      <c r="AH1161" s="2" t="str">
        <f ca="1"/>
        <v>Bad</v>
      </c>
    </row>
    <row r="1162" spans="2:34" x14ac:dyDescent="0.2">
      <c r="B1162" s="2">
        <f ca="1"/>
        <v>0.34384589868219861</v>
      </c>
      <c r="O1162" s="2">
        <f ca="1"/>
        <v>-0.13553908261588704</v>
      </c>
      <c r="X1162" s="2">
        <f ca="1"/>
        <v>25.959244944289878</v>
      </c>
      <c r="AG1162" s="2">
        <f ca="1"/>
        <v>0.28887749507260851</v>
      </c>
      <c r="AH1162" s="2" t="str">
        <f ca="1"/>
        <v>OK</v>
      </c>
    </row>
    <row r="1163" spans="2:34" x14ac:dyDescent="0.2">
      <c r="B1163" s="2">
        <f ca="1"/>
        <v>0.67097619636774075</v>
      </c>
      <c r="O1163" s="2">
        <f ca="1"/>
        <v>-7.5128624651472561E-2</v>
      </c>
      <c r="X1163" s="2">
        <f ca="1"/>
        <v>64.701471195148301</v>
      </c>
      <c r="AG1163" s="2">
        <f ca="1"/>
        <v>0.42872885520694282</v>
      </c>
      <c r="AH1163" s="2" t="str">
        <f ca="1"/>
        <v>Bad</v>
      </c>
    </row>
    <row r="1164" spans="2:34" x14ac:dyDescent="0.2">
      <c r="B1164" s="2">
        <f ca="1"/>
        <v>4.5292384632294125E-2</v>
      </c>
      <c r="O1164" s="2">
        <f ca="1"/>
        <v>-1.2779927806297722</v>
      </c>
      <c r="X1164" s="2">
        <f ca="1"/>
        <v>37.576435315547158</v>
      </c>
      <c r="AG1164" s="2">
        <f ca="1"/>
        <v>0.60237496916971534</v>
      </c>
      <c r="AH1164" s="2" t="str">
        <f ca="1"/>
        <v>Bad</v>
      </c>
    </row>
    <row r="1165" spans="2:34" x14ac:dyDescent="0.2">
      <c r="B1165" s="2">
        <f ca="1"/>
        <v>0.86867579058060351</v>
      </c>
      <c r="O1165" s="2">
        <f ca="1"/>
        <v>-0.1968912535015353</v>
      </c>
      <c r="X1165" s="2">
        <f ca="1"/>
        <v>83.868239742449035</v>
      </c>
      <c r="AG1165" s="2">
        <f ca="1"/>
        <v>0.9669610747238655</v>
      </c>
      <c r="AH1165" s="2" t="str">
        <f ca="1"/>
        <v>Bad</v>
      </c>
    </row>
    <row r="1166" spans="2:34" x14ac:dyDescent="0.2">
      <c r="B1166" s="2">
        <f ca="1"/>
        <v>0.45344897652124616</v>
      </c>
      <c r="O1166" s="2">
        <f ca="1"/>
        <v>-2.1581992808025591E-3</v>
      </c>
      <c r="X1166" s="2">
        <f ca="1"/>
        <v>52.538792330256008</v>
      </c>
      <c r="AG1166" s="2">
        <f ca="1"/>
        <v>0.32340332789162463</v>
      </c>
      <c r="AH1166" s="2" t="str">
        <f ca="1"/>
        <v>OK</v>
      </c>
    </row>
    <row r="1167" spans="2:34" x14ac:dyDescent="0.2">
      <c r="B1167" s="2">
        <f ca="1"/>
        <v>0.87067526962395236</v>
      </c>
      <c r="O1167" s="2">
        <f ca="1"/>
        <v>0.64995503940397248</v>
      </c>
      <c r="X1167" s="2">
        <f ca="1"/>
        <v>45.447439430527922</v>
      </c>
      <c r="AG1167" s="2">
        <f ca="1"/>
        <v>0.39350620587331719</v>
      </c>
      <c r="AH1167" s="2" t="str">
        <f ca="1"/>
        <v>OK</v>
      </c>
    </row>
    <row r="1168" spans="2:34" x14ac:dyDescent="0.2">
      <c r="B1168" s="2">
        <f ca="1"/>
        <v>0.36504805667275209</v>
      </c>
      <c r="O1168" s="2">
        <f ca="1"/>
        <v>-0.25502335926868808</v>
      </c>
      <c r="X1168" s="2">
        <f ca="1"/>
        <v>63.919241967499111</v>
      </c>
      <c r="AG1168" s="2">
        <f ca="1"/>
        <v>0.19312634440023269</v>
      </c>
      <c r="AH1168" s="2" t="str">
        <f ca="1"/>
        <v>OK</v>
      </c>
    </row>
    <row r="1169" spans="2:34" x14ac:dyDescent="0.2">
      <c r="B1169" s="2">
        <f ca="1"/>
        <v>0.4260361703982769</v>
      </c>
      <c r="O1169" s="2">
        <f ca="1"/>
        <v>-5.4480960383352497E-2</v>
      </c>
      <c r="X1169" s="2">
        <f ca="1"/>
        <v>56.022356407116519</v>
      </c>
      <c r="AG1169" s="2">
        <f ca="1"/>
        <v>0.83718318452347051</v>
      </c>
      <c r="AH1169" s="2" t="str">
        <f ca="1"/>
        <v>Bad</v>
      </c>
    </row>
    <row r="1170" spans="2:34" x14ac:dyDescent="0.2">
      <c r="B1170" s="2">
        <f ca="1"/>
        <v>0.98818647384608371</v>
      </c>
      <c r="O1170" s="2">
        <f ca="1"/>
        <v>0.18293569728264886</v>
      </c>
      <c r="X1170" s="2">
        <f ca="1"/>
        <v>65.222688426210539</v>
      </c>
      <c r="AG1170" s="2">
        <f ca="1"/>
        <v>0.96885359040305663</v>
      </c>
      <c r="AH1170" s="2" t="str">
        <f ca="1"/>
        <v>Bad</v>
      </c>
    </row>
    <row r="1171" spans="2:34" x14ac:dyDescent="0.2">
      <c r="B1171" s="2">
        <f ca="1"/>
        <v>0.52234836795901329</v>
      </c>
      <c r="O1171" s="2">
        <f ca="1"/>
        <v>-1.9994378392625374</v>
      </c>
      <c r="X1171" s="2">
        <f ca="1"/>
        <v>80.627004990486228</v>
      </c>
      <c r="AG1171" s="2">
        <f ca="1"/>
        <v>0.83317255436619386</v>
      </c>
      <c r="AH1171" s="2" t="str">
        <f ca="1"/>
        <v>Bad</v>
      </c>
    </row>
    <row r="1172" spans="2:34" x14ac:dyDescent="0.2">
      <c r="B1172" s="2">
        <f ca="1"/>
        <v>2.2436865456566091E-2</v>
      </c>
      <c r="O1172" s="2">
        <f ca="1"/>
        <v>0.59154881973269313</v>
      </c>
      <c r="X1172" s="2">
        <f ca="1"/>
        <v>70.684782927256251</v>
      </c>
      <c r="AG1172" s="2">
        <f ca="1"/>
        <v>0.84028045991303912</v>
      </c>
      <c r="AH1172" s="2" t="str">
        <f ca="1"/>
        <v>Bad</v>
      </c>
    </row>
    <row r="1173" spans="2:34" x14ac:dyDescent="0.2">
      <c r="B1173" s="2">
        <f ca="1"/>
        <v>8.187250696247439E-2</v>
      </c>
      <c r="O1173" s="2">
        <f ca="1"/>
        <v>0.86110217408440037</v>
      </c>
      <c r="X1173" s="2">
        <f ca="1"/>
        <v>68.580804155111849</v>
      </c>
      <c r="AG1173" s="2">
        <f ca="1"/>
        <v>0.11724408507821016</v>
      </c>
      <c r="AH1173" s="2" t="str">
        <f ca="1"/>
        <v>OK</v>
      </c>
    </row>
    <row r="1174" spans="2:34" x14ac:dyDescent="0.2">
      <c r="B1174" s="2">
        <f ca="1"/>
        <v>0.85210701529640676</v>
      </c>
      <c r="O1174" s="2">
        <f ca="1"/>
        <v>1.7382638379007331</v>
      </c>
      <c r="X1174" s="2">
        <f ca="1"/>
        <v>66.669559976045903</v>
      </c>
      <c r="AG1174" s="2">
        <f ca="1"/>
        <v>0.25674194468469258</v>
      </c>
      <c r="AH1174" s="2" t="str">
        <f ca="1"/>
        <v>OK</v>
      </c>
    </row>
    <row r="1175" spans="2:34" x14ac:dyDescent="0.2">
      <c r="B1175" s="2">
        <f ca="1"/>
        <v>0.8694787395574648</v>
      </c>
      <c r="O1175" s="2">
        <f ca="1"/>
        <v>-0.84069246913677564</v>
      </c>
      <c r="X1175" s="2">
        <f ca="1"/>
        <v>46.904695952982102</v>
      </c>
      <c r="AG1175" s="2">
        <f ca="1"/>
        <v>0.94430039067528493</v>
      </c>
      <c r="AH1175" s="2" t="str">
        <f ca="1"/>
        <v>Bad</v>
      </c>
    </row>
    <row r="1176" spans="2:34" x14ac:dyDescent="0.2">
      <c r="B1176" s="2">
        <f ca="1"/>
        <v>0.88441394233218573</v>
      </c>
      <c r="O1176" s="2">
        <f ca="1"/>
        <v>-0.24874675461374934</v>
      </c>
      <c r="X1176" s="2">
        <f ca="1"/>
        <v>66.947948476754263</v>
      </c>
      <c r="AG1176" s="2">
        <f ca="1"/>
        <v>0.32403628391609973</v>
      </c>
      <c r="AH1176" s="2" t="str">
        <f ca="1"/>
        <v>OK</v>
      </c>
    </row>
    <row r="1177" spans="2:34" x14ac:dyDescent="0.2">
      <c r="B1177" s="2">
        <f ca="1"/>
        <v>0.15699420678345799</v>
      </c>
      <c r="O1177" s="2">
        <f ca="1"/>
        <v>-0.31927718805409216</v>
      </c>
      <c r="X1177" s="2">
        <f ca="1"/>
        <v>58.556613575448687</v>
      </c>
      <c r="AG1177" s="2">
        <f ca="1"/>
        <v>0.24583733096260385</v>
      </c>
      <c r="AH1177" s="2" t="str">
        <f ca="1"/>
        <v>OK</v>
      </c>
    </row>
    <row r="1178" spans="2:34" x14ac:dyDescent="0.2">
      <c r="B1178" s="2">
        <f ca="1"/>
        <v>0.25289057232579526</v>
      </c>
      <c r="O1178" s="2">
        <f ca="1"/>
        <v>6.298267088348615E-2</v>
      </c>
      <c r="X1178" s="2">
        <f ca="1"/>
        <v>50.752778469193402</v>
      </c>
      <c r="AG1178" s="2">
        <f ca="1"/>
        <v>0.72022653881269183</v>
      </c>
      <c r="AH1178" s="2" t="str">
        <f ca="1"/>
        <v>Bad</v>
      </c>
    </row>
    <row r="1179" spans="2:34" x14ac:dyDescent="0.2">
      <c r="B1179" s="2">
        <f ca="1"/>
        <v>0.93807817392434489</v>
      </c>
      <c r="O1179" s="2">
        <f ca="1"/>
        <v>-0.12392097003131623</v>
      </c>
      <c r="X1179" s="2">
        <f ca="1"/>
        <v>53.446269371572299</v>
      </c>
      <c r="AG1179" s="2">
        <f ca="1"/>
        <v>0.30313999700103333</v>
      </c>
      <c r="AH1179" s="2" t="str">
        <f ca="1"/>
        <v>OK</v>
      </c>
    </row>
    <row r="1180" spans="2:34" x14ac:dyDescent="0.2">
      <c r="B1180" s="2">
        <f ca="1"/>
        <v>0.25459494522842108</v>
      </c>
      <c r="O1180" s="2">
        <f ca="1"/>
        <v>0.4411986876773713</v>
      </c>
      <c r="X1180" s="2">
        <f ca="1"/>
        <v>37.761695177688061</v>
      </c>
      <c r="AG1180" s="2">
        <f ca="1"/>
        <v>0.99752277493016095</v>
      </c>
      <c r="AH1180" s="2" t="str">
        <f ca="1"/>
        <v>Bad</v>
      </c>
    </row>
    <row r="1181" spans="2:34" x14ac:dyDescent="0.2">
      <c r="B1181" s="2">
        <f ca="1"/>
        <v>0.98731489310977905</v>
      </c>
      <c r="O1181" s="2">
        <f ca="1"/>
        <v>-1.3090686631332589</v>
      </c>
      <c r="X1181" s="2">
        <f ca="1"/>
        <v>67.54727634921322</v>
      </c>
      <c r="AG1181" s="2">
        <f ca="1"/>
        <v>0.95744267937963046</v>
      </c>
      <c r="AH1181" s="2" t="str">
        <f ca="1"/>
        <v>Bad</v>
      </c>
    </row>
    <row r="1182" spans="2:34" x14ac:dyDescent="0.2">
      <c r="B1182" s="2">
        <f ca="1"/>
        <v>0.34229701667849777</v>
      </c>
      <c r="O1182" s="2">
        <f ca="1"/>
        <v>0.43331413501529331</v>
      </c>
      <c r="X1182" s="2">
        <f ca="1"/>
        <v>33.421809331168319</v>
      </c>
      <c r="AG1182" s="2">
        <f ca="1"/>
        <v>0.67813484733469087</v>
      </c>
      <c r="AH1182" s="2" t="str">
        <f ca="1"/>
        <v>Bad</v>
      </c>
    </row>
    <row r="1183" spans="2:34" x14ac:dyDescent="0.2">
      <c r="B1183" s="2">
        <f ca="1"/>
        <v>0.14033279472671834</v>
      </c>
      <c r="O1183" s="2">
        <f ca="1"/>
        <v>-8.8677087436536753E-2</v>
      </c>
      <c r="X1183" s="2">
        <f ca="1"/>
        <v>29.549138831524637</v>
      </c>
      <c r="AG1183" s="2">
        <f ca="1"/>
        <v>0.50574734864633952</v>
      </c>
      <c r="AH1183" s="2" t="str">
        <f ca="1"/>
        <v>Bad</v>
      </c>
    </row>
    <row r="1184" spans="2:34" x14ac:dyDescent="0.2">
      <c r="B1184" s="2">
        <f ca="1"/>
        <v>0.51728173295634461</v>
      </c>
      <c r="O1184" s="2">
        <f ca="1"/>
        <v>-0.76003714636419595</v>
      </c>
      <c r="X1184" s="2">
        <f ca="1"/>
        <v>41.173585368250372</v>
      </c>
      <c r="AG1184" s="2">
        <f ca="1"/>
        <v>0.78171093035598416</v>
      </c>
      <c r="AH1184" s="2" t="str">
        <f ca="1"/>
        <v>Bad</v>
      </c>
    </row>
    <row r="1185" spans="2:34" x14ac:dyDescent="0.2">
      <c r="B1185" s="2">
        <f ca="1"/>
        <v>6.7726778735813342E-2</v>
      </c>
      <c r="O1185" s="2">
        <f ca="1"/>
        <v>-3.6481432416487304E-2</v>
      </c>
      <c r="X1185" s="2">
        <f ca="1"/>
        <v>18.837527938697146</v>
      </c>
      <c r="AG1185" s="2">
        <f ca="1"/>
        <v>0.67194174657888062</v>
      </c>
      <c r="AH1185" s="2" t="str">
        <f ca="1"/>
        <v>Bad</v>
      </c>
    </row>
    <row r="1186" spans="2:34" x14ac:dyDescent="0.2">
      <c r="B1186" s="2">
        <f ca="1"/>
        <v>0.51062052433251437</v>
      </c>
      <c r="O1186" s="2">
        <f ca="1"/>
        <v>1.6014571285360153</v>
      </c>
      <c r="X1186" s="2">
        <f ca="1"/>
        <v>29.941864853947639</v>
      </c>
      <c r="AG1186" s="2">
        <f ca="1"/>
        <v>0.95229737165310335</v>
      </c>
      <c r="AH1186" s="2" t="str">
        <f ca="1"/>
        <v>Bad</v>
      </c>
    </row>
    <row r="1187" spans="2:34" x14ac:dyDescent="0.2">
      <c r="B1187" s="2">
        <f ca="1"/>
        <v>0.97135644452353453</v>
      </c>
      <c r="O1187" s="2">
        <f ca="1"/>
        <v>1.6996481977749209</v>
      </c>
      <c r="X1187" s="2">
        <f ca="1"/>
        <v>32.94498677305927</v>
      </c>
      <c r="AG1187" s="2">
        <f ca="1"/>
        <v>0.11293844867648017</v>
      </c>
      <c r="AH1187" s="2" t="str">
        <f ca="1"/>
        <v>OK</v>
      </c>
    </row>
    <row r="1188" spans="2:34" x14ac:dyDescent="0.2">
      <c r="B1188" s="2">
        <f ca="1"/>
        <v>0.89456817172521164</v>
      </c>
      <c r="O1188" s="2">
        <f ca="1"/>
        <v>1.3752300841297589</v>
      </c>
      <c r="X1188" s="2">
        <f ca="1"/>
        <v>44.401309591877464</v>
      </c>
      <c r="AG1188" s="2">
        <f ca="1"/>
        <v>0.93689020246630705</v>
      </c>
      <c r="AH1188" s="2" t="str">
        <f ca="1"/>
        <v>Bad</v>
      </c>
    </row>
    <row r="1189" spans="2:34" x14ac:dyDescent="0.2">
      <c r="B1189" s="2">
        <f ca="1"/>
        <v>0.44565337918957804</v>
      </c>
      <c r="O1189" s="2">
        <f ca="1"/>
        <v>1.2156375563306923</v>
      </c>
      <c r="X1189" s="2">
        <f ca="1"/>
        <v>45.554171935154656</v>
      </c>
      <c r="AG1189" s="2">
        <f ca="1"/>
        <v>0.16452867203561916</v>
      </c>
      <c r="AH1189" s="2" t="str">
        <f ca="1"/>
        <v>OK</v>
      </c>
    </row>
    <row r="1190" spans="2:34" x14ac:dyDescent="0.2">
      <c r="B1190" s="2">
        <f ca="1"/>
        <v>0.14292130950558057</v>
      </c>
      <c r="O1190" s="2">
        <f ca="1"/>
        <v>-0.61636529082672475</v>
      </c>
      <c r="X1190" s="2">
        <f ca="1"/>
        <v>32.162447114127268</v>
      </c>
      <c r="AG1190" s="2">
        <f ca="1"/>
        <v>0.39594753108710656</v>
      </c>
      <c r="AH1190" s="2" t="str">
        <f ca="1"/>
        <v>OK</v>
      </c>
    </row>
    <row r="1191" spans="2:34" x14ac:dyDescent="0.2">
      <c r="B1191" s="2">
        <f ca="1"/>
        <v>0.33321906448034389</v>
      </c>
      <c r="O1191" s="2">
        <f ca="1"/>
        <v>-0.88861205358829054</v>
      </c>
      <c r="X1191" s="2">
        <f ca="1"/>
        <v>34.934559758344108</v>
      </c>
      <c r="AG1191" s="2">
        <f ca="1"/>
        <v>9.6151602207573239E-2</v>
      </c>
      <c r="AH1191" s="2" t="str">
        <f ca="1"/>
        <v>OK</v>
      </c>
    </row>
    <row r="1192" spans="2:34" x14ac:dyDescent="0.2">
      <c r="B1192" s="2">
        <f ca="1"/>
        <v>0.7981080855958067</v>
      </c>
      <c r="O1192" s="2">
        <f ca="1"/>
        <v>0.56474391628495757</v>
      </c>
      <c r="X1192" s="2">
        <f ca="1"/>
        <v>60.064103938140377</v>
      </c>
      <c r="AG1192" s="2">
        <f ca="1"/>
        <v>0.62903148569691258</v>
      </c>
      <c r="AH1192" s="2" t="str">
        <f ca="1"/>
        <v>Bad</v>
      </c>
    </row>
    <row r="1193" spans="2:34" x14ac:dyDescent="0.2">
      <c r="B1193" s="2">
        <f ca="1"/>
        <v>0.27965564830589296</v>
      </c>
      <c r="O1193" s="2">
        <f ca="1"/>
        <v>0.43766174271643271</v>
      </c>
      <c r="X1193" s="2">
        <f ca="1"/>
        <v>33.509852390334913</v>
      </c>
      <c r="AG1193" s="2">
        <f ca="1"/>
        <v>0.91831192040106568</v>
      </c>
      <c r="AH1193" s="2" t="str">
        <f ca="1"/>
        <v>Bad</v>
      </c>
    </row>
    <row r="1194" spans="2:34" x14ac:dyDescent="0.2">
      <c r="B1194" s="2">
        <f ca="1"/>
        <v>0.66767555119525634</v>
      </c>
      <c r="O1194" s="2">
        <f ca="1"/>
        <v>-0.25661364660046254</v>
      </c>
      <c r="X1194" s="2">
        <f ca="1"/>
        <v>75.361086602370364</v>
      </c>
      <c r="AG1194" s="2">
        <f ca="1"/>
        <v>0.61787770953819177</v>
      </c>
      <c r="AH1194" s="2" t="str">
        <f ca="1"/>
        <v>Bad</v>
      </c>
    </row>
    <row r="1195" spans="2:34" x14ac:dyDescent="0.2">
      <c r="B1195" s="2">
        <f ca="1"/>
        <v>0.91710460737267319</v>
      </c>
      <c r="O1195" s="2">
        <f ca="1"/>
        <v>1.92872479773409</v>
      </c>
      <c r="X1195" s="2">
        <f ca="1"/>
        <v>35.150957553340504</v>
      </c>
      <c r="AG1195" s="2">
        <f ca="1"/>
        <v>0.58838246832039243</v>
      </c>
      <c r="AH1195" s="2" t="str">
        <f ca="1"/>
        <v>Bad</v>
      </c>
    </row>
    <row r="1196" spans="2:34" x14ac:dyDescent="0.2">
      <c r="B1196" s="2">
        <f ca="1"/>
        <v>0.17169492875872305</v>
      </c>
      <c r="O1196" s="2">
        <f ca="1"/>
        <v>-1.1633331070776547</v>
      </c>
      <c r="X1196" s="2">
        <f ca="1"/>
        <v>68.21904386437599</v>
      </c>
      <c r="AG1196" s="2">
        <f ca="1"/>
        <v>0.58218263008711757</v>
      </c>
      <c r="AH1196" s="2" t="str">
        <f ca="1"/>
        <v>Bad</v>
      </c>
    </row>
    <row r="1197" spans="2:34" x14ac:dyDescent="0.2">
      <c r="B1197" s="2">
        <f ca="1"/>
        <v>0.64147379640526814</v>
      </c>
      <c r="O1197" s="2">
        <f ca="1"/>
        <v>0.98339469430592463</v>
      </c>
      <c r="X1197" s="2">
        <f ca="1"/>
        <v>74.619375821539421</v>
      </c>
      <c r="AG1197" s="2">
        <f ca="1"/>
        <v>0.39356469986472553</v>
      </c>
      <c r="AH1197" s="2" t="str">
        <f ca="1"/>
        <v>OK</v>
      </c>
    </row>
    <row r="1198" spans="2:34" x14ac:dyDescent="0.2">
      <c r="B1198" s="2">
        <f ca="1"/>
        <v>0.81343690774065136</v>
      </c>
      <c r="O1198" s="2">
        <f ca="1"/>
        <v>-2.0773381467688723</v>
      </c>
      <c r="X1198" s="2">
        <f ca="1"/>
        <v>25.674165095332022</v>
      </c>
      <c r="AG1198" s="2">
        <f ca="1"/>
        <v>0.51998571277940542</v>
      </c>
      <c r="AH1198" s="2" t="str">
        <f ca="1"/>
        <v>Bad</v>
      </c>
    </row>
    <row r="1199" spans="2:34" x14ac:dyDescent="0.2">
      <c r="B1199" s="2">
        <f ca="1"/>
        <v>0.11225084652344841</v>
      </c>
      <c r="O1199" s="2">
        <f ca="1"/>
        <v>0.327508777601281</v>
      </c>
      <c r="X1199" s="2">
        <f ca="1"/>
        <v>31.755778630736682</v>
      </c>
      <c r="AG1199" s="2">
        <f ca="1"/>
        <v>0.14127697262773742</v>
      </c>
      <c r="AH1199" s="2" t="str">
        <f ca="1"/>
        <v>OK</v>
      </c>
    </row>
    <row r="1200" spans="2:34" x14ac:dyDescent="0.2">
      <c r="B1200" s="2">
        <f ca="1"/>
        <v>0.26015228445495198</v>
      </c>
      <c r="O1200" s="2">
        <f ca="1"/>
        <v>-0.42378845921636132</v>
      </c>
      <c r="X1200" s="2">
        <f ca="1"/>
        <v>44.10901340384828</v>
      </c>
      <c r="AG1200" s="2">
        <f ca="1"/>
        <v>0.32620418549391639</v>
      </c>
      <c r="AH1200" s="2" t="str">
        <f ca="1"/>
        <v>OK</v>
      </c>
    </row>
    <row r="1201" spans="2:34" x14ac:dyDescent="0.2">
      <c r="B1201" s="2">
        <f ca="1"/>
        <v>0.10388368909922607</v>
      </c>
      <c r="O1201" s="2">
        <f ca="1"/>
        <v>0.42956551727310838</v>
      </c>
      <c r="X1201" s="2">
        <f ca="1"/>
        <v>58.667419044870499</v>
      </c>
      <c r="AG1201" s="2">
        <f ca="1"/>
        <v>7.6449076502498547E-2</v>
      </c>
      <c r="AH1201" s="2" t="str">
        <f ca="1"/>
        <v>OK</v>
      </c>
    </row>
    <row r="1202" spans="2:34" x14ac:dyDescent="0.2">
      <c r="B1202" s="2">
        <f ca="1"/>
        <v>0.23841071336219843</v>
      </c>
      <c r="O1202" s="2">
        <f ca="1"/>
        <v>-2.5389741528979117</v>
      </c>
      <c r="X1202" s="2">
        <f ca="1"/>
        <v>49.139251303624064</v>
      </c>
      <c r="AG1202" s="2">
        <f ca="1"/>
        <v>8.0320772743821989E-2</v>
      </c>
      <c r="AH1202" s="2" t="str">
        <f ca="1"/>
        <v>OK</v>
      </c>
    </row>
    <row r="1203" spans="2:34" x14ac:dyDescent="0.2">
      <c r="B1203" s="2">
        <f ca="1"/>
        <v>0.51478205267603894</v>
      </c>
      <c r="O1203" s="2">
        <f ca="1"/>
        <v>2.5720086866400544</v>
      </c>
      <c r="X1203" s="2">
        <f ca="1"/>
        <v>50.702066806742032</v>
      </c>
      <c r="AG1203" s="2">
        <f ca="1"/>
        <v>0.56287965697262199</v>
      </c>
      <c r="AH1203" s="2" t="str">
        <f ca="1"/>
        <v>Bad</v>
      </c>
    </row>
    <row r="1204" spans="2:34" x14ac:dyDescent="0.2">
      <c r="B1204" s="2">
        <f ca="1"/>
        <v>0.24680579562334848</v>
      </c>
      <c r="O1204" s="2">
        <f ca="1"/>
        <v>-0.49380498647111903</v>
      </c>
      <c r="X1204" s="2">
        <f ca="1"/>
        <v>26.329588820353425</v>
      </c>
      <c r="AG1204" s="2">
        <f ca="1"/>
        <v>0.89863944603773138</v>
      </c>
      <c r="AH1204" s="2" t="str">
        <f ca="1"/>
        <v>Bad</v>
      </c>
    </row>
    <row r="1205" spans="2:34" x14ac:dyDescent="0.2">
      <c r="B1205" s="2">
        <f ca="1"/>
        <v>0.68281939313950235</v>
      </c>
      <c r="O1205" s="2">
        <f ca="1"/>
        <v>-0.55467330494159661</v>
      </c>
      <c r="X1205" s="2">
        <f ca="1"/>
        <v>30.082648977333125</v>
      </c>
      <c r="AG1205" s="2">
        <f ca="1"/>
        <v>0.55308414454679444</v>
      </c>
      <c r="AH1205" s="2" t="str">
        <f ca="1"/>
        <v>Bad</v>
      </c>
    </row>
    <row r="1206" spans="2:34" x14ac:dyDescent="0.2">
      <c r="B1206" s="2">
        <f ca="1"/>
        <v>0.70617107143712321</v>
      </c>
      <c r="O1206" s="2">
        <f ca="1"/>
        <v>-0.16024601930058549</v>
      </c>
      <c r="X1206" s="2">
        <f ca="1"/>
        <v>61.887801869022439</v>
      </c>
      <c r="AG1206" s="2">
        <f ca="1"/>
        <v>0.49774490269674065</v>
      </c>
      <c r="AH1206" s="2" t="str">
        <f ca="1"/>
        <v>Bad</v>
      </c>
    </row>
    <row r="1207" spans="2:34" x14ac:dyDescent="0.2">
      <c r="B1207" s="2">
        <f ca="1"/>
        <v>0.80395973181626657</v>
      </c>
      <c r="O1207" s="2">
        <f ca="1"/>
        <v>1.0279944479741117</v>
      </c>
      <c r="X1207" s="2">
        <f ca="1"/>
        <v>44.110113352112052</v>
      </c>
      <c r="AG1207" s="2">
        <f ca="1"/>
        <v>0.78736483092610943</v>
      </c>
      <c r="AH1207" s="2" t="str">
        <f ca="1"/>
        <v>Bad</v>
      </c>
    </row>
    <row r="1208" spans="2:34" x14ac:dyDescent="0.2">
      <c r="B1208" s="2">
        <f ca="1"/>
        <v>0.45973832756382738</v>
      </c>
      <c r="O1208" s="2">
        <f ca="1"/>
        <v>0.43176690497293208</v>
      </c>
      <c r="X1208" s="2">
        <f ca="1"/>
        <v>53.185773211554263</v>
      </c>
      <c r="AG1208" s="2">
        <f ca="1"/>
        <v>0.57309270614099961</v>
      </c>
      <c r="AH1208" s="2" t="str">
        <f ca="1"/>
        <v>Bad</v>
      </c>
    </row>
    <row r="1209" spans="2:34" x14ac:dyDescent="0.2">
      <c r="B1209" s="2">
        <f ca="1"/>
        <v>0.96509589011095986</v>
      </c>
      <c r="O1209" s="2">
        <f ca="1"/>
        <v>-0.24842578583240404</v>
      </c>
      <c r="X1209" s="2">
        <f ca="1"/>
        <v>25.043620870040222</v>
      </c>
      <c r="AG1209" s="2">
        <f ca="1"/>
        <v>0.23162111036621358</v>
      </c>
      <c r="AH1209" s="2" t="str">
        <f ca="1"/>
        <v>OK</v>
      </c>
    </row>
    <row r="1210" spans="2:34" x14ac:dyDescent="0.2">
      <c r="B1210" s="2">
        <f ca="1"/>
        <v>3.3395534288064743E-2</v>
      </c>
      <c r="O1210" s="2">
        <f ca="1"/>
        <v>-0.29420707780448607</v>
      </c>
      <c r="X1210" s="2">
        <f ca="1"/>
        <v>47.727314812387704</v>
      </c>
      <c r="AG1210" s="2">
        <f ca="1"/>
        <v>0.95642196804350155</v>
      </c>
      <c r="AH1210" s="2" t="str">
        <f ca="1"/>
        <v>Bad</v>
      </c>
    </row>
    <row r="1211" spans="2:34" x14ac:dyDescent="0.2">
      <c r="B1211" s="2">
        <f ca="1"/>
        <v>0.56177053663087317</v>
      </c>
      <c r="O1211" s="2">
        <f ca="1"/>
        <v>1.4671868860371278</v>
      </c>
      <c r="X1211" s="2">
        <f ca="1"/>
        <v>73.94423524392856</v>
      </c>
      <c r="AG1211" s="2">
        <f ca="1"/>
        <v>0.48926204692313369</v>
      </c>
      <c r="AH1211" s="2" t="str">
        <f ca="1"/>
        <v>Bad</v>
      </c>
    </row>
    <row r="1212" spans="2:34" x14ac:dyDescent="0.2">
      <c r="B1212" s="2">
        <f ca="1"/>
        <v>0.46041986027745674</v>
      </c>
      <c r="O1212" s="2">
        <f ca="1"/>
        <v>1.8047311695872308</v>
      </c>
      <c r="X1212" s="2">
        <f ca="1"/>
        <v>50.530772633392942</v>
      </c>
      <c r="AG1212" s="2">
        <f ca="1"/>
        <v>0.11374099957031225</v>
      </c>
      <c r="AH1212" s="2" t="str">
        <f ca="1"/>
        <v>OK</v>
      </c>
    </row>
    <row r="1213" spans="2:34" x14ac:dyDescent="0.2">
      <c r="B1213" s="2">
        <f ca="1"/>
        <v>0.31602395213118628</v>
      </c>
      <c r="O1213" s="2">
        <f ca="1"/>
        <v>-1.7263944181256163</v>
      </c>
      <c r="X1213" s="2">
        <f ca="1"/>
        <v>64.332565053349811</v>
      </c>
      <c r="AG1213" s="2">
        <f ca="1"/>
        <v>0.92199798276360356</v>
      </c>
      <c r="AH1213" s="2" t="str">
        <f ca="1"/>
        <v>Bad</v>
      </c>
    </row>
    <row r="1214" spans="2:34" x14ac:dyDescent="0.2">
      <c r="B1214" s="2">
        <f ca="1"/>
        <v>0.76348708153809808</v>
      </c>
      <c r="O1214" s="2">
        <f ca="1"/>
        <v>-0.22654461010571486</v>
      </c>
      <c r="X1214" s="2">
        <f ca="1"/>
        <v>113.19759441450422</v>
      </c>
      <c r="AG1214" s="2">
        <f ca="1"/>
        <v>0.75995433434430804</v>
      </c>
      <c r="AH1214" s="2" t="str">
        <f ca="1"/>
        <v>Bad</v>
      </c>
    </row>
    <row r="1215" spans="2:34" x14ac:dyDescent="0.2">
      <c r="B1215" s="2">
        <f ca="1"/>
        <v>0.79646353124304414</v>
      </c>
      <c r="O1215" s="2">
        <f ca="1"/>
        <v>-1.131792377573752</v>
      </c>
      <c r="X1215" s="2">
        <f ca="1"/>
        <v>41.63018024261369</v>
      </c>
      <c r="AG1215" s="2">
        <f ca="1"/>
        <v>0.63051401830682829</v>
      </c>
      <c r="AH1215" s="2" t="str">
        <f ca="1"/>
        <v>Bad</v>
      </c>
    </row>
    <row r="1216" spans="2:34" x14ac:dyDescent="0.2">
      <c r="B1216" s="2">
        <f ca="1"/>
        <v>0.41116249381348191</v>
      </c>
      <c r="O1216" s="2">
        <f ca="1"/>
        <v>0.33490626399503259</v>
      </c>
      <c r="X1216" s="2">
        <f ca="1"/>
        <v>28.202013945897235</v>
      </c>
      <c r="AG1216" s="2">
        <f ca="1"/>
        <v>0.62715487840821083</v>
      </c>
      <c r="AH1216" s="2" t="str">
        <f ca="1"/>
        <v>Bad</v>
      </c>
    </row>
    <row r="1217" spans="2:34" x14ac:dyDescent="0.2">
      <c r="B1217" s="2">
        <f ca="1"/>
        <v>0.75631313805649558</v>
      </c>
      <c r="O1217" s="2">
        <f ca="1"/>
        <v>-1.2064339857179283</v>
      </c>
      <c r="X1217" s="2">
        <f ca="1"/>
        <v>42.054357740927088</v>
      </c>
      <c r="AG1217" s="2">
        <f ca="1"/>
        <v>0.47073994375057482</v>
      </c>
      <c r="AH1217" s="2" t="str">
        <f ca="1"/>
        <v>Bad</v>
      </c>
    </row>
    <row r="1218" spans="2:34" x14ac:dyDescent="0.2">
      <c r="B1218" s="2">
        <f ca="1"/>
        <v>0.50454779360442337</v>
      </c>
      <c r="O1218" s="2">
        <f ca="1"/>
        <v>-0.74319109166569186</v>
      </c>
      <c r="X1218" s="2">
        <f ca="1"/>
        <v>46.931929487660199</v>
      </c>
      <c r="AG1218" s="2">
        <f ca="1"/>
        <v>0.30423798094787413</v>
      </c>
      <c r="AH1218" s="2" t="str">
        <f ca="1"/>
        <v>OK</v>
      </c>
    </row>
    <row r="1219" spans="2:34" x14ac:dyDescent="0.2">
      <c r="B1219" s="2">
        <f ca="1"/>
        <v>9.4876315709087944E-2</v>
      </c>
      <c r="O1219" s="2">
        <f ca="1"/>
        <v>-0.19974507451917969</v>
      </c>
      <c r="X1219" s="2">
        <f ca="1"/>
        <v>39.075355651170746</v>
      </c>
      <c r="AG1219" s="2">
        <f ca="1"/>
        <v>0.43066584379643169</v>
      </c>
      <c r="AH1219" s="2" t="str">
        <f ca="1"/>
        <v>Bad</v>
      </c>
    </row>
    <row r="1220" spans="2:34" x14ac:dyDescent="0.2">
      <c r="B1220" s="2">
        <f ca="1"/>
        <v>0.28237162222235557</v>
      </c>
      <c r="O1220" s="2">
        <f ca="1"/>
        <v>-0.47360266650779614</v>
      </c>
      <c r="X1220" s="2">
        <f ca="1"/>
        <v>47.272859621881409</v>
      </c>
      <c r="AG1220" s="2">
        <f ca="1"/>
        <v>5.4754325882275801E-2</v>
      </c>
      <c r="AH1220" s="2" t="str">
        <f ca="1"/>
        <v>OK</v>
      </c>
    </row>
    <row r="1221" spans="2:34" x14ac:dyDescent="0.2">
      <c r="B1221" s="2">
        <f ca="1"/>
        <v>0.50898181631119699</v>
      </c>
      <c r="O1221" s="2">
        <f ca="1"/>
        <v>-0.35270250298161571</v>
      </c>
      <c r="X1221" s="2">
        <f ca="1"/>
        <v>42.408754166414873</v>
      </c>
      <c r="AG1221" s="2">
        <f ca="1"/>
        <v>0.69790795754645929</v>
      </c>
      <c r="AH1221" s="2" t="str">
        <f ca="1"/>
        <v>Bad</v>
      </c>
    </row>
    <row r="1222" spans="2:34" x14ac:dyDescent="0.2">
      <c r="B1222" s="2">
        <f ca="1"/>
        <v>0.3597789723778122</v>
      </c>
      <c r="O1222" s="2">
        <f ca="1"/>
        <v>1.540501992040016</v>
      </c>
      <c r="X1222" s="2">
        <f ca="1"/>
        <v>61.76230711317605</v>
      </c>
      <c r="AG1222" s="2">
        <f ca="1"/>
        <v>0.58994980330747393</v>
      </c>
      <c r="AH1222" s="2" t="str">
        <f ca="1"/>
        <v>Bad</v>
      </c>
    </row>
    <row r="1223" spans="2:34" x14ac:dyDescent="0.2">
      <c r="B1223" s="2">
        <f ca="1"/>
        <v>0.21072096579682298</v>
      </c>
      <c r="O1223" s="2">
        <f ca="1"/>
        <v>-0.28196929352008532</v>
      </c>
      <c r="X1223" s="2">
        <f ca="1"/>
        <v>27.528287820013524</v>
      </c>
      <c r="AG1223" s="2">
        <f ca="1"/>
        <v>0.33897421527489269</v>
      </c>
      <c r="AH1223" s="2" t="str">
        <f ca="1"/>
        <v>OK</v>
      </c>
    </row>
    <row r="1224" spans="2:34" x14ac:dyDescent="0.2">
      <c r="B1224" s="2">
        <f ca="1"/>
        <v>9.4803335583115267E-2</v>
      </c>
      <c r="O1224" s="2">
        <f ca="1"/>
        <v>-0.28416138032590271</v>
      </c>
      <c r="X1224" s="2">
        <f ca="1"/>
        <v>61.491487964089316</v>
      </c>
      <c r="AG1224" s="2">
        <f ca="1"/>
        <v>0.76625035885251958</v>
      </c>
      <c r="AH1224" s="2" t="str">
        <f ca="1"/>
        <v>Bad</v>
      </c>
    </row>
    <row r="1225" spans="2:34" x14ac:dyDescent="0.2">
      <c r="B1225" s="2">
        <f ca="1"/>
        <v>0.2000502543525482</v>
      </c>
      <c r="O1225" s="2">
        <f ca="1"/>
        <v>-0.35100022364548661</v>
      </c>
      <c r="X1225" s="2">
        <f ca="1"/>
        <v>55.280770363763388</v>
      </c>
      <c r="AG1225" s="2">
        <f ca="1"/>
        <v>0.46251181077075021</v>
      </c>
      <c r="AH1225" s="2" t="str">
        <f ca="1"/>
        <v>Bad</v>
      </c>
    </row>
    <row r="1226" spans="2:34" x14ac:dyDescent="0.2">
      <c r="B1226" s="2">
        <f ca="1"/>
        <v>0.26398300855870604</v>
      </c>
      <c r="O1226" s="2">
        <f ca="1"/>
        <v>0.84083450869020149</v>
      </c>
      <c r="X1226" s="2">
        <f ca="1"/>
        <v>42.011742507521966</v>
      </c>
      <c r="AG1226" s="2">
        <f ca="1"/>
        <v>4.3435383584181642E-2</v>
      </c>
      <c r="AH1226" s="2" t="str">
        <f ca="1"/>
        <v>Good</v>
      </c>
    </row>
    <row r="1227" spans="2:34" x14ac:dyDescent="0.2">
      <c r="B1227" s="2">
        <f ca="1"/>
        <v>0.89863437876852226</v>
      </c>
      <c r="O1227" s="2">
        <f ca="1"/>
        <v>-0.57040512334812699</v>
      </c>
      <c r="X1227" s="2">
        <f ca="1"/>
        <v>59.842135573539679</v>
      </c>
      <c r="AG1227" s="2">
        <f ca="1"/>
        <v>0.51770700600208697</v>
      </c>
      <c r="AH1227" s="2" t="str">
        <f ca="1"/>
        <v>Bad</v>
      </c>
    </row>
    <row r="1228" spans="2:34" x14ac:dyDescent="0.2">
      <c r="B1228" s="2">
        <f ca="1"/>
        <v>0.47218646445000023</v>
      </c>
      <c r="O1228" s="2">
        <f ca="1"/>
        <v>-0.213801549812833</v>
      </c>
      <c r="X1228" s="2">
        <f ca="1"/>
        <v>58.00259944782907</v>
      </c>
      <c r="AG1228" s="2">
        <f ca="1"/>
        <v>0.30749375536918699</v>
      </c>
      <c r="AH1228" s="2" t="str">
        <f ca="1"/>
        <v>OK</v>
      </c>
    </row>
    <row r="1229" spans="2:34" x14ac:dyDescent="0.2">
      <c r="B1229" s="2">
        <f ca="1"/>
        <v>0.64853057109815926</v>
      </c>
      <c r="O1229" s="2">
        <f ca="1"/>
        <v>0.71162766760859808</v>
      </c>
      <c r="X1229" s="2">
        <f ca="1"/>
        <v>103.09099457051965</v>
      </c>
      <c r="AG1229" s="2">
        <f ca="1"/>
        <v>0.88924076374178052</v>
      </c>
      <c r="AH1229" s="2" t="str">
        <f ca="1"/>
        <v>Bad</v>
      </c>
    </row>
    <row r="1230" spans="2:34" x14ac:dyDescent="0.2">
      <c r="B1230" s="2">
        <f ca="1"/>
        <v>0.46309862821852965</v>
      </c>
      <c r="O1230" s="2">
        <f ca="1"/>
        <v>-0.75389891587624847</v>
      </c>
      <c r="X1230" s="2">
        <f ca="1"/>
        <v>50.438534003435656</v>
      </c>
      <c r="AG1230" s="2">
        <f ca="1"/>
        <v>7.9983624377502949E-2</v>
      </c>
      <c r="AH1230" s="2" t="str">
        <f ca="1"/>
        <v>OK</v>
      </c>
    </row>
    <row r="1231" spans="2:34" x14ac:dyDescent="0.2">
      <c r="B1231" s="2">
        <f ca="1"/>
        <v>0.82014716812847444</v>
      </c>
      <c r="O1231" s="2">
        <f ca="1"/>
        <v>-7.2969771398503136E-2</v>
      </c>
      <c r="X1231" s="2">
        <f ca="1"/>
        <v>52.34477528310579</v>
      </c>
      <c r="AG1231" s="2">
        <f ca="1"/>
        <v>0.19657072078936211</v>
      </c>
      <c r="AH1231" s="2" t="str">
        <f ca="1"/>
        <v>OK</v>
      </c>
    </row>
    <row r="1232" spans="2:34" x14ac:dyDescent="0.2">
      <c r="B1232" s="2">
        <f ca="1"/>
        <v>0.67763365138701537</v>
      </c>
      <c r="O1232" s="2">
        <f ca="1"/>
        <v>1.1859276727616843</v>
      </c>
      <c r="X1232" s="2">
        <f ca="1"/>
        <v>76.066997778919671</v>
      </c>
      <c r="AG1232" s="2">
        <f ca="1"/>
        <v>0.2188910501485366</v>
      </c>
      <c r="AH1232" s="2" t="str">
        <f ca="1"/>
        <v>OK</v>
      </c>
    </row>
    <row r="1233" spans="2:34" x14ac:dyDescent="0.2">
      <c r="B1233" s="2">
        <f ca="1"/>
        <v>0.14993160182031362</v>
      </c>
      <c r="O1233" s="2">
        <f ca="1"/>
        <v>-0.8942969203580251</v>
      </c>
      <c r="X1233" s="2">
        <f ca="1"/>
        <v>83.546551280671494</v>
      </c>
      <c r="AG1233" s="2">
        <f ca="1"/>
        <v>0.52485995124482865</v>
      </c>
      <c r="AH1233" s="2" t="str">
        <f ca="1"/>
        <v>Bad</v>
      </c>
    </row>
    <row r="1234" spans="2:34" x14ac:dyDescent="0.2">
      <c r="B1234" s="2">
        <f ca="1"/>
        <v>0.32684862551816085</v>
      </c>
      <c r="O1234" s="2">
        <f ca="1"/>
        <v>0.3338633154007502</v>
      </c>
      <c r="X1234" s="2">
        <f ca="1"/>
        <v>62.161866883503983</v>
      </c>
      <c r="AG1234" s="2">
        <f ca="1"/>
        <v>0.85289740879954934</v>
      </c>
      <c r="AH1234" s="2" t="str">
        <f ca="1"/>
        <v>Bad</v>
      </c>
    </row>
    <row r="1235" spans="2:34" x14ac:dyDescent="0.2">
      <c r="B1235" s="2">
        <f ca="1"/>
        <v>0.72675988123464741</v>
      </c>
      <c r="O1235" s="2">
        <f ca="1"/>
        <v>-0.47346842594191885</v>
      </c>
      <c r="X1235" s="2">
        <f ca="1"/>
        <v>44.907063199867636</v>
      </c>
      <c r="AG1235" s="2">
        <f ca="1"/>
        <v>0.48729459310802459</v>
      </c>
      <c r="AH1235" s="2" t="str">
        <f ca="1"/>
        <v>Bad</v>
      </c>
    </row>
    <row r="1236" spans="2:34" x14ac:dyDescent="0.2">
      <c r="B1236" s="2">
        <f ca="1"/>
        <v>0.36287018717340147</v>
      </c>
      <c r="O1236" s="2">
        <f ca="1"/>
        <v>-1.4700326879500045</v>
      </c>
      <c r="X1236" s="2">
        <f ca="1"/>
        <v>67.042420758775322</v>
      </c>
      <c r="AG1236" s="2">
        <f ca="1"/>
        <v>0.32257875128430125</v>
      </c>
      <c r="AH1236" s="2" t="str">
        <f ca="1"/>
        <v>OK</v>
      </c>
    </row>
    <row r="1237" spans="2:34" x14ac:dyDescent="0.2">
      <c r="B1237" s="2">
        <f ca="1"/>
        <v>0.74808684877803411</v>
      </c>
      <c r="O1237" s="2">
        <f ca="1"/>
        <v>0.88001235488192942</v>
      </c>
      <c r="X1237" s="2">
        <f ca="1"/>
        <v>65.919766867770392</v>
      </c>
      <c r="AG1237" s="2">
        <f ca="1"/>
        <v>0.11812668794353964</v>
      </c>
      <c r="AH1237" s="2" t="str">
        <f ca="1"/>
        <v>OK</v>
      </c>
    </row>
    <row r="1238" spans="2:34" x14ac:dyDescent="0.2">
      <c r="B1238" s="2">
        <f ca="1"/>
        <v>3.7370558009950594E-2</v>
      </c>
      <c r="O1238" s="2">
        <f ca="1"/>
        <v>-1.3040463517907148</v>
      </c>
      <c r="X1238" s="2">
        <f ca="1"/>
        <v>26.596998480539412</v>
      </c>
      <c r="AG1238" s="2">
        <f ca="1"/>
        <v>0.99471021355456357</v>
      </c>
      <c r="AH1238" s="2" t="str">
        <f ca="1"/>
        <v>Bad</v>
      </c>
    </row>
    <row r="1239" spans="2:34" x14ac:dyDescent="0.2">
      <c r="B1239" s="2">
        <f ca="1"/>
        <v>0.19282773386310881</v>
      </c>
      <c r="O1239" s="2">
        <f ca="1"/>
        <v>0.40884033536755737</v>
      </c>
      <c r="X1239" s="2">
        <f ca="1"/>
        <v>56.083812293421069</v>
      </c>
      <c r="AG1239" s="2">
        <f ca="1"/>
        <v>2.5552447227582986E-2</v>
      </c>
      <c r="AH1239" s="2" t="str">
        <f ca="1"/>
        <v>Good</v>
      </c>
    </row>
    <row r="1240" spans="2:34" x14ac:dyDescent="0.2">
      <c r="B1240" s="2">
        <f ca="1"/>
        <v>0.29683006099039355</v>
      </c>
      <c r="O1240" s="2">
        <f ca="1"/>
        <v>-0.29746724406561531</v>
      </c>
      <c r="X1240" s="2">
        <f ca="1"/>
        <v>37.531372632352983</v>
      </c>
      <c r="AG1240" s="2">
        <f ca="1"/>
        <v>0.65702856871693704</v>
      </c>
      <c r="AH1240" s="2" t="str">
        <f ca="1"/>
        <v>Bad</v>
      </c>
    </row>
    <row r="1241" spans="2:34" x14ac:dyDescent="0.2">
      <c r="B1241" s="2">
        <f ca="1"/>
        <v>0.17541691695808814</v>
      </c>
      <c r="O1241" s="2">
        <f ca="1"/>
        <v>0.19980442787889374</v>
      </c>
      <c r="X1241" s="2">
        <f ca="1"/>
        <v>40.240157277094291</v>
      </c>
      <c r="AG1241" s="2">
        <f ca="1"/>
        <v>0.81764763557401809</v>
      </c>
      <c r="AH1241" s="2" t="str">
        <f ca="1"/>
        <v>Bad</v>
      </c>
    </row>
    <row r="1242" spans="2:34" x14ac:dyDescent="0.2">
      <c r="B1242" s="2">
        <f ca="1"/>
        <v>0.27725629693299658</v>
      </c>
      <c r="O1242" s="2">
        <f ca="1"/>
        <v>-0.84574153273682051</v>
      </c>
      <c r="X1242" s="2">
        <f ca="1"/>
        <v>47.294632009852471</v>
      </c>
      <c r="AG1242" s="2">
        <f ca="1"/>
        <v>0.93544692976617005</v>
      </c>
      <c r="AH1242" s="2" t="str">
        <f ca="1"/>
        <v>Bad</v>
      </c>
    </row>
    <row r="1243" spans="2:34" x14ac:dyDescent="0.2">
      <c r="B1243" s="2">
        <f ca="1"/>
        <v>0.25290401787419836</v>
      </c>
      <c r="O1243" s="2">
        <f ca="1"/>
        <v>2.1281074021691606</v>
      </c>
      <c r="X1243" s="2">
        <f ca="1"/>
        <v>37.690205591244492</v>
      </c>
      <c r="AG1243" s="2">
        <f ca="1"/>
        <v>0.94776832806803712</v>
      </c>
      <c r="AH1243" s="2" t="str">
        <f ca="1"/>
        <v>Bad</v>
      </c>
    </row>
    <row r="1244" spans="2:34" x14ac:dyDescent="0.2">
      <c r="B1244" s="2">
        <f ca="1"/>
        <v>0.16464496220655311</v>
      </c>
      <c r="O1244" s="2">
        <f ca="1"/>
        <v>-0.69874973922180461</v>
      </c>
      <c r="X1244" s="2">
        <f ca="1"/>
        <v>49.32188474749352</v>
      </c>
      <c r="AG1244" s="2">
        <f ca="1"/>
        <v>0.84198207762493249</v>
      </c>
      <c r="AH1244" s="2" t="str">
        <f ca="1"/>
        <v>Bad</v>
      </c>
    </row>
    <row r="1245" spans="2:34" x14ac:dyDescent="0.2">
      <c r="B1245" s="2">
        <f ca="1"/>
        <v>7.1870629493828053E-2</v>
      </c>
      <c r="O1245" s="2">
        <f ca="1"/>
        <v>-0.36041465661448607</v>
      </c>
      <c r="X1245" s="2">
        <f ca="1"/>
        <v>51.622279802896898</v>
      </c>
      <c r="AG1245" s="2">
        <f ca="1"/>
        <v>0.88539294743430319</v>
      </c>
      <c r="AH1245" s="2" t="str">
        <f ca="1"/>
        <v>Bad</v>
      </c>
    </row>
    <row r="1246" spans="2:34" x14ac:dyDescent="0.2">
      <c r="B1246" s="2">
        <f ca="1"/>
        <v>0.74295121176298284</v>
      </c>
      <c r="O1246" s="2">
        <f ca="1"/>
        <v>0.40233866211113484</v>
      </c>
      <c r="X1246" s="2">
        <f ca="1"/>
        <v>28.576002468157409</v>
      </c>
      <c r="AG1246" s="2">
        <f ca="1"/>
        <v>1.6648943565187313E-3</v>
      </c>
      <c r="AH1246" s="2" t="str">
        <f ca="1"/>
        <v>Good</v>
      </c>
    </row>
    <row r="1247" spans="2:34" x14ac:dyDescent="0.2">
      <c r="B1247" s="2">
        <f ca="1"/>
        <v>0.12718783445124004</v>
      </c>
      <c r="O1247" s="2">
        <f ca="1"/>
        <v>1.6627453870769553</v>
      </c>
      <c r="X1247" s="2">
        <f ca="1"/>
        <v>73.921359117917945</v>
      </c>
      <c r="AG1247" s="2">
        <f ca="1"/>
        <v>0.50898049546638879</v>
      </c>
      <c r="AH1247" s="2" t="str">
        <f ca="1"/>
        <v>Bad</v>
      </c>
    </row>
    <row r="1248" spans="2:34" x14ac:dyDescent="0.2">
      <c r="B1248" s="2">
        <f ca="1"/>
        <v>0.59204045565009267</v>
      </c>
      <c r="O1248" s="2">
        <f ca="1"/>
        <v>0.1969157957215783</v>
      </c>
      <c r="X1248" s="2">
        <f ca="1"/>
        <v>55.069633894173464</v>
      </c>
      <c r="AG1248" s="2">
        <f ca="1"/>
        <v>0.4062547442726363</v>
      </c>
      <c r="AH1248" s="2" t="str">
        <f ca="1"/>
        <v>Bad</v>
      </c>
    </row>
    <row r="1249" spans="2:34" x14ac:dyDescent="0.2">
      <c r="B1249" s="2">
        <f ca="1"/>
        <v>0.89799817302772267</v>
      </c>
      <c r="O1249" s="2">
        <f ca="1"/>
        <v>-0.33302576895047914</v>
      </c>
      <c r="X1249" s="2">
        <f ca="1"/>
        <v>58.41743494202661</v>
      </c>
      <c r="AG1249" s="2">
        <f ca="1"/>
        <v>0.13757274429844224</v>
      </c>
      <c r="AH1249" s="2" t="str">
        <f ca="1"/>
        <v>OK</v>
      </c>
    </row>
    <row r="1250" spans="2:34" x14ac:dyDescent="0.2">
      <c r="B1250" s="2">
        <f ca="1"/>
        <v>0.96167762228626974</v>
      </c>
      <c r="O1250" s="2">
        <f ca="1"/>
        <v>-0.70859279663703478</v>
      </c>
      <c r="X1250" s="2">
        <f ca="1"/>
        <v>41.968634834729777</v>
      </c>
      <c r="AG1250" s="2">
        <f ca="1"/>
        <v>0.38697020483187283</v>
      </c>
      <c r="AH1250" s="2" t="str">
        <f ca="1"/>
        <v>OK</v>
      </c>
    </row>
    <row r="1251" spans="2:34" x14ac:dyDescent="0.2">
      <c r="B1251" s="2">
        <f ca="1"/>
        <v>0.24028166411478447</v>
      </c>
      <c r="O1251" s="2">
        <f ca="1"/>
        <v>0.4761458192806573</v>
      </c>
      <c r="X1251" s="2">
        <f ca="1"/>
        <v>30.067707873515609</v>
      </c>
      <c r="AG1251" s="2">
        <f ca="1"/>
        <v>0.87507408842924561</v>
      </c>
      <c r="AH1251" s="2" t="str">
        <f ca="1"/>
        <v>Bad</v>
      </c>
    </row>
    <row r="1252" spans="2:34" x14ac:dyDescent="0.2">
      <c r="B1252" s="2">
        <f ca="1"/>
        <v>8.1311826088829253E-2</v>
      </c>
      <c r="O1252" s="2">
        <f ca="1"/>
        <v>-1.1230239651899376</v>
      </c>
      <c r="X1252" s="2">
        <f ca="1"/>
        <v>42.131080744428509</v>
      </c>
      <c r="AG1252" s="2">
        <f ca="1"/>
        <v>0.59894996200082828</v>
      </c>
      <c r="AH1252" s="2" t="str">
        <f ca="1"/>
        <v>Bad</v>
      </c>
    </row>
    <row r="1253" spans="2:34" x14ac:dyDescent="0.2">
      <c r="B1253" s="2">
        <f ca="1"/>
        <v>0.78390214477412856</v>
      </c>
      <c r="O1253" s="2">
        <f ca="1"/>
        <v>1.763995954883335</v>
      </c>
      <c r="X1253" s="2">
        <f ca="1"/>
        <v>56.614324250255308</v>
      </c>
      <c r="AG1253" s="2">
        <f ca="1"/>
        <v>5.4272963071012592E-2</v>
      </c>
      <c r="AH1253" s="2" t="str">
        <f ca="1"/>
        <v>OK</v>
      </c>
    </row>
    <row r="1254" spans="2:34" x14ac:dyDescent="0.2">
      <c r="B1254" s="2">
        <f ca="1"/>
        <v>0.69851861109074553</v>
      </c>
      <c r="O1254" s="2">
        <f ca="1"/>
        <v>1.5206046583803272</v>
      </c>
      <c r="X1254" s="2">
        <f ca="1"/>
        <v>96.978763300591879</v>
      </c>
      <c r="AG1254" s="2">
        <f ca="1"/>
        <v>0.94865315941979889</v>
      </c>
      <c r="AH1254" s="2" t="str">
        <f ca="1"/>
        <v>Bad</v>
      </c>
    </row>
    <row r="1255" spans="2:34" x14ac:dyDescent="0.2">
      <c r="B1255" s="2">
        <f ca="1"/>
        <v>0.53675883983584005</v>
      </c>
      <c r="O1255" s="2">
        <f ca="1"/>
        <v>-0.63746820728174647</v>
      </c>
      <c r="X1255" s="2">
        <f ca="1"/>
        <v>42.633834245403442</v>
      </c>
      <c r="AG1255" s="2">
        <f ca="1"/>
        <v>0.62598094414175365</v>
      </c>
      <c r="AH1255" s="2" t="str">
        <f ca="1"/>
        <v>Bad</v>
      </c>
    </row>
    <row r="1256" spans="2:34" x14ac:dyDescent="0.2">
      <c r="B1256" s="2">
        <f ca="1"/>
        <v>0.74863635133612227</v>
      </c>
      <c r="O1256" s="2">
        <f ca="1"/>
        <v>0.30558346816823723</v>
      </c>
      <c r="X1256" s="2">
        <f ca="1"/>
        <v>46.248420015310415</v>
      </c>
      <c r="AG1256" s="2">
        <f ca="1"/>
        <v>0.93328074085774837</v>
      </c>
      <c r="AH1256" s="2" t="str">
        <f ca="1"/>
        <v>Bad</v>
      </c>
    </row>
    <row r="1257" spans="2:34" x14ac:dyDescent="0.2">
      <c r="B1257" s="2">
        <f ca="1"/>
        <v>5.8367934406711841E-2</v>
      </c>
      <c r="O1257" s="2">
        <f ca="1"/>
        <v>-1.0540238245984057</v>
      </c>
      <c r="X1257" s="2">
        <f ca="1"/>
        <v>65.618288609937679</v>
      </c>
      <c r="AG1257" s="2">
        <f ca="1"/>
        <v>0.94867611535004492</v>
      </c>
      <c r="AH1257" s="2" t="str">
        <f ca="1"/>
        <v>Bad</v>
      </c>
    </row>
    <row r="1258" spans="2:34" x14ac:dyDescent="0.2">
      <c r="B1258" s="2">
        <f ca="1"/>
        <v>5.2932316446821615E-2</v>
      </c>
      <c r="O1258" s="2">
        <f ca="1"/>
        <v>-0.75480679372485526</v>
      </c>
      <c r="X1258" s="2">
        <f ca="1"/>
        <v>56.310025002081716</v>
      </c>
      <c r="AG1258" s="2">
        <f ca="1"/>
        <v>0.1701037699189385</v>
      </c>
      <c r="AH1258" s="2" t="str">
        <f ca="1"/>
        <v>OK</v>
      </c>
    </row>
    <row r="1259" spans="2:34" x14ac:dyDescent="0.2">
      <c r="B1259" s="2">
        <f ca="1"/>
        <v>0.1500258147532636</v>
      </c>
      <c r="O1259" s="2">
        <f ca="1"/>
        <v>-0.21666229621985161</v>
      </c>
      <c r="X1259" s="2">
        <f ca="1"/>
        <v>29.349058803008155</v>
      </c>
      <c r="AG1259" s="2">
        <f ca="1"/>
        <v>0.16604844650610961</v>
      </c>
      <c r="AH1259" s="2" t="str">
        <f ca="1"/>
        <v>OK</v>
      </c>
    </row>
    <row r="1260" spans="2:34" x14ac:dyDescent="0.2">
      <c r="B1260" s="2">
        <f ca="1"/>
        <v>0.26694093149418774</v>
      </c>
      <c r="O1260" s="2">
        <f ca="1"/>
        <v>1.3143509516592207</v>
      </c>
      <c r="X1260" s="2">
        <f ca="1"/>
        <v>76.99874375115796</v>
      </c>
      <c r="AG1260" s="2">
        <f ca="1"/>
        <v>0.71517670203440065</v>
      </c>
      <c r="AH1260" s="2" t="str">
        <f ca="1"/>
        <v>Bad</v>
      </c>
    </row>
    <row r="1261" spans="2:34" x14ac:dyDescent="0.2">
      <c r="B1261" s="2">
        <f ca="1"/>
        <v>0.15759013751649142</v>
      </c>
      <c r="O1261" s="2">
        <f ca="1"/>
        <v>0.6524247519107611</v>
      </c>
      <c r="X1261" s="2">
        <f ca="1"/>
        <v>49.832604910004086</v>
      </c>
      <c r="AG1261" s="2">
        <f ca="1"/>
        <v>0.41009265009455498</v>
      </c>
      <c r="AH1261" s="2" t="str">
        <f ca="1"/>
        <v>Bad</v>
      </c>
    </row>
    <row r="1262" spans="2:34" x14ac:dyDescent="0.2">
      <c r="B1262" s="2">
        <f ca="1"/>
        <v>0.34841559327546023</v>
      </c>
      <c r="O1262" s="2">
        <f ca="1"/>
        <v>0.217531331555288</v>
      </c>
      <c r="X1262" s="2">
        <f ca="1"/>
        <v>41.456238592808447</v>
      </c>
      <c r="AG1262" s="2">
        <f ca="1"/>
        <v>9.6821302746130877E-2</v>
      </c>
      <c r="AH1262" s="2" t="str">
        <f ca="1"/>
        <v>OK</v>
      </c>
    </row>
    <row r="1263" spans="2:34" x14ac:dyDescent="0.2">
      <c r="B1263" s="2">
        <f ca="1"/>
        <v>0.17139490517388944</v>
      </c>
      <c r="O1263" s="2">
        <f ca="1"/>
        <v>-2.5176475607844267E-3</v>
      </c>
      <c r="X1263" s="2">
        <f ca="1"/>
        <v>48.223417231211165</v>
      </c>
      <c r="AG1263" s="2">
        <f ca="1"/>
        <v>0.29626313755929568</v>
      </c>
      <c r="AH1263" s="2" t="str">
        <f ca="1"/>
        <v>OK</v>
      </c>
    </row>
    <row r="1264" spans="2:34" x14ac:dyDescent="0.2">
      <c r="B1264" s="2">
        <f ca="1"/>
        <v>0.4482402606684166</v>
      </c>
      <c r="O1264" s="2">
        <f ca="1"/>
        <v>-1.2921872269058006</v>
      </c>
      <c r="X1264" s="2">
        <f ca="1"/>
        <v>48.503405963096007</v>
      </c>
      <c r="AG1264" s="2">
        <f ca="1"/>
        <v>0.35651920762793088</v>
      </c>
      <c r="AH1264" s="2" t="str">
        <f ca="1"/>
        <v>OK</v>
      </c>
    </row>
    <row r="1265" spans="2:34" x14ac:dyDescent="0.2">
      <c r="B1265" s="2">
        <f ca="1"/>
        <v>0.95529038947229816</v>
      </c>
      <c r="O1265" s="2">
        <f ca="1"/>
        <v>-0.31110107074092735</v>
      </c>
      <c r="X1265" s="2">
        <f ca="1"/>
        <v>47.46608034408834</v>
      </c>
      <c r="AG1265" s="2">
        <f ca="1"/>
        <v>0.84209766780382767</v>
      </c>
      <c r="AH1265" s="2" t="str">
        <f ca="1"/>
        <v>Bad</v>
      </c>
    </row>
    <row r="1266" spans="2:34" x14ac:dyDescent="0.2">
      <c r="B1266" s="2">
        <f ca="1"/>
        <v>0.94347334918751868</v>
      </c>
      <c r="O1266" s="2">
        <f ca="1"/>
        <v>-0.54512836282943056</v>
      </c>
      <c r="X1266" s="2">
        <f ca="1"/>
        <v>44.912382436651143</v>
      </c>
      <c r="AG1266" s="2">
        <f ca="1"/>
        <v>0.8617827536976792</v>
      </c>
      <c r="AH1266" s="2" t="str">
        <f ca="1"/>
        <v>Bad</v>
      </c>
    </row>
    <row r="1267" spans="2:34" x14ac:dyDescent="0.2">
      <c r="B1267" s="2">
        <f ca="1"/>
        <v>0.25196115307055389</v>
      </c>
      <c r="O1267" s="2">
        <f ca="1"/>
        <v>1.6167495358036124</v>
      </c>
      <c r="X1267" s="2">
        <f ca="1"/>
        <v>49.304555742555614</v>
      </c>
      <c r="AG1267" s="2">
        <f ca="1"/>
        <v>0.68245313085947923</v>
      </c>
      <c r="AH1267" s="2" t="str">
        <f ca="1"/>
        <v>Bad</v>
      </c>
    </row>
    <row r="1268" spans="2:34" x14ac:dyDescent="0.2">
      <c r="B1268" s="2">
        <f ca="1"/>
        <v>0.98769076348748031</v>
      </c>
      <c r="O1268" s="2">
        <f ca="1"/>
        <v>-0.12630769417979101</v>
      </c>
      <c r="X1268" s="2">
        <f ca="1"/>
        <v>49.784757676442489</v>
      </c>
      <c r="AG1268" s="2">
        <f ca="1"/>
        <v>0.67447168927319323</v>
      </c>
      <c r="AH1268" s="2" t="str">
        <f ca="1"/>
        <v>Bad</v>
      </c>
    </row>
    <row r="1269" spans="2:34" x14ac:dyDescent="0.2">
      <c r="B1269" s="2">
        <f ca="1"/>
        <v>0.51363671210545703</v>
      </c>
      <c r="O1269" s="2">
        <f ca="1"/>
        <v>-0.33952107761303618</v>
      </c>
      <c r="X1269" s="2">
        <f ca="1"/>
        <v>74.441411716210638</v>
      </c>
      <c r="AG1269" s="2">
        <f ca="1"/>
        <v>1.6970997831176948E-2</v>
      </c>
      <c r="AH1269" s="2" t="str">
        <f ca="1"/>
        <v>Good</v>
      </c>
    </row>
    <row r="1270" spans="2:34" x14ac:dyDescent="0.2">
      <c r="B1270" s="2">
        <f ca="1"/>
        <v>2.1897039683516084E-2</v>
      </c>
      <c r="O1270" s="2">
        <f ca="1"/>
        <v>1.2206516752931513</v>
      </c>
      <c r="X1270" s="2">
        <f ca="1"/>
        <v>43.934630159042271</v>
      </c>
      <c r="AG1270" s="2">
        <f ca="1"/>
        <v>0.97585547637557046</v>
      </c>
      <c r="AH1270" s="2" t="str">
        <f ca="1"/>
        <v>Bad</v>
      </c>
    </row>
    <row r="1271" spans="2:34" x14ac:dyDescent="0.2">
      <c r="B1271" s="2">
        <f ca="1"/>
        <v>0.3970604931424222</v>
      </c>
      <c r="O1271" s="2">
        <f ca="1"/>
        <v>0.36720345662414572</v>
      </c>
      <c r="X1271" s="2">
        <f ca="1"/>
        <v>31.096132615459005</v>
      </c>
      <c r="AG1271" s="2">
        <f ca="1"/>
        <v>0.24666369953321965</v>
      </c>
      <c r="AH1271" s="2" t="str">
        <f ca="1"/>
        <v>OK</v>
      </c>
    </row>
    <row r="1272" spans="2:34" x14ac:dyDescent="0.2">
      <c r="B1272" s="2">
        <f ca="1"/>
        <v>0.87050327358981727</v>
      </c>
      <c r="O1272" s="2">
        <f ca="1"/>
        <v>0.6685572829739217</v>
      </c>
      <c r="X1272" s="2">
        <f ca="1"/>
        <v>105.30905317218705</v>
      </c>
      <c r="AG1272" s="2">
        <f ca="1"/>
        <v>0.46313128845037088</v>
      </c>
      <c r="AH1272" s="2" t="str">
        <f ca="1"/>
        <v>Bad</v>
      </c>
    </row>
    <row r="1273" spans="2:34" x14ac:dyDescent="0.2">
      <c r="B1273" s="2">
        <f ca="1"/>
        <v>0.38093293900777692</v>
      </c>
      <c r="O1273" s="2">
        <f ca="1"/>
        <v>0.91166382658875644</v>
      </c>
      <c r="X1273" s="2">
        <f ca="1"/>
        <v>51.617613931757766</v>
      </c>
      <c r="AG1273" s="2">
        <f ca="1"/>
        <v>0.78012208970375063</v>
      </c>
      <c r="AH1273" s="2" t="str">
        <f ca="1"/>
        <v>Bad</v>
      </c>
    </row>
    <row r="1274" spans="2:34" x14ac:dyDescent="0.2">
      <c r="B1274" s="2">
        <f ca="1"/>
        <v>0.7774927784262895</v>
      </c>
      <c r="O1274" s="2">
        <f ca="1"/>
        <v>-0.70150684930881269</v>
      </c>
      <c r="X1274" s="2">
        <f ca="1"/>
        <v>65.569381812712948</v>
      </c>
      <c r="AG1274" s="2">
        <f ca="1"/>
        <v>0.73879470699277427</v>
      </c>
      <c r="AH1274" s="2" t="str">
        <f ca="1"/>
        <v>Bad</v>
      </c>
    </row>
    <row r="1275" spans="2:34" x14ac:dyDescent="0.2">
      <c r="B1275" s="2">
        <f ca="1"/>
        <v>0.57126713872365897</v>
      </c>
      <c r="O1275" s="2">
        <f ca="1"/>
        <v>0.1069047969468969</v>
      </c>
      <c r="X1275" s="2">
        <f ca="1"/>
        <v>71.047756087048256</v>
      </c>
      <c r="AG1275" s="2">
        <f ca="1"/>
        <v>0.88902945143871315</v>
      </c>
      <c r="AH1275" s="2" t="str">
        <f ca="1"/>
        <v>Bad</v>
      </c>
    </row>
    <row r="1276" spans="2:34" x14ac:dyDescent="0.2">
      <c r="B1276" s="2">
        <f ca="1"/>
        <v>0.10840634638694246</v>
      </c>
      <c r="O1276" s="2">
        <f ca="1"/>
        <v>0.52300310341973921</v>
      </c>
      <c r="X1276" s="2">
        <f ca="1"/>
        <v>48.693232774043452</v>
      </c>
      <c r="AG1276" s="2">
        <f ca="1"/>
        <v>0.76913197463841576</v>
      </c>
      <c r="AH1276" s="2" t="str">
        <f ca="1"/>
        <v>Bad</v>
      </c>
    </row>
    <row r="1277" spans="2:34" x14ac:dyDescent="0.2">
      <c r="B1277" s="2">
        <f ca="1"/>
        <v>0.71643979589174256</v>
      </c>
      <c r="O1277" s="2">
        <f ca="1"/>
        <v>-0.17578465547276365</v>
      </c>
      <c r="X1277" s="2">
        <f ca="1"/>
        <v>52.766306032904573</v>
      </c>
      <c r="AG1277" s="2">
        <f ca="1"/>
        <v>0.51593381329743937</v>
      </c>
      <c r="AH1277" s="2" t="str">
        <f ca="1"/>
        <v>Bad</v>
      </c>
    </row>
    <row r="1278" spans="2:34" x14ac:dyDescent="0.2">
      <c r="B1278" s="2">
        <f ca="1"/>
        <v>0.59673462102398878</v>
      </c>
      <c r="O1278" s="2">
        <f ca="1"/>
        <v>1.8286568976985187</v>
      </c>
      <c r="X1278" s="2">
        <f ca="1"/>
        <v>33.858580386370527</v>
      </c>
      <c r="AG1278" s="2">
        <f ca="1"/>
        <v>0.163128785010761</v>
      </c>
      <c r="AH1278" s="2" t="str">
        <f ca="1"/>
        <v>OK</v>
      </c>
    </row>
    <row r="1279" spans="2:34" x14ac:dyDescent="0.2">
      <c r="B1279" s="2">
        <f ca="1"/>
        <v>0.90019764020435389</v>
      </c>
      <c r="O1279" s="2">
        <f ca="1"/>
        <v>-0.75902522864190147</v>
      </c>
      <c r="X1279" s="2">
        <f ca="1"/>
        <v>36.274570089950288</v>
      </c>
      <c r="AG1279" s="2">
        <f ca="1"/>
        <v>0.25802159776847855</v>
      </c>
      <c r="AH1279" s="2" t="str">
        <f ca="1"/>
        <v>OK</v>
      </c>
    </row>
    <row r="1280" spans="2:34" x14ac:dyDescent="0.2">
      <c r="B1280" s="2">
        <f ca="1"/>
        <v>0.78052558083852097</v>
      </c>
      <c r="O1280" s="2">
        <f ca="1"/>
        <v>-0.6602611762057734</v>
      </c>
      <c r="X1280" s="2">
        <f ca="1"/>
        <v>38.175809897953769</v>
      </c>
      <c r="AG1280" s="2">
        <f ca="1"/>
        <v>0.85590648837914074</v>
      </c>
      <c r="AH1280" s="2" t="str">
        <f ca="1"/>
        <v>Bad</v>
      </c>
    </row>
    <row r="1281" spans="2:34" x14ac:dyDescent="0.2">
      <c r="B1281" s="2">
        <f ca="1"/>
        <v>0.49077203249157053</v>
      </c>
      <c r="O1281" s="2">
        <f ca="1"/>
        <v>1.171375039677272</v>
      </c>
      <c r="X1281" s="2">
        <f ca="1"/>
        <v>70.534993839033589</v>
      </c>
      <c r="AG1281" s="2">
        <f ca="1"/>
        <v>0.88369336786610675</v>
      </c>
      <c r="AH1281" s="2" t="str">
        <f ca="1"/>
        <v>Bad</v>
      </c>
    </row>
    <row r="1282" spans="2:34" x14ac:dyDescent="0.2">
      <c r="B1282" s="2">
        <f ca="1"/>
        <v>0.92152265798627586</v>
      </c>
      <c r="O1282" s="2">
        <f ca="1"/>
        <v>1.3146715358104846</v>
      </c>
      <c r="X1282" s="2">
        <f ca="1"/>
        <v>81.509152273895623</v>
      </c>
      <c r="AG1282" s="2">
        <f ca="1"/>
        <v>0.31606937242237199</v>
      </c>
      <c r="AH1282" s="2" t="str">
        <f ca="1"/>
        <v>OK</v>
      </c>
    </row>
    <row r="1283" spans="2:34" x14ac:dyDescent="0.2">
      <c r="B1283" s="2">
        <f ca="1"/>
        <v>0.96396849735429413</v>
      </c>
      <c r="O1283" s="2">
        <f ca="1"/>
        <v>-0.49905554587748702</v>
      </c>
      <c r="X1283" s="2">
        <f ca="1"/>
        <v>79.154348199385126</v>
      </c>
      <c r="AG1283" s="2">
        <f ca="1"/>
        <v>8.6061320745900227E-2</v>
      </c>
      <c r="AH1283" s="2" t="str">
        <f ca="1"/>
        <v>OK</v>
      </c>
    </row>
    <row r="1284" spans="2:34" x14ac:dyDescent="0.2">
      <c r="B1284" s="2">
        <f ca="1"/>
        <v>0.58811307786290512</v>
      </c>
      <c r="O1284" s="2">
        <f ca="1"/>
        <v>-4.9218536519401133E-3</v>
      </c>
      <c r="X1284" s="2">
        <f ca="1"/>
        <v>45.744062151796555</v>
      </c>
      <c r="AG1284" s="2">
        <f ca="1"/>
        <v>0.97155356986107555</v>
      </c>
      <c r="AH1284" s="2" t="str">
        <f ca="1"/>
        <v>Bad</v>
      </c>
    </row>
    <row r="1285" spans="2:34" x14ac:dyDescent="0.2">
      <c r="B1285" s="2">
        <f ca="1"/>
        <v>0.91980515747573377</v>
      </c>
      <c r="O1285" s="2">
        <f ca="1"/>
        <v>-0.30179719217513318</v>
      </c>
      <c r="X1285" s="2">
        <f ca="1"/>
        <v>53.811055649492083</v>
      </c>
      <c r="AG1285" s="2">
        <f ca="1"/>
        <v>0.92101103159556574</v>
      </c>
      <c r="AH1285" s="2" t="str">
        <f ca="1"/>
        <v>Bad</v>
      </c>
    </row>
    <row r="1286" spans="2:34" x14ac:dyDescent="0.2">
      <c r="B1286" s="2">
        <f ca="1"/>
        <v>0.3394507826697446</v>
      </c>
      <c r="O1286" s="2">
        <f ca="1"/>
        <v>1.2277300408871457</v>
      </c>
      <c r="X1286" s="2">
        <f ca="1"/>
        <v>46.315089893981096</v>
      </c>
      <c r="AG1286" s="2">
        <f ca="1"/>
        <v>0.40067289169645681</v>
      </c>
      <c r="AH1286" s="2" t="str">
        <f ca="1"/>
        <v>Bad</v>
      </c>
    </row>
    <row r="1287" spans="2:34" x14ac:dyDescent="0.2">
      <c r="B1287" s="2">
        <f ca="1"/>
        <v>0.53737522932060244</v>
      </c>
      <c r="O1287" s="2">
        <f ca="1"/>
        <v>7.7115110181107116E-2</v>
      </c>
      <c r="X1287" s="2">
        <f ca="1"/>
        <v>54.178474638744333</v>
      </c>
      <c r="AG1287" s="2">
        <f ca="1"/>
        <v>0.51197786324931216</v>
      </c>
      <c r="AH1287" s="2" t="str">
        <f ca="1"/>
        <v>Bad</v>
      </c>
    </row>
    <row r="1288" spans="2:34" x14ac:dyDescent="0.2">
      <c r="B1288" s="2">
        <f ca="1"/>
        <v>0.94028086343967598</v>
      </c>
      <c r="O1288" s="2">
        <f ca="1"/>
        <v>-1.2718271325085011</v>
      </c>
      <c r="X1288" s="2">
        <f ca="1"/>
        <v>98.683673967126595</v>
      </c>
      <c r="AG1288" s="2">
        <f ca="1"/>
        <v>0.71112923445743226</v>
      </c>
      <c r="AH1288" s="2" t="str">
        <f ca="1"/>
        <v>Bad</v>
      </c>
    </row>
    <row r="1289" spans="2:34" x14ac:dyDescent="0.2">
      <c r="B1289" s="2">
        <f ca="1"/>
        <v>0.58908961903768264</v>
      </c>
      <c r="O1289" s="2">
        <f ca="1"/>
        <v>-0.7147613416717431</v>
      </c>
      <c r="X1289" s="2">
        <f ca="1"/>
        <v>83.498766304883986</v>
      </c>
      <c r="AG1289" s="2">
        <f ca="1"/>
        <v>0.48780390668360463</v>
      </c>
      <c r="AH1289" s="2" t="str">
        <f ca="1"/>
        <v>Bad</v>
      </c>
    </row>
    <row r="1290" spans="2:34" x14ac:dyDescent="0.2">
      <c r="B1290" s="2">
        <f ca="1"/>
        <v>0.48274428122859425</v>
      </c>
      <c r="O1290" s="2">
        <f ca="1"/>
        <v>2.1536583213312821</v>
      </c>
      <c r="X1290" s="2">
        <f ca="1"/>
        <v>39.709594248933747</v>
      </c>
      <c r="AG1290" s="2">
        <f ca="1"/>
        <v>0.96663611020046214</v>
      </c>
      <c r="AH1290" s="2" t="str">
        <f ca="1"/>
        <v>Bad</v>
      </c>
    </row>
    <row r="1291" spans="2:34" x14ac:dyDescent="0.2">
      <c r="B1291" s="2">
        <f ca="1"/>
        <v>0.22742625950907724</v>
      </c>
      <c r="O1291" s="2">
        <f ca="1"/>
        <v>-2.1516158855562715</v>
      </c>
      <c r="X1291" s="2">
        <f ca="1"/>
        <v>51.5384199885792</v>
      </c>
      <c r="AG1291" s="2">
        <f ca="1"/>
        <v>0.89801779354137934</v>
      </c>
      <c r="AH1291" s="2" t="str">
        <f ca="1"/>
        <v>Bad</v>
      </c>
    </row>
    <row r="1292" spans="2:34" x14ac:dyDescent="0.2">
      <c r="B1292" s="2">
        <f ca="1"/>
        <v>0.62453285928413194</v>
      </c>
      <c r="O1292" s="2">
        <f ca="1"/>
        <v>1.4024150176255739</v>
      </c>
      <c r="X1292" s="2">
        <f ca="1"/>
        <v>61.753487382801595</v>
      </c>
      <c r="AG1292" s="2">
        <f ca="1"/>
        <v>0.74753064014690596</v>
      </c>
      <c r="AH1292" s="2" t="str">
        <f ca="1"/>
        <v>Bad</v>
      </c>
    </row>
    <row r="1293" spans="2:34" x14ac:dyDescent="0.2">
      <c r="B1293" s="2">
        <f ca="1"/>
        <v>0.33339156189033292</v>
      </c>
      <c r="O1293" s="2">
        <f ca="1"/>
        <v>1.0895844045826866</v>
      </c>
      <c r="X1293" s="2">
        <f ca="1"/>
        <v>47.179865550866126</v>
      </c>
      <c r="AG1293" s="2">
        <f ca="1"/>
        <v>0.45517899909849202</v>
      </c>
      <c r="AH1293" s="2" t="str">
        <f ca="1"/>
        <v>Bad</v>
      </c>
    </row>
    <row r="1294" spans="2:34" x14ac:dyDescent="0.2">
      <c r="B1294" s="2">
        <f ca="1"/>
        <v>0.37250681029310684</v>
      </c>
      <c r="O1294" s="2">
        <f ca="1"/>
        <v>0.76706013519042027</v>
      </c>
      <c r="X1294" s="2">
        <f ca="1"/>
        <v>71.477401973431455</v>
      </c>
      <c r="AG1294" s="2">
        <f ca="1"/>
        <v>0.62757969073311681</v>
      </c>
      <c r="AH1294" s="2" t="str">
        <f ca="1"/>
        <v>Bad</v>
      </c>
    </row>
    <row r="1295" spans="2:34" x14ac:dyDescent="0.2">
      <c r="B1295" s="2">
        <f ca="1"/>
        <v>0.36523421772751297</v>
      </c>
      <c r="O1295" s="2">
        <f ca="1"/>
        <v>0.44289126033980097</v>
      </c>
      <c r="X1295" s="2">
        <f ca="1"/>
        <v>54.532174583285908</v>
      </c>
      <c r="AG1295" s="2">
        <f ca="1"/>
        <v>0.20864567920696575</v>
      </c>
      <c r="AH1295" s="2" t="str">
        <f ca="1"/>
        <v>OK</v>
      </c>
    </row>
    <row r="1296" spans="2:34" x14ac:dyDescent="0.2">
      <c r="B1296" s="2">
        <f ca="1"/>
        <v>0.71223718131548241</v>
      </c>
      <c r="O1296" s="2">
        <f ca="1"/>
        <v>-9.0736294561717251E-2</v>
      </c>
      <c r="X1296" s="2">
        <f ca="1"/>
        <v>61.803096018751155</v>
      </c>
      <c r="AG1296" s="2">
        <f ca="1"/>
        <v>0.71755150920412536</v>
      </c>
      <c r="AH1296" s="2" t="str">
        <f ca="1"/>
        <v>Bad</v>
      </c>
    </row>
    <row r="1297" spans="2:34" x14ac:dyDescent="0.2">
      <c r="B1297" s="2">
        <f ca="1"/>
        <v>5.943263171282287E-2</v>
      </c>
      <c r="O1297" s="2">
        <f ca="1"/>
        <v>1.1974271465469313</v>
      </c>
      <c r="X1297" s="2">
        <f ca="1"/>
        <v>56.970459845199542</v>
      </c>
      <c r="AG1297" s="2">
        <f ca="1"/>
        <v>0.36815881489394076</v>
      </c>
      <c r="AH1297" s="2" t="str">
        <f ca="1"/>
        <v>OK</v>
      </c>
    </row>
    <row r="1298" spans="2:34" x14ac:dyDescent="0.2">
      <c r="B1298" s="2">
        <f ca="1"/>
        <v>6.8658372295033576E-2</v>
      </c>
      <c r="O1298" s="2">
        <f ca="1"/>
        <v>0.64197784839353156</v>
      </c>
      <c r="X1298" s="2">
        <f ca="1"/>
        <v>62.637989387609927</v>
      </c>
      <c r="AG1298" s="2">
        <f ca="1"/>
        <v>0.94269420701228457</v>
      </c>
      <c r="AH1298" s="2" t="str">
        <f ca="1"/>
        <v>Bad</v>
      </c>
    </row>
    <row r="1299" spans="2:34" x14ac:dyDescent="0.2">
      <c r="B1299" s="2">
        <f ca="1"/>
        <v>1.4956215231750836E-2</v>
      </c>
      <c r="O1299" s="2">
        <f ca="1"/>
        <v>-0.43703585959400421</v>
      </c>
      <c r="X1299" s="2">
        <f ca="1"/>
        <v>52.03038036964378</v>
      </c>
      <c r="AG1299" s="2">
        <f ca="1"/>
        <v>0.15816868864644351</v>
      </c>
      <c r="AH1299" s="2" t="str">
        <f ca="1"/>
        <v>OK</v>
      </c>
    </row>
    <row r="1300" spans="2:34" x14ac:dyDescent="0.2">
      <c r="B1300" s="2">
        <f ca="1"/>
        <v>2.515670503919587E-2</v>
      </c>
      <c r="O1300" s="2">
        <f ca="1"/>
        <v>-7.0313971179859838E-2</v>
      </c>
      <c r="X1300" s="2">
        <f ca="1"/>
        <v>48.69075966351253</v>
      </c>
      <c r="AG1300" s="2">
        <f ca="1"/>
        <v>0.87725307549660236</v>
      </c>
      <c r="AH1300" s="2" t="str">
        <f ca="1"/>
        <v>Bad</v>
      </c>
    </row>
    <row r="1301" spans="2:34" x14ac:dyDescent="0.2">
      <c r="B1301" s="2">
        <f ca="1"/>
        <v>0.30927995022946098</v>
      </c>
      <c r="O1301" s="2">
        <f ca="1"/>
        <v>0.57992085435491825</v>
      </c>
      <c r="X1301" s="2">
        <f ca="1"/>
        <v>55.374264576504501</v>
      </c>
      <c r="AG1301" s="2">
        <f ca="1"/>
        <v>0.47165149114327209</v>
      </c>
      <c r="AH1301" s="2" t="str">
        <f ca="1"/>
        <v>Bad</v>
      </c>
    </row>
    <row r="1302" spans="2:34" x14ac:dyDescent="0.2">
      <c r="B1302" s="2">
        <f ca="1"/>
        <v>0.18984312507399381</v>
      </c>
      <c r="O1302" s="2">
        <f ca="1"/>
        <v>-0.53516314707967227</v>
      </c>
      <c r="X1302" s="2">
        <f ca="1"/>
        <v>55.223175583722622</v>
      </c>
      <c r="AG1302" s="2">
        <f ca="1"/>
        <v>0.1761212192101016</v>
      </c>
      <c r="AH1302" s="2" t="str">
        <f ca="1"/>
        <v>OK</v>
      </c>
    </row>
    <row r="1303" spans="2:34" x14ac:dyDescent="0.2">
      <c r="B1303" s="2">
        <f ca="1"/>
        <v>0.50722493911403932</v>
      </c>
      <c r="O1303" s="2">
        <f ca="1"/>
        <v>0.15170530957159944</v>
      </c>
      <c r="X1303" s="2">
        <f ca="1"/>
        <v>75.142483586521195</v>
      </c>
      <c r="AG1303" s="2">
        <f ca="1"/>
        <v>0.98476205496392288</v>
      </c>
      <c r="AH1303" s="2" t="str">
        <f ca="1"/>
        <v>Bad</v>
      </c>
    </row>
    <row r="1304" spans="2:34" x14ac:dyDescent="0.2">
      <c r="B1304" s="2">
        <f ca="1"/>
        <v>0.42004651413065885</v>
      </c>
      <c r="O1304" s="2">
        <f ca="1"/>
        <v>-0.99194936495266495</v>
      </c>
      <c r="X1304" s="2">
        <f ca="1"/>
        <v>51.028630845272318</v>
      </c>
      <c r="AG1304" s="2">
        <f ca="1"/>
        <v>0.48776388192489661</v>
      </c>
      <c r="AH1304" s="2" t="str">
        <f ca="1"/>
        <v>Bad</v>
      </c>
    </row>
    <row r="1305" spans="2:34" x14ac:dyDescent="0.2">
      <c r="B1305" s="2">
        <f ca="1"/>
        <v>0.68248785807927725</v>
      </c>
      <c r="O1305" s="2">
        <f ca="1"/>
        <v>-0.12742408719399925</v>
      </c>
      <c r="X1305" s="2">
        <f ca="1"/>
        <v>47.443734749181878</v>
      </c>
      <c r="AG1305" s="2">
        <f ca="1"/>
        <v>0.18055043085101308</v>
      </c>
      <c r="AH1305" s="2" t="str">
        <f ca="1"/>
        <v>OK</v>
      </c>
    </row>
    <row r="1306" spans="2:34" x14ac:dyDescent="0.2">
      <c r="B1306" s="2">
        <f ca="1"/>
        <v>0.34364814784692976</v>
      </c>
      <c r="O1306" s="2">
        <f ca="1"/>
        <v>-0.1563189547677615</v>
      </c>
      <c r="X1306" s="2">
        <f ca="1"/>
        <v>70.877806106178383</v>
      </c>
      <c r="AG1306" s="2">
        <f ca="1"/>
        <v>0.11577062155760931</v>
      </c>
      <c r="AH1306" s="2" t="str">
        <f ca="1"/>
        <v>OK</v>
      </c>
    </row>
    <row r="1307" spans="2:34" x14ac:dyDescent="0.2">
      <c r="B1307" s="2">
        <f ca="1"/>
        <v>0.48607690421701566</v>
      </c>
      <c r="O1307" s="2">
        <f ca="1"/>
        <v>-0.95275067411033876</v>
      </c>
      <c r="X1307" s="2">
        <f ca="1"/>
        <v>46.288254743395989</v>
      </c>
      <c r="AG1307" s="2">
        <f ca="1"/>
        <v>0.21769808482732911</v>
      </c>
      <c r="AH1307" s="2" t="str">
        <f ca="1"/>
        <v>OK</v>
      </c>
    </row>
    <row r="1308" spans="2:34" x14ac:dyDescent="0.2">
      <c r="B1308" s="2">
        <f ca="1"/>
        <v>1.2165604030785371E-2</v>
      </c>
      <c r="O1308" s="2">
        <f ca="1"/>
        <v>0.11869133715515291</v>
      </c>
      <c r="X1308" s="2">
        <f ca="1"/>
        <v>29.421354769251678</v>
      </c>
      <c r="AG1308" s="2">
        <f ca="1"/>
        <v>0.48785845639483094</v>
      </c>
      <c r="AH1308" s="2" t="str">
        <f ca="1"/>
        <v>Bad</v>
      </c>
    </row>
    <row r="1309" spans="2:34" x14ac:dyDescent="0.2">
      <c r="B1309" s="2">
        <f ca="1"/>
        <v>0.48774509299423707</v>
      </c>
      <c r="O1309" s="2">
        <f ca="1"/>
        <v>0.28577417919417697</v>
      </c>
      <c r="X1309" s="2">
        <f ca="1"/>
        <v>46.711065408683965</v>
      </c>
      <c r="AG1309" s="2">
        <f ca="1"/>
        <v>0.26388181921348575</v>
      </c>
      <c r="AH1309" s="2" t="str">
        <f ca="1"/>
        <v>OK</v>
      </c>
    </row>
    <row r="1310" spans="2:34" x14ac:dyDescent="0.2">
      <c r="B1310" s="2">
        <f ca="1"/>
        <v>0.52626176095675059</v>
      </c>
      <c r="O1310" s="2">
        <f ca="1"/>
        <v>1.3625997777685579</v>
      </c>
      <c r="X1310" s="2">
        <f ca="1"/>
        <v>41.047829041652911</v>
      </c>
      <c r="AG1310" s="2">
        <f ca="1"/>
        <v>0.87040726243172606</v>
      </c>
      <c r="AH1310" s="2" t="str">
        <f ca="1"/>
        <v>Bad</v>
      </c>
    </row>
    <row r="1311" spans="2:34" x14ac:dyDescent="0.2">
      <c r="B1311" s="2">
        <f ca="1"/>
        <v>0.3970538850207046</v>
      </c>
      <c r="O1311" s="2">
        <f ca="1"/>
        <v>1.2870064183070864</v>
      </c>
      <c r="X1311" s="2">
        <f ca="1"/>
        <v>47.445532571249259</v>
      </c>
      <c r="AG1311" s="2">
        <f ca="1"/>
        <v>0.52341077745306075</v>
      </c>
      <c r="AH1311" s="2" t="str">
        <f ca="1"/>
        <v>Bad</v>
      </c>
    </row>
    <row r="1312" spans="2:34" x14ac:dyDescent="0.2">
      <c r="B1312" s="2">
        <f ca="1"/>
        <v>0.80806962595761389</v>
      </c>
      <c r="O1312" s="2">
        <f ca="1"/>
        <v>-1.0374979009399139</v>
      </c>
      <c r="X1312" s="2">
        <f ca="1"/>
        <v>32.579672116437372</v>
      </c>
      <c r="AG1312" s="2">
        <f ca="1"/>
        <v>0.23010110444497411</v>
      </c>
      <c r="AH1312" s="2" t="str">
        <f ca="1"/>
        <v>OK</v>
      </c>
    </row>
    <row r="1313" spans="2:34" x14ac:dyDescent="0.2">
      <c r="B1313" s="2">
        <f ca="1"/>
        <v>0.984135923866019</v>
      </c>
      <c r="O1313" s="2">
        <f ca="1"/>
        <v>-2.1954532634185533</v>
      </c>
      <c r="X1313" s="2">
        <f ca="1"/>
        <v>43.751850408005055</v>
      </c>
      <c r="AG1313" s="2">
        <f ca="1"/>
        <v>0.11370902119685256</v>
      </c>
      <c r="AH1313" s="2" t="str">
        <f ca="1"/>
        <v>OK</v>
      </c>
    </row>
    <row r="1314" spans="2:34" x14ac:dyDescent="0.2">
      <c r="B1314" s="2">
        <f ca="1"/>
        <v>0.73535660426646099</v>
      </c>
      <c r="O1314" s="2">
        <f ca="1"/>
        <v>-7.3349059152270302E-2</v>
      </c>
      <c r="X1314" s="2">
        <f ca="1"/>
        <v>29.899443229882181</v>
      </c>
      <c r="AG1314" s="2">
        <f ca="1"/>
        <v>0.28957855418592726</v>
      </c>
      <c r="AH1314" s="2" t="str">
        <f ca="1"/>
        <v>OK</v>
      </c>
    </row>
    <row r="1315" spans="2:34" x14ac:dyDescent="0.2">
      <c r="B1315" s="2">
        <f ca="1"/>
        <v>0.7397790336447998</v>
      </c>
      <c r="O1315" s="2">
        <f ca="1"/>
        <v>-1.343539761104807</v>
      </c>
      <c r="X1315" s="2">
        <f ca="1"/>
        <v>32.824928123674766</v>
      </c>
      <c r="AG1315" s="2">
        <f ca="1"/>
        <v>0.26025715076450107</v>
      </c>
      <c r="AH1315" s="2" t="str">
        <f ca="1"/>
        <v>OK</v>
      </c>
    </row>
    <row r="1316" spans="2:34" x14ac:dyDescent="0.2">
      <c r="B1316" s="2">
        <f ca="1"/>
        <v>0.74599709954936078</v>
      </c>
      <c r="O1316" s="2">
        <f ca="1"/>
        <v>-0.9686558088962931</v>
      </c>
      <c r="X1316" s="2">
        <f ca="1"/>
        <v>49.225752009812354</v>
      </c>
      <c r="AG1316" s="2">
        <f ca="1"/>
        <v>7.6700261489619725E-2</v>
      </c>
      <c r="AH1316" s="2" t="str">
        <f ca="1"/>
        <v>OK</v>
      </c>
    </row>
    <row r="1317" spans="2:34" x14ac:dyDescent="0.2">
      <c r="B1317" s="2">
        <f ca="1"/>
        <v>0.50999785957538224</v>
      </c>
      <c r="O1317" s="2">
        <f ca="1"/>
        <v>0.58000110997042276</v>
      </c>
      <c r="X1317" s="2">
        <f ca="1"/>
        <v>64.913501837626399</v>
      </c>
      <c r="AG1317" s="2">
        <f ca="1"/>
        <v>0.20959880769701056</v>
      </c>
      <c r="AH1317" s="2" t="str">
        <f ca="1"/>
        <v>OK</v>
      </c>
    </row>
    <row r="1318" spans="2:34" x14ac:dyDescent="0.2">
      <c r="B1318" s="2">
        <f ca="1"/>
        <v>0.73681757779721435</v>
      </c>
      <c r="O1318" s="2">
        <f ca="1"/>
        <v>-7.432100088354969E-2</v>
      </c>
      <c r="X1318" s="2">
        <f ca="1"/>
        <v>48.68431583022528</v>
      </c>
      <c r="AG1318" s="2">
        <f ca="1"/>
        <v>0.78942753510145303</v>
      </c>
      <c r="AH1318" s="2" t="str">
        <f ca="1"/>
        <v>Bad</v>
      </c>
    </row>
    <row r="1319" spans="2:34" x14ac:dyDescent="0.2">
      <c r="B1319" s="2">
        <f ca="1"/>
        <v>4.1115848624286189E-2</v>
      </c>
      <c r="O1319" s="2">
        <f ca="1"/>
        <v>0.34573432418250738</v>
      </c>
      <c r="X1319" s="2">
        <f ca="1"/>
        <v>47.361609912414799</v>
      </c>
      <c r="AG1319" s="2">
        <f ca="1"/>
        <v>0.33861464453432366</v>
      </c>
      <c r="AH1319" s="2" t="str">
        <f ca="1"/>
        <v>OK</v>
      </c>
    </row>
    <row r="1320" spans="2:34" x14ac:dyDescent="0.2">
      <c r="B1320" s="2">
        <f ca="1"/>
        <v>4.4312823946786706E-2</v>
      </c>
      <c r="O1320" s="2">
        <f ca="1"/>
        <v>-1.7872875526321641</v>
      </c>
      <c r="X1320" s="2">
        <f ca="1"/>
        <v>26.862799845406396</v>
      </c>
      <c r="AG1320" s="2">
        <f ca="1"/>
        <v>0.46360934336989712</v>
      </c>
      <c r="AH1320" s="2" t="str">
        <f ca="1"/>
        <v>Bad</v>
      </c>
    </row>
    <row r="1321" spans="2:34" x14ac:dyDescent="0.2">
      <c r="B1321" s="2">
        <f ca="1"/>
        <v>0.57733536159257315</v>
      </c>
      <c r="O1321" s="2">
        <f ca="1"/>
        <v>0.33028440979171247</v>
      </c>
      <c r="X1321" s="2">
        <f ca="1"/>
        <v>47.208477448888019</v>
      </c>
      <c r="AG1321" s="2">
        <f ca="1"/>
        <v>9.4300415430763174E-2</v>
      </c>
      <c r="AH1321" s="2" t="str">
        <f ca="1"/>
        <v>OK</v>
      </c>
    </row>
    <row r="1322" spans="2:34" x14ac:dyDescent="0.2">
      <c r="B1322" s="2">
        <f ca="1"/>
        <v>0.58707354766113462</v>
      </c>
      <c r="O1322" s="2">
        <f ca="1"/>
        <v>0.86740459691319693</v>
      </c>
      <c r="X1322" s="2">
        <f ca="1"/>
        <v>46.663654302479145</v>
      </c>
      <c r="AG1322" s="2">
        <f ca="1"/>
        <v>0.81744941612509492</v>
      </c>
      <c r="AH1322" s="2" t="str">
        <f ca="1"/>
        <v>Bad</v>
      </c>
    </row>
    <row r="1323" spans="2:34" x14ac:dyDescent="0.2">
      <c r="B1323" s="2">
        <f ca="1"/>
        <v>0.97385821177493792</v>
      </c>
      <c r="O1323" s="2">
        <f ca="1"/>
        <v>0.7557717738961105</v>
      </c>
      <c r="X1323" s="2">
        <f ca="1"/>
        <v>80.508558954031201</v>
      </c>
      <c r="AG1323" s="2">
        <f ca="1"/>
        <v>0.36244771610129889</v>
      </c>
      <c r="AH1323" s="2" t="str">
        <f ca="1"/>
        <v>OK</v>
      </c>
    </row>
    <row r="1324" spans="2:34" x14ac:dyDescent="0.2">
      <c r="B1324" s="2">
        <f ca="1"/>
        <v>0.56130296917308575</v>
      </c>
      <c r="O1324" s="2">
        <f ca="1"/>
        <v>0.56112127427832215</v>
      </c>
      <c r="X1324" s="2">
        <f ca="1"/>
        <v>24.584468873707984</v>
      </c>
      <c r="AG1324" s="2">
        <f ca="1"/>
        <v>0.33321805580929453</v>
      </c>
      <c r="AH1324" s="2" t="str">
        <f ca="1"/>
        <v>OK</v>
      </c>
    </row>
    <row r="1325" spans="2:34" x14ac:dyDescent="0.2">
      <c r="B1325" s="2">
        <f ca="1"/>
        <v>0.73832095432323386</v>
      </c>
      <c r="O1325" s="2">
        <f ca="1"/>
        <v>0.2970433098532243</v>
      </c>
      <c r="X1325" s="2">
        <f ca="1"/>
        <v>76.693750180900054</v>
      </c>
      <c r="AG1325" s="2">
        <f ca="1"/>
        <v>8.9674872642076187E-2</v>
      </c>
      <c r="AH1325" s="2" t="str">
        <f ca="1"/>
        <v>OK</v>
      </c>
    </row>
    <row r="1326" spans="2:34" x14ac:dyDescent="0.2">
      <c r="B1326" s="2">
        <f ca="1"/>
        <v>0.23939761132204285</v>
      </c>
      <c r="O1326" s="2">
        <f ca="1"/>
        <v>0.14413958880791958</v>
      </c>
      <c r="X1326" s="2">
        <f ca="1"/>
        <v>38.499406009516278</v>
      </c>
      <c r="AG1326" s="2">
        <f ca="1"/>
        <v>0.83112059595438015</v>
      </c>
      <c r="AH1326" s="2" t="str">
        <f ca="1"/>
        <v>Bad</v>
      </c>
    </row>
    <row r="1327" spans="2:34" x14ac:dyDescent="0.2">
      <c r="B1327" s="2">
        <f ca="1"/>
        <v>0.68917743021555089</v>
      </c>
      <c r="O1327" s="2">
        <f ca="1"/>
        <v>0.51551936311811275</v>
      </c>
      <c r="X1327" s="2">
        <f ca="1"/>
        <v>39.863914506914284</v>
      </c>
      <c r="AG1327" s="2">
        <f ca="1"/>
        <v>0.20934200693760463</v>
      </c>
      <c r="AH1327" s="2" t="str">
        <f ca="1"/>
        <v>OK</v>
      </c>
    </row>
    <row r="1328" spans="2:34" x14ac:dyDescent="0.2">
      <c r="B1328" s="2">
        <f ca="1"/>
        <v>0.17495678049081209</v>
      </c>
      <c r="O1328" s="2">
        <f ca="1"/>
        <v>-1.8517261186292766</v>
      </c>
      <c r="X1328" s="2">
        <f ca="1"/>
        <v>32.046284774847386</v>
      </c>
      <c r="AG1328" s="2">
        <f ca="1"/>
        <v>0.28963823702106817</v>
      </c>
      <c r="AH1328" s="2" t="str">
        <f ca="1"/>
        <v>OK</v>
      </c>
    </row>
    <row r="1329" spans="2:34" x14ac:dyDescent="0.2">
      <c r="B1329" s="2">
        <f ca="1"/>
        <v>0.68267593379482139</v>
      </c>
      <c r="O1329" s="2">
        <f ca="1"/>
        <v>0.83961726897763134</v>
      </c>
      <c r="X1329" s="2">
        <f ca="1"/>
        <v>31.686612909339523</v>
      </c>
      <c r="AG1329" s="2">
        <f ca="1"/>
        <v>0.31912500262903198</v>
      </c>
      <c r="AH1329" s="2" t="str">
        <f ca="1"/>
        <v>OK</v>
      </c>
    </row>
    <row r="1330" spans="2:34" x14ac:dyDescent="0.2">
      <c r="B1330" s="2">
        <f ca="1"/>
        <v>0.38812430664961362</v>
      </c>
      <c r="O1330" s="2">
        <f ca="1"/>
        <v>0.4318326836325278</v>
      </c>
      <c r="X1330" s="2">
        <f ca="1"/>
        <v>44.464705061819416</v>
      </c>
      <c r="AG1330" s="2">
        <f ca="1"/>
        <v>0.95211409778054623</v>
      </c>
      <c r="AH1330" s="2" t="str">
        <f ca="1"/>
        <v>Bad</v>
      </c>
    </row>
    <row r="1331" spans="2:34" x14ac:dyDescent="0.2">
      <c r="B1331" s="2">
        <f ca="1"/>
        <v>0.20737726371457965</v>
      </c>
      <c r="O1331" s="2">
        <f ca="1"/>
        <v>1.6241831194531147</v>
      </c>
      <c r="X1331" s="2">
        <f ca="1"/>
        <v>37.994797899002243</v>
      </c>
      <c r="AG1331" s="2">
        <f ca="1"/>
        <v>0.31476333852414595</v>
      </c>
      <c r="AH1331" s="2" t="str">
        <f ca="1"/>
        <v>OK</v>
      </c>
    </row>
    <row r="1332" spans="2:34" x14ac:dyDescent="0.2">
      <c r="B1332" s="2">
        <f ca="1"/>
        <v>0.13300393497737062</v>
      </c>
      <c r="O1332" s="2">
        <f ca="1"/>
        <v>-0.91341447981879964</v>
      </c>
      <c r="X1332" s="2">
        <f ca="1"/>
        <v>65.949440435381973</v>
      </c>
      <c r="AG1332" s="2">
        <f ca="1"/>
        <v>0.71333376354694256</v>
      </c>
      <c r="AH1332" s="2" t="str">
        <f ca="1"/>
        <v>Bad</v>
      </c>
    </row>
    <row r="1333" spans="2:34" x14ac:dyDescent="0.2">
      <c r="B1333" s="2">
        <f ca="1"/>
        <v>0.83402439214720125</v>
      </c>
      <c r="O1333" s="2">
        <f ca="1"/>
        <v>-5.7159732794201397E-2</v>
      </c>
      <c r="X1333" s="2">
        <f ca="1"/>
        <v>52.946376786358385</v>
      </c>
      <c r="AG1333" s="2">
        <f ca="1"/>
        <v>0.2394856562934653</v>
      </c>
      <c r="AH1333" s="2" t="str">
        <f ca="1"/>
        <v>OK</v>
      </c>
    </row>
    <row r="1334" spans="2:34" x14ac:dyDescent="0.2">
      <c r="B1334" s="2">
        <f ca="1"/>
        <v>0.44997136572384999</v>
      </c>
      <c r="O1334" s="2">
        <f ca="1"/>
        <v>1.5586969466191107</v>
      </c>
      <c r="X1334" s="2">
        <f ca="1"/>
        <v>53.717320524946189</v>
      </c>
      <c r="AG1334" s="2">
        <f ca="1"/>
        <v>0.68941534900507273</v>
      </c>
      <c r="AH1334" s="2" t="str">
        <f ca="1"/>
        <v>Bad</v>
      </c>
    </row>
    <row r="1335" spans="2:34" x14ac:dyDescent="0.2">
      <c r="B1335" s="2">
        <f ca="1"/>
        <v>0.99913523641635371</v>
      </c>
      <c r="O1335" s="2">
        <f ca="1"/>
        <v>-2.1467978353678583</v>
      </c>
      <c r="X1335" s="2">
        <f ca="1"/>
        <v>29.771177915211258</v>
      </c>
      <c r="AG1335" s="2">
        <f ca="1"/>
        <v>0.7191521175032678</v>
      </c>
      <c r="AH1335" s="2" t="str">
        <f ca="1"/>
        <v>Bad</v>
      </c>
    </row>
    <row r="1336" spans="2:34" x14ac:dyDescent="0.2">
      <c r="B1336" s="2">
        <f ca="1"/>
        <v>0.96968354577230609</v>
      </c>
      <c r="O1336" s="2">
        <f ca="1"/>
        <v>-2.3632993330792122</v>
      </c>
      <c r="X1336" s="2">
        <f ca="1"/>
        <v>27.50731657164809</v>
      </c>
      <c r="AG1336" s="2">
        <f ca="1"/>
        <v>0.64048260117098454</v>
      </c>
      <c r="AH1336" s="2" t="str">
        <f ca="1"/>
        <v>Bad</v>
      </c>
    </row>
    <row r="1337" spans="2:34" x14ac:dyDescent="0.2">
      <c r="B1337" s="2">
        <f ca="1"/>
        <v>0.60015944521477849</v>
      </c>
      <c r="O1337" s="2">
        <f ca="1"/>
        <v>-2.0145060689110066</v>
      </c>
      <c r="X1337" s="2">
        <f ca="1"/>
        <v>47.423757688612611</v>
      </c>
      <c r="AG1337" s="2">
        <f ca="1"/>
        <v>0.57157127428840337</v>
      </c>
      <c r="AH1337" s="2" t="str">
        <f ca="1"/>
        <v>Bad</v>
      </c>
    </row>
    <row r="1338" spans="2:34" x14ac:dyDescent="0.2">
      <c r="B1338" s="2">
        <f ca="1"/>
        <v>0.20630013857267882</v>
      </c>
      <c r="O1338" s="2">
        <f ca="1"/>
        <v>1.341826905136478</v>
      </c>
      <c r="X1338" s="2">
        <f ca="1"/>
        <v>56.706969148658303</v>
      </c>
      <c r="AG1338" s="2">
        <f ca="1"/>
        <v>0.85392645188853034</v>
      </c>
      <c r="AH1338" s="2" t="str">
        <f ca="1"/>
        <v>Bad</v>
      </c>
    </row>
    <row r="1339" spans="2:34" x14ac:dyDescent="0.2">
      <c r="B1339" s="2">
        <f ca="1"/>
        <v>0.25312679471487898</v>
      </c>
      <c r="O1339" s="2">
        <f ca="1"/>
        <v>-1.3148613313126427</v>
      </c>
      <c r="X1339" s="2">
        <f ca="1"/>
        <v>36.886489515898219</v>
      </c>
      <c r="AG1339" s="2">
        <f ca="1"/>
        <v>0.15309800337707324</v>
      </c>
      <c r="AH1339" s="2" t="str">
        <f ca="1"/>
        <v>OK</v>
      </c>
    </row>
    <row r="1340" spans="2:34" x14ac:dyDescent="0.2">
      <c r="B1340" s="2">
        <f ca="1"/>
        <v>0.18201205543241605</v>
      </c>
      <c r="O1340" s="2">
        <f ca="1"/>
        <v>-0.5766170444039963</v>
      </c>
      <c r="X1340" s="2">
        <f ca="1"/>
        <v>39.123932994555986</v>
      </c>
      <c r="AG1340" s="2">
        <f ca="1"/>
        <v>0.21919233444968156</v>
      </c>
      <c r="AH1340" s="2" t="str">
        <f ca="1"/>
        <v>OK</v>
      </c>
    </row>
    <row r="1341" spans="2:34" x14ac:dyDescent="0.2">
      <c r="B1341" s="2">
        <f ca="1"/>
        <v>0.54670486251024908</v>
      </c>
      <c r="O1341" s="2">
        <f ca="1"/>
        <v>-0.47467539790844743</v>
      </c>
      <c r="X1341" s="2">
        <f ca="1"/>
        <v>76.982867764544693</v>
      </c>
      <c r="AG1341" s="2">
        <f ca="1"/>
        <v>0.13252054436597516</v>
      </c>
      <c r="AH1341" s="2" t="str">
        <f ca="1"/>
        <v>OK</v>
      </c>
    </row>
    <row r="1342" spans="2:34" x14ac:dyDescent="0.2">
      <c r="B1342" s="2">
        <f ca="1"/>
        <v>0.54632599376656232</v>
      </c>
      <c r="O1342" s="2">
        <f ca="1"/>
        <v>-1.6765925611789312</v>
      </c>
      <c r="X1342" s="2">
        <f ca="1"/>
        <v>39.134634215732518</v>
      </c>
      <c r="AG1342" s="2">
        <f ca="1"/>
        <v>0.55995180187937765</v>
      </c>
      <c r="AH1342" s="2" t="str">
        <f ca="1"/>
        <v>Bad</v>
      </c>
    </row>
    <row r="1343" spans="2:34" x14ac:dyDescent="0.2">
      <c r="B1343" s="2">
        <f ca="1"/>
        <v>0.8880235577784843</v>
      </c>
      <c r="O1343" s="2">
        <f ca="1"/>
        <v>-1.2603765041910413</v>
      </c>
      <c r="X1343" s="2">
        <f ca="1"/>
        <v>32.420012356111009</v>
      </c>
      <c r="AG1343" s="2">
        <f ca="1"/>
        <v>0.99164060757513295</v>
      </c>
      <c r="AH1343" s="2" t="str">
        <f ca="1"/>
        <v>Bad</v>
      </c>
    </row>
    <row r="1344" spans="2:34" x14ac:dyDescent="0.2">
      <c r="B1344" s="2">
        <f ca="1"/>
        <v>0.25917660337537329</v>
      </c>
      <c r="O1344" s="2">
        <f ca="1"/>
        <v>0.36472170783315461</v>
      </c>
      <c r="X1344" s="2">
        <f ca="1"/>
        <v>34.220692290446763</v>
      </c>
      <c r="AG1344" s="2">
        <f ca="1"/>
        <v>0.49983192078684002</v>
      </c>
      <c r="AH1344" s="2" t="str">
        <f ca="1"/>
        <v>Bad</v>
      </c>
    </row>
    <row r="1345" spans="2:34" x14ac:dyDescent="0.2">
      <c r="B1345" s="2">
        <f ca="1"/>
        <v>0.22906588871067557</v>
      </c>
      <c r="O1345" s="2">
        <f ca="1"/>
        <v>1.0138255851381843</v>
      </c>
      <c r="X1345" s="2">
        <f ca="1"/>
        <v>62.168546182976414</v>
      </c>
      <c r="AG1345" s="2">
        <f ca="1"/>
        <v>0.12809243284093941</v>
      </c>
      <c r="AH1345" s="2" t="str">
        <f ca="1"/>
        <v>OK</v>
      </c>
    </row>
    <row r="1346" spans="2:34" x14ac:dyDescent="0.2">
      <c r="B1346" s="2">
        <f ca="1"/>
        <v>0.44696251650955254</v>
      </c>
      <c r="O1346" s="2">
        <f ca="1"/>
        <v>1.6728049414528945</v>
      </c>
      <c r="X1346" s="2">
        <f ca="1"/>
        <v>43.113955093094049</v>
      </c>
      <c r="AG1346" s="2">
        <f ca="1"/>
        <v>0.42898436907534809</v>
      </c>
      <c r="AH1346" s="2" t="str">
        <f ca="1"/>
        <v>Bad</v>
      </c>
    </row>
    <row r="1347" spans="2:34" x14ac:dyDescent="0.2">
      <c r="B1347" s="2">
        <f ca="1"/>
        <v>0.5276980284937216</v>
      </c>
      <c r="O1347" s="2">
        <f ca="1"/>
        <v>-0.20514953805262715</v>
      </c>
      <c r="X1347" s="2">
        <f ca="1"/>
        <v>27.655848705942809</v>
      </c>
      <c r="AG1347" s="2">
        <f ca="1"/>
        <v>0.29647249903648465</v>
      </c>
      <c r="AH1347" s="2" t="str">
        <f ca="1"/>
        <v>OK</v>
      </c>
    </row>
    <row r="1348" spans="2:34" x14ac:dyDescent="0.2">
      <c r="B1348" s="2">
        <f ca="1"/>
        <v>0.45434119593137079</v>
      </c>
      <c r="O1348" s="2">
        <f ca="1"/>
        <v>-0.24054035976571037</v>
      </c>
      <c r="X1348" s="2">
        <f ca="1"/>
        <v>35.577278915393514</v>
      </c>
      <c r="AG1348" s="2">
        <f ca="1"/>
        <v>0.17830324162346867</v>
      </c>
      <c r="AH1348" s="2" t="str">
        <f ca="1"/>
        <v>OK</v>
      </c>
    </row>
    <row r="1349" spans="2:34" x14ac:dyDescent="0.2">
      <c r="B1349" s="2">
        <f ca="1"/>
        <v>0.89575468379528433</v>
      </c>
      <c r="O1349" s="2">
        <f ca="1"/>
        <v>-0.66716785714790916</v>
      </c>
      <c r="X1349" s="2">
        <f ca="1"/>
        <v>59.399149118083599</v>
      </c>
      <c r="AG1349" s="2">
        <f ca="1"/>
        <v>0.1070858769397347</v>
      </c>
      <c r="AH1349" s="2" t="str">
        <f ca="1"/>
        <v>OK</v>
      </c>
    </row>
    <row r="1350" spans="2:34" x14ac:dyDescent="0.2">
      <c r="B1350" s="2">
        <f ca="1"/>
        <v>0.91600805801346463</v>
      </c>
      <c r="O1350" s="2">
        <f ca="1"/>
        <v>0.57050288816000139</v>
      </c>
      <c r="X1350" s="2">
        <f ca="1"/>
        <v>90.065531588841083</v>
      </c>
      <c r="AG1350" s="2">
        <f ca="1"/>
        <v>0.32352276537985269</v>
      </c>
      <c r="AH1350" s="2" t="str">
        <f ca="1"/>
        <v>OK</v>
      </c>
    </row>
    <row r="1351" spans="2:34" x14ac:dyDescent="0.2">
      <c r="B1351" s="2">
        <f ca="1"/>
        <v>0.76622826810613032</v>
      </c>
      <c r="O1351" s="2">
        <f ca="1"/>
        <v>0.85028220258965526</v>
      </c>
      <c r="X1351" s="2">
        <f ca="1"/>
        <v>53.766039395117843</v>
      </c>
      <c r="AG1351" s="2">
        <f ca="1"/>
        <v>0.47079184472762492</v>
      </c>
      <c r="AH1351" s="2" t="str">
        <f ca="1"/>
        <v>Bad</v>
      </c>
    </row>
    <row r="1352" spans="2:34" x14ac:dyDescent="0.2">
      <c r="B1352" s="2">
        <f ca="1"/>
        <v>0.67067244981242835</v>
      </c>
      <c r="O1352" s="2">
        <f ca="1"/>
        <v>1.4229637084986946</v>
      </c>
      <c r="X1352" s="2">
        <f ca="1"/>
        <v>43.667387907837508</v>
      </c>
      <c r="AG1352" s="2">
        <f ca="1"/>
        <v>0.43209309550913999</v>
      </c>
      <c r="AH1352" s="2" t="str">
        <f ca="1"/>
        <v>Bad</v>
      </c>
    </row>
    <row r="1353" spans="2:34" x14ac:dyDescent="0.2">
      <c r="B1353" s="2">
        <f ca="1"/>
        <v>0.15579342527553686</v>
      </c>
      <c r="O1353" s="2">
        <f ca="1"/>
        <v>-0.11516075914527617</v>
      </c>
      <c r="X1353" s="2">
        <f ca="1"/>
        <v>50.639193480546922</v>
      </c>
      <c r="AG1353" s="2">
        <f ca="1"/>
        <v>0.28919303880816605</v>
      </c>
      <c r="AH1353" s="2" t="str">
        <f ca="1"/>
        <v>OK</v>
      </c>
    </row>
    <row r="1354" spans="2:34" x14ac:dyDescent="0.2">
      <c r="B1354" s="2">
        <f ca="1"/>
        <v>0.24235722815036098</v>
      </c>
      <c r="O1354" s="2">
        <f ca="1"/>
        <v>-0.37626323576227366</v>
      </c>
      <c r="X1354" s="2">
        <f ca="1"/>
        <v>46.701934609255616</v>
      </c>
      <c r="AG1354" s="2">
        <f ca="1"/>
        <v>0.18949267557473881</v>
      </c>
      <c r="AH1354" s="2" t="str">
        <f ca="1"/>
        <v>OK</v>
      </c>
    </row>
    <row r="1355" spans="2:34" x14ac:dyDescent="0.2">
      <c r="B1355" s="2">
        <f ca="1"/>
        <v>0.91541314345959646</v>
      </c>
      <c r="O1355" s="2">
        <f ca="1"/>
        <v>8.555666766213095E-2</v>
      </c>
      <c r="X1355" s="2">
        <f ca="1"/>
        <v>30.061002580751669</v>
      </c>
      <c r="AG1355" s="2">
        <f ca="1"/>
        <v>1.9212601418557407E-2</v>
      </c>
      <c r="AH1355" s="2" t="str">
        <f ca="1"/>
        <v>Good</v>
      </c>
    </row>
    <row r="1356" spans="2:34" x14ac:dyDescent="0.2">
      <c r="B1356" s="2">
        <f ca="1"/>
        <v>0.5199892781805131</v>
      </c>
      <c r="O1356" s="2">
        <f ca="1"/>
        <v>0.64138781676330092</v>
      </c>
      <c r="X1356" s="2">
        <f ca="1"/>
        <v>33.278232097226351</v>
      </c>
      <c r="AG1356" s="2">
        <f ca="1"/>
        <v>0.78000246317407962</v>
      </c>
      <c r="AH1356" s="2" t="str">
        <f ca="1"/>
        <v>Bad</v>
      </c>
    </row>
    <row r="1357" spans="2:34" x14ac:dyDescent="0.2">
      <c r="B1357" s="2">
        <f ca="1"/>
        <v>0.54783583896040655</v>
      </c>
      <c r="O1357" s="2">
        <f ca="1"/>
        <v>-0.16435990539665155</v>
      </c>
      <c r="X1357" s="2">
        <f ca="1"/>
        <v>50.386022699673475</v>
      </c>
      <c r="AG1357" s="2">
        <f ca="1"/>
        <v>8.6501660652745782E-2</v>
      </c>
      <c r="AH1357" s="2" t="str">
        <f ca="1"/>
        <v>OK</v>
      </c>
    </row>
    <row r="1358" spans="2:34" x14ac:dyDescent="0.2">
      <c r="B1358" s="2">
        <f ca="1"/>
        <v>8.1066074326669346E-2</v>
      </c>
      <c r="O1358" s="2">
        <f ca="1"/>
        <v>-0.4652214446818313</v>
      </c>
      <c r="X1358" s="2">
        <f ca="1"/>
        <v>41.92025483081656</v>
      </c>
      <c r="AG1358" s="2">
        <f ca="1"/>
        <v>0.22234163750594149</v>
      </c>
      <c r="AH1358" s="2" t="str">
        <f ca="1"/>
        <v>OK</v>
      </c>
    </row>
    <row r="1359" spans="2:34" x14ac:dyDescent="0.2">
      <c r="B1359" s="2">
        <f ca="1"/>
        <v>0.66967267565197108</v>
      </c>
      <c r="O1359" s="2">
        <f ca="1"/>
        <v>-0.49391468392319071</v>
      </c>
      <c r="X1359" s="2">
        <f ca="1"/>
        <v>37.787614839697511</v>
      </c>
      <c r="AG1359" s="2">
        <f ca="1"/>
        <v>0.85191100513196361</v>
      </c>
      <c r="AH1359" s="2" t="str">
        <f ca="1"/>
        <v>Bad</v>
      </c>
    </row>
    <row r="1360" spans="2:34" x14ac:dyDescent="0.2">
      <c r="B1360" s="2">
        <f ca="1"/>
        <v>0.35631290625069956</v>
      </c>
      <c r="O1360" s="2">
        <f ca="1"/>
        <v>0.22971439820576398</v>
      </c>
      <c r="X1360" s="2">
        <f ca="1"/>
        <v>56.097984132671208</v>
      </c>
      <c r="AG1360" s="2">
        <f ca="1"/>
        <v>0.70138653528344674</v>
      </c>
      <c r="AH1360" s="2" t="str">
        <f ca="1"/>
        <v>Bad</v>
      </c>
    </row>
    <row r="1361" spans="2:34" x14ac:dyDescent="0.2">
      <c r="B1361" s="2">
        <f ca="1"/>
        <v>0.95027322906362199</v>
      </c>
      <c r="O1361" s="2">
        <f ca="1"/>
        <v>0.39844536942475051</v>
      </c>
      <c r="X1361" s="2">
        <f ca="1"/>
        <v>41.850872422131395</v>
      </c>
      <c r="AG1361" s="2">
        <f ca="1"/>
        <v>0.6625283312810375</v>
      </c>
      <c r="AH1361" s="2" t="str">
        <f ca="1"/>
        <v>Bad</v>
      </c>
    </row>
    <row r="1362" spans="2:34" x14ac:dyDescent="0.2">
      <c r="B1362" s="2">
        <f ca="1"/>
        <v>0.4161120778230496</v>
      </c>
      <c r="O1362" s="2">
        <f ca="1"/>
        <v>-0.2048933607465569</v>
      </c>
      <c r="X1362" s="2">
        <f ca="1"/>
        <v>51.372455588766016</v>
      </c>
      <c r="AG1362" s="2">
        <f ca="1"/>
        <v>0.88926461713114424</v>
      </c>
      <c r="AH1362" s="2" t="str">
        <f ca="1"/>
        <v>Bad</v>
      </c>
    </row>
    <row r="1363" spans="2:34" x14ac:dyDescent="0.2">
      <c r="B1363" s="2">
        <f ca="1"/>
        <v>0.77226772900441065</v>
      </c>
      <c r="O1363" s="2">
        <f ca="1"/>
        <v>0.97552864118665583</v>
      </c>
      <c r="X1363" s="2">
        <f ca="1"/>
        <v>38.405000870355202</v>
      </c>
      <c r="AG1363" s="2">
        <f ca="1"/>
        <v>0.7967653539827726</v>
      </c>
      <c r="AH1363" s="2" t="str">
        <f ca="1"/>
        <v>Bad</v>
      </c>
    </row>
    <row r="1364" spans="2:34" x14ac:dyDescent="0.2">
      <c r="B1364" s="2">
        <f ca="1"/>
        <v>0.75887720011409665</v>
      </c>
      <c r="O1364" s="2">
        <f ca="1"/>
        <v>-0.85761422085263972</v>
      </c>
      <c r="X1364" s="2">
        <f ca="1"/>
        <v>51.558570194009278</v>
      </c>
      <c r="AG1364" s="2">
        <f ca="1"/>
        <v>0.81136488494397918</v>
      </c>
      <c r="AH1364" s="2" t="str">
        <f ca="1"/>
        <v>Bad</v>
      </c>
    </row>
    <row r="1365" spans="2:34" x14ac:dyDescent="0.2">
      <c r="B1365" s="2">
        <f ca="1"/>
        <v>0.64667777186545616</v>
      </c>
      <c r="O1365" s="2">
        <f ca="1"/>
        <v>-0.49396878040509401</v>
      </c>
      <c r="X1365" s="2">
        <f ca="1"/>
        <v>47.726386659408</v>
      </c>
      <c r="AG1365" s="2">
        <f ca="1"/>
        <v>0.44986312106432069</v>
      </c>
      <c r="AH1365" s="2" t="str">
        <f ca="1"/>
        <v>Bad</v>
      </c>
    </row>
    <row r="1366" spans="2:34" x14ac:dyDescent="0.2">
      <c r="B1366" s="2">
        <f ca="1"/>
        <v>0.60722436084028564</v>
      </c>
      <c r="O1366" s="2">
        <f ca="1"/>
        <v>-1.7234526121142206</v>
      </c>
      <c r="X1366" s="2">
        <f ca="1"/>
        <v>42.227616043898905</v>
      </c>
      <c r="AG1366" s="2">
        <f ca="1"/>
        <v>0.18982134181517196</v>
      </c>
      <c r="AH1366" s="2" t="str">
        <f ca="1"/>
        <v>OK</v>
      </c>
    </row>
    <row r="1367" spans="2:34" x14ac:dyDescent="0.2">
      <c r="B1367" s="2">
        <f ca="1"/>
        <v>0.13321607827779003</v>
      </c>
      <c r="O1367" s="2">
        <f ca="1"/>
        <v>1.0962578403954573</v>
      </c>
      <c r="X1367" s="2">
        <f ca="1"/>
        <v>30.953722914828475</v>
      </c>
      <c r="AG1367" s="2">
        <f ca="1"/>
        <v>3.8300559967402892E-2</v>
      </c>
      <c r="AH1367" s="2" t="str">
        <f ca="1"/>
        <v>Good</v>
      </c>
    </row>
    <row r="1368" spans="2:34" x14ac:dyDescent="0.2">
      <c r="B1368" s="2">
        <f ca="1"/>
        <v>0.69773611395931212</v>
      </c>
      <c r="O1368" s="2">
        <f ca="1"/>
        <v>-0.23445132153286494</v>
      </c>
      <c r="X1368" s="2">
        <f ca="1"/>
        <v>45.156084854487943</v>
      </c>
      <c r="AG1368" s="2">
        <f ca="1"/>
        <v>0.74619564458959231</v>
      </c>
      <c r="AH1368" s="2" t="str">
        <f ca="1"/>
        <v>Bad</v>
      </c>
    </row>
    <row r="1369" spans="2:34" x14ac:dyDescent="0.2">
      <c r="B1369" s="2">
        <f ca="1"/>
        <v>0.29166513849298514</v>
      </c>
      <c r="O1369" s="2">
        <f ca="1"/>
        <v>1.2194356940409139</v>
      </c>
      <c r="X1369" s="2">
        <f ca="1"/>
        <v>49.937275359034146</v>
      </c>
      <c r="AG1369" s="2">
        <f ca="1"/>
        <v>3.4643308680478935E-2</v>
      </c>
      <c r="AH1369" s="2" t="str">
        <f ca="1"/>
        <v>Good</v>
      </c>
    </row>
    <row r="1370" spans="2:34" x14ac:dyDescent="0.2">
      <c r="B1370" s="2">
        <f ca="1"/>
        <v>0.8042709518120803</v>
      </c>
      <c r="O1370" s="2">
        <f ca="1"/>
        <v>0.14144240692559665</v>
      </c>
      <c r="X1370" s="2">
        <f ca="1"/>
        <v>85.001459770027907</v>
      </c>
      <c r="AG1370" s="2">
        <f ca="1"/>
        <v>0.62733005236782646</v>
      </c>
      <c r="AH1370" s="2" t="str">
        <f ca="1"/>
        <v>Bad</v>
      </c>
    </row>
    <row r="1371" spans="2:34" x14ac:dyDescent="0.2">
      <c r="B1371" s="2">
        <f ca="1"/>
        <v>0.2652001627850773</v>
      </c>
      <c r="O1371" s="2">
        <f ca="1"/>
        <v>0.50047149126984825</v>
      </c>
      <c r="X1371" s="2">
        <f ca="1"/>
        <v>44.145044604623543</v>
      </c>
      <c r="AG1371" s="2">
        <f ca="1"/>
        <v>0.9331820736383416</v>
      </c>
      <c r="AH1371" s="2" t="str">
        <f ca="1"/>
        <v>Bad</v>
      </c>
    </row>
    <row r="1372" spans="2:34" x14ac:dyDescent="0.2">
      <c r="B1372" s="2">
        <f ca="1"/>
        <v>1.2737758259011134E-2</v>
      </c>
      <c r="O1372" s="2">
        <f ca="1"/>
        <v>0.6419910984017988</v>
      </c>
      <c r="X1372" s="2">
        <f ca="1"/>
        <v>41.577340670259403</v>
      </c>
      <c r="AG1372" s="2">
        <f ca="1"/>
        <v>0.10930271028346872</v>
      </c>
      <c r="AH1372" s="2" t="str">
        <f ca="1"/>
        <v>OK</v>
      </c>
    </row>
    <row r="1373" spans="2:34" x14ac:dyDescent="0.2">
      <c r="B1373" s="2">
        <f ca="1"/>
        <v>0.76346288647674809</v>
      </c>
      <c r="O1373" s="2">
        <f ca="1"/>
        <v>-0.1648629977927912</v>
      </c>
      <c r="X1373" s="2">
        <f ca="1"/>
        <v>48.724316197015547</v>
      </c>
      <c r="AG1373" s="2">
        <f ca="1"/>
        <v>0.9825151645426049</v>
      </c>
      <c r="AH1373" s="2" t="str">
        <f ca="1"/>
        <v>Bad</v>
      </c>
    </row>
    <row r="1374" spans="2:34" x14ac:dyDescent="0.2">
      <c r="B1374" s="2">
        <f ca="1"/>
        <v>0.37104001608661963</v>
      </c>
      <c r="O1374" s="2">
        <f ca="1"/>
        <v>-3.7684129773192229E-2</v>
      </c>
      <c r="X1374" s="2">
        <f ca="1"/>
        <v>50.164541524477841</v>
      </c>
      <c r="AG1374" s="2">
        <f ca="1"/>
        <v>0.21974948143386608</v>
      </c>
      <c r="AH1374" s="2" t="str">
        <f ca="1"/>
        <v>OK</v>
      </c>
    </row>
    <row r="1375" spans="2:34" x14ac:dyDescent="0.2">
      <c r="B1375" s="2">
        <f ca="1"/>
        <v>0.5652604725855721</v>
      </c>
      <c r="O1375" s="2">
        <f ca="1"/>
        <v>-0.23166725671985477</v>
      </c>
      <c r="X1375" s="2">
        <f ca="1"/>
        <v>57.448880783646771</v>
      </c>
      <c r="AG1375" s="2">
        <f ca="1"/>
        <v>0.48691566431397559</v>
      </c>
      <c r="AH1375" s="2" t="str">
        <f ca="1"/>
        <v>Bad</v>
      </c>
    </row>
    <row r="1376" spans="2:34" x14ac:dyDescent="0.2">
      <c r="B1376" s="2">
        <f ca="1"/>
        <v>0.13037202312793128</v>
      </c>
      <c r="O1376" s="2">
        <f ca="1"/>
        <v>-0.22391620850891455</v>
      </c>
      <c r="X1376" s="2">
        <f ca="1"/>
        <v>86.703272619256055</v>
      </c>
      <c r="AG1376" s="2">
        <f ca="1"/>
        <v>0.94136436519963063</v>
      </c>
      <c r="AH1376" s="2" t="str">
        <f ca="1"/>
        <v>Bad</v>
      </c>
    </row>
    <row r="1377" spans="2:34" x14ac:dyDescent="0.2">
      <c r="B1377" s="2">
        <f ca="1"/>
        <v>0.71196523186208616</v>
      </c>
      <c r="O1377" s="2">
        <f ca="1"/>
        <v>1.1705257536692786</v>
      </c>
      <c r="X1377" s="2">
        <f ca="1"/>
        <v>54.420890132399791</v>
      </c>
      <c r="AG1377" s="2">
        <f ca="1"/>
        <v>0.60039245485204851</v>
      </c>
      <c r="AH1377" s="2" t="str">
        <f ca="1"/>
        <v>Bad</v>
      </c>
    </row>
    <row r="1378" spans="2:34" x14ac:dyDescent="0.2">
      <c r="B1378" s="2">
        <f ca="1"/>
        <v>9.1309964081156991E-2</v>
      </c>
      <c r="O1378" s="2">
        <f ca="1"/>
        <v>-0.73956045677839721</v>
      </c>
      <c r="X1378" s="2">
        <f ca="1"/>
        <v>39.371477012903334</v>
      </c>
      <c r="AG1378" s="2">
        <f ca="1"/>
        <v>0.28327715074346416</v>
      </c>
      <c r="AH1378" s="2" t="str">
        <f ca="1"/>
        <v>OK</v>
      </c>
    </row>
    <row r="1379" spans="2:34" x14ac:dyDescent="0.2">
      <c r="B1379" s="2">
        <f ca="1"/>
        <v>0.9172562860696909</v>
      </c>
      <c r="O1379" s="2">
        <f ca="1"/>
        <v>-1.5868232631986718</v>
      </c>
      <c r="X1379" s="2">
        <f ca="1"/>
        <v>34.07679109226396</v>
      </c>
      <c r="AG1379" s="2">
        <f ca="1"/>
        <v>0.25683787321242924</v>
      </c>
      <c r="AH1379" s="2" t="str">
        <f ca="1"/>
        <v>OK</v>
      </c>
    </row>
    <row r="1380" spans="2:34" x14ac:dyDescent="0.2">
      <c r="B1380" s="2">
        <f ca="1"/>
        <v>0.4376920316275148</v>
      </c>
      <c r="O1380" s="2">
        <f ca="1"/>
        <v>-0.35364977822298332</v>
      </c>
      <c r="X1380" s="2">
        <f ca="1"/>
        <v>49.958496322088934</v>
      </c>
      <c r="AG1380" s="2">
        <f ca="1"/>
        <v>0.97681844768036097</v>
      </c>
      <c r="AH1380" s="2" t="str">
        <f ca="1"/>
        <v>Bad</v>
      </c>
    </row>
    <row r="1381" spans="2:34" x14ac:dyDescent="0.2">
      <c r="B1381" s="2">
        <f ca="1"/>
        <v>0.26432724597891122</v>
      </c>
      <c r="O1381" s="2">
        <f ca="1"/>
        <v>0.80779220992026757</v>
      </c>
      <c r="X1381" s="2">
        <f ca="1"/>
        <v>51.432808951473035</v>
      </c>
      <c r="AG1381" s="2">
        <f ca="1"/>
        <v>0.55058871305279156</v>
      </c>
      <c r="AH1381" s="2" t="str">
        <f ca="1"/>
        <v>Bad</v>
      </c>
    </row>
    <row r="1382" spans="2:34" x14ac:dyDescent="0.2">
      <c r="B1382" s="2">
        <f ca="1"/>
        <v>0.67322674890615586</v>
      </c>
      <c r="O1382" s="2">
        <f ca="1"/>
        <v>0.16183485207726975</v>
      </c>
      <c r="X1382" s="2">
        <f ca="1"/>
        <v>51.288816688848193</v>
      </c>
      <c r="AG1382" s="2">
        <f ca="1"/>
        <v>0.4041924256335232</v>
      </c>
      <c r="AH1382" s="2" t="str">
        <f ca="1"/>
        <v>Bad</v>
      </c>
    </row>
    <row r="1383" spans="2:34" x14ac:dyDescent="0.2">
      <c r="B1383" s="2">
        <f ca="1"/>
        <v>0.25354945380287885</v>
      </c>
      <c r="O1383" s="2">
        <f ca="1"/>
        <v>0.42000207330483619</v>
      </c>
      <c r="X1383" s="2">
        <f ca="1"/>
        <v>64.165533674413894</v>
      </c>
      <c r="AG1383" s="2">
        <f ca="1"/>
        <v>0.21020416655323904</v>
      </c>
      <c r="AH1383" s="2" t="str">
        <f ca="1"/>
        <v>OK</v>
      </c>
    </row>
    <row r="1384" spans="2:34" x14ac:dyDescent="0.2">
      <c r="B1384" s="2">
        <f ca="1"/>
        <v>0.35705209055496012</v>
      </c>
      <c r="O1384" s="2">
        <f ca="1"/>
        <v>0.23724552610138103</v>
      </c>
      <c r="X1384" s="2">
        <f ca="1"/>
        <v>28.342783399876602</v>
      </c>
      <c r="AG1384" s="2">
        <f ca="1"/>
        <v>0.64964344828394505</v>
      </c>
      <c r="AH1384" s="2" t="str">
        <f ca="1"/>
        <v>Bad</v>
      </c>
    </row>
    <row r="1385" spans="2:34" x14ac:dyDescent="0.2">
      <c r="B1385" s="2">
        <f ca="1"/>
        <v>0.14959939551390389</v>
      </c>
      <c r="O1385" s="2">
        <f ca="1"/>
        <v>-1.3164696902807174</v>
      </c>
      <c r="X1385" s="2">
        <f ca="1"/>
        <v>45.834717795480991</v>
      </c>
      <c r="AG1385" s="2">
        <f ca="1"/>
        <v>0.41337897843077509</v>
      </c>
      <c r="AH1385" s="2" t="str">
        <f ca="1"/>
        <v>Bad</v>
      </c>
    </row>
    <row r="1386" spans="2:34" x14ac:dyDescent="0.2">
      <c r="B1386" s="2">
        <f ca="1"/>
        <v>6.1681532469789468E-2</v>
      </c>
      <c r="O1386" s="2">
        <f ca="1"/>
        <v>-0.43942131817171226</v>
      </c>
      <c r="X1386" s="2">
        <f ca="1"/>
        <v>78.712631027593218</v>
      </c>
      <c r="AG1386" s="2">
        <f ca="1"/>
        <v>0.63458047849729304</v>
      </c>
      <c r="AH1386" s="2" t="str">
        <f ca="1"/>
        <v>Bad</v>
      </c>
    </row>
    <row r="1387" spans="2:34" x14ac:dyDescent="0.2">
      <c r="B1387" s="2">
        <f ca="1"/>
        <v>0.54570546526046981</v>
      </c>
      <c r="O1387" s="2">
        <f ca="1"/>
        <v>0.32531587664653466</v>
      </c>
      <c r="X1387" s="2">
        <f ca="1"/>
        <v>33.947111399562971</v>
      </c>
      <c r="AG1387" s="2">
        <f ca="1"/>
        <v>0.24901406366477419</v>
      </c>
      <c r="AH1387" s="2" t="str">
        <f ca="1"/>
        <v>OK</v>
      </c>
    </row>
    <row r="1388" spans="2:34" x14ac:dyDescent="0.2">
      <c r="B1388" s="2">
        <f ca="1"/>
        <v>0.61760424188114404</v>
      </c>
      <c r="O1388" s="2">
        <f ca="1"/>
        <v>1.6767018664470634</v>
      </c>
      <c r="X1388" s="2">
        <f ca="1"/>
        <v>52.428845965048254</v>
      </c>
      <c r="AG1388" s="2">
        <f ca="1"/>
        <v>5.5082767222717877E-2</v>
      </c>
      <c r="AH1388" s="2" t="str">
        <f ca="1"/>
        <v>OK</v>
      </c>
    </row>
    <row r="1389" spans="2:34" x14ac:dyDescent="0.2">
      <c r="B1389" s="2">
        <f ca="1"/>
        <v>0.46892396750785115</v>
      </c>
      <c r="O1389" s="2">
        <f ca="1"/>
        <v>-0.77408720024031963</v>
      </c>
      <c r="X1389" s="2">
        <f ca="1"/>
        <v>65.106983355898024</v>
      </c>
      <c r="AG1389" s="2">
        <f ca="1"/>
        <v>0.57012311391760795</v>
      </c>
      <c r="AH1389" s="2" t="str">
        <f ca="1"/>
        <v>Bad</v>
      </c>
    </row>
    <row r="1390" spans="2:34" x14ac:dyDescent="0.2">
      <c r="B1390" s="2">
        <f ca="1"/>
        <v>0.24139121832717625</v>
      </c>
      <c r="O1390" s="2">
        <f ca="1"/>
        <v>-0.2189476110586456</v>
      </c>
      <c r="X1390" s="2">
        <f ca="1"/>
        <v>49.455651618975772</v>
      </c>
      <c r="AG1390" s="2">
        <f ca="1"/>
        <v>0.44586607585340343</v>
      </c>
      <c r="AH1390" s="2" t="str">
        <f ca="1"/>
        <v>Bad</v>
      </c>
    </row>
    <row r="1391" spans="2:34" x14ac:dyDescent="0.2">
      <c r="B1391" s="2">
        <f ca="1"/>
        <v>0.14627272087080545</v>
      </c>
      <c r="O1391" s="2">
        <f ca="1"/>
        <v>-0.2651412979443632</v>
      </c>
      <c r="X1391" s="2">
        <f ca="1"/>
        <v>25.494296996113327</v>
      </c>
      <c r="AG1391" s="2">
        <f ca="1"/>
        <v>3.925185648967533E-2</v>
      </c>
      <c r="AH1391" s="2" t="str">
        <f ca="1"/>
        <v>Good</v>
      </c>
    </row>
    <row r="1392" spans="2:34" x14ac:dyDescent="0.2">
      <c r="B1392" s="2">
        <f ca="1"/>
        <v>0.33262742693602432</v>
      </c>
      <c r="O1392" s="2">
        <f ca="1"/>
        <v>0.88002048899750229</v>
      </c>
      <c r="X1392" s="2">
        <f ca="1"/>
        <v>40.861960962416106</v>
      </c>
      <c r="AG1392" s="2">
        <f ca="1"/>
        <v>0.47954450725118902</v>
      </c>
      <c r="AH1392" s="2" t="str">
        <f ca="1"/>
        <v>Bad</v>
      </c>
    </row>
    <row r="1393" spans="2:34" x14ac:dyDescent="0.2">
      <c r="B1393" s="2">
        <f ca="1"/>
        <v>0.54583965145621671</v>
      </c>
      <c r="O1393" s="2">
        <f ca="1"/>
        <v>-1.463352655658954</v>
      </c>
      <c r="X1393" s="2">
        <f ca="1"/>
        <v>50.470783392573011</v>
      </c>
      <c r="AG1393" s="2">
        <f ca="1"/>
        <v>0.83959502001642661</v>
      </c>
      <c r="AH1393" s="2" t="str">
        <f ca="1"/>
        <v>Bad</v>
      </c>
    </row>
    <row r="1394" spans="2:34" x14ac:dyDescent="0.2">
      <c r="B1394" s="2">
        <f ca="1"/>
        <v>0.55924806123725346</v>
      </c>
      <c r="O1394" s="2">
        <f ca="1"/>
        <v>-0.93569112599136339</v>
      </c>
      <c r="X1394" s="2">
        <f ca="1"/>
        <v>21.5808016841987</v>
      </c>
      <c r="AG1394" s="2">
        <f ca="1"/>
        <v>0.31539217173966017</v>
      </c>
      <c r="AH1394" s="2" t="str">
        <f ca="1"/>
        <v>OK</v>
      </c>
    </row>
    <row r="1395" spans="2:34" x14ac:dyDescent="0.2">
      <c r="B1395" s="2">
        <f ca="1"/>
        <v>0.63588082642462118</v>
      </c>
      <c r="O1395" s="2">
        <f ca="1"/>
        <v>-1.3446928504816877</v>
      </c>
      <c r="X1395" s="2">
        <f ca="1"/>
        <v>54.214875644025291</v>
      </c>
      <c r="AG1395" s="2">
        <f ca="1"/>
        <v>0.96127362996696486</v>
      </c>
      <c r="AH1395" s="2" t="str">
        <f ca="1"/>
        <v>Bad</v>
      </c>
    </row>
    <row r="1396" spans="2:34" x14ac:dyDescent="0.2">
      <c r="B1396" s="2">
        <f ca="1"/>
        <v>0.12062437523413516</v>
      </c>
      <c r="O1396" s="2">
        <f ca="1"/>
        <v>2.7939821917242122</v>
      </c>
      <c r="X1396" s="2">
        <f ca="1"/>
        <v>51.201048867950831</v>
      </c>
      <c r="AG1396" s="2">
        <f ca="1"/>
        <v>0.40313648699157523</v>
      </c>
      <c r="AH1396" s="2" t="str">
        <f ca="1"/>
        <v>Bad</v>
      </c>
    </row>
    <row r="1397" spans="2:34" x14ac:dyDescent="0.2">
      <c r="B1397" s="2">
        <f ca="1"/>
        <v>0.63111680480777377</v>
      </c>
      <c r="O1397" s="2">
        <f ca="1"/>
        <v>-0.66978935823762897</v>
      </c>
      <c r="X1397" s="2">
        <f ca="1"/>
        <v>69.0496603184544</v>
      </c>
      <c r="AG1397" s="2">
        <f ca="1"/>
        <v>0.78254507173683074</v>
      </c>
      <c r="AH1397" s="2" t="str">
        <f ca="1"/>
        <v>Bad</v>
      </c>
    </row>
    <row r="1398" spans="2:34" x14ac:dyDescent="0.2">
      <c r="B1398" s="2">
        <f ca="1"/>
        <v>0.27889626898185016</v>
      </c>
      <c r="O1398" s="2">
        <f ca="1"/>
        <v>0.73946847074639677</v>
      </c>
      <c r="X1398" s="2">
        <f ca="1"/>
        <v>47.827562663474694</v>
      </c>
      <c r="AG1398" s="2">
        <f ca="1"/>
        <v>0.85442568093650562</v>
      </c>
      <c r="AH1398" s="2" t="str">
        <f ca="1"/>
        <v>Bad</v>
      </c>
    </row>
    <row r="1399" spans="2:34" x14ac:dyDescent="0.2">
      <c r="B1399" s="2">
        <f ca="1"/>
        <v>9.5873102200016547E-2</v>
      </c>
      <c r="O1399" s="2">
        <f ca="1"/>
        <v>-0.38268737935830222</v>
      </c>
      <c r="X1399" s="2">
        <f ca="1"/>
        <v>37.791357445768256</v>
      </c>
      <c r="AG1399" s="2">
        <f ca="1"/>
        <v>0.51730222101994316</v>
      </c>
      <c r="AH1399" s="2" t="str">
        <f ca="1"/>
        <v>Bad</v>
      </c>
    </row>
    <row r="1400" spans="2:34" x14ac:dyDescent="0.2">
      <c r="B1400" s="2">
        <f ca="1"/>
        <v>0.25594488936710746</v>
      </c>
      <c r="O1400" s="2">
        <f ca="1"/>
        <v>-0.40828386240588221</v>
      </c>
      <c r="X1400" s="2">
        <f ca="1"/>
        <v>51.490955329004116</v>
      </c>
      <c r="AG1400" s="2">
        <f ca="1"/>
        <v>0.56217216716908891</v>
      </c>
      <c r="AH1400" s="2" t="str">
        <f ca="1"/>
        <v>Bad</v>
      </c>
    </row>
    <row r="1401" spans="2:34" x14ac:dyDescent="0.2">
      <c r="B1401" s="2">
        <f ca="1"/>
        <v>0.17076214180884808</v>
      </c>
      <c r="O1401" s="2">
        <f ca="1"/>
        <v>-0.36470612060864405</v>
      </c>
      <c r="X1401" s="2">
        <f ca="1"/>
        <v>28.547486345572519</v>
      </c>
      <c r="AG1401" s="2">
        <f ca="1"/>
        <v>0.30282431027590695</v>
      </c>
      <c r="AH1401" s="2" t="str">
        <f ca="1"/>
        <v>OK</v>
      </c>
    </row>
    <row r="1402" spans="2:34" x14ac:dyDescent="0.2">
      <c r="B1402" s="2">
        <f ca="1"/>
        <v>0.27754118006401685</v>
      </c>
      <c r="O1402" s="2">
        <f ca="1"/>
        <v>1.5311019987539836</v>
      </c>
      <c r="X1402" s="2">
        <f ca="1"/>
        <v>24.06369907324564</v>
      </c>
      <c r="AG1402" s="2">
        <f ca="1"/>
        <v>0.28105497851101613</v>
      </c>
      <c r="AH1402" s="2" t="str">
        <f ca="1"/>
        <v>OK</v>
      </c>
    </row>
    <row r="1403" spans="2:34" x14ac:dyDescent="0.2">
      <c r="B1403" s="2">
        <f ca="1"/>
        <v>0.1239179292782091</v>
      </c>
      <c r="O1403" s="2">
        <f ca="1"/>
        <v>-9.4327517517885442E-2</v>
      </c>
      <c r="X1403" s="2">
        <f ca="1"/>
        <v>73.863130403860538</v>
      </c>
      <c r="AG1403" s="2">
        <f ca="1"/>
        <v>0.57546998090531831</v>
      </c>
      <c r="AH1403" s="2" t="str">
        <f ca="1"/>
        <v>Bad</v>
      </c>
    </row>
    <row r="1404" spans="2:34" x14ac:dyDescent="0.2">
      <c r="B1404" s="2">
        <f ca="1"/>
        <v>0.56047520663740391</v>
      </c>
      <c r="O1404" s="2">
        <f ca="1"/>
        <v>0.86765623645895085</v>
      </c>
      <c r="X1404" s="2">
        <f ca="1"/>
        <v>54.982771924745023</v>
      </c>
      <c r="AG1404" s="2">
        <f ca="1"/>
        <v>7.7999996789531512E-2</v>
      </c>
      <c r="AH1404" s="2" t="str">
        <f ca="1"/>
        <v>OK</v>
      </c>
    </row>
    <row r="1405" spans="2:34" x14ac:dyDescent="0.2">
      <c r="B1405" s="2">
        <f ca="1"/>
        <v>0.7048372426846139</v>
      </c>
      <c r="O1405" s="2">
        <f ca="1"/>
        <v>1.1825757876946466</v>
      </c>
      <c r="X1405" s="2">
        <f ca="1"/>
        <v>54.174816411183727</v>
      </c>
      <c r="AG1405" s="2">
        <f ca="1"/>
        <v>0.54319745248934947</v>
      </c>
      <c r="AH1405" s="2" t="str">
        <f ca="1"/>
        <v>Bad</v>
      </c>
    </row>
    <row r="1406" spans="2:34" x14ac:dyDescent="0.2">
      <c r="B1406" s="2">
        <f ca="1"/>
        <v>0.57417845838110781</v>
      </c>
      <c r="O1406" s="2">
        <f ca="1"/>
        <v>-1.917416981993298</v>
      </c>
      <c r="X1406" s="2">
        <f ca="1"/>
        <v>46.128891204420349</v>
      </c>
      <c r="AG1406" s="2">
        <f ca="1"/>
        <v>0.29825811698681837</v>
      </c>
      <c r="AH1406" s="2" t="str">
        <f ca="1"/>
        <v>OK</v>
      </c>
    </row>
    <row r="1407" spans="2:34" x14ac:dyDescent="0.2">
      <c r="B1407" s="2">
        <f ca="1"/>
        <v>0.58765928189372851</v>
      </c>
      <c r="O1407" s="2">
        <f ca="1"/>
        <v>1.3770159516101728</v>
      </c>
      <c r="X1407" s="2">
        <f ca="1"/>
        <v>29.876605721052552</v>
      </c>
      <c r="AG1407" s="2">
        <f ca="1"/>
        <v>0.75077261681629182</v>
      </c>
      <c r="AH1407" s="2" t="str">
        <f ca="1"/>
        <v>Bad</v>
      </c>
    </row>
    <row r="1408" spans="2:34" x14ac:dyDescent="0.2">
      <c r="B1408" s="2">
        <f ca="1"/>
        <v>0.4105174390064954</v>
      </c>
      <c r="O1408" s="2">
        <f ca="1"/>
        <v>0.7387120539703721</v>
      </c>
      <c r="X1408" s="2">
        <f ca="1"/>
        <v>50.360290650300954</v>
      </c>
      <c r="AG1408" s="2">
        <f ca="1"/>
        <v>0.50930558368598167</v>
      </c>
      <c r="AH1408" s="2" t="str">
        <f ca="1"/>
        <v>Bad</v>
      </c>
    </row>
    <row r="1409" spans="2:34" x14ac:dyDescent="0.2">
      <c r="B1409" s="2">
        <f ca="1"/>
        <v>0.4043888607686259</v>
      </c>
      <c r="O1409" s="2">
        <f ca="1"/>
        <v>0.98088318982198064</v>
      </c>
      <c r="X1409" s="2">
        <f ca="1"/>
        <v>36.509302760090051</v>
      </c>
      <c r="AG1409" s="2">
        <f ca="1"/>
        <v>9.0330268126787905E-2</v>
      </c>
      <c r="AH1409" s="2" t="str">
        <f ca="1"/>
        <v>OK</v>
      </c>
    </row>
    <row r="1410" spans="2:34" x14ac:dyDescent="0.2">
      <c r="B1410" s="2">
        <f ca="1"/>
        <v>0.12555251220297881</v>
      </c>
      <c r="O1410" s="2">
        <f ca="1"/>
        <v>-1.0438109811078791</v>
      </c>
      <c r="X1410" s="2">
        <f ca="1"/>
        <v>33.75272220903291</v>
      </c>
      <c r="AG1410" s="2">
        <f ca="1"/>
        <v>0.18583825340977311</v>
      </c>
      <c r="AH1410" s="2" t="str">
        <f ca="1"/>
        <v>OK</v>
      </c>
    </row>
    <row r="1411" spans="2:34" x14ac:dyDescent="0.2">
      <c r="B1411" s="2">
        <f ca="1"/>
        <v>8.7880924440653096E-4</v>
      </c>
      <c r="O1411" s="2">
        <f ca="1"/>
        <v>0.88535458680052792</v>
      </c>
      <c r="X1411" s="2">
        <f ca="1"/>
        <v>29.703495497664232</v>
      </c>
      <c r="AG1411" s="2">
        <f ca="1"/>
        <v>0.52007134728029736</v>
      </c>
      <c r="AH1411" s="2" t="str">
        <f ca="1"/>
        <v>Bad</v>
      </c>
    </row>
    <row r="1412" spans="2:34" x14ac:dyDescent="0.2">
      <c r="B1412" s="2">
        <f ca="1"/>
        <v>0.20093795664292924</v>
      </c>
      <c r="O1412" s="2">
        <f ca="1"/>
        <v>1.5064309285164441</v>
      </c>
      <c r="X1412" s="2">
        <f ca="1"/>
        <v>58.602804808946701</v>
      </c>
      <c r="AG1412" s="2">
        <f ca="1"/>
        <v>0.19415127982424774</v>
      </c>
      <c r="AH1412" s="2" t="str">
        <f ca="1"/>
        <v>OK</v>
      </c>
    </row>
    <row r="1413" spans="2:34" x14ac:dyDescent="0.2">
      <c r="B1413" s="2">
        <f ca="1"/>
        <v>0.1266162168786189</v>
      </c>
      <c r="O1413" s="2">
        <f ca="1"/>
        <v>-0.11642161650178058</v>
      </c>
      <c r="X1413" s="2">
        <f ca="1"/>
        <v>32.54245063056095</v>
      </c>
      <c r="AG1413" s="2">
        <f ca="1"/>
        <v>0.58605798383097452</v>
      </c>
      <c r="AH1413" s="2" t="str">
        <f ca="1"/>
        <v>Bad</v>
      </c>
    </row>
    <row r="1414" spans="2:34" x14ac:dyDescent="0.2">
      <c r="B1414" s="2">
        <f ca="1"/>
        <v>0.38618764914949688</v>
      </c>
      <c r="O1414" s="2">
        <f ca="1"/>
        <v>-0.44197206120640259</v>
      </c>
      <c r="X1414" s="2">
        <f ca="1"/>
        <v>79.515861345718562</v>
      </c>
      <c r="AG1414" s="2">
        <f ca="1"/>
        <v>0.51387176035198157</v>
      </c>
      <c r="AH1414" s="2" t="str">
        <f ca="1"/>
        <v>Bad</v>
      </c>
    </row>
    <row r="1415" spans="2:34" x14ac:dyDescent="0.2">
      <c r="B1415" s="2">
        <f ca="1"/>
        <v>0.73197258328656867</v>
      </c>
      <c r="O1415" s="2">
        <f ca="1"/>
        <v>2.2666318263088931</v>
      </c>
      <c r="X1415" s="2">
        <f ca="1"/>
        <v>23.102441172259979</v>
      </c>
      <c r="AG1415" s="2">
        <f ca="1"/>
        <v>0.49278132927850371</v>
      </c>
      <c r="AH1415" s="2" t="str">
        <f ca="1"/>
        <v>Bad</v>
      </c>
    </row>
    <row r="1416" spans="2:34" x14ac:dyDescent="0.2">
      <c r="B1416" s="2">
        <f ca="1"/>
        <v>7.8331922405776577E-3</v>
      </c>
      <c r="O1416" s="2">
        <f ca="1"/>
        <v>-0.52132926365443522</v>
      </c>
      <c r="X1416" s="2">
        <f ca="1"/>
        <v>44.499220269415119</v>
      </c>
      <c r="AG1416" s="2">
        <f ca="1"/>
        <v>0.61432738297960099</v>
      </c>
      <c r="AH1416" s="2" t="str">
        <f ca="1"/>
        <v>Bad</v>
      </c>
    </row>
    <row r="1417" spans="2:34" x14ac:dyDescent="0.2">
      <c r="B1417" s="2">
        <f ca="1"/>
        <v>0.70121365056025264</v>
      </c>
      <c r="O1417" s="2">
        <f ca="1"/>
        <v>0.49620464776995188</v>
      </c>
      <c r="X1417" s="2">
        <f ca="1"/>
        <v>67.417690934224424</v>
      </c>
      <c r="AG1417" s="2">
        <f ca="1"/>
        <v>3.4286927559946445E-2</v>
      </c>
      <c r="AH1417" s="2" t="str">
        <f ca="1"/>
        <v>Good</v>
      </c>
    </row>
    <row r="1418" spans="2:34" x14ac:dyDescent="0.2">
      <c r="B1418" s="2">
        <f ca="1"/>
        <v>3.539405117634864E-2</v>
      </c>
      <c r="O1418" s="2">
        <f ca="1"/>
        <v>-0.84969853569809839</v>
      </c>
      <c r="X1418" s="2">
        <f ca="1"/>
        <v>62.129013346821402</v>
      </c>
      <c r="AG1418" s="2">
        <f ca="1"/>
        <v>0.6638767397057026</v>
      </c>
      <c r="AH1418" s="2" t="str">
        <f ca="1"/>
        <v>Bad</v>
      </c>
    </row>
    <row r="1419" spans="2:34" x14ac:dyDescent="0.2">
      <c r="B1419" s="2">
        <f ca="1"/>
        <v>0.65702970785486103</v>
      </c>
      <c r="O1419" s="2">
        <f ca="1"/>
        <v>8.3715009838135651E-2</v>
      </c>
      <c r="X1419" s="2">
        <f ca="1"/>
        <v>32.677708467862175</v>
      </c>
      <c r="AG1419" s="2">
        <f ca="1"/>
        <v>0.18077667947180664</v>
      </c>
      <c r="AH1419" s="2" t="str">
        <f ca="1"/>
        <v>OK</v>
      </c>
    </row>
    <row r="1420" spans="2:34" x14ac:dyDescent="0.2">
      <c r="B1420" s="2">
        <f ca="1"/>
        <v>0.63623346108876477</v>
      </c>
      <c r="O1420" s="2">
        <f ca="1"/>
        <v>-1.6111600866932706E-2</v>
      </c>
      <c r="X1420" s="2">
        <f ca="1"/>
        <v>33.927387380162529</v>
      </c>
      <c r="AG1420" s="2">
        <f ca="1"/>
        <v>0.53591805102002676</v>
      </c>
      <c r="AH1420" s="2" t="str">
        <f ca="1"/>
        <v>Bad</v>
      </c>
    </row>
    <row r="1421" spans="2:34" x14ac:dyDescent="0.2">
      <c r="B1421" s="2">
        <f ca="1"/>
        <v>0.66878537416833117</v>
      </c>
      <c r="O1421" s="2">
        <f ca="1"/>
        <v>0.8544719053793407</v>
      </c>
      <c r="X1421" s="2">
        <f ca="1"/>
        <v>36.950678805089233</v>
      </c>
      <c r="AG1421" s="2">
        <f ca="1"/>
        <v>0.95085603720268796</v>
      </c>
      <c r="AH1421" s="2" t="str">
        <f ca="1"/>
        <v>Bad</v>
      </c>
    </row>
    <row r="1422" spans="2:34" x14ac:dyDescent="0.2">
      <c r="B1422" s="2">
        <f ca="1"/>
        <v>0.48967736208479096</v>
      </c>
      <c r="O1422" s="2">
        <f ca="1"/>
        <v>-0.20368342522876087</v>
      </c>
      <c r="X1422" s="2">
        <f ca="1"/>
        <v>54.869688251817919</v>
      </c>
      <c r="AG1422" s="2">
        <f ca="1"/>
        <v>0.64254637950967752</v>
      </c>
      <c r="AH1422" s="2" t="str">
        <f ca="1"/>
        <v>Bad</v>
      </c>
    </row>
    <row r="1423" spans="2:34" x14ac:dyDescent="0.2">
      <c r="B1423" s="2">
        <f ca="1"/>
        <v>0.41310902995064192</v>
      </c>
      <c r="O1423" s="2">
        <f ca="1"/>
        <v>1.1314339918312297</v>
      </c>
      <c r="X1423" s="2">
        <f ca="1"/>
        <v>74.679427564690158</v>
      </c>
      <c r="AG1423" s="2">
        <f ca="1"/>
        <v>0.97901397819510461</v>
      </c>
      <c r="AH1423" s="2" t="str">
        <f ca="1"/>
        <v>Bad</v>
      </c>
    </row>
    <row r="1424" spans="2:34" x14ac:dyDescent="0.2">
      <c r="B1424" s="2">
        <f ca="1"/>
        <v>0.62869556688263328</v>
      </c>
      <c r="O1424" s="2">
        <f ca="1"/>
        <v>-0.18335251686993242</v>
      </c>
      <c r="X1424" s="2">
        <f ca="1"/>
        <v>79.152572025141296</v>
      </c>
      <c r="AG1424" s="2">
        <f ca="1"/>
        <v>0.76285144679942052</v>
      </c>
      <c r="AH1424" s="2" t="str">
        <f ca="1"/>
        <v>Bad</v>
      </c>
    </row>
    <row r="1425" spans="2:34" x14ac:dyDescent="0.2">
      <c r="B1425" s="2">
        <f ca="1"/>
        <v>0.64060098610203164</v>
      </c>
      <c r="O1425" s="2">
        <f ca="1"/>
        <v>-0.37721962392930469</v>
      </c>
      <c r="X1425" s="2">
        <f ca="1"/>
        <v>54.161426758163316</v>
      </c>
      <c r="AG1425" s="2">
        <f ca="1"/>
        <v>0.86976317923662405</v>
      </c>
      <c r="AH1425" s="2" t="str">
        <f ca="1"/>
        <v>Bad</v>
      </c>
    </row>
    <row r="1426" spans="2:34" x14ac:dyDescent="0.2">
      <c r="B1426" s="2">
        <f ca="1"/>
        <v>0.65677928492554205</v>
      </c>
      <c r="O1426" s="2">
        <f ca="1"/>
        <v>-2.3088829990724116</v>
      </c>
      <c r="X1426" s="2">
        <f ca="1"/>
        <v>52.822041748177469</v>
      </c>
      <c r="AG1426" s="2">
        <f ca="1"/>
        <v>0.6515544971276126</v>
      </c>
      <c r="AH1426" s="2" t="str">
        <f ca="1"/>
        <v>Bad</v>
      </c>
    </row>
    <row r="1427" spans="2:34" x14ac:dyDescent="0.2">
      <c r="B1427" s="2">
        <f ca="1"/>
        <v>0.25129161071508288</v>
      </c>
      <c r="O1427" s="2">
        <f ca="1"/>
        <v>0.49208093227830152</v>
      </c>
      <c r="X1427" s="2">
        <f ca="1"/>
        <v>29.314347055019262</v>
      </c>
      <c r="AG1427" s="2">
        <f ca="1"/>
        <v>0.90189192538602958</v>
      </c>
      <c r="AH1427" s="2" t="str">
        <f ca="1"/>
        <v>Bad</v>
      </c>
    </row>
    <row r="1428" spans="2:34" x14ac:dyDescent="0.2">
      <c r="B1428" s="2">
        <f ca="1"/>
        <v>0.89421714163362664</v>
      </c>
      <c r="O1428" s="2">
        <f ca="1"/>
        <v>-0.47599862542417981</v>
      </c>
      <c r="X1428" s="2">
        <f ca="1"/>
        <v>41.375779468282076</v>
      </c>
      <c r="AG1428" s="2">
        <f ca="1"/>
        <v>0.57735636758936582</v>
      </c>
      <c r="AH1428" s="2" t="str">
        <f ca="1"/>
        <v>Bad</v>
      </c>
    </row>
    <row r="1429" spans="2:34" x14ac:dyDescent="0.2">
      <c r="B1429" s="2">
        <f ca="1"/>
        <v>2.3466783351525189E-2</v>
      </c>
      <c r="O1429" s="2">
        <f ca="1"/>
        <v>-0.10536304098900807</v>
      </c>
      <c r="X1429" s="2">
        <f ca="1"/>
        <v>48.207405876644252</v>
      </c>
      <c r="AG1429" s="2">
        <f ca="1"/>
        <v>0.33773499363499249</v>
      </c>
      <c r="AH1429" s="2" t="str">
        <f ca="1"/>
        <v>OK</v>
      </c>
    </row>
    <row r="1430" spans="2:34" x14ac:dyDescent="0.2">
      <c r="B1430" s="2">
        <f ca="1"/>
        <v>0.97660601179984408</v>
      </c>
      <c r="O1430" s="2">
        <f ca="1"/>
        <v>-0.2918471120492151</v>
      </c>
      <c r="X1430" s="2">
        <f ca="1"/>
        <v>41.601811025219043</v>
      </c>
      <c r="AG1430" s="2">
        <f ca="1"/>
        <v>0.66390639023476905</v>
      </c>
      <c r="AH1430" s="2" t="str">
        <f ca="1"/>
        <v>Bad</v>
      </c>
    </row>
    <row r="1431" spans="2:34" x14ac:dyDescent="0.2">
      <c r="B1431" s="2">
        <f ca="1"/>
        <v>0.53443965964742768</v>
      </c>
      <c r="O1431" s="2">
        <f ca="1"/>
        <v>-0.28837976220603656</v>
      </c>
      <c r="X1431" s="2">
        <f ca="1"/>
        <v>61.374656024422393</v>
      </c>
      <c r="AG1431" s="2">
        <f ca="1"/>
        <v>0.51865349057805732</v>
      </c>
      <c r="AH1431" s="2" t="str">
        <f ca="1"/>
        <v>Bad</v>
      </c>
    </row>
    <row r="1432" spans="2:34" x14ac:dyDescent="0.2">
      <c r="B1432" s="2">
        <f ca="1"/>
        <v>0.27692743833075872</v>
      </c>
      <c r="O1432" s="2">
        <f ca="1"/>
        <v>1.7080087603144141</v>
      </c>
      <c r="X1432" s="2">
        <f ca="1"/>
        <v>65.187881397647203</v>
      </c>
      <c r="AG1432" s="2">
        <f ca="1"/>
        <v>0.45377531300922613</v>
      </c>
      <c r="AH1432" s="2" t="str">
        <f ca="1"/>
        <v>Bad</v>
      </c>
    </row>
    <row r="1433" spans="2:34" x14ac:dyDescent="0.2">
      <c r="B1433" s="2">
        <f ca="1"/>
        <v>0.35392876042000543</v>
      </c>
      <c r="O1433" s="2">
        <f ca="1"/>
        <v>0.24614497742133867</v>
      </c>
      <c r="X1433" s="2">
        <f ca="1"/>
        <v>38.374647505497265</v>
      </c>
      <c r="AG1433" s="2">
        <f ca="1"/>
        <v>0.60221266939822415</v>
      </c>
      <c r="AH1433" s="2" t="str">
        <f ca="1"/>
        <v>Bad</v>
      </c>
    </row>
    <row r="1434" spans="2:34" x14ac:dyDescent="0.2">
      <c r="B1434" s="2">
        <f ca="1"/>
        <v>0.48651348805020178</v>
      </c>
      <c r="O1434" s="2">
        <f ca="1"/>
        <v>-2.3219488013895062</v>
      </c>
      <c r="X1434" s="2">
        <f ca="1"/>
        <v>49.878941570842848</v>
      </c>
      <c r="AG1434" s="2">
        <f ca="1"/>
        <v>0.59155977438212859</v>
      </c>
      <c r="AH1434" s="2" t="str">
        <f ca="1"/>
        <v>Bad</v>
      </c>
    </row>
    <row r="1435" spans="2:34" x14ac:dyDescent="0.2">
      <c r="B1435" s="2">
        <f ca="1"/>
        <v>0.91179621516290044</v>
      </c>
      <c r="O1435" s="2">
        <f ca="1"/>
        <v>2.4339724296239526E-2</v>
      </c>
      <c r="X1435" s="2">
        <f ca="1"/>
        <v>51.254338278060487</v>
      </c>
      <c r="AG1435" s="2">
        <f ca="1"/>
        <v>0.62267303986318567</v>
      </c>
      <c r="AH1435" s="2" t="str">
        <f ca="1"/>
        <v>Bad</v>
      </c>
    </row>
    <row r="1436" spans="2:34" x14ac:dyDescent="0.2">
      <c r="B1436" s="2">
        <f ca="1"/>
        <v>0.45391390497119333</v>
      </c>
      <c r="O1436" s="2">
        <f ca="1"/>
        <v>5.3053384326151906E-2</v>
      </c>
      <c r="X1436" s="2">
        <f ca="1"/>
        <v>61.951337279777604</v>
      </c>
      <c r="AG1436" s="2">
        <f ca="1"/>
        <v>0.51959994073367199</v>
      </c>
      <c r="AH1436" s="2" t="str">
        <f ca="1"/>
        <v>Bad</v>
      </c>
    </row>
    <row r="1437" spans="2:34" x14ac:dyDescent="0.2">
      <c r="B1437" s="2">
        <f ca="1"/>
        <v>0.90812837716956385</v>
      </c>
      <c r="O1437" s="2">
        <f ca="1"/>
        <v>0.81941967002433969</v>
      </c>
      <c r="X1437" s="2">
        <f ca="1"/>
        <v>66.924331663854332</v>
      </c>
      <c r="AG1437" s="2">
        <f ca="1"/>
        <v>0.29296204825575178</v>
      </c>
      <c r="AH1437" s="2" t="str">
        <f ca="1"/>
        <v>OK</v>
      </c>
    </row>
    <row r="1438" spans="2:34" x14ac:dyDescent="0.2">
      <c r="B1438" s="2">
        <f ca="1"/>
        <v>0.55198719154187015</v>
      </c>
      <c r="O1438" s="2">
        <f ca="1"/>
        <v>0.82544467756973317</v>
      </c>
      <c r="X1438" s="2">
        <f ca="1"/>
        <v>62.190286040619995</v>
      </c>
      <c r="AG1438" s="2">
        <f ca="1"/>
        <v>0.65762435385081308</v>
      </c>
      <c r="AH1438" s="2" t="str">
        <f ca="1"/>
        <v>Bad</v>
      </c>
    </row>
    <row r="1439" spans="2:34" x14ac:dyDescent="0.2">
      <c r="B1439" s="2">
        <f ca="1"/>
        <v>0.19932727977462861</v>
      </c>
      <c r="O1439" s="2">
        <f ca="1"/>
        <v>1.4146748920983088</v>
      </c>
      <c r="X1439" s="2">
        <f ca="1"/>
        <v>73.769194628292865</v>
      </c>
      <c r="AG1439" s="2">
        <f ca="1"/>
        <v>3.244190241369127E-3</v>
      </c>
      <c r="AH1439" s="2" t="str">
        <f ca="1"/>
        <v>Good</v>
      </c>
    </row>
    <row r="1440" spans="2:34" x14ac:dyDescent="0.2">
      <c r="B1440" s="2">
        <f ca="1"/>
        <v>0.38565547733344796</v>
      </c>
      <c r="O1440" s="2">
        <f ca="1"/>
        <v>-3.1335412346016631</v>
      </c>
      <c r="X1440" s="2">
        <f ca="1"/>
        <v>45.156420236024772</v>
      </c>
      <c r="AG1440" s="2">
        <f ca="1"/>
        <v>0.11227846035313194</v>
      </c>
      <c r="AH1440" s="2" t="str">
        <f ca="1"/>
        <v>OK</v>
      </c>
    </row>
    <row r="1441" spans="2:34" x14ac:dyDescent="0.2">
      <c r="B1441" s="2">
        <f ca="1"/>
        <v>0.99243494862987358</v>
      </c>
      <c r="O1441" s="2">
        <f ca="1"/>
        <v>0.12603896107067752</v>
      </c>
      <c r="X1441" s="2">
        <f ca="1"/>
        <v>40.733126522958287</v>
      </c>
      <c r="AG1441" s="2">
        <f ca="1"/>
        <v>0.34106963623489528</v>
      </c>
      <c r="AH1441" s="2" t="str">
        <f ca="1"/>
        <v>OK</v>
      </c>
    </row>
    <row r="1442" spans="2:34" x14ac:dyDescent="0.2">
      <c r="B1442" s="2">
        <f ca="1"/>
        <v>0.91434103417035373</v>
      </c>
      <c r="O1442" s="2">
        <f ca="1"/>
        <v>0.58729651900884516</v>
      </c>
      <c r="X1442" s="2">
        <f ca="1"/>
        <v>66.21835316899822</v>
      </c>
      <c r="AG1442" s="2">
        <f ca="1"/>
        <v>6.7490199211172275E-2</v>
      </c>
      <c r="AH1442" s="2" t="str">
        <f ca="1"/>
        <v>OK</v>
      </c>
    </row>
    <row r="1443" spans="2:34" x14ac:dyDescent="0.2">
      <c r="B1443" s="2">
        <f ca="1"/>
        <v>0.75115823118989056</v>
      </c>
      <c r="O1443" s="2">
        <f ca="1"/>
        <v>-2.0563991593129223</v>
      </c>
      <c r="X1443" s="2">
        <f ca="1"/>
        <v>58.1956118984195</v>
      </c>
      <c r="AG1443" s="2">
        <f ca="1"/>
        <v>0.87957524743434234</v>
      </c>
      <c r="AH1443" s="2" t="str">
        <f ca="1"/>
        <v>Bad</v>
      </c>
    </row>
    <row r="1444" spans="2:34" x14ac:dyDescent="0.2">
      <c r="B1444" s="2">
        <f ca="1"/>
        <v>0.811946843111093</v>
      </c>
      <c r="O1444" s="2">
        <f ca="1"/>
        <v>-1.1365034856508336</v>
      </c>
      <c r="X1444" s="2">
        <f ca="1"/>
        <v>20.691923172689407</v>
      </c>
      <c r="AG1444" s="2">
        <f ca="1"/>
        <v>0.85193667067139711</v>
      </c>
      <c r="AH1444" s="2" t="str">
        <f ca="1"/>
        <v>Bad</v>
      </c>
    </row>
    <row r="1445" spans="2:34" x14ac:dyDescent="0.2">
      <c r="B1445" s="2">
        <f ca="1"/>
        <v>0.30186101390591324</v>
      </c>
      <c r="O1445" s="2">
        <f ca="1"/>
        <v>-0.35444159721811158</v>
      </c>
      <c r="X1445" s="2">
        <f ca="1"/>
        <v>26.589886854550222</v>
      </c>
      <c r="AG1445" s="2">
        <f ca="1"/>
        <v>0.89367252231548444</v>
      </c>
      <c r="AH1445" s="2" t="str">
        <f ca="1"/>
        <v>Bad</v>
      </c>
    </row>
    <row r="1446" spans="2:34" x14ac:dyDescent="0.2">
      <c r="B1446" s="2">
        <f ca="1"/>
        <v>0.21216540917836335</v>
      </c>
      <c r="O1446" s="2">
        <f ca="1"/>
        <v>0.61329222209858059</v>
      </c>
      <c r="X1446" s="2">
        <f ca="1"/>
        <v>96.55899831259687</v>
      </c>
      <c r="AG1446" s="2">
        <f ca="1"/>
        <v>0.53704859534030547</v>
      </c>
      <c r="AH1446" s="2" t="str">
        <f ca="1"/>
        <v>Bad</v>
      </c>
    </row>
    <row r="1447" spans="2:34" x14ac:dyDescent="0.2">
      <c r="B1447" s="2">
        <f ca="1"/>
        <v>0.55628003533176584</v>
      </c>
      <c r="O1447" s="2">
        <f ca="1"/>
        <v>0.96800443092473099</v>
      </c>
      <c r="X1447" s="2">
        <f ca="1"/>
        <v>58.812927084232705</v>
      </c>
      <c r="AG1447" s="2">
        <f ca="1"/>
        <v>0.52514706359193997</v>
      </c>
      <c r="AH1447" s="2" t="str">
        <f ca="1"/>
        <v>Bad</v>
      </c>
    </row>
    <row r="1448" spans="2:34" x14ac:dyDescent="0.2">
      <c r="B1448" s="2">
        <f ca="1"/>
        <v>0.67920314162163264</v>
      </c>
      <c r="O1448" s="2">
        <f ca="1"/>
        <v>0.78486567838468313</v>
      </c>
      <c r="X1448" s="2">
        <f ca="1"/>
        <v>50.062804098937768</v>
      </c>
      <c r="AG1448" s="2">
        <f ca="1"/>
        <v>0.37994107044601799</v>
      </c>
      <c r="AH1448" s="2" t="str">
        <f ca="1"/>
        <v>OK</v>
      </c>
    </row>
    <row r="1449" spans="2:34" x14ac:dyDescent="0.2">
      <c r="B1449" s="2">
        <f ca="1"/>
        <v>0.79296761633538271</v>
      </c>
      <c r="O1449" s="2">
        <f ca="1"/>
        <v>-0.80665405624609643</v>
      </c>
      <c r="X1449" s="2">
        <f ca="1"/>
        <v>51.733042865399398</v>
      </c>
      <c r="AG1449" s="2">
        <f ca="1"/>
        <v>0.74702505503268735</v>
      </c>
      <c r="AH1449" s="2" t="str">
        <f ca="1"/>
        <v>Bad</v>
      </c>
    </row>
    <row r="1450" spans="2:34" x14ac:dyDescent="0.2">
      <c r="B1450" s="2">
        <f ca="1"/>
        <v>0.51844960600405421</v>
      </c>
      <c r="O1450" s="2">
        <f ca="1"/>
        <v>0.61337652658310748</v>
      </c>
      <c r="X1450" s="2">
        <f ca="1"/>
        <v>48.643401386418923</v>
      </c>
      <c r="AG1450" s="2">
        <f ca="1"/>
        <v>5.9250531862540257E-2</v>
      </c>
      <c r="AH1450" s="2" t="str">
        <f ca="1"/>
        <v>OK</v>
      </c>
    </row>
    <row r="1451" spans="2:34" x14ac:dyDescent="0.2">
      <c r="B1451" s="2">
        <f ca="1"/>
        <v>0.10548872869650916</v>
      </c>
      <c r="O1451" s="2">
        <f ca="1"/>
        <v>0.19373619666238309</v>
      </c>
      <c r="X1451" s="2">
        <f ca="1"/>
        <v>61.729803662800165</v>
      </c>
      <c r="AG1451" s="2">
        <f ca="1"/>
        <v>0.62722393646720387</v>
      </c>
      <c r="AH1451" s="2" t="str">
        <f ca="1"/>
        <v>Bad</v>
      </c>
    </row>
    <row r="1452" spans="2:34" x14ac:dyDescent="0.2">
      <c r="B1452" s="2">
        <f ca="1"/>
        <v>4.6756437166039388E-2</v>
      </c>
      <c r="O1452" s="2">
        <f ca="1"/>
        <v>1.6786992688988345</v>
      </c>
      <c r="X1452" s="2">
        <f ca="1"/>
        <v>49.696127883533279</v>
      </c>
      <c r="AG1452" s="2">
        <f ca="1"/>
        <v>0.25830101878804546</v>
      </c>
      <c r="AH1452" s="2" t="str">
        <f ca="1"/>
        <v>OK</v>
      </c>
    </row>
    <row r="1453" spans="2:34" x14ac:dyDescent="0.2">
      <c r="B1453" s="2">
        <f ca="1"/>
        <v>0.38065295094087714</v>
      </c>
      <c r="O1453" s="2">
        <f ca="1"/>
        <v>0.27905169451506467</v>
      </c>
      <c r="X1453" s="2">
        <f ca="1"/>
        <v>42.635750696570504</v>
      </c>
      <c r="AG1453" s="2">
        <f ca="1"/>
        <v>0.25035497589835209</v>
      </c>
      <c r="AH1453" s="2" t="str">
        <f ca="1"/>
        <v>OK</v>
      </c>
    </row>
    <row r="1454" spans="2:34" x14ac:dyDescent="0.2">
      <c r="B1454" s="2">
        <f ca="1"/>
        <v>0.73169822043688892</v>
      </c>
      <c r="O1454" s="2">
        <f ca="1"/>
        <v>-0.46220516360755265</v>
      </c>
      <c r="X1454" s="2">
        <f ca="1"/>
        <v>33.397792095846491</v>
      </c>
      <c r="AG1454" s="2">
        <f ca="1"/>
        <v>0.93118291405230869</v>
      </c>
      <c r="AH1454" s="2" t="str">
        <f ca="1"/>
        <v>Bad</v>
      </c>
    </row>
    <row r="1455" spans="2:34" x14ac:dyDescent="0.2">
      <c r="B1455" s="2">
        <f ca="1"/>
        <v>0.9210759138183231</v>
      </c>
      <c r="O1455" s="2">
        <f ca="1"/>
        <v>-1.4565839983653428</v>
      </c>
      <c r="X1455" s="2">
        <f ca="1"/>
        <v>83.478575609835985</v>
      </c>
      <c r="AG1455" s="2">
        <f ca="1"/>
        <v>0.30732543588079109</v>
      </c>
      <c r="AH1455" s="2" t="str">
        <f ca="1"/>
        <v>OK</v>
      </c>
    </row>
    <row r="1456" spans="2:34" x14ac:dyDescent="0.2">
      <c r="B1456" s="2">
        <f ca="1"/>
        <v>0.51725074680970673</v>
      </c>
      <c r="O1456" s="2">
        <f ca="1"/>
        <v>1.6793915642120989</v>
      </c>
      <c r="X1456" s="2">
        <f ca="1"/>
        <v>33.405156640294415</v>
      </c>
      <c r="AG1456" s="2">
        <f ca="1"/>
        <v>0.20853853779759257</v>
      </c>
      <c r="AH1456" s="2" t="str">
        <f ca="1"/>
        <v>OK</v>
      </c>
    </row>
    <row r="1457" spans="2:34" x14ac:dyDescent="0.2">
      <c r="B1457" s="2">
        <f ca="1"/>
        <v>0.33692372912766322</v>
      </c>
      <c r="O1457" s="2">
        <f ca="1"/>
        <v>0.67158217662047515</v>
      </c>
      <c r="X1457" s="2">
        <f ca="1"/>
        <v>29.466395424166706</v>
      </c>
      <c r="AG1457" s="2">
        <f ca="1"/>
        <v>0.51864511901628174</v>
      </c>
      <c r="AH1457" s="2" t="str">
        <f ca="1"/>
        <v>Bad</v>
      </c>
    </row>
    <row r="1458" spans="2:34" x14ac:dyDescent="0.2">
      <c r="B1458" s="2">
        <f ca="1"/>
        <v>0.52878014549990238</v>
      </c>
      <c r="O1458" s="2">
        <f ca="1"/>
        <v>-0.60800941232286554</v>
      </c>
      <c r="X1458" s="2">
        <f ca="1"/>
        <v>33.656590007530617</v>
      </c>
      <c r="AG1458" s="2">
        <f ca="1"/>
        <v>0.58267374961870821</v>
      </c>
      <c r="AH1458" s="2" t="str">
        <f ca="1"/>
        <v>Bad</v>
      </c>
    </row>
    <row r="1459" spans="2:34" x14ac:dyDescent="0.2">
      <c r="B1459" s="2">
        <f ca="1"/>
        <v>0.54922424963812966</v>
      </c>
      <c r="O1459" s="2">
        <f ca="1"/>
        <v>1.3675077167979763</v>
      </c>
      <c r="X1459" s="2">
        <f ca="1"/>
        <v>73.968575674822731</v>
      </c>
      <c r="AG1459" s="2">
        <f ca="1"/>
        <v>0.46618516148570333</v>
      </c>
      <c r="AH1459" s="2" t="str">
        <f ca="1"/>
        <v>Bad</v>
      </c>
    </row>
    <row r="1460" spans="2:34" x14ac:dyDescent="0.2">
      <c r="B1460" s="2">
        <f ca="1"/>
        <v>0.47692171151479168</v>
      </c>
      <c r="O1460" s="2">
        <f ca="1"/>
        <v>-0.16189091775787076</v>
      </c>
      <c r="X1460" s="2">
        <f ca="1"/>
        <v>68.220521284413294</v>
      </c>
      <c r="AG1460" s="2">
        <f ca="1"/>
        <v>0.84487211305002163</v>
      </c>
      <c r="AH1460" s="2" t="str">
        <f ca="1"/>
        <v>Bad</v>
      </c>
    </row>
    <row r="1461" spans="2:34" x14ac:dyDescent="0.2">
      <c r="B1461" s="2">
        <f ca="1"/>
        <v>0.94670754243776734</v>
      </c>
      <c r="O1461" s="2">
        <f ca="1"/>
        <v>1.8700171518339082</v>
      </c>
      <c r="X1461" s="2">
        <f ca="1"/>
        <v>29.127027731300458</v>
      </c>
      <c r="AG1461" s="2">
        <f ca="1"/>
        <v>0.11022545130022277</v>
      </c>
      <c r="AH1461" s="2" t="str">
        <f ca="1"/>
        <v>OK</v>
      </c>
    </row>
    <row r="1462" spans="2:34" x14ac:dyDescent="0.2">
      <c r="B1462" s="2">
        <f ca="1"/>
        <v>0.25739144768772793</v>
      </c>
      <c r="O1462" s="2">
        <f ca="1"/>
        <v>1.0426932120016621</v>
      </c>
      <c r="X1462" s="2">
        <f ca="1"/>
        <v>63.1015827291383</v>
      </c>
      <c r="AG1462" s="2">
        <f ca="1"/>
        <v>0.31875902860148364</v>
      </c>
      <c r="AH1462" s="2" t="str">
        <f ca="1"/>
        <v>OK</v>
      </c>
    </row>
    <row r="1463" spans="2:34" x14ac:dyDescent="0.2">
      <c r="B1463" s="2">
        <f ca="1"/>
        <v>4.9300921228453642E-2</v>
      </c>
      <c r="O1463" s="2">
        <f ca="1"/>
        <v>-0.25824824071899666</v>
      </c>
      <c r="X1463" s="2">
        <f ca="1"/>
        <v>39.540610602421083</v>
      </c>
      <c r="AG1463" s="2">
        <f ca="1"/>
        <v>0.74562824525828941</v>
      </c>
      <c r="AH1463" s="2" t="str">
        <f ca="1"/>
        <v>Bad</v>
      </c>
    </row>
    <row r="1464" spans="2:34" x14ac:dyDescent="0.2">
      <c r="B1464" s="2">
        <f ca="1"/>
        <v>0.95920471995107692</v>
      </c>
      <c r="O1464" s="2">
        <f ca="1"/>
        <v>-0.47140281155552544</v>
      </c>
      <c r="X1464" s="2">
        <f ca="1"/>
        <v>63.849869643816717</v>
      </c>
      <c r="AG1464" s="2">
        <f ca="1"/>
        <v>0.80583743699309918</v>
      </c>
      <c r="AH1464" s="2" t="str">
        <f ca="1"/>
        <v>Bad</v>
      </c>
    </row>
    <row r="1465" spans="2:34" x14ac:dyDescent="0.2">
      <c r="B1465" s="2">
        <f ca="1"/>
        <v>0.52805367072606124</v>
      </c>
      <c r="O1465" s="2">
        <f ca="1"/>
        <v>-1.1020339994034307</v>
      </c>
      <c r="X1465" s="2">
        <f ca="1"/>
        <v>43.779185428446112</v>
      </c>
      <c r="AG1465" s="2">
        <f ca="1"/>
        <v>0.37695947572452027</v>
      </c>
      <c r="AH1465" s="2" t="str">
        <f ca="1"/>
        <v>OK</v>
      </c>
    </row>
    <row r="1466" spans="2:34" x14ac:dyDescent="0.2">
      <c r="B1466" s="2">
        <f ca="1"/>
        <v>0.69483919599497312</v>
      </c>
      <c r="O1466" s="2">
        <f ca="1"/>
        <v>0.27843821360360815</v>
      </c>
      <c r="X1466" s="2">
        <f ca="1"/>
        <v>73.408093143712591</v>
      </c>
      <c r="AG1466" s="2">
        <f ca="1"/>
        <v>0.27714075422012696</v>
      </c>
      <c r="AH1466" s="2" t="str">
        <f ca="1"/>
        <v>OK</v>
      </c>
    </row>
    <row r="1467" spans="2:34" x14ac:dyDescent="0.2">
      <c r="B1467" s="2">
        <f ca="1"/>
        <v>6.6891072072363E-2</v>
      </c>
      <c r="O1467" s="2">
        <f ca="1"/>
        <v>-0.63051742554770651</v>
      </c>
      <c r="X1467" s="2">
        <f ca="1"/>
        <v>39.902548501155337</v>
      </c>
      <c r="AG1467" s="2">
        <f ca="1"/>
        <v>0.48323843076984541</v>
      </c>
      <c r="AH1467" s="2" t="str">
        <f ca="1"/>
        <v>Bad</v>
      </c>
    </row>
    <row r="1468" spans="2:34" x14ac:dyDescent="0.2">
      <c r="B1468" s="2">
        <f ca="1"/>
        <v>0.41922666971635913</v>
      </c>
      <c r="O1468" s="2">
        <f ca="1"/>
        <v>0.72463410963810859</v>
      </c>
      <c r="X1468" s="2">
        <f ca="1"/>
        <v>35.263516172807641</v>
      </c>
      <c r="AG1468" s="2">
        <f ca="1"/>
        <v>0.61774982359918518</v>
      </c>
      <c r="AH1468" s="2" t="str">
        <f ca="1"/>
        <v>Bad</v>
      </c>
    </row>
    <row r="1469" spans="2:34" x14ac:dyDescent="0.2">
      <c r="B1469" s="2">
        <f ca="1"/>
        <v>0.11045917098012037</v>
      </c>
      <c r="O1469" s="2">
        <f ca="1"/>
        <v>0.26081423865946962</v>
      </c>
      <c r="X1469" s="2">
        <f ca="1"/>
        <v>40.958454296850547</v>
      </c>
      <c r="AG1469" s="2">
        <f ca="1"/>
        <v>0.13551884891902444</v>
      </c>
      <c r="AH1469" s="2" t="str">
        <f ca="1"/>
        <v>OK</v>
      </c>
    </row>
    <row r="1470" spans="2:34" x14ac:dyDescent="0.2">
      <c r="B1470" s="2">
        <f ca="1"/>
        <v>0.68835682823988509</v>
      </c>
      <c r="O1470" s="2">
        <f ca="1"/>
        <v>-0.35604193640309811</v>
      </c>
      <c r="X1470" s="2">
        <f ca="1"/>
        <v>64.025971603299212</v>
      </c>
      <c r="AG1470" s="2">
        <f ca="1"/>
        <v>0.44343023577365392</v>
      </c>
      <c r="AH1470" s="2" t="str">
        <f ca="1"/>
        <v>Bad</v>
      </c>
    </row>
    <row r="1471" spans="2:34" x14ac:dyDescent="0.2">
      <c r="B1471" s="2">
        <f ca="1"/>
        <v>0.52251171829375442</v>
      </c>
      <c r="O1471" s="2">
        <f ca="1"/>
        <v>0.28900681926452615</v>
      </c>
      <c r="X1471" s="2">
        <f ca="1"/>
        <v>54.423359121830394</v>
      </c>
      <c r="AG1471" s="2">
        <f ca="1"/>
        <v>0.33173309739133416</v>
      </c>
      <c r="AH1471" s="2" t="str">
        <f ca="1"/>
        <v>OK</v>
      </c>
    </row>
    <row r="1472" spans="2:34" x14ac:dyDescent="0.2">
      <c r="B1472" s="2">
        <f ca="1"/>
        <v>3.2122795958238193E-2</v>
      </c>
      <c r="O1472" s="2">
        <f ca="1"/>
        <v>4.0745956518225719E-3</v>
      </c>
      <c r="X1472" s="2">
        <f ca="1"/>
        <v>59.271124718734214</v>
      </c>
      <c r="AG1472" s="2">
        <f ca="1"/>
        <v>0.18003087025539211</v>
      </c>
      <c r="AH1472" s="2" t="str">
        <f ca="1"/>
        <v>OK</v>
      </c>
    </row>
    <row r="1473" spans="2:34" x14ac:dyDescent="0.2">
      <c r="B1473" s="2">
        <f ca="1"/>
        <v>0.36755374088315551</v>
      </c>
      <c r="O1473" s="2">
        <f ca="1"/>
        <v>0.46336923744301062</v>
      </c>
      <c r="X1473" s="2">
        <f ca="1"/>
        <v>36.720400324790596</v>
      </c>
      <c r="AG1473" s="2">
        <f ca="1"/>
        <v>0.77967470779076531</v>
      </c>
      <c r="AH1473" s="2" t="str">
        <f ca="1"/>
        <v>Bad</v>
      </c>
    </row>
    <row r="1474" spans="2:34" x14ac:dyDescent="0.2">
      <c r="B1474" s="2">
        <f ca="1"/>
        <v>0.96658062423263535</v>
      </c>
      <c r="O1474" s="2">
        <f ca="1"/>
        <v>0.1148338947856432</v>
      </c>
      <c r="X1474" s="2">
        <f ca="1"/>
        <v>26.588387721686395</v>
      </c>
      <c r="AG1474" s="2">
        <f ca="1"/>
        <v>0.99984002518262849</v>
      </c>
      <c r="AH1474" s="2" t="str">
        <f ca="1"/>
        <v>Bad</v>
      </c>
    </row>
    <row r="1475" spans="2:34" x14ac:dyDescent="0.2">
      <c r="B1475" s="2">
        <f ca="1"/>
        <v>0.52414111525624407</v>
      </c>
      <c r="O1475" s="2">
        <f ca="1"/>
        <v>0.7485977424100797</v>
      </c>
      <c r="X1475" s="2">
        <f ca="1"/>
        <v>78.127639002951184</v>
      </c>
      <c r="AG1475" s="2">
        <f ca="1"/>
        <v>0.3502116157288544</v>
      </c>
      <c r="AH1475" s="2" t="str">
        <f ca="1"/>
        <v>OK</v>
      </c>
    </row>
    <row r="1476" spans="2:34" x14ac:dyDescent="0.2">
      <c r="B1476" s="2">
        <f ca="1"/>
        <v>0.5473374825169588</v>
      </c>
      <c r="O1476" s="2">
        <f ca="1"/>
        <v>7.1396834875639109E-2</v>
      </c>
      <c r="X1476" s="2">
        <f ca="1"/>
        <v>65.829804164410675</v>
      </c>
      <c r="AG1476" s="2">
        <f ca="1"/>
        <v>0.62913425164164627</v>
      </c>
      <c r="AH1476" s="2" t="str">
        <f ca="1"/>
        <v>Bad</v>
      </c>
    </row>
    <row r="1477" spans="2:34" x14ac:dyDescent="0.2">
      <c r="B1477" s="2">
        <f ca="1"/>
        <v>0.99876083426001849</v>
      </c>
      <c r="O1477" s="2">
        <f ca="1"/>
        <v>-0.66955782237113293</v>
      </c>
      <c r="X1477" s="2">
        <f ca="1"/>
        <v>68.692950937876859</v>
      </c>
      <c r="AG1477" s="2">
        <f ca="1"/>
        <v>0.46178603344746949</v>
      </c>
      <c r="AH1477" s="2" t="str">
        <f ca="1"/>
        <v>Bad</v>
      </c>
    </row>
    <row r="1478" spans="2:34" x14ac:dyDescent="0.2">
      <c r="B1478" s="2">
        <f ca="1"/>
        <v>0.54293835145754388</v>
      </c>
      <c r="O1478" s="2">
        <f ca="1"/>
        <v>-0.81013669556216639</v>
      </c>
      <c r="X1478" s="2">
        <f ca="1"/>
        <v>28.815710241764869</v>
      </c>
      <c r="AG1478" s="2">
        <f ca="1"/>
        <v>0.61958213413160723</v>
      </c>
      <c r="AH1478" s="2" t="str">
        <f ca="1"/>
        <v>Bad</v>
      </c>
    </row>
    <row r="1479" spans="2:34" x14ac:dyDescent="0.2">
      <c r="B1479" s="2">
        <f ca="1"/>
        <v>0.57410067237535789</v>
      </c>
      <c r="O1479" s="2">
        <f ca="1"/>
        <v>-0.54232659233693381</v>
      </c>
      <c r="X1479" s="2">
        <f ca="1"/>
        <v>23.54008961964162</v>
      </c>
      <c r="AG1479" s="2">
        <f ca="1"/>
        <v>0.86834867072707311</v>
      </c>
      <c r="AH1479" s="2" t="str">
        <f ca="1"/>
        <v>Bad</v>
      </c>
    </row>
    <row r="1480" spans="2:34" x14ac:dyDescent="0.2">
      <c r="B1480" s="2">
        <f ca="1"/>
        <v>0.88642365134774992</v>
      </c>
      <c r="O1480" s="2">
        <f ca="1"/>
        <v>-0.59432240877275078</v>
      </c>
      <c r="X1480" s="2">
        <f ca="1"/>
        <v>39.287673687542473</v>
      </c>
      <c r="AG1480" s="2">
        <f ca="1"/>
        <v>0.2679150691520642</v>
      </c>
      <c r="AH1480" s="2" t="str">
        <f ca="1"/>
        <v>OK</v>
      </c>
    </row>
    <row r="1481" spans="2:34" x14ac:dyDescent="0.2">
      <c r="B1481" s="2">
        <f ca="1"/>
        <v>1.5575637212712712E-2</v>
      </c>
      <c r="O1481" s="2">
        <f ca="1"/>
        <v>1.1978651873130974</v>
      </c>
      <c r="X1481" s="2">
        <f ca="1"/>
        <v>47.950919522614363</v>
      </c>
      <c r="AG1481" s="2">
        <f ca="1"/>
        <v>0.48208344863137853</v>
      </c>
      <c r="AH1481" s="2" t="str">
        <f ca="1"/>
        <v>Bad</v>
      </c>
    </row>
    <row r="1482" spans="2:34" x14ac:dyDescent="0.2">
      <c r="B1482" s="2">
        <f ca="1"/>
        <v>0.30391017218775351</v>
      </c>
      <c r="O1482" s="2">
        <f ca="1"/>
        <v>0.17756353138383524</v>
      </c>
      <c r="X1482" s="2">
        <f ca="1"/>
        <v>64.448440556350903</v>
      </c>
      <c r="AG1482" s="2">
        <f ca="1"/>
        <v>0.10316202137380581</v>
      </c>
      <c r="AH1482" s="2" t="str">
        <f ca="1"/>
        <v>OK</v>
      </c>
    </row>
    <row r="1483" spans="2:34" x14ac:dyDescent="0.2">
      <c r="B1483" s="2">
        <f ca="1"/>
        <v>0.63292140719325807</v>
      </c>
      <c r="O1483" s="2">
        <f ca="1"/>
        <v>-3.131316282355627E-2</v>
      </c>
      <c r="X1483" s="2">
        <f ca="1"/>
        <v>30.286802303384064</v>
      </c>
      <c r="AG1483" s="2">
        <f ca="1"/>
        <v>0.19013430725232516</v>
      </c>
      <c r="AH1483" s="2" t="str">
        <f ca="1"/>
        <v>OK</v>
      </c>
    </row>
    <row r="1484" spans="2:34" x14ac:dyDescent="0.2">
      <c r="B1484" s="2">
        <f ca="1"/>
        <v>0.30121082952271694</v>
      </c>
      <c r="O1484" s="2">
        <f ca="1"/>
        <v>-1.6535944022171858</v>
      </c>
      <c r="X1484" s="2">
        <f ca="1"/>
        <v>58.057637769107615</v>
      </c>
      <c r="AG1484" s="2">
        <f ca="1"/>
        <v>0.51921626669058907</v>
      </c>
      <c r="AH1484" s="2" t="str">
        <f ca="1"/>
        <v>Bad</v>
      </c>
    </row>
    <row r="1485" spans="2:34" x14ac:dyDescent="0.2">
      <c r="B1485" s="2">
        <f ca="1"/>
        <v>0.99437669307706789</v>
      </c>
      <c r="O1485" s="2">
        <f ca="1"/>
        <v>-1.9072163447127726</v>
      </c>
      <c r="X1485" s="2">
        <f ca="1"/>
        <v>49.231565263693767</v>
      </c>
      <c r="AG1485" s="2">
        <f ca="1"/>
        <v>0.23679343418493048</v>
      </c>
      <c r="AH1485" s="2" t="str">
        <f ca="1"/>
        <v>OK</v>
      </c>
    </row>
    <row r="1486" spans="2:34" x14ac:dyDescent="0.2">
      <c r="B1486" s="2">
        <f ca="1"/>
        <v>0.20015855952747685</v>
      </c>
      <c r="O1486" s="2">
        <f ca="1"/>
        <v>-0.51098248335670438</v>
      </c>
      <c r="X1486" s="2">
        <f ca="1"/>
        <v>68.174437318834876</v>
      </c>
      <c r="AG1486" s="2">
        <f ca="1"/>
        <v>0.37149067901966992</v>
      </c>
      <c r="AH1486" s="2" t="str">
        <f ca="1"/>
        <v>OK</v>
      </c>
    </row>
    <row r="1487" spans="2:34" x14ac:dyDescent="0.2">
      <c r="B1487" s="2">
        <f ca="1"/>
        <v>0.41745191868271481</v>
      </c>
      <c r="O1487" s="2">
        <f ca="1"/>
        <v>0.24388116594323242</v>
      </c>
      <c r="X1487" s="2">
        <f ca="1"/>
        <v>37.296374566579203</v>
      </c>
      <c r="AG1487" s="2">
        <f ca="1"/>
        <v>0.59699367419089322</v>
      </c>
      <c r="AH1487" s="2" t="str">
        <f ca="1"/>
        <v>Bad</v>
      </c>
    </row>
    <row r="1488" spans="2:34" x14ac:dyDescent="0.2">
      <c r="B1488" s="2">
        <f ca="1"/>
        <v>0.24236464442048633</v>
      </c>
      <c r="O1488" s="2">
        <f ca="1"/>
        <v>1.9772215591081544E-2</v>
      </c>
      <c r="X1488" s="2">
        <f ca="1"/>
        <v>30.351632861657571</v>
      </c>
      <c r="AG1488" s="2">
        <f ca="1"/>
        <v>6.5958003841160018E-3</v>
      </c>
      <c r="AH1488" s="2" t="str">
        <f ca="1"/>
        <v>Good</v>
      </c>
    </row>
    <row r="1489" spans="2:34" x14ac:dyDescent="0.2">
      <c r="B1489" s="2">
        <f ca="1"/>
        <v>0.12125526356069183</v>
      </c>
      <c r="O1489" s="2">
        <f ca="1"/>
        <v>1.6888403143045567</v>
      </c>
      <c r="X1489" s="2">
        <f ca="1"/>
        <v>61.96904186128512</v>
      </c>
      <c r="AG1489" s="2">
        <f ca="1"/>
        <v>0.43480838548012568</v>
      </c>
      <c r="AH1489" s="2" t="str">
        <f ca="1"/>
        <v>Bad</v>
      </c>
    </row>
    <row r="1490" spans="2:34" x14ac:dyDescent="0.2">
      <c r="B1490" s="2">
        <f ca="1"/>
        <v>8.7165245684828863E-2</v>
      </c>
      <c r="O1490" s="2">
        <f ca="1"/>
        <v>0.27938960166392557</v>
      </c>
      <c r="X1490" s="2">
        <f ca="1"/>
        <v>58.50992446928138</v>
      </c>
      <c r="AG1490" s="2">
        <f ca="1"/>
        <v>0.8090819670110756</v>
      </c>
      <c r="AH1490" s="2" t="str">
        <f ca="1"/>
        <v>Bad</v>
      </c>
    </row>
    <row r="1491" spans="2:34" x14ac:dyDescent="0.2">
      <c r="B1491" s="2">
        <f ca="1"/>
        <v>0.8150699343024419</v>
      </c>
      <c r="O1491" s="2">
        <f ca="1"/>
        <v>1.0031133867552311</v>
      </c>
      <c r="X1491" s="2">
        <f ca="1"/>
        <v>54.094226685789117</v>
      </c>
      <c r="AG1491" s="2">
        <f ca="1"/>
        <v>0.97676472136599868</v>
      </c>
      <c r="AH1491" s="2" t="str">
        <f ca="1"/>
        <v>Bad</v>
      </c>
    </row>
    <row r="1492" spans="2:34" x14ac:dyDescent="0.2">
      <c r="B1492" s="2">
        <f ca="1"/>
        <v>0.19599555365630716</v>
      </c>
      <c r="O1492" s="2">
        <f ca="1"/>
        <v>-0.5228589755372901</v>
      </c>
      <c r="X1492" s="2">
        <f ca="1"/>
        <v>44.58177962101928</v>
      </c>
      <c r="AG1492" s="2">
        <f ca="1"/>
        <v>0.64061037084126826</v>
      </c>
      <c r="AH1492" s="2" t="str">
        <f ca="1"/>
        <v>Bad</v>
      </c>
    </row>
    <row r="1493" spans="2:34" x14ac:dyDescent="0.2">
      <c r="B1493" s="2">
        <f ca="1"/>
        <v>0.26944041462586688</v>
      </c>
      <c r="O1493" s="2">
        <f ca="1"/>
        <v>-1.5827202202778246</v>
      </c>
      <c r="X1493" s="2">
        <f ca="1"/>
        <v>41.436847202279125</v>
      </c>
      <c r="AG1493" s="2">
        <f ca="1"/>
        <v>0.38379546441984691</v>
      </c>
      <c r="AH1493" s="2" t="str">
        <f ca="1"/>
        <v>OK</v>
      </c>
    </row>
    <row r="1494" spans="2:34" x14ac:dyDescent="0.2">
      <c r="B1494" s="2">
        <f ca="1"/>
        <v>0.10083433329977964</v>
      </c>
      <c r="O1494" s="2">
        <f ca="1"/>
        <v>0.22183827329029501</v>
      </c>
      <c r="X1494" s="2">
        <f ca="1"/>
        <v>37.481674846157119</v>
      </c>
      <c r="AG1494" s="2">
        <f ca="1"/>
        <v>0.5799525402443253</v>
      </c>
      <c r="AH1494" s="2" t="str">
        <f ca="1"/>
        <v>Bad</v>
      </c>
    </row>
    <row r="1495" spans="2:34" x14ac:dyDescent="0.2">
      <c r="B1495" s="2">
        <f ca="1"/>
        <v>4.045359157698436E-2</v>
      </c>
      <c r="O1495" s="2">
        <f ca="1"/>
        <v>-0.58755281343768095</v>
      </c>
      <c r="X1495" s="2">
        <f ca="1"/>
        <v>38.67978651907184</v>
      </c>
      <c r="AG1495" s="2">
        <f ca="1"/>
        <v>0.95234351434538356</v>
      </c>
      <c r="AH1495" s="2" t="str">
        <f ca="1"/>
        <v>Bad</v>
      </c>
    </row>
    <row r="1496" spans="2:34" x14ac:dyDescent="0.2">
      <c r="B1496" s="2">
        <f ca="1"/>
        <v>0.62863963054864724</v>
      </c>
      <c r="O1496" s="2">
        <f ca="1"/>
        <v>-0.90842270323364283</v>
      </c>
      <c r="X1496" s="2">
        <f ca="1"/>
        <v>45.854961039265106</v>
      </c>
      <c r="AG1496" s="2">
        <f ca="1"/>
        <v>0.66592369125065654</v>
      </c>
      <c r="AH1496" s="2" t="str">
        <f ca="1"/>
        <v>Bad</v>
      </c>
    </row>
    <row r="1497" spans="2:34" x14ac:dyDescent="0.2">
      <c r="B1497" s="2">
        <f ca="1"/>
        <v>0.85849380801523933</v>
      </c>
      <c r="O1497" s="2">
        <f ca="1"/>
        <v>-1.4085826371946903</v>
      </c>
      <c r="X1497" s="2">
        <f ca="1"/>
        <v>111.61474734120871</v>
      </c>
      <c r="AG1497" s="2">
        <f ca="1"/>
        <v>0.5742860459602166</v>
      </c>
      <c r="AH1497" s="2" t="str">
        <f ca="1"/>
        <v>Bad</v>
      </c>
    </row>
    <row r="1498" spans="2:34" x14ac:dyDescent="0.2">
      <c r="B1498" s="2">
        <f ca="1"/>
        <v>0.81008932407999668</v>
      </c>
      <c r="O1498" s="2">
        <f ca="1"/>
        <v>-0.2315695953573354</v>
      </c>
      <c r="X1498" s="2">
        <f ca="1"/>
        <v>29.391455329007222</v>
      </c>
      <c r="AG1498" s="2">
        <f ca="1"/>
        <v>0.66341449780768813</v>
      </c>
      <c r="AH1498" s="2" t="str">
        <f ca="1"/>
        <v>Bad</v>
      </c>
    </row>
    <row r="1499" spans="2:34" x14ac:dyDescent="0.2">
      <c r="B1499" s="2">
        <f ca="1"/>
        <v>0.72370107924845706</v>
      </c>
      <c r="O1499" s="2">
        <f ca="1"/>
        <v>-2.969458949884733</v>
      </c>
      <c r="X1499" s="2">
        <f ca="1"/>
        <v>55.282742742873346</v>
      </c>
      <c r="AG1499" s="2">
        <f ca="1"/>
        <v>0.77901384962357834</v>
      </c>
      <c r="AH1499" s="2" t="str">
        <f ca="1"/>
        <v>Bad</v>
      </c>
    </row>
    <row r="1500" spans="2:34" x14ac:dyDescent="0.2">
      <c r="B1500" s="2">
        <f ca="1"/>
        <v>0.70153392637080447</v>
      </c>
      <c r="O1500" s="2">
        <f ca="1"/>
        <v>-8.9928881646934536E-2</v>
      </c>
      <c r="X1500" s="2">
        <f ca="1"/>
        <v>65.432443654337632</v>
      </c>
      <c r="AG1500" s="2">
        <f ca="1"/>
        <v>0.53634054460554537</v>
      </c>
      <c r="AH1500" s="2" t="str">
        <f ca="1"/>
        <v>Bad</v>
      </c>
    </row>
    <row r="1501" spans="2:34" x14ac:dyDescent="0.2">
      <c r="B1501" s="2">
        <f ca="1"/>
        <v>0.20826587357257309</v>
      </c>
      <c r="O1501" s="2">
        <f ca="1"/>
        <v>-0.81090951234589503</v>
      </c>
      <c r="X1501" s="2">
        <f ca="1"/>
        <v>31.381621259370014</v>
      </c>
      <c r="AG1501" s="2">
        <f ca="1"/>
        <v>0.55201056035211815</v>
      </c>
      <c r="AH1501" s="2" t="str">
        <f ca="1"/>
        <v>Bad</v>
      </c>
    </row>
    <row r="1502" spans="2:34" x14ac:dyDescent="0.2">
      <c r="B1502" s="2">
        <f ca="1"/>
        <v>0.37995282529622654</v>
      </c>
      <c r="O1502" s="2">
        <f ca="1"/>
        <v>1.2483056472770413</v>
      </c>
      <c r="X1502" s="2">
        <f ca="1"/>
        <v>38.884804466947365</v>
      </c>
      <c r="AG1502" s="2">
        <f ca="1"/>
        <v>0.69271622727423621</v>
      </c>
      <c r="AH1502" s="2" t="str">
        <f ca="1"/>
        <v>Bad</v>
      </c>
    </row>
    <row r="1503" spans="2:34" x14ac:dyDescent="0.2">
      <c r="B1503" s="2">
        <f ca="1"/>
        <v>0.4648922476998929</v>
      </c>
      <c r="O1503" s="2">
        <f ca="1"/>
        <v>-2.9301544338840038</v>
      </c>
      <c r="X1503" s="2">
        <f ca="1"/>
        <v>42.768721037254835</v>
      </c>
      <c r="AG1503" s="2">
        <f ca="1"/>
        <v>0.33992436629968625</v>
      </c>
      <c r="AH1503" s="2" t="str">
        <f ca="1"/>
        <v>OK</v>
      </c>
    </row>
    <row r="1504" spans="2:34" x14ac:dyDescent="0.2">
      <c r="B1504" s="2">
        <f ca="1"/>
        <v>0.45901766622202733</v>
      </c>
      <c r="O1504" s="2">
        <f ca="1"/>
        <v>-0.24077101337802517</v>
      </c>
      <c r="X1504" s="2">
        <f ca="1"/>
        <v>33.879374319539643</v>
      </c>
      <c r="AG1504" s="2">
        <f ca="1"/>
        <v>0.51934786404274624</v>
      </c>
      <c r="AH1504" s="2" t="str">
        <f ca="1"/>
        <v>Bad</v>
      </c>
    </row>
    <row r="1505" spans="2:34" x14ac:dyDescent="0.2">
      <c r="B1505" s="2">
        <f ca="1"/>
        <v>0.28228270170437431</v>
      </c>
      <c r="O1505" s="2">
        <f ca="1"/>
        <v>1.1223934475327797</v>
      </c>
      <c r="X1505" s="2">
        <f ca="1"/>
        <v>66.359676915551773</v>
      </c>
      <c r="AG1505" s="2">
        <f ca="1"/>
        <v>0.73842786142502037</v>
      </c>
      <c r="AH1505" s="2" t="str">
        <f ca="1"/>
        <v>Bad</v>
      </c>
    </row>
    <row r="1506" spans="2:34" x14ac:dyDescent="0.2">
      <c r="B1506" s="2">
        <f ca="1"/>
        <v>0.49807189496386006</v>
      </c>
      <c r="O1506" s="2">
        <f ca="1"/>
        <v>-0.1985349316363732</v>
      </c>
      <c r="X1506" s="2">
        <f ca="1"/>
        <v>60.128672917026897</v>
      </c>
      <c r="AG1506" s="2">
        <f ca="1"/>
        <v>0.79124549971638736</v>
      </c>
      <c r="AH1506" s="2" t="str">
        <f ca="1"/>
        <v>Bad</v>
      </c>
    </row>
    <row r="1507" spans="2:34" x14ac:dyDescent="0.2">
      <c r="B1507" s="2">
        <f ca="1"/>
        <v>0.44963803281894199</v>
      </c>
      <c r="O1507" s="2">
        <f ca="1"/>
        <v>0.1750141414419342</v>
      </c>
      <c r="X1507" s="2">
        <f ca="1"/>
        <v>76.32568675131742</v>
      </c>
      <c r="AG1507" s="2">
        <f ca="1"/>
        <v>0.63155069844891676</v>
      </c>
      <c r="AH1507" s="2" t="str">
        <f ca="1"/>
        <v>Bad</v>
      </c>
    </row>
    <row r="1508" spans="2:34" x14ac:dyDescent="0.2">
      <c r="B1508" s="2">
        <f ca="1"/>
        <v>0.6817975100182343</v>
      </c>
      <c r="O1508" s="2">
        <f ca="1"/>
        <v>0.2970925690694356</v>
      </c>
      <c r="X1508" s="2">
        <f ca="1"/>
        <v>47.211625329661153</v>
      </c>
      <c r="AG1508" s="2">
        <f ca="1"/>
        <v>0.86997209774297724</v>
      </c>
      <c r="AH1508" s="2" t="str">
        <f ca="1"/>
        <v>Bad</v>
      </c>
    </row>
    <row r="1509" spans="2:34" x14ac:dyDescent="0.2">
      <c r="B1509" s="2">
        <f ca="1"/>
        <v>0.87318572183939369</v>
      </c>
      <c r="O1509" s="2">
        <f ca="1"/>
        <v>1.7069826329567372</v>
      </c>
      <c r="X1509" s="2">
        <f ca="1"/>
        <v>54.013631439919045</v>
      </c>
      <c r="AG1509" s="2">
        <f ca="1"/>
        <v>0.93724008070721831</v>
      </c>
      <c r="AH1509" s="2" t="str">
        <f ca="1"/>
        <v>Bad</v>
      </c>
    </row>
    <row r="1510" spans="2:34" x14ac:dyDescent="0.2">
      <c r="B1510" s="2">
        <f ca="1"/>
        <v>0.7496198399029872</v>
      </c>
      <c r="O1510" s="2">
        <f ca="1"/>
        <v>-0.38919480109959259</v>
      </c>
      <c r="X1510" s="2">
        <f ca="1"/>
        <v>47.717074921571424</v>
      </c>
      <c r="AG1510" s="2">
        <f ca="1"/>
        <v>6.8972521717975521E-2</v>
      </c>
      <c r="AH1510" s="2" t="str">
        <f ca="1"/>
        <v>OK</v>
      </c>
    </row>
    <row r="1511" spans="2:34" x14ac:dyDescent="0.2">
      <c r="B1511" s="2">
        <f ca="1"/>
        <v>0.19390998356008149</v>
      </c>
      <c r="O1511" s="2">
        <f ca="1"/>
        <v>-0.55198376503065871</v>
      </c>
      <c r="X1511" s="2">
        <f ca="1"/>
        <v>44.910801333862054</v>
      </c>
      <c r="AG1511" s="2">
        <f ca="1"/>
        <v>0.50389004000209292</v>
      </c>
      <c r="AH1511" s="2" t="str">
        <f ca="1"/>
        <v>Bad</v>
      </c>
    </row>
    <row r="1512" spans="2:34" x14ac:dyDescent="0.2">
      <c r="B1512" s="2">
        <f ca="1"/>
        <v>0.70891477357496457</v>
      </c>
      <c r="O1512" s="2">
        <f ca="1"/>
        <v>0.18245674023337236</v>
      </c>
      <c r="X1512" s="2">
        <f ca="1"/>
        <v>34.183653151165537</v>
      </c>
      <c r="AG1512" s="2">
        <f ca="1"/>
        <v>0.77830530705574796</v>
      </c>
      <c r="AH1512" s="2" t="str">
        <f ca="1"/>
        <v>Bad</v>
      </c>
    </row>
    <row r="1513" spans="2:34" x14ac:dyDescent="0.2">
      <c r="B1513" s="2">
        <f ca="1"/>
        <v>0.65605780450641715</v>
      </c>
      <c r="O1513" s="2">
        <f ca="1"/>
        <v>1.014435915589643</v>
      </c>
      <c r="X1513" s="2">
        <f ca="1"/>
        <v>44.323896081658695</v>
      </c>
      <c r="AG1513" s="2">
        <f ca="1"/>
        <v>0.24260530920389911</v>
      </c>
      <c r="AH1513" s="2" t="str">
        <f ca="1"/>
        <v>OK</v>
      </c>
    </row>
    <row r="1514" spans="2:34" x14ac:dyDescent="0.2">
      <c r="B1514" s="2">
        <f ca="1"/>
        <v>0.10127556256362191</v>
      </c>
      <c r="O1514" s="2">
        <f ca="1"/>
        <v>0.27789352674469386</v>
      </c>
      <c r="X1514" s="2">
        <f ca="1"/>
        <v>30.396999666690945</v>
      </c>
      <c r="AG1514" s="2">
        <f ca="1"/>
        <v>0.26990295238090645</v>
      </c>
      <c r="AH1514" s="2" t="str">
        <f ca="1"/>
        <v>OK</v>
      </c>
    </row>
    <row r="1515" spans="2:34" x14ac:dyDescent="0.2">
      <c r="B1515" s="2">
        <f ca="1"/>
        <v>5.6539795429723094E-2</v>
      </c>
      <c r="O1515" s="2">
        <f ca="1"/>
        <v>1.228709673170111</v>
      </c>
      <c r="X1515" s="2">
        <f ca="1"/>
        <v>47.412752332188617</v>
      </c>
      <c r="AG1515" s="2">
        <f ca="1"/>
        <v>0.10685323627041532</v>
      </c>
      <c r="AH1515" s="2" t="str">
        <f ca="1"/>
        <v>OK</v>
      </c>
    </row>
    <row r="1516" spans="2:34" x14ac:dyDescent="0.2">
      <c r="B1516" s="2">
        <f ca="1"/>
        <v>0.93818132492654072</v>
      </c>
      <c r="O1516" s="2">
        <f ca="1"/>
        <v>0.11939577379349817</v>
      </c>
      <c r="X1516" s="2">
        <f ca="1"/>
        <v>36.650183083714523</v>
      </c>
      <c r="AG1516" s="2">
        <f ca="1"/>
        <v>0.90916265683261721</v>
      </c>
      <c r="AH1516" s="2" t="str">
        <f ca="1"/>
        <v>Bad</v>
      </c>
    </row>
    <row r="1517" spans="2:34" x14ac:dyDescent="0.2">
      <c r="B1517" s="2">
        <f ca="1"/>
        <v>0.87870318964064031</v>
      </c>
      <c r="O1517" s="2">
        <f ca="1"/>
        <v>-0.74897784843426585</v>
      </c>
      <c r="X1517" s="2">
        <f ca="1"/>
        <v>61.931563227853481</v>
      </c>
      <c r="AG1517" s="2">
        <f ca="1"/>
        <v>3.6519750823165387E-2</v>
      </c>
      <c r="AH1517" s="2" t="str">
        <f ca="1"/>
        <v>Good</v>
      </c>
    </row>
    <row r="1518" spans="2:34" x14ac:dyDescent="0.2">
      <c r="B1518" s="2">
        <f ca="1"/>
        <v>0.43703347738702591</v>
      </c>
      <c r="O1518" s="2">
        <f ca="1"/>
        <v>-3.5610702994734886E-2</v>
      </c>
      <c r="X1518" s="2">
        <f ca="1"/>
        <v>47.035146095317124</v>
      </c>
      <c r="AG1518" s="2">
        <f ca="1"/>
        <v>0.5523777449124152</v>
      </c>
      <c r="AH1518" s="2" t="str">
        <f ca="1"/>
        <v>Bad</v>
      </c>
    </row>
    <row r="1519" spans="2:34" x14ac:dyDescent="0.2">
      <c r="B1519" s="2">
        <f ca="1"/>
        <v>0.7787167666725785</v>
      </c>
      <c r="O1519" s="2">
        <f ca="1"/>
        <v>1.0541728186003927</v>
      </c>
      <c r="X1519" s="2">
        <f ca="1"/>
        <v>89.084339096957905</v>
      </c>
      <c r="AG1519" s="2">
        <f ca="1"/>
        <v>0.38643764451023155</v>
      </c>
      <c r="AH1519" s="2" t="str">
        <f ca="1"/>
        <v>OK</v>
      </c>
    </row>
    <row r="1520" spans="2:34" x14ac:dyDescent="0.2">
      <c r="B1520" s="2">
        <f ca="1"/>
        <v>0.41390420330547406</v>
      </c>
      <c r="O1520" s="2">
        <f ca="1"/>
        <v>0.38175048414952029</v>
      </c>
      <c r="X1520" s="2">
        <f ca="1"/>
        <v>57.023369244534237</v>
      </c>
      <c r="AG1520" s="2">
        <f ca="1"/>
        <v>0.3420962719975682</v>
      </c>
      <c r="AH1520" s="2" t="str">
        <f ca="1"/>
        <v>OK</v>
      </c>
    </row>
    <row r="1521" spans="2:34" x14ac:dyDescent="0.2">
      <c r="B1521" s="2">
        <f ca="1"/>
        <v>0.66105981047690521</v>
      </c>
      <c r="O1521" s="2">
        <f ca="1"/>
        <v>-0.70231296543579025</v>
      </c>
      <c r="X1521" s="2">
        <f ca="1"/>
        <v>63.748439306900465</v>
      </c>
      <c r="AG1521" s="2">
        <f ca="1"/>
        <v>6.6417658799089008E-2</v>
      </c>
      <c r="AH1521" s="2" t="str">
        <f ca="1"/>
        <v>OK</v>
      </c>
    </row>
    <row r="1522" spans="2:34" x14ac:dyDescent="0.2">
      <c r="B1522" s="2">
        <f ca="1"/>
        <v>0.51338670613932846</v>
      </c>
      <c r="O1522" s="2">
        <f ca="1"/>
        <v>0.55864207229159446</v>
      </c>
      <c r="X1522" s="2">
        <f ca="1"/>
        <v>49.226458117750482</v>
      </c>
      <c r="AG1522" s="2">
        <f ca="1"/>
        <v>0.88096081153926242</v>
      </c>
      <c r="AH1522" s="2" t="str">
        <f ca="1"/>
        <v>Bad</v>
      </c>
    </row>
    <row r="1523" spans="2:34" x14ac:dyDescent="0.2">
      <c r="B1523" s="2">
        <f ca="1"/>
        <v>0.63016932376842294</v>
      </c>
      <c r="O1523" s="2">
        <f ca="1"/>
        <v>-0.73624470566563449</v>
      </c>
      <c r="X1523" s="2">
        <f ca="1"/>
        <v>21.43885915258064</v>
      </c>
      <c r="AG1523" s="2">
        <f ca="1"/>
        <v>9.0570017314112627E-2</v>
      </c>
      <c r="AH1523" s="2" t="str">
        <f ca="1"/>
        <v>OK</v>
      </c>
    </row>
    <row r="1524" spans="2:34" x14ac:dyDescent="0.2">
      <c r="B1524" s="2">
        <f ca="1"/>
        <v>0.1973684336247945</v>
      </c>
      <c r="O1524" s="2">
        <f ca="1"/>
        <v>0.49791409641974177</v>
      </c>
      <c r="X1524" s="2">
        <f ca="1"/>
        <v>38.645508620732393</v>
      </c>
      <c r="AG1524" s="2">
        <f ca="1"/>
        <v>0.6278956233139863</v>
      </c>
      <c r="AH1524" s="2" t="str">
        <f ca="1"/>
        <v>Bad</v>
      </c>
    </row>
    <row r="1525" spans="2:34" x14ac:dyDescent="0.2">
      <c r="B1525" s="2">
        <f ca="1"/>
        <v>0.57655438427113359</v>
      </c>
      <c r="O1525" s="2">
        <f ca="1"/>
        <v>2.61785382901382</v>
      </c>
      <c r="X1525" s="2">
        <f ca="1"/>
        <v>44.418335296865123</v>
      </c>
      <c r="AG1525" s="2">
        <f ca="1"/>
        <v>0.54715495837211137</v>
      </c>
      <c r="AH1525" s="2" t="str">
        <f ca="1"/>
        <v>Bad</v>
      </c>
    </row>
    <row r="1526" spans="2:34" x14ac:dyDescent="0.2">
      <c r="B1526" s="2">
        <f ca="1"/>
        <v>0.62552043530716595</v>
      </c>
      <c r="O1526" s="2">
        <f ca="1"/>
        <v>0.11210690817979654</v>
      </c>
      <c r="X1526" s="2">
        <f ca="1"/>
        <v>58.720287243762421</v>
      </c>
      <c r="AG1526" s="2">
        <f ca="1"/>
        <v>0.74866716706970071</v>
      </c>
      <c r="AH1526" s="2" t="str">
        <f ca="1"/>
        <v>Bad</v>
      </c>
    </row>
    <row r="1527" spans="2:34" x14ac:dyDescent="0.2">
      <c r="B1527" s="2">
        <f ca="1"/>
        <v>0.32768947716617669</v>
      </c>
      <c r="O1527" s="2">
        <f ca="1"/>
        <v>-2.1645541813306086</v>
      </c>
      <c r="X1527" s="2">
        <f ca="1"/>
        <v>43.004673748274442</v>
      </c>
      <c r="AG1527" s="2">
        <f ca="1"/>
        <v>0.76318378674643417</v>
      </c>
      <c r="AH1527" s="2" t="str">
        <f ca="1"/>
        <v>Bad</v>
      </c>
    </row>
    <row r="1528" spans="2:34" x14ac:dyDescent="0.2">
      <c r="B1528" s="2">
        <f ca="1"/>
        <v>8.6679292335029245E-2</v>
      </c>
      <c r="O1528" s="2">
        <f ca="1"/>
        <v>0.68330615272104622</v>
      </c>
      <c r="X1528" s="2">
        <f ca="1"/>
        <v>88.497027973443622</v>
      </c>
      <c r="AG1528" s="2">
        <f ca="1"/>
        <v>0.67425821477004555</v>
      </c>
      <c r="AH1528" s="2" t="str">
        <f ca="1"/>
        <v>Bad</v>
      </c>
    </row>
    <row r="1529" spans="2:34" x14ac:dyDescent="0.2">
      <c r="B1529" s="2">
        <f ca="1"/>
        <v>0.19953287205817949</v>
      </c>
      <c r="O1529" s="2">
        <f ca="1"/>
        <v>0.45439278691436286</v>
      </c>
      <c r="X1529" s="2">
        <f ca="1"/>
        <v>70.308368350059638</v>
      </c>
      <c r="AG1529" s="2">
        <f ca="1"/>
        <v>0.21855525699944711</v>
      </c>
      <c r="AH1529" s="2" t="str">
        <f ca="1"/>
        <v>OK</v>
      </c>
    </row>
    <row r="1530" spans="2:34" x14ac:dyDescent="0.2">
      <c r="B1530" s="2">
        <f ca="1"/>
        <v>9.4829979031216594E-2</v>
      </c>
      <c r="O1530" s="2">
        <f ca="1"/>
        <v>-0.21641299447788936</v>
      </c>
      <c r="X1530" s="2">
        <f ca="1"/>
        <v>21.057004621207369</v>
      </c>
      <c r="AG1530" s="2">
        <f ca="1"/>
        <v>0.47681853529976204</v>
      </c>
      <c r="AH1530" s="2" t="str">
        <f ca="1"/>
        <v>Bad</v>
      </c>
    </row>
    <row r="1531" spans="2:34" x14ac:dyDescent="0.2">
      <c r="B1531" s="2">
        <f ca="1"/>
        <v>0.11104258149837554</v>
      </c>
      <c r="O1531" s="2">
        <f ca="1"/>
        <v>0.1364009067437211</v>
      </c>
      <c r="X1531" s="2">
        <f ca="1"/>
        <v>74.237539343233053</v>
      </c>
      <c r="AG1531" s="2">
        <f ca="1"/>
        <v>0.16164298567136082</v>
      </c>
      <c r="AH1531" s="2" t="str">
        <f ca="1"/>
        <v>OK</v>
      </c>
    </row>
    <row r="1532" spans="2:34" x14ac:dyDescent="0.2">
      <c r="B1532" s="2">
        <f ca="1"/>
        <v>0.14115800493502761</v>
      </c>
      <c r="O1532" s="2">
        <f ca="1"/>
        <v>0.43998079286003805</v>
      </c>
      <c r="X1532" s="2">
        <f ca="1"/>
        <v>40.166814056350205</v>
      </c>
      <c r="AG1532" s="2">
        <f ca="1"/>
        <v>0.12849387170020798</v>
      </c>
      <c r="AH1532" s="2" t="str">
        <f ca="1"/>
        <v>OK</v>
      </c>
    </row>
    <row r="1533" spans="2:34" x14ac:dyDescent="0.2">
      <c r="B1533" s="2">
        <f ca="1"/>
        <v>0.34541668571730932</v>
      </c>
      <c r="O1533" s="2">
        <f ca="1"/>
        <v>-0.90263593115164187</v>
      </c>
      <c r="X1533" s="2">
        <f ca="1"/>
        <v>56.848131864992943</v>
      </c>
      <c r="AG1533" s="2">
        <f ca="1"/>
        <v>0.79329849110641604</v>
      </c>
      <c r="AH1533" s="2" t="str">
        <f ca="1"/>
        <v>Bad</v>
      </c>
    </row>
    <row r="1534" spans="2:34" x14ac:dyDescent="0.2">
      <c r="B1534" s="2">
        <f ca="1"/>
        <v>0.95293834933460508</v>
      </c>
      <c r="O1534" s="2">
        <f ca="1"/>
        <v>-0.25557504681099574</v>
      </c>
      <c r="X1534" s="2">
        <f ca="1"/>
        <v>41.808586589824621</v>
      </c>
      <c r="AG1534" s="2">
        <f ca="1"/>
        <v>0.804420005462128</v>
      </c>
      <c r="AH1534" s="2" t="str">
        <f ca="1"/>
        <v>Bad</v>
      </c>
    </row>
    <row r="1535" spans="2:34" x14ac:dyDescent="0.2">
      <c r="B1535" s="2">
        <f ca="1"/>
        <v>0.16944368497584961</v>
      </c>
      <c r="O1535" s="2">
        <f ca="1"/>
        <v>0.16433268186336422</v>
      </c>
      <c r="X1535" s="2">
        <f ca="1"/>
        <v>55.129533011605133</v>
      </c>
      <c r="AG1535" s="2">
        <f ca="1"/>
        <v>2.3739742180108214E-2</v>
      </c>
      <c r="AH1535" s="2" t="str">
        <f ca="1"/>
        <v>Good</v>
      </c>
    </row>
    <row r="1536" spans="2:34" x14ac:dyDescent="0.2">
      <c r="B1536" s="2">
        <f ca="1"/>
        <v>0.64880683579964482</v>
      </c>
      <c r="O1536" s="2">
        <f ca="1"/>
        <v>0.67278762078499965</v>
      </c>
      <c r="X1536" s="2">
        <f ca="1"/>
        <v>54.137992488978185</v>
      </c>
      <c r="AG1536" s="2">
        <f ca="1"/>
        <v>0.19046000413733943</v>
      </c>
      <c r="AH1536" s="2" t="str">
        <f ca="1"/>
        <v>OK</v>
      </c>
    </row>
    <row r="1537" spans="2:34" x14ac:dyDescent="0.2">
      <c r="B1537" s="2">
        <f ca="1"/>
        <v>0.11287007275807692</v>
      </c>
      <c r="O1537" s="2">
        <f ca="1"/>
        <v>1.5085829382382192</v>
      </c>
      <c r="X1537" s="2">
        <f ca="1"/>
        <v>36.599913578999377</v>
      </c>
      <c r="AG1537" s="2">
        <f ca="1"/>
        <v>0.91461889883846959</v>
      </c>
      <c r="AH1537" s="2" t="str">
        <f ca="1"/>
        <v>Bad</v>
      </c>
    </row>
    <row r="1538" spans="2:34" x14ac:dyDescent="0.2">
      <c r="B1538" s="2">
        <f ca="1"/>
        <v>0.7816234519395926</v>
      </c>
      <c r="O1538" s="2">
        <f ca="1"/>
        <v>0.78658812298531922</v>
      </c>
      <c r="X1538" s="2">
        <f ca="1"/>
        <v>77.695956192568744</v>
      </c>
      <c r="AG1538" s="2">
        <f ca="1"/>
        <v>7.8925527816648078E-2</v>
      </c>
      <c r="AH1538" s="2" t="str">
        <f ca="1"/>
        <v>OK</v>
      </c>
    </row>
    <row r="1539" spans="2:34" x14ac:dyDescent="0.2">
      <c r="B1539" s="2">
        <f ca="1"/>
        <v>0.71087382219981565</v>
      </c>
      <c r="O1539" s="2">
        <f ca="1"/>
        <v>-1.1719388533713855</v>
      </c>
      <c r="X1539" s="2">
        <f ca="1"/>
        <v>39.213179671114759</v>
      </c>
      <c r="AG1539" s="2">
        <f ca="1"/>
        <v>0.19434946347198001</v>
      </c>
      <c r="AH1539" s="2" t="str">
        <f ca="1"/>
        <v>OK</v>
      </c>
    </row>
    <row r="1540" spans="2:34" x14ac:dyDescent="0.2">
      <c r="B1540" s="2">
        <f ca="1"/>
        <v>0.28708771004186562</v>
      </c>
      <c r="O1540" s="2">
        <f ca="1"/>
        <v>0.18467229986752928</v>
      </c>
      <c r="X1540" s="2">
        <f ca="1"/>
        <v>52.423392133689227</v>
      </c>
      <c r="AG1540" s="2">
        <f ca="1"/>
        <v>0.28929055583943231</v>
      </c>
      <c r="AH1540" s="2" t="str">
        <f ca="1"/>
        <v>OK</v>
      </c>
    </row>
    <row r="1541" spans="2:34" x14ac:dyDescent="0.2">
      <c r="B1541" s="2">
        <f ca="1"/>
        <v>0.33017379194839114</v>
      </c>
      <c r="O1541" s="2">
        <f ca="1"/>
        <v>1.0206405470388522</v>
      </c>
      <c r="X1541" s="2">
        <f ca="1"/>
        <v>75.786126599309995</v>
      </c>
      <c r="AG1541" s="2">
        <f ca="1"/>
        <v>0.86662902531634822</v>
      </c>
      <c r="AH1541" s="2" t="str">
        <f ca="1"/>
        <v>Bad</v>
      </c>
    </row>
    <row r="1542" spans="2:34" x14ac:dyDescent="0.2">
      <c r="B1542" s="2">
        <f ca="1"/>
        <v>6.0182461364698847E-2</v>
      </c>
      <c r="O1542" s="2">
        <f ca="1"/>
        <v>0.14713565526717409</v>
      </c>
      <c r="X1542" s="2">
        <f ca="1"/>
        <v>60.021739698396665</v>
      </c>
      <c r="AG1542" s="2">
        <f ca="1"/>
        <v>0.38694302249591983</v>
      </c>
      <c r="AH1542" s="2" t="str">
        <f ca="1"/>
        <v>OK</v>
      </c>
    </row>
    <row r="1543" spans="2:34" x14ac:dyDescent="0.2">
      <c r="B1543" s="2">
        <f ca="1"/>
        <v>0.33237382059717357</v>
      </c>
      <c r="O1543" s="2">
        <f ca="1"/>
        <v>-0.79730486515779819</v>
      </c>
      <c r="X1543" s="2">
        <f ca="1"/>
        <v>44.036797532257609</v>
      </c>
      <c r="AG1543" s="2">
        <f ca="1"/>
        <v>0.32709790689191265</v>
      </c>
      <c r="AH1543" s="2" t="str">
        <f ca="1"/>
        <v>OK</v>
      </c>
    </row>
    <row r="1544" spans="2:34" x14ac:dyDescent="0.2">
      <c r="B1544" s="2">
        <f ca="1"/>
        <v>0.13188993414916528</v>
      </c>
      <c r="O1544" s="2">
        <f ca="1"/>
        <v>-2.9126325946817876E-2</v>
      </c>
      <c r="X1544" s="2">
        <f ca="1"/>
        <v>39.797762331737601</v>
      </c>
      <c r="AG1544" s="2">
        <f ca="1"/>
        <v>0.24732461532353756</v>
      </c>
      <c r="AH1544" s="2" t="str">
        <f ca="1"/>
        <v>OK</v>
      </c>
    </row>
    <row r="1545" spans="2:34" x14ac:dyDescent="0.2">
      <c r="B1545" s="2">
        <f ca="1"/>
        <v>0.21164015514062307</v>
      </c>
      <c r="O1545" s="2">
        <f ca="1"/>
        <v>0.70415235378930818</v>
      </c>
      <c r="X1545" s="2">
        <f ca="1"/>
        <v>56.267037969085081</v>
      </c>
      <c r="AG1545" s="2">
        <f ca="1"/>
        <v>0.39446134850885528</v>
      </c>
      <c r="AH1545" s="2" t="str">
        <f ca="1"/>
        <v>OK</v>
      </c>
    </row>
    <row r="1546" spans="2:34" x14ac:dyDescent="0.2">
      <c r="B1546" s="2">
        <f ca="1"/>
        <v>0.69139475139523099</v>
      </c>
      <c r="O1546" s="2">
        <f ca="1"/>
        <v>-0.4507357969121768</v>
      </c>
      <c r="X1546" s="2">
        <f ca="1"/>
        <v>29.473730511889741</v>
      </c>
      <c r="AG1546" s="2">
        <f ca="1"/>
        <v>0.66050240202111388</v>
      </c>
      <c r="AH1546" s="2" t="str">
        <f ca="1"/>
        <v>Bad</v>
      </c>
    </row>
    <row r="1547" spans="2:34" x14ac:dyDescent="0.2">
      <c r="B1547" s="2">
        <f ca="1"/>
        <v>0.68672496040987996</v>
      </c>
      <c r="O1547" s="2">
        <f ca="1"/>
        <v>3.1533252181499343</v>
      </c>
      <c r="X1547" s="2">
        <f ca="1"/>
        <v>64.709811569942872</v>
      </c>
      <c r="AG1547" s="2">
        <f ca="1"/>
        <v>0.48625295143892777</v>
      </c>
      <c r="AH1547" s="2" t="str">
        <f ca="1"/>
        <v>Bad</v>
      </c>
    </row>
    <row r="1548" spans="2:34" x14ac:dyDescent="0.2">
      <c r="B1548" s="2">
        <f ca="1"/>
        <v>0.79575228540577125</v>
      </c>
      <c r="O1548" s="2">
        <f ca="1"/>
        <v>0.30332152043600014</v>
      </c>
      <c r="X1548" s="2">
        <f ca="1"/>
        <v>47.908681064108301</v>
      </c>
      <c r="AG1548" s="2">
        <f ca="1"/>
        <v>0.55956889016855094</v>
      </c>
      <c r="AH1548" s="2" t="str">
        <f ca="1"/>
        <v>Bad</v>
      </c>
    </row>
    <row r="1549" spans="2:34" x14ac:dyDescent="0.2">
      <c r="B1549" s="2">
        <f ca="1"/>
        <v>0.78216912413658557</v>
      </c>
      <c r="O1549" s="2">
        <f ca="1"/>
        <v>4.9600210004701557E-2</v>
      </c>
      <c r="X1549" s="2">
        <f ca="1"/>
        <v>36.485452516413183</v>
      </c>
      <c r="AG1549" s="2">
        <f ca="1"/>
        <v>0.61368340581586756</v>
      </c>
      <c r="AH1549" s="2" t="str">
        <f ca="1"/>
        <v>Bad</v>
      </c>
    </row>
    <row r="1550" spans="2:34" x14ac:dyDescent="0.2">
      <c r="B1550" s="2">
        <f ca="1"/>
        <v>0.40513952692037924</v>
      </c>
      <c r="O1550" s="2">
        <f ca="1"/>
        <v>0.67868294112285377</v>
      </c>
      <c r="X1550" s="2">
        <f ca="1"/>
        <v>46.57946897396576</v>
      </c>
      <c r="AG1550" s="2">
        <f ca="1"/>
        <v>0.99982237142882435</v>
      </c>
      <c r="AH1550" s="2" t="str">
        <f ca="1"/>
        <v>Bad</v>
      </c>
    </row>
    <row r="1551" spans="2:34" x14ac:dyDescent="0.2">
      <c r="B1551" s="2">
        <f ca="1"/>
        <v>0.56524509638237186</v>
      </c>
      <c r="O1551" s="2">
        <f ca="1"/>
        <v>2.1041350206381511</v>
      </c>
      <c r="X1551" s="2">
        <f ca="1"/>
        <v>57.804438694524777</v>
      </c>
      <c r="AG1551" s="2">
        <f ca="1"/>
        <v>0.94041367061010828</v>
      </c>
      <c r="AH1551" s="2" t="str">
        <f ca="1"/>
        <v>Bad</v>
      </c>
    </row>
    <row r="1552" spans="2:34" x14ac:dyDescent="0.2">
      <c r="B1552" s="2">
        <f ca="1"/>
        <v>0.784730857153219</v>
      </c>
      <c r="O1552" s="2">
        <f ca="1"/>
        <v>1.4570398874883959</v>
      </c>
      <c r="X1552" s="2">
        <f ca="1"/>
        <v>61.500549490400033</v>
      </c>
      <c r="AG1552" s="2">
        <f ca="1"/>
        <v>0.38059493606858563</v>
      </c>
      <c r="AH1552" s="2" t="str">
        <f ca="1"/>
        <v>OK</v>
      </c>
    </row>
    <row r="1553" spans="2:34" x14ac:dyDescent="0.2">
      <c r="B1553" s="2">
        <f ca="1"/>
        <v>0.99003866221559522</v>
      </c>
      <c r="O1553" s="2">
        <f ca="1"/>
        <v>-0.72482515998338004</v>
      </c>
      <c r="X1553" s="2">
        <f ca="1"/>
        <v>27.776433918280521</v>
      </c>
      <c r="AG1553" s="2">
        <f ca="1"/>
        <v>0.94119531474415585</v>
      </c>
      <c r="AH1553" s="2" t="str">
        <f ca="1"/>
        <v>Bad</v>
      </c>
    </row>
    <row r="1554" spans="2:34" x14ac:dyDescent="0.2">
      <c r="B1554" s="2">
        <f ca="1"/>
        <v>3.584470432427489E-3</v>
      </c>
      <c r="O1554" s="2">
        <f ca="1"/>
        <v>1.1909934327449523</v>
      </c>
      <c r="X1554" s="2">
        <f ca="1"/>
        <v>41.862743404388461</v>
      </c>
      <c r="AG1554" s="2">
        <f ca="1"/>
        <v>0.87428059846764539</v>
      </c>
      <c r="AH1554" s="2" t="str">
        <f ca="1"/>
        <v>Bad</v>
      </c>
    </row>
    <row r="1555" spans="2:34" x14ac:dyDescent="0.2">
      <c r="B1555" s="2">
        <f ca="1"/>
        <v>0.51237006013089492</v>
      </c>
      <c r="O1555" s="2">
        <f ca="1"/>
        <v>-0.55393206399161421</v>
      </c>
      <c r="X1555" s="2">
        <f ca="1"/>
        <v>58.163452447355617</v>
      </c>
      <c r="AG1555" s="2">
        <f ca="1"/>
        <v>0.59903086395641059</v>
      </c>
      <c r="AH1555" s="2" t="str">
        <f ca="1"/>
        <v>Bad</v>
      </c>
    </row>
    <row r="1556" spans="2:34" x14ac:dyDescent="0.2">
      <c r="B1556" s="2">
        <f ca="1"/>
        <v>0.7830603593569454</v>
      </c>
      <c r="O1556" s="2">
        <f ca="1"/>
        <v>-1.2942106493134276</v>
      </c>
      <c r="X1556" s="2">
        <f ca="1"/>
        <v>51.45803197053803</v>
      </c>
      <c r="AG1556" s="2">
        <f ca="1"/>
        <v>0.75243145900266439</v>
      </c>
      <c r="AH1556" s="2" t="str">
        <f ca="1"/>
        <v>Bad</v>
      </c>
    </row>
    <row r="1557" spans="2:34" x14ac:dyDescent="0.2">
      <c r="B1557" s="2">
        <f ca="1"/>
        <v>0.88672990191883505</v>
      </c>
      <c r="O1557" s="2">
        <f ca="1"/>
        <v>-0.76944807631848466</v>
      </c>
      <c r="X1557" s="2">
        <f ca="1"/>
        <v>53.726005847865892</v>
      </c>
      <c r="AG1557" s="2">
        <f ca="1"/>
        <v>0.20417950121967099</v>
      </c>
      <c r="AH1557" s="2" t="str">
        <f ca="1"/>
        <v>OK</v>
      </c>
    </row>
    <row r="1558" spans="2:34" x14ac:dyDescent="0.2">
      <c r="B1558" s="2">
        <f ca="1"/>
        <v>0.83474151075718872</v>
      </c>
      <c r="O1558" s="2">
        <f ca="1"/>
        <v>-6.0314432114603654E-2</v>
      </c>
      <c r="X1558" s="2">
        <f ca="1"/>
        <v>64.321059476021247</v>
      </c>
      <c r="AG1558" s="2">
        <f ca="1"/>
        <v>0.19904604204431031</v>
      </c>
      <c r="AH1558" s="2" t="str">
        <f ca="1"/>
        <v>OK</v>
      </c>
    </row>
    <row r="1559" spans="2:34" x14ac:dyDescent="0.2">
      <c r="B1559" s="2">
        <f ca="1"/>
        <v>6.9198786482639774E-2</v>
      </c>
      <c r="O1559" s="2">
        <f ca="1"/>
        <v>-0.77286001956306338</v>
      </c>
      <c r="X1559" s="2">
        <f ca="1"/>
        <v>45.282919402221182</v>
      </c>
      <c r="AG1559" s="2">
        <f ca="1"/>
        <v>0.29487957470644988</v>
      </c>
      <c r="AH1559" s="2" t="str">
        <f ca="1"/>
        <v>OK</v>
      </c>
    </row>
    <row r="1560" spans="2:34" x14ac:dyDescent="0.2">
      <c r="B1560" s="2">
        <f ca="1"/>
        <v>0.70921059457650215</v>
      </c>
      <c r="O1560" s="2">
        <f ca="1"/>
        <v>-0.11109774259463492</v>
      </c>
      <c r="X1560" s="2">
        <f ca="1"/>
        <v>48.233141561841322</v>
      </c>
      <c r="AG1560" s="2">
        <f ca="1"/>
        <v>0.79534700008186121</v>
      </c>
      <c r="AH1560" s="2" t="str">
        <f ca="1"/>
        <v>Bad</v>
      </c>
    </row>
    <row r="1561" spans="2:34" x14ac:dyDescent="0.2">
      <c r="B1561" s="2">
        <f ca="1"/>
        <v>0.23877523742286288</v>
      </c>
      <c r="O1561" s="2">
        <f ca="1"/>
        <v>-0.20959261265829149</v>
      </c>
      <c r="X1561" s="2">
        <f ca="1"/>
        <v>50.604404704453344</v>
      </c>
      <c r="AG1561" s="2">
        <f ca="1"/>
        <v>0.85814974926743437</v>
      </c>
      <c r="AH1561" s="2" t="str">
        <f ca="1"/>
        <v>Bad</v>
      </c>
    </row>
    <row r="1562" spans="2:34" x14ac:dyDescent="0.2">
      <c r="B1562" s="2">
        <f ca="1"/>
        <v>0.84571832784322898</v>
      </c>
      <c r="O1562" s="2">
        <f ca="1"/>
        <v>1.0901034994716039</v>
      </c>
      <c r="X1562" s="2">
        <f ca="1"/>
        <v>71.062662976641093</v>
      </c>
      <c r="AG1562" s="2">
        <f ca="1"/>
        <v>0.53007818752186164</v>
      </c>
      <c r="AH1562" s="2" t="str">
        <f ca="1"/>
        <v>Bad</v>
      </c>
    </row>
    <row r="1563" spans="2:34" x14ac:dyDescent="0.2">
      <c r="B1563" s="2">
        <f ca="1"/>
        <v>0.78471266095549952</v>
      </c>
      <c r="O1563" s="2">
        <f ca="1"/>
        <v>0.87008201923112916</v>
      </c>
      <c r="X1563" s="2">
        <f ca="1"/>
        <v>47.586839793578982</v>
      </c>
      <c r="AG1563" s="2">
        <f ca="1"/>
        <v>0.28780787034404054</v>
      </c>
      <c r="AH1563" s="2" t="str">
        <f ca="1"/>
        <v>OK</v>
      </c>
    </row>
    <row r="1564" spans="2:34" x14ac:dyDescent="0.2">
      <c r="B1564" s="2">
        <f ca="1"/>
        <v>1.9564036081928471E-2</v>
      </c>
      <c r="O1564" s="2">
        <f ca="1"/>
        <v>-0.3950307586129192</v>
      </c>
      <c r="X1564" s="2">
        <f ca="1"/>
        <v>24.69790859483075</v>
      </c>
      <c r="AG1564" s="2">
        <f ca="1"/>
        <v>0.56039259117887541</v>
      </c>
      <c r="AH1564" s="2" t="str">
        <f ca="1"/>
        <v>Bad</v>
      </c>
    </row>
    <row r="1565" spans="2:34" x14ac:dyDescent="0.2">
      <c r="B1565" s="2">
        <f ca="1"/>
        <v>0.6974831600241933</v>
      </c>
      <c r="O1565" s="2">
        <f ca="1"/>
        <v>-0.2667677485806475</v>
      </c>
      <c r="X1565" s="2">
        <f ca="1"/>
        <v>72.922652004157015</v>
      </c>
      <c r="AG1565" s="2">
        <f ca="1"/>
        <v>0.96556075677099673</v>
      </c>
      <c r="AH1565" s="2" t="str">
        <f ca="1"/>
        <v>Bad</v>
      </c>
    </row>
    <row r="1566" spans="2:34" x14ac:dyDescent="0.2">
      <c r="B1566" s="2">
        <f ca="1"/>
        <v>0.67007284408652135</v>
      </c>
      <c r="O1566" s="2">
        <f ca="1"/>
        <v>1.2425235300257468E-2</v>
      </c>
      <c r="X1566" s="2">
        <f ca="1"/>
        <v>35.57715353125073</v>
      </c>
      <c r="AG1566" s="2">
        <f ca="1"/>
        <v>0.80533449710275229</v>
      </c>
      <c r="AH1566" s="2" t="str">
        <f ca="1"/>
        <v>Bad</v>
      </c>
    </row>
    <row r="1567" spans="2:34" x14ac:dyDescent="0.2">
      <c r="B1567" s="2">
        <f ca="1"/>
        <v>0.82965563855524271</v>
      </c>
      <c r="O1567" s="2">
        <f ca="1"/>
        <v>0.43634286876857692</v>
      </c>
      <c r="X1567" s="2">
        <f ca="1"/>
        <v>56.815299206093343</v>
      </c>
      <c r="AG1567" s="2">
        <f ca="1"/>
        <v>0.59604075129577549</v>
      </c>
      <c r="AH1567" s="2" t="str">
        <f ca="1"/>
        <v>Bad</v>
      </c>
    </row>
    <row r="1568" spans="2:34" x14ac:dyDescent="0.2">
      <c r="B1568" s="2">
        <f ca="1"/>
        <v>0.42941025322892212</v>
      </c>
      <c r="O1568" s="2">
        <f ca="1"/>
        <v>-1.4046361554610192</v>
      </c>
      <c r="X1568" s="2">
        <f ca="1"/>
        <v>68.781543432660214</v>
      </c>
      <c r="AG1568" s="2">
        <f ca="1"/>
        <v>0.66776612708017535</v>
      </c>
      <c r="AH1568" s="2" t="str">
        <f ca="1"/>
        <v>Bad</v>
      </c>
    </row>
    <row r="1569" spans="2:34" x14ac:dyDescent="0.2">
      <c r="B1569" s="2">
        <f ca="1"/>
        <v>0.38198399239036962</v>
      </c>
      <c r="O1569" s="2">
        <f ca="1"/>
        <v>0.22678332960086245</v>
      </c>
      <c r="X1569" s="2">
        <f ca="1"/>
        <v>36.92234682611867</v>
      </c>
      <c r="AG1569" s="2">
        <f ca="1"/>
        <v>0.28306217179987714</v>
      </c>
      <c r="AH1569" s="2" t="str">
        <f ca="1"/>
        <v>OK</v>
      </c>
    </row>
    <row r="1570" spans="2:34" x14ac:dyDescent="0.2">
      <c r="B1570" s="2">
        <f ca="1"/>
        <v>2.2906984780887596E-2</v>
      </c>
      <c r="O1570" s="2">
        <f ca="1"/>
        <v>1.7164520765006503</v>
      </c>
      <c r="X1570" s="2">
        <f ca="1"/>
        <v>34.120768478699489</v>
      </c>
      <c r="AG1570" s="2">
        <f ca="1"/>
        <v>0.23322857078910397</v>
      </c>
      <c r="AH1570" s="2" t="str">
        <f ca="1"/>
        <v>OK</v>
      </c>
    </row>
    <row r="1571" spans="2:34" x14ac:dyDescent="0.2">
      <c r="B1571" s="2">
        <f ca="1"/>
        <v>0.72697300070626847</v>
      </c>
      <c r="O1571" s="2">
        <f ca="1"/>
        <v>-0.23151327282607667</v>
      </c>
      <c r="X1571" s="2">
        <f ca="1"/>
        <v>40.861288868972601</v>
      </c>
      <c r="AG1571" s="2">
        <f ca="1"/>
        <v>0.4400212697648751</v>
      </c>
      <c r="AH1571" s="2" t="str">
        <f ca="1"/>
        <v>Bad</v>
      </c>
    </row>
    <row r="1572" spans="2:34" x14ac:dyDescent="0.2">
      <c r="B1572" s="2">
        <f ca="1"/>
        <v>0.89316914176648599</v>
      </c>
      <c r="O1572" s="2">
        <f ca="1"/>
        <v>0.40786229151877856</v>
      </c>
      <c r="X1572" s="2">
        <f ca="1"/>
        <v>43.047750450393124</v>
      </c>
      <c r="AG1572" s="2">
        <f ca="1"/>
        <v>0.21498162019522904</v>
      </c>
      <c r="AH1572" s="2" t="str">
        <f ca="1"/>
        <v>OK</v>
      </c>
    </row>
    <row r="1573" spans="2:34" x14ac:dyDescent="0.2">
      <c r="B1573" s="2">
        <f ca="1"/>
        <v>0.71726869617271971</v>
      </c>
      <c r="O1573" s="2">
        <f ca="1"/>
        <v>-1.3072874449142842</v>
      </c>
      <c r="X1573" s="2">
        <f ca="1"/>
        <v>43.940075914362026</v>
      </c>
      <c r="AG1573" s="2">
        <f ca="1"/>
        <v>0.18886499343231988</v>
      </c>
      <c r="AH1573" s="2" t="str">
        <f ca="1"/>
        <v>OK</v>
      </c>
    </row>
    <row r="1574" spans="2:34" x14ac:dyDescent="0.2">
      <c r="B1574" s="2">
        <f ca="1"/>
        <v>0.66042243546848756</v>
      </c>
      <c r="O1574" s="2">
        <f ca="1"/>
        <v>-0.93295655796306398</v>
      </c>
      <c r="X1574" s="2">
        <f ca="1"/>
        <v>31.995415746756009</v>
      </c>
      <c r="AG1574" s="2">
        <f ca="1"/>
        <v>0.66479144794570844</v>
      </c>
      <c r="AH1574" s="2" t="str">
        <f ca="1"/>
        <v>Bad</v>
      </c>
    </row>
    <row r="1575" spans="2:34" x14ac:dyDescent="0.2">
      <c r="B1575" s="2">
        <f ca="1"/>
        <v>0.70202646698661453</v>
      </c>
      <c r="O1575" s="2">
        <f ca="1"/>
        <v>-0.16989565575686952</v>
      </c>
      <c r="X1575" s="2">
        <f ca="1"/>
        <v>51.248135666225785</v>
      </c>
      <c r="AG1575" s="2">
        <f ca="1"/>
        <v>0.66250713903895564</v>
      </c>
      <c r="AH1575" s="2" t="str">
        <f ca="1"/>
        <v>Bad</v>
      </c>
    </row>
    <row r="1576" spans="2:34" x14ac:dyDescent="0.2">
      <c r="B1576" s="2">
        <f ca="1"/>
        <v>8.7321199331524602E-2</v>
      </c>
      <c r="O1576" s="2">
        <f ca="1"/>
        <v>1.4851759851545732</v>
      </c>
      <c r="X1576" s="2">
        <f ca="1"/>
        <v>28.965032710625856</v>
      </c>
      <c r="AG1576" s="2">
        <f ca="1"/>
        <v>0.95956219111343466</v>
      </c>
      <c r="AH1576" s="2" t="str">
        <f ca="1"/>
        <v>Bad</v>
      </c>
    </row>
    <row r="1577" spans="2:34" x14ac:dyDescent="0.2">
      <c r="B1577" s="2">
        <f ca="1"/>
        <v>0.33388841792683688</v>
      </c>
      <c r="O1577" s="2">
        <f ca="1"/>
        <v>-1.5808310022854459</v>
      </c>
      <c r="X1577" s="2">
        <f ca="1"/>
        <v>46.243462811770371</v>
      </c>
      <c r="AG1577" s="2">
        <f ca="1"/>
        <v>0.18100716886125223</v>
      </c>
      <c r="AH1577" s="2" t="str">
        <f ca="1"/>
        <v>OK</v>
      </c>
    </row>
    <row r="1578" spans="2:34" x14ac:dyDescent="0.2">
      <c r="B1578" s="2">
        <f ca="1"/>
        <v>0.91884607803835605</v>
      </c>
      <c r="O1578" s="2">
        <f ca="1"/>
        <v>-0.75624995281011076</v>
      </c>
      <c r="X1578" s="2">
        <f ca="1"/>
        <v>39.724572362305153</v>
      </c>
      <c r="AG1578" s="2">
        <f ca="1"/>
        <v>0.20432220188451167</v>
      </c>
      <c r="AH1578" s="2" t="str">
        <f ca="1"/>
        <v>OK</v>
      </c>
    </row>
    <row r="1579" spans="2:34" x14ac:dyDescent="0.2">
      <c r="B1579" s="2">
        <f ca="1"/>
        <v>0.79211343210235641</v>
      </c>
      <c r="O1579" s="2">
        <f ca="1"/>
        <v>0.19071782181448746</v>
      </c>
      <c r="X1579" s="2">
        <f ca="1"/>
        <v>43.610760330374667</v>
      </c>
      <c r="AG1579" s="2">
        <f ca="1"/>
        <v>0.40227578290098087</v>
      </c>
      <c r="AH1579" s="2" t="str">
        <f ca="1"/>
        <v>Bad</v>
      </c>
    </row>
    <row r="1580" spans="2:34" x14ac:dyDescent="0.2">
      <c r="B1580" s="2">
        <f ca="1"/>
        <v>9.6061081471240151E-2</v>
      </c>
      <c r="O1580" s="2">
        <f ca="1"/>
        <v>-1.9002133333199046E-2</v>
      </c>
      <c r="X1580" s="2">
        <f ca="1"/>
        <v>58.38808432261235</v>
      </c>
      <c r="AG1580" s="2">
        <f ca="1"/>
        <v>0.61242405521188692</v>
      </c>
      <c r="AH1580" s="2" t="str">
        <f ca="1"/>
        <v>Bad</v>
      </c>
    </row>
    <row r="1581" spans="2:34" x14ac:dyDescent="0.2">
      <c r="B1581" s="2">
        <f ca="1"/>
        <v>0.46755071064504805</v>
      </c>
      <c r="O1581" s="2">
        <f ca="1"/>
        <v>-0.14454230474132734</v>
      </c>
      <c r="X1581" s="2">
        <f ca="1"/>
        <v>24.048295774437083</v>
      </c>
      <c r="AG1581" s="2">
        <f ca="1"/>
        <v>0.19022187069160301</v>
      </c>
      <c r="AH1581" s="2" t="str">
        <f ca="1"/>
        <v>OK</v>
      </c>
    </row>
    <row r="1582" spans="2:34" x14ac:dyDescent="0.2">
      <c r="B1582" s="2">
        <f ca="1"/>
        <v>0.59929197870594808</v>
      </c>
      <c r="O1582" s="2">
        <f ca="1"/>
        <v>-1.5522471434766083</v>
      </c>
      <c r="X1582" s="2">
        <f ca="1"/>
        <v>66.654024374983152</v>
      </c>
      <c r="AG1582" s="2">
        <f ca="1"/>
        <v>0.14994287255791061</v>
      </c>
      <c r="AH1582" s="2" t="str">
        <f ca="1"/>
        <v>OK</v>
      </c>
    </row>
    <row r="1583" spans="2:34" x14ac:dyDescent="0.2">
      <c r="B1583" s="2">
        <f ca="1"/>
        <v>0.97458560177202624</v>
      </c>
      <c r="O1583" s="2">
        <f ca="1"/>
        <v>-2.5152009694905595</v>
      </c>
      <c r="X1583" s="2">
        <f ca="1"/>
        <v>46.055609307126815</v>
      </c>
      <c r="AG1583" s="2">
        <f ca="1"/>
        <v>0.10962840098518556</v>
      </c>
      <c r="AH1583" s="2" t="str">
        <f ca="1"/>
        <v>OK</v>
      </c>
    </row>
    <row r="1584" spans="2:34" x14ac:dyDescent="0.2">
      <c r="B1584" s="2">
        <f ca="1"/>
        <v>9.8092247661153209E-2</v>
      </c>
      <c r="O1584" s="2">
        <f ca="1"/>
        <v>-0.52557096398238456</v>
      </c>
      <c r="X1584" s="2">
        <f ca="1"/>
        <v>45.028135897872907</v>
      </c>
      <c r="AG1584" s="2">
        <f ca="1"/>
        <v>0.35702682852053647</v>
      </c>
      <c r="AH1584" s="2" t="str">
        <f ca="1"/>
        <v>OK</v>
      </c>
    </row>
    <row r="1585" spans="2:34" x14ac:dyDescent="0.2">
      <c r="B1585" s="2">
        <f ca="1"/>
        <v>0.88333063917288634</v>
      </c>
      <c r="O1585" s="2">
        <f ca="1"/>
        <v>0.26038480177394757</v>
      </c>
      <c r="X1585" s="2">
        <f ca="1"/>
        <v>32.585298006179364</v>
      </c>
      <c r="AG1585" s="2">
        <f ca="1"/>
        <v>0.74068998759353444</v>
      </c>
      <c r="AH1585" s="2" t="str">
        <f ca="1"/>
        <v>Bad</v>
      </c>
    </row>
    <row r="1586" spans="2:34" x14ac:dyDescent="0.2">
      <c r="B1586" s="2">
        <f ca="1"/>
        <v>0.70945338503415956</v>
      </c>
      <c r="O1586" s="2">
        <f ca="1"/>
        <v>-0.18421213731347785</v>
      </c>
      <c r="X1586" s="2">
        <f ca="1"/>
        <v>35.568457104629609</v>
      </c>
      <c r="AG1586" s="2">
        <f ca="1"/>
        <v>0.51669584743948804</v>
      </c>
      <c r="AH1586" s="2" t="str">
        <f ca="1"/>
        <v>Bad</v>
      </c>
    </row>
    <row r="1587" spans="2:34" x14ac:dyDescent="0.2">
      <c r="B1587" s="2">
        <f ca="1"/>
        <v>0.61087321191678279</v>
      </c>
      <c r="O1587" s="2">
        <f ca="1"/>
        <v>-0.3150195051896999</v>
      </c>
      <c r="X1587" s="2">
        <f ca="1"/>
        <v>26.557771362583455</v>
      </c>
      <c r="AG1587" s="2">
        <f ca="1"/>
        <v>0.42473725956327679</v>
      </c>
      <c r="AH1587" s="2" t="str">
        <f ca="1"/>
        <v>Bad</v>
      </c>
    </row>
    <row r="1588" spans="2:34" x14ac:dyDescent="0.2">
      <c r="B1588" s="2">
        <f ca="1"/>
        <v>0.90035891446432648</v>
      </c>
      <c r="O1588" s="2">
        <f ca="1"/>
        <v>-1.6800444867673974</v>
      </c>
      <c r="X1588" s="2">
        <f ca="1"/>
        <v>46.433204853924003</v>
      </c>
      <c r="AG1588" s="2">
        <f ca="1"/>
        <v>8.5444438756016483E-2</v>
      </c>
      <c r="AH1588" s="2" t="str">
        <f ca="1"/>
        <v>OK</v>
      </c>
    </row>
    <row r="1589" spans="2:34" x14ac:dyDescent="0.2">
      <c r="B1589" s="2">
        <f ca="1"/>
        <v>0.17466074781522245</v>
      </c>
      <c r="O1589" s="2">
        <f ca="1"/>
        <v>-2.298364460428695</v>
      </c>
      <c r="X1589" s="2">
        <f ca="1"/>
        <v>57.003404636615343</v>
      </c>
      <c r="AG1589" s="2">
        <f ca="1"/>
        <v>0.41097345952355102</v>
      </c>
      <c r="AH1589" s="2" t="str">
        <f ca="1"/>
        <v>Bad</v>
      </c>
    </row>
    <row r="1590" spans="2:34" x14ac:dyDescent="0.2">
      <c r="B1590" s="2">
        <f ca="1"/>
        <v>0.23582747253372349</v>
      </c>
      <c r="O1590" s="2">
        <f ca="1"/>
        <v>-0.47200033352356441</v>
      </c>
      <c r="X1590" s="2">
        <f ca="1"/>
        <v>60.381498279163523</v>
      </c>
      <c r="AG1590" s="2">
        <f ca="1"/>
        <v>0.92234676961670137</v>
      </c>
      <c r="AH1590" s="2" t="str">
        <f ca="1"/>
        <v>Bad</v>
      </c>
    </row>
    <row r="1591" spans="2:34" x14ac:dyDescent="0.2">
      <c r="B1591" s="2">
        <f ca="1"/>
        <v>0.19259120500668847</v>
      </c>
      <c r="O1591" s="2">
        <f ca="1"/>
        <v>-0.35169952296941853</v>
      </c>
      <c r="X1591" s="2">
        <f ca="1"/>
        <v>61.958166384158922</v>
      </c>
      <c r="AG1591" s="2">
        <f ca="1"/>
        <v>0.89064153015731917</v>
      </c>
      <c r="AH1591" s="2" t="str">
        <f ca="1"/>
        <v>Bad</v>
      </c>
    </row>
    <row r="1592" spans="2:34" x14ac:dyDescent="0.2">
      <c r="B1592" s="2">
        <f ca="1"/>
        <v>0.81306635004612637</v>
      </c>
      <c r="O1592" s="2">
        <f ca="1"/>
        <v>0.70384892701975421</v>
      </c>
      <c r="X1592" s="2">
        <f ca="1"/>
        <v>61.81817709054652</v>
      </c>
      <c r="AG1592" s="2">
        <f ca="1"/>
        <v>0.48967458449217105</v>
      </c>
      <c r="AH1592" s="2" t="str">
        <f ca="1"/>
        <v>Bad</v>
      </c>
    </row>
    <row r="1593" spans="2:34" x14ac:dyDescent="0.2">
      <c r="B1593" s="2">
        <f ca="1"/>
        <v>0.30678215089149363</v>
      </c>
      <c r="O1593" s="2">
        <f ca="1"/>
        <v>-0.9894003593187215</v>
      </c>
      <c r="X1593" s="2">
        <f ca="1"/>
        <v>51.037082256019829</v>
      </c>
      <c r="AG1593" s="2">
        <f ca="1"/>
        <v>0.53231038404593556</v>
      </c>
      <c r="AH1593" s="2" t="str">
        <f ca="1"/>
        <v>Bad</v>
      </c>
    </row>
    <row r="1594" spans="2:34" x14ac:dyDescent="0.2">
      <c r="B1594" s="2">
        <f ca="1"/>
        <v>0.69823976454114578</v>
      </c>
      <c r="O1594" s="2">
        <f ca="1"/>
        <v>-0.80836900946211776</v>
      </c>
      <c r="X1594" s="2">
        <f ca="1"/>
        <v>34.4968507361354</v>
      </c>
      <c r="AG1594" s="2">
        <f ca="1"/>
        <v>0.31055010164185615</v>
      </c>
      <c r="AH1594" s="2" t="str">
        <f ca="1"/>
        <v>OK</v>
      </c>
    </row>
    <row r="1595" spans="2:34" x14ac:dyDescent="0.2">
      <c r="B1595" s="2">
        <f ca="1"/>
        <v>0.66277359508831513</v>
      </c>
      <c r="O1595" s="2">
        <f ca="1"/>
        <v>-0.16926438194482385</v>
      </c>
      <c r="X1595" s="2">
        <f ca="1"/>
        <v>96.708978251408766</v>
      </c>
      <c r="AG1595" s="2">
        <f ca="1"/>
        <v>0.13330729332451297</v>
      </c>
      <c r="AH1595" s="2" t="str">
        <f ca="1"/>
        <v>OK</v>
      </c>
    </row>
    <row r="1596" spans="2:34" x14ac:dyDescent="0.2">
      <c r="B1596" s="2">
        <f ca="1"/>
        <v>9.7979350751932648E-2</v>
      </c>
      <c r="O1596" s="2">
        <f ca="1"/>
        <v>-0.73923144055699441</v>
      </c>
      <c r="X1596" s="2">
        <f ca="1"/>
        <v>28.424494161240496</v>
      </c>
      <c r="AG1596" s="2">
        <f ca="1"/>
        <v>0.32964497624735678</v>
      </c>
      <c r="AH1596" s="2" t="str">
        <f ca="1"/>
        <v>OK</v>
      </c>
    </row>
    <row r="1597" spans="2:34" x14ac:dyDescent="0.2">
      <c r="B1597" s="2">
        <f ca="1"/>
        <v>0.85056914862827671</v>
      </c>
      <c r="O1597" s="2">
        <f ca="1"/>
        <v>-0.4009684617429729</v>
      </c>
      <c r="X1597" s="2">
        <f ca="1"/>
        <v>59.546068689614927</v>
      </c>
      <c r="AG1597" s="2">
        <f ca="1"/>
        <v>0.43874423062351986</v>
      </c>
      <c r="AH1597" s="2" t="str">
        <f ca="1"/>
        <v>Bad</v>
      </c>
    </row>
    <row r="1598" spans="2:34" x14ac:dyDescent="0.2">
      <c r="B1598" s="2">
        <f ca="1"/>
        <v>0.3236363947117491</v>
      </c>
      <c r="O1598" s="2">
        <f ca="1"/>
        <v>-0.50560628336614544</v>
      </c>
      <c r="X1598" s="2">
        <f ca="1"/>
        <v>50.101373983719306</v>
      </c>
      <c r="AG1598" s="2">
        <f ca="1"/>
        <v>0.94698347629379431</v>
      </c>
      <c r="AH1598" s="2" t="str">
        <f ca="1"/>
        <v>Bad</v>
      </c>
    </row>
    <row r="1599" spans="2:34" x14ac:dyDescent="0.2">
      <c r="B1599" s="2">
        <f ca="1"/>
        <v>0.44341803832675963</v>
      </c>
      <c r="O1599" s="2">
        <f ca="1"/>
        <v>-0.13300057896107018</v>
      </c>
      <c r="X1599" s="2">
        <f ca="1"/>
        <v>57.274523258749838</v>
      </c>
      <c r="AG1599" s="2">
        <f ca="1"/>
        <v>5.9084392048371681E-2</v>
      </c>
      <c r="AH1599" s="2" t="str">
        <f ca="1"/>
        <v>OK</v>
      </c>
    </row>
    <row r="1600" spans="2:34" x14ac:dyDescent="0.2">
      <c r="B1600" s="2">
        <f ca="1"/>
        <v>0.26153809412998341</v>
      </c>
      <c r="O1600" s="2">
        <f ca="1"/>
        <v>-1.2888959037994656</v>
      </c>
      <c r="X1600" s="2">
        <f ca="1"/>
        <v>56.743802764097367</v>
      </c>
      <c r="AG1600" s="2">
        <f ca="1"/>
        <v>0.22619741882217892</v>
      </c>
      <c r="AH1600" s="2" t="str">
        <f ca="1"/>
        <v>OK</v>
      </c>
    </row>
    <row r="1601" spans="2:34" x14ac:dyDescent="0.2">
      <c r="B1601" s="2">
        <f ca="1"/>
        <v>0.18896064512275612</v>
      </c>
      <c r="O1601" s="2">
        <f ca="1"/>
        <v>0.1372367135057643</v>
      </c>
      <c r="X1601" s="2">
        <f ca="1"/>
        <v>44.728353112254105</v>
      </c>
      <c r="AG1601" s="2">
        <f ca="1"/>
        <v>0.29585346737487273</v>
      </c>
      <c r="AH1601" s="2" t="str">
        <f ca="1"/>
        <v>OK</v>
      </c>
    </row>
    <row r="1602" spans="2:34" x14ac:dyDescent="0.2">
      <c r="B1602" s="2">
        <f ca="1"/>
        <v>0.36804934056437211</v>
      </c>
      <c r="O1602" s="2">
        <f ca="1"/>
        <v>-0.27849620112459794</v>
      </c>
      <c r="X1602" s="2">
        <f ca="1"/>
        <v>31.926768476273253</v>
      </c>
      <c r="AG1602" s="2">
        <f ca="1"/>
        <v>0.40491666291323192</v>
      </c>
      <c r="AH1602" s="2" t="str">
        <f ca="1"/>
        <v>Bad</v>
      </c>
    </row>
    <row r="1603" spans="2:34" x14ac:dyDescent="0.2">
      <c r="B1603" s="2">
        <f ca="1"/>
        <v>0.52962647062092194</v>
      </c>
      <c r="O1603" s="2">
        <f ca="1"/>
        <v>-1.767293320747122</v>
      </c>
      <c r="X1603" s="2">
        <f ca="1"/>
        <v>48.053933882738143</v>
      </c>
      <c r="AG1603" s="2">
        <f ca="1"/>
        <v>0.60463532300572753</v>
      </c>
      <c r="AH1603" s="2" t="str">
        <f ca="1"/>
        <v>Bad</v>
      </c>
    </row>
    <row r="1604" spans="2:34" x14ac:dyDescent="0.2">
      <c r="B1604" s="2">
        <f ca="1"/>
        <v>0.91524783697896406</v>
      </c>
      <c r="O1604" s="2">
        <f ca="1"/>
        <v>-0.55924024947321938</v>
      </c>
      <c r="X1604" s="2">
        <f ca="1"/>
        <v>37.043773845635414</v>
      </c>
      <c r="AG1604" s="2">
        <f ca="1"/>
        <v>0.45026902204227071</v>
      </c>
      <c r="AH1604" s="2" t="str">
        <f ca="1"/>
        <v>Bad</v>
      </c>
    </row>
    <row r="1605" spans="2:34" x14ac:dyDescent="0.2">
      <c r="B1605" s="2">
        <f ca="1"/>
        <v>5.8202503673793871E-2</v>
      </c>
      <c r="O1605" s="2">
        <f ca="1"/>
        <v>-0.68553691627478786</v>
      </c>
      <c r="X1605" s="2">
        <f ca="1"/>
        <v>63.389935341406087</v>
      </c>
      <c r="AG1605" s="2">
        <f ca="1"/>
        <v>0.8283507363011775</v>
      </c>
      <c r="AH1605" s="2" t="str">
        <f ca="1"/>
        <v>Bad</v>
      </c>
    </row>
    <row r="1606" spans="2:34" x14ac:dyDescent="0.2">
      <c r="B1606" s="2">
        <f ca="1"/>
        <v>0.89298889114622648</v>
      </c>
      <c r="O1606" s="2">
        <f ca="1"/>
        <v>1.192840179607721</v>
      </c>
      <c r="X1606" s="2">
        <f ca="1"/>
        <v>30.91976001967398</v>
      </c>
      <c r="AG1606" s="2">
        <f ca="1"/>
        <v>0.60240131223165871</v>
      </c>
      <c r="AH1606" s="2" t="str">
        <f ca="1"/>
        <v>Bad</v>
      </c>
    </row>
    <row r="1607" spans="2:34" x14ac:dyDescent="0.2">
      <c r="B1607" s="2">
        <f ca="1"/>
        <v>0.66070347475444469</v>
      </c>
      <c r="O1607" s="2">
        <f ca="1"/>
        <v>-1.3897680192643183</v>
      </c>
      <c r="X1607" s="2">
        <f ca="1"/>
        <v>43.842533902330167</v>
      </c>
      <c r="AG1607" s="2">
        <f ca="1"/>
        <v>0.2048719722858896</v>
      </c>
      <c r="AH1607" s="2" t="str">
        <f ca="1"/>
        <v>OK</v>
      </c>
    </row>
    <row r="1608" spans="2:34" x14ac:dyDescent="0.2">
      <c r="B1608" s="2">
        <f ca="1"/>
        <v>0.68292298804892315</v>
      </c>
      <c r="O1608" s="2">
        <f ca="1"/>
        <v>-6.9635899443083696E-2</v>
      </c>
      <c r="X1608" s="2">
        <f ca="1"/>
        <v>65.576259435854084</v>
      </c>
      <c r="AG1608" s="2">
        <f ca="1"/>
        <v>0.98719057715165559</v>
      </c>
      <c r="AH1608" s="2" t="str">
        <f ca="1"/>
        <v>Bad</v>
      </c>
    </row>
    <row r="1609" spans="2:34" x14ac:dyDescent="0.2">
      <c r="B1609" s="2">
        <f ca="1"/>
        <v>0.57597934061120193</v>
      </c>
      <c r="O1609" s="2">
        <f ca="1"/>
        <v>-0.79172124349107464</v>
      </c>
      <c r="X1609" s="2">
        <f ca="1"/>
        <v>41.338843543362664</v>
      </c>
      <c r="AG1609" s="2">
        <f ca="1"/>
        <v>0.98722983180085544</v>
      </c>
      <c r="AH1609" s="2" t="str">
        <f ca="1"/>
        <v>Bad</v>
      </c>
    </row>
    <row r="1610" spans="2:34" x14ac:dyDescent="0.2">
      <c r="B1610" s="2">
        <f ca="1"/>
        <v>0.68857453929204748</v>
      </c>
      <c r="O1610" s="2">
        <f ca="1"/>
        <v>3.3745017501127884E-2</v>
      </c>
      <c r="X1610" s="2">
        <f ca="1"/>
        <v>50.938108120370977</v>
      </c>
      <c r="AG1610" s="2">
        <f ca="1"/>
        <v>0.44192597786507992</v>
      </c>
      <c r="AH1610" s="2" t="str">
        <f ca="1"/>
        <v>Bad</v>
      </c>
    </row>
    <row r="1611" spans="2:34" x14ac:dyDescent="0.2">
      <c r="B1611" s="2">
        <f ca="1"/>
        <v>0.24006107611579219</v>
      </c>
      <c r="O1611" s="2">
        <f ca="1"/>
        <v>-2.1114722656656455</v>
      </c>
      <c r="X1611" s="2">
        <f ca="1"/>
        <v>57.780129701222037</v>
      </c>
      <c r="AG1611" s="2">
        <f ca="1"/>
        <v>0.72695147953934214</v>
      </c>
      <c r="AH1611" s="2" t="str">
        <f ca="1"/>
        <v>Bad</v>
      </c>
    </row>
    <row r="1612" spans="2:34" x14ac:dyDescent="0.2">
      <c r="B1612" s="2">
        <f ca="1"/>
        <v>0.53908534724158508</v>
      </c>
      <c r="O1612" s="2">
        <f ca="1"/>
        <v>0.31480310001283668</v>
      </c>
      <c r="X1612" s="2">
        <f ca="1"/>
        <v>58.382961649171435</v>
      </c>
      <c r="AG1612" s="2">
        <f ca="1"/>
        <v>0.87818718690397479</v>
      </c>
      <c r="AH1612" s="2" t="str">
        <f ca="1"/>
        <v>Bad</v>
      </c>
    </row>
    <row r="1613" spans="2:34" x14ac:dyDescent="0.2">
      <c r="B1613" s="2">
        <f ca="1"/>
        <v>0.54966271750844675</v>
      </c>
      <c r="O1613" s="2">
        <f ca="1"/>
        <v>0.40616598662490649</v>
      </c>
      <c r="X1613" s="2">
        <f ca="1"/>
        <v>31.506507601157608</v>
      </c>
      <c r="AG1613" s="2">
        <f ca="1"/>
        <v>0.19259274888295663</v>
      </c>
      <c r="AH1613" s="2" t="str">
        <f ca="1"/>
        <v>OK</v>
      </c>
    </row>
    <row r="1614" spans="2:34" x14ac:dyDescent="0.2">
      <c r="B1614" s="2">
        <f ca="1"/>
        <v>0.58883391500069004</v>
      </c>
      <c r="O1614" s="2">
        <f ca="1"/>
        <v>-0.70549925284408588</v>
      </c>
      <c r="X1614" s="2">
        <f ca="1"/>
        <v>55.675616165683721</v>
      </c>
      <c r="AG1614" s="2">
        <f ca="1"/>
        <v>0.10382455244652067</v>
      </c>
      <c r="AH1614" s="2" t="str">
        <f ca="1"/>
        <v>OK</v>
      </c>
    </row>
    <row r="1615" spans="2:34" x14ac:dyDescent="0.2">
      <c r="B1615" s="2">
        <f ca="1"/>
        <v>0.15342432694362484</v>
      </c>
      <c r="O1615" s="2">
        <f ca="1"/>
        <v>-0.76096511803828193</v>
      </c>
      <c r="X1615" s="2">
        <f ca="1"/>
        <v>34.05590599586489</v>
      </c>
      <c r="AG1615" s="2">
        <f ca="1"/>
        <v>0.43442167260694164</v>
      </c>
      <c r="AH1615" s="2" t="str">
        <f ca="1"/>
        <v>Bad</v>
      </c>
    </row>
    <row r="1616" spans="2:34" x14ac:dyDescent="0.2">
      <c r="B1616" s="2">
        <f ca="1"/>
        <v>0.75637918238731139</v>
      </c>
      <c r="O1616" s="2">
        <f ca="1"/>
        <v>0.55243163715017496</v>
      </c>
      <c r="X1616" s="2">
        <f ca="1"/>
        <v>36.476101236976938</v>
      </c>
      <c r="AG1616" s="2">
        <f ca="1"/>
        <v>0.15576408319418134</v>
      </c>
      <c r="AH1616" s="2" t="str">
        <f ca="1"/>
        <v>OK</v>
      </c>
    </row>
    <row r="1617" spans="2:34" x14ac:dyDescent="0.2">
      <c r="B1617" s="2">
        <f ca="1"/>
        <v>0.98718826560398942</v>
      </c>
      <c r="O1617" s="2">
        <f ca="1"/>
        <v>1.0067016827751649</v>
      </c>
      <c r="X1617" s="2">
        <f ca="1"/>
        <v>81.198957214790909</v>
      </c>
      <c r="AG1617" s="2">
        <f ca="1"/>
        <v>0.49871374513994882</v>
      </c>
      <c r="AH1617" s="2" t="str">
        <f ca="1"/>
        <v>Bad</v>
      </c>
    </row>
    <row r="1618" spans="2:34" x14ac:dyDescent="0.2">
      <c r="B1618" s="2">
        <f ca="1"/>
        <v>0.47305924608390937</v>
      </c>
      <c r="O1618" s="2">
        <f ca="1"/>
        <v>-1.2923918253386343E-2</v>
      </c>
      <c r="X1618" s="2">
        <f ca="1"/>
        <v>65.28569785991094</v>
      </c>
      <c r="AG1618" s="2">
        <f ca="1"/>
        <v>0.32959503181948491</v>
      </c>
      <c r="AH1618" s="2" t="str">
        <f ca="1"/>
        <v>OK</v>
      </c>
    </row>
    <row r="1619" spans="2:34" x14ac:dyDescent="0.2">
      <c r="B1619" s="2">
        <f ca="1"/>
        <v>0.69728639148912475</v>
      </c>
      <c r="O1619" s="2">
        <f ca="1"/>
        <v>2.1837249231034015</v>
      </c>
      <c r="X1619" s="2">
        <f ca="1"/>
        <v>75.756244346235405</v>
      </c>
      <c r="AG1619" s="2">
        <f ca="1"/>
        <v>0.56609034764902511</v>
      </c>
      <c r="AH1619" s="2" t="str">
        <f ca="1"/>
        <v>Bad</v>
      </c>
    </row>
    <row r="1620" spans="2:34" x14ac:dyDescent="0.2">
      <c r="B1620" s="2">
        <f ca="1"/>
        <v>0.15889316120055197</v>
      </c>
      <c r="O1620" s="2">
        <f ca="1"/>
        <v>4.07402290401095E-4</v>
      </c>
      <c r="X1620" s="2">
        <f ca="1"/>
        <v>58.567748233564586</v>
      </c>
      <c r="AG1620" s="2">
        <f ca="1"/>
        <v>0.12905671460541623</v>
      </c>
      <c r="AH1620" s="2" t="str">
        <f ca="1"/>
        <v>OK</v>
      </c>
    </row>
    <row r="1621" spans="2:34" x14ac:dyDescent="0.2">
      <c r="B1621" s="2">
        <f ca="1"/>
        <v>0.47966061736622789</v>
      </c>
      <c r="O1621" s="2">
        <f ca="1"/>
        <v>-0.37232037649119071</v>
      </c>
      <c r="X1621" s="2">
        <f ca="1"/>
        <v>44.23669893855849</v>
      </c>
      <c r="AG1621" s="2">
        <f ca="1"/>
        <v>0.65004409319644618</v>
      </c>
      <c r="AH1621" s="2" t="str">
        <f ca="1"/>
        <v>Bad</v>
      </c>
    </row>
    <row r="1622" spans="2:34" x14ac:dyDescent="0.2">
      <c r="B1622" s="2">
        <f ca="1"/>
        <v>0.75457877636207793</v>
      </c>
      <c r="O1622" s="2">
        <f ca="1"/>
        <v>0.45280774507608545</v>
      </c>
      <c r="X1622" s="2">
        <f ca="1"/>
        <v>50.665215414489772</v>
      </c>
      <c r="AG1622" s="2">
        <f ca="1"/>
        <v>0.4610646791252444</v>
      </c>
      <c r="AH1622" s="2" t="str">
        <f ca="1"/>
        <v>Bad</v>
      </c>
    </row>
    <row r="1623" spans="2:34" x14ac:dyDescent="0.2">
      <c r="B1623" s="2">
        <f ca="1"/>
        <v>0.28450394342138119</v>
      </c>
      <c r="O1623" s="2">
        <f ca="1"/>
        <v>-0.28630359280709167</v>
      </c>
      <c r="X1623" s="2">
        <f ca="1"/>
        <v>64.067420512108626</v>
      </c>
      <c r="AG1623" s="2">
        <f ca="1"/>
        <v>3.0548147147811289E-2</v>
      </c>
      <c r="AH1623" s="2" t="str">
        <f ca="1"/>
        <v>Good</v>
      </c>
    </row>
    <row r="1624" spans="2:34" x14ac:dyDescent="0.2">
      <c r="B1624" s="2">
        <f ca="1"/>
        <v>0.61433199029434338</v>
      </c>
      <c r="O1624" s="2">
        <f ca="1"/>
        <v>-0.96374817241394017</v>
      </c>
      <c r="X1624" s="2">
        <f ca="1"/>
        <v>51.708345723285944</v>
      </c>
      <c r="AG1624" s="2">
        <f ca="1"/>
        <v>6.5251490746998098E-3</v>
      </c>
      <c r="AH1624" s="2" t="str">
        <f ca="1"/>
        <v>Good</v>
      </c>
    </row>
    <row r="1625" spans="2:34" x14ac:dyDescent="0.2">
      <c r="B1625" s="2">
        <f ca="1"/>
        <v>0.12144082442132587</v>
      </c>
      <c r="O1625" s="2">
        <f ca="1"/>
        <v>0.82367716813322145</v>
      </c>
      <c r="X1625" s="2">
        <f ca="1"/>
        <v>35.837608006305132</v>
      </c>
      <c r="AG1625" s="2">
        <f ca="1"/>
        <v>0.42024926307248478</v>
      </c>
      <c r="AH1625" s="2" t="str">
        <f ca="1"/>
        <v>Bad</v>
      </c>
    </row>
    <row r="1626" spans="2:34" x14ac:dyDescent="0.2">
      <c r="B1626" s="2">
        <f ca="1"/>
        <v>0.91903347961808635</v>
      </c>
      <c r="O1626" s="2">
        <f ca="1"/>
        <v>1.7328590740304539</v>
      </c>
      <c r="X1626" s="2">
        <f ca="1"/>
        <v>44.941665971637896</v>
      </c>
      <c r="AG1626" s="2">
        <f ca="1"/>
        <v>0.87832234156265598</v>
      </c>
      <c r="AH1626" s="2" t="str">
        <f ca="1"/>
        <v>Bad</v>
      </c>
    </row>
    <row r="1627" spans="2:34" x14ac:dyDescent="0.2">
      <c r="B1627" s="2">
        <f ca="1"/>
        <v>0.89478586781101077</v>
      </c>
      <c r="O1627" s="2">
        <f ca="1"/>
        <v>-0.71552805173472966</v>
      </c>
      <c r="X1627" s="2">
        <f ca="1"/>
        <v>26.820162347241812</v>
      </c>
      <c r="AG1627" s="2">
        <f ca="1"/>
        <v>0.12469037554766671</v>
      </c>
      <c r="AH1627" s="2" t="str">
        <f ca="1"/>
        <v>OK</v>
      </c>
    </row>
    <row r="1628" spans="2:34" x14ac:dyDescent="0.2">
      <c r="B1628" s="2">
        <f ca="1"/>
        <v>0.32481241424197216</v>
      </c>
      <c r="O1628" s="2">
        <f ca="1"/>
        <v>0.41340163263696106</v>
      </c>
      <c r="X1628" s="2">
        <f ca="1"/>
        <v>39.034871054647951</v>
      </c>
      <c r="AG1628" s="2">
        <f ca="1"/>
        <v>0.90081023626333234</v>
      </c>
      <c r="AH1628" s="2" t="str">
        <f ca="1"/>
        <v>Bad</v>
      </c>
    </row>
    <row r="1629" spans="2:34" x14ac:dyDescent="0.2">
      <c r="B1629" s="2">
        <f ca="1"/>
        <v>0.40616559315219036</v>
      </c>
      <c r="O1629" s="2">
        <f ca="1"/>
        <v>0.21026040561957968</v>
      </c>
      <c r="X1629" s="2">
        <f ca="1"/>
        <v>27.061378057286916</v>
      </c>
      <c r="AG1629" s="2">
        <f ca="1"/>
        <v>0.6896390780938928</v>
      </c>
      <c r="AH1629" s="2" t="str">
        <f ca="1"/>
        <v>Bad</v>
      </c>
    </row>
    <row r="1630" spans="2:34" x14ac:dyDescent="0.2">
      <c r="B1630" s="2">
        <f ca="1"/>
        <v>0.72300868350367842</v>
      </c>
      <c r="O1630" s="2">
        <f ca="1"/>
        <v>1.1753975014448084</v>
      </c>
      <c r="X1630" s="2">
        <f ca="1"/>
        <v>57.895939431834684</v>
      </c>
      <c r="AG1630" s="2">
        <f ca="1"/>
        <v>0.22979050025197889</v>
      </c>
      <c r="AH1630" s="2" t="str">
        <f ca="1"/>
        <v>OK</v>
      </c>
    </row>
    <row r="1631" spans="2:34" x14ac:dyDescent="0.2">
      <c r="B1631" s="2">
        <f ca="1"/>
        <v>0.36853676543241654</v>
      </c>
      <c r="O1631" s="2">
        <f ca="1"/>
        <v>-0.21171020715634919</v>
      </c>
      <c r="X1631" s="2">
        <f ca="1"/>
        <v>48.610940417042656</v>
      </c>
      <c r="AG1631" s="2">
        <f ca="1"/>
        <v>0.3737697010779657</v>
      </c>
      <c r="AH1631" s="2" t="str">
        <f ca="1"/>
        <v>OK</v>
      </c>
    </row>
    <row r="1632" spans="2:34" x14ac:dyDescent="0.2">
      <c r="B1632" s="2">
        <f ca="1"/>
        <v>0.39566469044549857</v>
      </c>
      <c r="O1632" s="2">
        <f ca="1"/>
        <v>1.9276496715501947</v>
      </c>
      <c r="X1632" s="2">
        <f ca="1"/>
        <v>20.834757789918271</v>
      </c>
      <c r="AG1632" s="2">
        <f ca="1"/>
        <v>0.30407033026928865</v>
      </c>
      <c r="AH1632" s="2" t="str">
        <f ca="1"/>
        <v>OK</v>
      </c>
    </row>
    <row r="1633" spans="2:34" x14ac:dyDescent="0.2">
      <c r="B1633" s="2">
        <f ca="1"/>
        <v>0.41454590994602425</v>
      </c>
      <c r="O1633" s="2">
        <f ca="1"/>
        <v>1.3849148901979016</v>
      </c>
      <c r="X1633" s="2">
        <f ca="1"/>
        <v>59.394832948019001</v>
      </c>
      <c r="AG1633" s="2">
        <f ca="1"/>
        <v>0.79997719523046662</v>
      </c>
      <c r="AH1633" s="2" t="str">
        <f ca="1"/>
        <v>Bad</v>
      </c>
    </row>
    <row r="1634" spans="2:34" x14ac:dyDescent="0.2">
      <c r="B1634" s="2">
        <f ca="1"/>
        <v>6.6456051126042581E-3</v>
      </c>
      <c r="O1634" s="2">
        <f ca="1"/>
        <v>0.87960806286498683</v>
      </c>
      <c r="X1634" s="2">
        <f ca="1"/>
        <v>63.551739421721862</v>
      </c>
      <c r="AG1634" s="2">
        <f ca="1"/>
        <v>0.28891082807591473</v>
      </c>
      <c r="AH1634" s="2" t="str">
        <f ca="1"/>
        <v>OK</v>
      </c>
    </row>
    <row r="1635" spans="2:34" x14ac:dyDescent="0.2">
      <c r="B1635" s="2">
        <f ca="1"/>
        <v>0.5597195899754992</v>
      </c>
      <c r="O1635" s="2">
        <f ca="1"/>
        <v>0.26937294721980587</v>
      </c>
      <c r="X1635" s="2">
        <f ca="1"/>
        <v>40.429589003959904</v>
      </c>
      <c r="AG1635" s="2">
        <f ca="1"/>
        <v>0.25151073657170309</v>
      </c>
      <c r="AH1635" s="2" t="str">
        <f ca="1"/>
        <v>OK</v>
      </c>
    </row>
    <row r="1636" spans="2:34" x14ac:dyDescent="0.2">
      <c r="B1636" s="2">
        <f ca="1"/>
        <v>0.50152488096593206</v>
      </c>
      <c r="O1636" s="2">
        <f ca="1"/>
        <v>-0.77222546177236329</v>
      </c>
      <c r="X1636" s="2">
        <f ca="1"/>
        <v>51.825225916701243</v>
      </c>
      <c r="AG1636" s="2">
        <f ca="1"/>
        <v>0.37318888464507571</v>
      </c>
      <c r="AH1636" s="2" t="str">
        <f ca="1"/>
        <v>OK</v>
      </c>
    </row>
    <row r="1637" spans="2:34" x14ac:dyDescent="0.2">
      <c r="B1637" s="2">
        <f ca="1"/>
        <v>0.34280315283951079</v>
      </c>
      <c r="O1637" s="2">
        <f ca="1"/>
        <v>1.5859597719871585</v>
      </c>
      <c r="X1637" s="2">
        <f ca="1"/>
        <v>28.528693899500087</v>
      </c>
      <c r="AG1637" s="2">
        <f ca="1"/>
        <v>0.36529391655692445</v>
      </c>
      <c r="AH1637" s="2" t="str">
        <f ca="1"/>
        <v>OK</v>
      </c>
    </row>
    <row r="1638" spans="2:34" x14ac:dyDescent="0.2">
      <c r="B1638" s="2">
        <f ca="1"/>
        <v>0.48233965257520972</v>
      </c>
      <c r="O1638" s="2">
        <f ca="1"/>
        <v>0.39164625487920884</v>
      </c>
      <c r="X1638" s="2">
        <f ca="1"/>
        <v>61.093840494557028</v>
      </c>
      <c r="AG1638" s="2">
        <f ca="1"/>
        <v>0.41773636024879024</v>
      </c>
      <c r="AH1638" s="2" t="str">
        <f ca="1"/>
        <v>Bad</v>
      </c>
    </row>
    <row r="1639" spans="2:34" x14ac:dyDescent="0.2">
      <c r="B1639" s="2">
        <f ca="1"/>
        <v>0.83986159058399745</v>
      </c>
      <c r="O1639" s="2">
        <f ca="1"/>
        <v>-0.87228455949459949</v>
      </c>
      <c r="X1639" s="2">
        <f ca="1"/>
        <v>41.31897508834421</v>
      </c>
      <c r="AG1639" s="2">
        <f ca="1"/>
        <v>0.73514603892738561</v>
      </c>
      <c r="AH1639" s="2" t="str">
        <f ca="1"/>
        <v>Bad</v>
      </c>
    </row>
    <row r="1640" spans="2:34" x14ac:dyDescent="0.2">
      <c r="B1640" s="2">
        <f ca="1"/>
        <v>0.44687581593814696</v>
      </c>
      <c r="O1640" s="2">
        <f ca="1"/>
        <v>-0.12390667220060655</v>
      </c>
      <c r="X1640" s="2">
        <f ca="1"/>
        <v>63.549915270372644</v>
      </c>
      <c r="AG1640" s="2">
        <f ca="1"/>
        <v>0.90391323553845093</v>
      </c>
      <c r="AH1640" s="2" t="str">
        <f ca="1"/>
        <v>Bad</v>
      </c>
    </row>
    <row r="1641" spans="2:34" x14ac:dyDescent="0.2">
      <c r="B1641" s="2">
        <f ca="1"/>
        <v>0.20883736891818172</v>
      </c>
      <c r="O1641" s="2">
        <f ca="1"/>
        <v>-0.15898567765757671</v>
      </c>
      <c r="X1641" s="2">
        <f ca="1"/>
        <v>70.421285760761378</v>
      </c>
      <c r="AG1641" s="2">
        <f ca="1"/>
        <v>0.65364012404076455</v>
      </c>
      <c r="AH1641" s="2" t="str">
        <f ca="1"/>
        <v>Bad</v>
      </c>
    </row>
    <row r="1642" spans="2:34" x14ac:dyDescent="0.2">
      <c r="B1642" s="2">
        <f ca="1"/>
        <v>0.86224958124550843</v>
      </c>
      <c r="O1642" s="2">
        <f ca="1"/>
        <v>-1.5688762267650118</v>
      </c>
      <c r="X1642" s="2">
        <f ca="1"/>
        <v>47.491978164979962</v>
      </c>
      <c r="AG1642" s="2">
        <f ca="1"/>
        <v>0.64123203524073613</v>
      </c>
      <c r="AH1642" s="2" t="str">
        <f ca="1"/>
        <v>Bad</v>
      </c>
    </row>
    <row r="1643" spans="2:34" x14ac:dyDescent="0.2">
      <c r="B1643" s="2">
        <f ca="1"/>
        <v>0.61181979954747723</v>
      </c>
      <c r="O1643" s="2">
        <f ca="1"/>
        <v>2.1383675496967989</v>
      </c>
      <c r="X1643" s="2">
        <f ca="1"/>
        <v>51.597221889376463</v>
      </c>
      <c r="AG1643" s="2">
        <f ca="1"/>
        <v>0.31815224121674324</v>
      </c>
      <c r="AH1643" s="2" t="str">
        <f ca="1"/>
        <v>OK</v>
      </c>
    </row>
    <row r="1644" spans="2:34" x14ac:dyDescent="0.2">
      <c r="B1644" s="2">
        <f ca="1"/>
        <v>0.67793162457350498</v>
      </c>
      <c r="O1644" s="2">
        <f ca="1"/>
        <v>-0.98548726017642341</v>
      </c>
      <c r="X1644" s="2">
        <f ca="1"/>
        <v>46.82319343259082</v>
      </c>
      <c r="AG1644" s="2">
        <f ca="1"/>
        <v>0.38808420068194849</v>
      </c>
      <c r="AH1644" s="2" t="str">
        <f ca="1"/>
        <v>OK</v>
      </c>
    </row>
    <row r="1645" spans="2:34" x14ac:dyDescent="0.2">
      <c r="B1645" s="2">
        <f ca="1"/>
        <v>0.70797534497904469</v>
      </c>
      <c r="O1645" s="2">
        <f ca="1"/>
        <v>-0.2123257487749412</v>
      </c>
      <c r="X1645" s="2">
        <f ca="1"/>
        <v>61.490442309359068</v>
      </c>
      <c r="AG1645" s="2">
        <f ca="1"/>
        <v>7.4597885711878087E-2</v>
      </c>
      <c r="AH1645" s="2" t="str">
        <f ca="1"/>
        <v>OK</v>
      </c>
    </row>
    <row r="1646" spans="2:34" x14ac:dyDescent="0.2">
      <c r="B1646" s="2">
        <f ca="1"/>
        <v>0.31328798592898166</v>
      </c>
      <c r="O1646" s="2">
        <f ca="1"/>
        <v>-0.49554052083144179</v>
      </c>
      <c r="X1646" s="2">
        <f ca="1"/>
        <v>67.71169546258588</v>
      </c>
      <c r="AG1646" s="2">
        <f ca="1"/>
        <v>0.21911388399065546</v>
      </c>
      <c r="AH1646" s="2" t="str">
        <f ca="1"/>
        <v>OK</v>
      </c>
    </row>
    <row r="1647" spans="2:34" x14ac:dyDescent="0.2">
      <c r="B1647" s="2">
        <f ca="1"/>
        <v>0.98338813034932349</v>
      </c>
      <c r="O1647" s="2">
        <f ca="1"/>
        <v>-2.7533732809231694E-2</v>
      </c>
      <c r="X1647" s="2">
        <f ca="1"/>
        <v>27.595075016196269</v>
      </c>
      <c r="AG1647" s="2">
        <f ca="1"/>
        <v>0.87304852796348231</v>
      </c>
      <c r="AH1647" s="2" t="str">
        <f ca="1"/>
        <v>Bad</v>
      </c>
    </row>
    <row r="1648" spans="2:34" x14ac:dyDescent="0.2">
      <c r="B1648" s="2">
        <f ca="1"/>
        <v>0.61440373180314145</v>
      </c>
      <c r="O1648" s="2">
        <f ca="1"/>
        <v>7.4007400108807242E-2</v>
      </c>
      <c r="X1648" s="2">
        <f ca="1"/>
        <v>48.092809078096025</v>
      </c>
      <c r="AG1648" s="2">
        <f ca="1"/>
        <v>0.876720254883669</v>
      </c>
      <c r="AH1648" s="2" t="str">
        <f ca="1"/>
        <v>Bad</v>
      </c>
    </row>
    <row r="1649" spans="2:34" x14ac:dyDescent="0.2">
      <c r="B1649" s="2">
        <f ca="1"/>
        <v>0.91813130359032136</v>
      </c>
      <c r="O1649" s="2">
        <f ca="1"/>
        <v>0.43073715221987707</v>
      </c>
      <c r="X1649" s="2">
        <f ca="1"/>
        <v>38.712574382790862</v>
      </c>
      <c r="AG1649" s="2">
        <f ca="1"/>
        <v>8.2217833247613559E-2</v>
      </c>
      <c r="AH1649" s="2" t="str">
        <f ca="1"/>
        <v>OK</v>
      </c>
    </row>
    <row r="1650" spans="2:34" x14ac:dyDescent="0.2">
      <c r="B1650" s="2">
        <f ca="1"/>
        <v>0.11677868974688344</v>
      </c>
      <c r="O1650" s="2">
        <f ca="1"/>
        <v>-0.75438870297962779</v>
      </c>
      <c r="X1650" s="2">
        <f ca="1"/>
        <v>40.19728975222128</v>
      </c>
      <c r="AG1650" s="2">
        <f ca="1"/>
        <v>0.68024676022558039</v>
      </c>
      <c r="AH1650" s="2" t="str">
        <f ca="1"/>
        <v>Bad</v>
      </c>
    </row>
    <row r="1651" spans="2:34" x14ac:dyDescent="0.2">
      <c r="B1651" s="2">
        <f ca="1"/>
        <v>6.2604027677126695E-4</v>
      </c>
      <c r="O1651" s="2">
        <f ca="1"/>
        <v>-7.7612441024131659E-2</v>
      </c>
      <c r="X1651" s="2">
        <f ca="1"/>
        <v>38.321070461255843</v>
      </c>
      <c r="AG1651" s="2">
        <f ca="1"/>
        <v>0.92099519235105465</v>
      </c>
      <c r="AH1651" s="2" t="str">
        <f ca="1"/>
        <v>Bad</v>
      </c>
    </row>
    <row r="1652" spans="2:34" x14ac:dyDescent="0.2">
      <c r="B1652" s="2">
        <f ca="1"/>
        <v>0.19926515201052108</v>
      </c>
      <c r="O1652" s="2">
        <f ca="1"/>
        <v>1.3181322955884787</v>
      </c>
      <c r="X1652" s="2">
        <f ca="1"/>
        <v>77.529246803154578</v>
      </c>
      <c r="AG1652" s="2">
        <f ca="1"/>
        <v>0.4036256722057594</v>
      </c>
      <c r="AH1652" s="2" t="str">
        <f ca="1"/>
        <v>Bad</v>
      </c>
    </row>
    <row r="1653" spans="2:34" x14ac:dyDescent="0.2">
      <c r="B1653" s="2">
        <f ca="1"/>
        <v>0.52497700300937078</v>
      </c>
      <c r="O1653" s="2">
        <f ca="1"/>
        <v>-0.19125291282443629</v>
      </c>
      <c r="X1653" s="2">
        <f ca="1"/>
        <v>57.555069766726035</v>
      </c>
      <c r="AG1653" s="2">
        <f ca="1"/>
        <v>0.40845315573818719</v>
      </c>
      <c r="AH1653" s="2" t="str">
        <f ca="1"/>
        <v>Bad</v>
      </c>
    </row>
    <row r="1654" spans="2:34" x14ac:dyDescent="0.2">
      <c r="B1654" s="2">
        <f ca="1"/>
        <v>0.9992238023771487</v>
      </c>
      <c r="O1654" s="2">
        <f ca="1"/>
        <v>-0.16498832507150307</v>
      </c>
      <c r="X1654" s="2">
        <f ca="1"/>
        <v>74.168107617411408</v>
      </c>
      <c r="AG1654" s="2">
        <f ca="1"/>
        <v>0.49971497413397814</v>
      </c>
      <c r="AH1654" s="2" t="str">
        <f ca="1"/>
        <v>Bad</v>
      </c>
    </row>
    <row r="1655" spans="2:34" x14ac:dyDescent="0.2">
      <c r="B1655" s="2">
        <f ca="1"/>
        <v>0.35453606889506495</v>
      </c>
      <c r="O1655" s="2">
        <f ca="1"/>
        <v>1.9040511721891815</v>
      </c>
      <c r="X1655" s="2">
        <f ca="1"/>
        <v>41.466617217908208</v>
      </c>
      <c r="AG1655" s="2">
        <f ca="1"/>
        <v>0.44288452611932816</v>
      </c>
      <c r="AH1655" s="2" t="str">
        <f ca="1"/>
        <v>Bad</v>
      </c>
    </row>
    <row r="1656" spans="2:34" x14ac:dyDescent="0.2">
      <c r="B1656" s="2">
        <f ca="1"/>
        <v>0.45042119025199101</v>
      </c>
      <c r="O1656" s="2">
        <f ca="1"/>
        <v>-1.0397977020762381E-2</v>
      </c>
      <c r="X1656" s="2">
        <f ca="1"/>
        <v>46.3834533246512</v>
      </c>
      <c r="AG1656" s="2">
        <f ca="1"/>
        <v>0.33835844812926941</v>
      </c>
      <c r="AH1656" s="2" t="str">
        <f ca="1"/>
        <v>OK</v>
      </c>
    </row>
    <row r="1657" spans="2:34" x14ac:dyDescent="0.2">
      <c r="B1657" s="2">
        <f ca="1"/>
        <v>0.80033229694296515</v>
      </c>
      <c r="O1657" s="2">
        <f ca="1"/>
        <v>1.0404312964415236E-2</v>
      </c>
      <c r="X1657" s="2">
        <f ca="1"/>
        <v>56.338197246855643</v>
      </c>
      <c r="AG1657" s="2">
        <f ca="1"/>
        <v>0.4114461590541183</v>
      </c>
      <c r="AH1657" s="2" t="str">
        <f ca="1"/>
        <v>Bad</v>
      </c>
    </row>
    <row r="1658" spans="2:34" x14ac:dyDescent="0.2">
      <c r="B1658" s="2">
        <f ca="1"/>
        <v>0.18027646240885131</v>
      </c>
      <c r="O1658" s="2">
        <f ca="1"/>
        <v>-0.68183650584432498</v>
      </c>
      <c r="X1658" s="2">
        <f ca="1"/>
        <v>34.05689219563709</v>
      </c>
      <c r="AG1658" s="2">
        <f ca="1"/>
        <v>0.82792762015365096</v>
      </c>
      <c r="AH1658" s="2" t="str">
        <f ca="1"/>
        <v>Bad</v>
      </c>
    </row>
    <row r="1659" spans="2:34" x14ac:dyDescent="0.2">
      <c r="B1659" s="2">
        <f ca="1"/>
        <v>0.82497049051587945</v>
      </c>
      <c r="O1659" s="2">
        <f ca="1"/>
        <v>-1.3857582972171993</v>
      </c>
      <c r="X1659" s="2">
        <f ca="1"/>
        <v>30.811888974673206</v>
      </c>
      <c r="AG1659" s="2">
        <f ca="1"/>
        <v>0.25021906835079166</v>
      </c>
      <c r="AH1659" s="2" t="str">
        <f ca="1"/>
        <v>OK</v>
      </c>
    </row>
    <row r="1660" spans="2:34" x14ac:dyDescent="0.2">
      <c r="B1660" s="2">
        <f ca="1"/>
        <v>6.2859927779435054E-4</v>
      </c>
      <c r="O1660" s="2">
        <f ca="1"/>
        <v>1.7059712341670508</v>
      </c>
      <c r="X1660" s="2">
        <f ca="1"/>
        <v>50.306477483396193</v>
      </c>
      <c r="AG1660" s="2">
        <f ca="1"/>
        <v>0.72597431632467413</v>
      </c>
      <c r="AH1660" s="2" t="str">
        <f ca="1"/>
        <v>Bad</v>
      </c>
    </row>
    <row r="1661" spans="2:34" x14ac:dyDescent="0.2">
      <c r="B1661" s="2">
        <f ca="1"/>
        <v>0.54183321239274229</v>
      </c>
      <c r="O1661" s="2">
        <f ca="1"/>
        <v>1.095829805051608</v>
      </c>
      <c r="X1661" s="2">
        <f ca="1"/>
        <v>31.005812638613577</v>
      </c>
      <c r="AG1661" s="2">
        <f ca="1"/>
        <v>0.31576316484280942</v>
      </c>
      <c r="AH1661" s="2" t="str">
        <f ca="1"/>
        <v>OK</v>
      </c>
    </row>
    <row r="1662" spans="2:34" x14ac:dyDescent="0.2">
      <c r="B1662" s="2">
        <f ca="1"/>
        <v>0.1709536087182093</v>
      </c>
      <c r="O1662" s="2">
        <f ca="1"/>
        <v>-0.19887264918976028</v>
      </c>
      <c r="X1662" s="2">
        <f ca="1"/>
        <v>80.412644953243785</v>
      </c>
      <c r="AG1662" s="2">
        <f ca="1"/>
        <v>0.49316760421527839</v>
      </c>
      <c r="AH1662" s="2" t="str">
        <f ca="1"/>
        <v>Bad</v>
      </c>
    </row>
    <row r="1663" spans="2:34" x14ac:dyDescent="0.2">
      <c r="B1663" s="2">
        <f ca="1"/>
        <v>0.12463022439456051</v>
      </c>
      <c r="O1663" s="2">
        <f ca="1"/>
        <v>0.32045998209651561</v>
      </c>
      <c r="X1663" s="2">
        <f ca="1"/>
        <v>56.524817575292303</v>
      </c>
      <c r="AG1663" s="2">
        <f ca="1"/>
        <v>0.81960894180719701</v>
      </c>
      <c r="AH1663" s="2" t="str">
        <f ca="1"/>
        <v>Bad</v>
      </c>
    </row>
    <row r="1664" spans="2:34" x14ac:dyDescent="0.2">
      <c r="B1664" s="2">
        <f ca="1"/>
        <v>0.66535714764404252</v>
      </c>
      <c r="O1664" s="2">
        <f ca="1"/>
        <v>0.66515788095365147</v>
      </c>
      <c r="X1664" s="2">
        <f ca="1"/>
        <v>33.410564613996236</v>
      </c>
      <c r="AG1664" s="2">
        <f ca="1"/>
        <v>0.65725881011417164</v>
      </c>
      <c r="AH1664" s="2" t="str">
        <f ca="1"/>
        <v>Bad</v>
      </c>
    </row>
    <row r="1665" spans="2:34" x14ac:dyDescent="0.2">
      <c r="B1665" s="2">
        <f ca="1"/>
        <v>0.19887327663910837</v>
      </c>
      <c r="O1665" s="2">
        <f ca="1"/>
        <v>-0.58210358466619716</v>
      </c>
      <c r="X1665" s="2">
        <f ca="1"/>
        <v>49.702295677077039</v>
      </c>
      <c r="AG1665" s="2">
        <f ca="1"/>
        <v>0.23323864941701888</v>
      </c>
      <c r="AH1665" s="2" t="str">
        <f ca="1"/>
        <v>OK</v>
      </c>
    </row>
    <row r="1666" spans="2:34" x14ac:dyDescent="0.2">
      <c r="B1666" s="2">
        <f ca="1"/>
        <v>0.3812655165220129</v>
      </c>
      <c r="O1666" s="2">
        <f ca="1"/>
        <v>-0.32108556184018705</v>
      </c>
      <c r="X1666" s="2">
        <f ca="1"/>
        <v>40.257948721240375</v>
      </c>
      <c r="AG1666" s="2">
        <f ca="1"/>
        <v>0.25429098414223517</v>
      </c>
      <c r="AH1666" s="2" t="str">
        <f ca="1"/>
        <v>OK</v>
      </c>
    </row>
    <row r="1667" spans="2:34" x14ac:dyDescent="0.2">
      <c r="B1667" s="2">
        <f ca="1"/>
        <v>0.18280366034243833</v>
      </c>
      <c r="O1667" s="2">
        <f ca="1"/>
        <v>-0.57927037011075555</v>
      </c>
      <c r="X1667" s="2">
        <f ca="1"/>
        <v>38.881463771634898</v>
      </c>
      <c r="AG1667" s="2">
        <f ca="1"/>
        <v>7.8016815107522897E-2</v>
      </c>
      <c r="AH1667" s="2" t="str">
        <f ca="1"/>
        <v>OK</v>
      </c>
    </row>
    <row r="1668" spans="2:34" x14ac:dyDescent="0.2">
      <c r="B1668" s="2">
        <f ca="1"/>
        <v>0.57426056988489282</v>
      </c>
      <c r="O1668" s="2">
        <f ca="1"/>
        <v>1.580910817798548</v>
      </c>
      <c r="X1668" s="2">
        <f ca="1"/>
        <v>66.218519436557216</v>
      </c>
      <c r="AG1668" s="2">
        <f ca="1"/>
        <v>3.8787995262459019E-2</v>
      </c>
      <c r="AH1668" s="2" t="str">
        <f ca="1"/>
        <v>Good</v>
      </c>
    </row>
    <row r="1669" spans="2:34" x14ac:dyDescent="0.2">
      <c r="B1669" s="2">
        <f ca="1"/>
        <v>0.35527746014765316</v>
      </c>
      <c r="O1669" s="2">
        <f ca="1"/>
        <v>0.51522225759197826</v>
      </c>
      <c r="X1669" s="2">
        <f ca="1"/>
        <v>48.623754854152111</v>
      </c>
      <c r="AG1669" s="2">
        <f ca="1"/>
        <v>0.77212260007647626</v>
      </c>
      <c r="AH1669" s="2" t="str">
        <f ca="1"/>
        <v>Bad</v>
      </c>
    </row>
    <row r="1670" spans="2:34" x14ac:dyDescent="0.2">
      <c r="B1670" s="2">
        <f ca="1"/>
        <v>0.32784398627893219</v>
      </c>
      <c r="O1670" s="2">
        <f ca="1"/>
        <v>8.448352433910622E-2</v>
      </c>
      <c r="X1670" s="2">
        <f ca="1"/>
        <v>48.79599544452239</v>
      </c>
      <c r="AG1670" s="2">
        <f ca="1"/>
        <v>8.1566833859403332E-2</v>
      </c>
      <c r="AH1670" s="2" t="str">
        <f ca="1"/>
        <v>OK</v>
      </c>
    </row>
    <row r="1671" spans="2:34" x14ac:dyDescent="0.2">
      <c r="B1671" s="2">
        <f ca="1"/>
        <v>0.19738068580573276</v>
      </c>
      <c r="O1671" s="2">
        <f ca="1"/>
        <v>-1.0851284057425712</v>
      </c>
      <c r="X1671" s="2">
        <f ca="1"/>
        <v>53.366314342814221</v>
      </c>
      <c r="AG1671" s="2">
        <f ca="1"/>
        <v>0.25353355670547395</v>
      </c>
      <c r="AH1671" s="2" t="str">
        <f ca="1"/>
        <v>OK</v>
      </c>
    </row>
    <row r="1672" spans="2:34" x14ac:dyDescent="0.2">
      <c r="B1672" s="2">
        <f ca="1"/>
        <v>0.18537179697222772</v>
      </c>
      <c r="O1672" s="2">
        <f ca="1"/>
        <v>-0.23919125760024815</v>
      </c>
      <c r="X1672" s="2">
        <f ca="1"/>
        <v>39.067352259572871</v>
      </c>
      <c r="AG1672" s="2">
        <f ca="1"/>
        <v>0.27097828440028637</v>
      </c>
      <c r="AH1672" s="2" t="str">
        <f ca="1"/>
        <v>OK</v>
      </c>
    </row>
    <row r="1673" spans="2:34" x14ac:dyDescent="0.2">
      <c r="B1673" s="2">
        <f ca="1"/>
        <v>0.72947030899175136</v>
      </c>
      <c r="O1673" s="2">
        <f ca="1"/>
        <v>-1.1515052856483952</v>
      </c>
      <c r="X1673" s="2">
        <f ca="1"/>
        <v>41.702162317343195</v>
      </c>
      <c r="AG1673" s="2">
        <f ca="1"/>
        <v>5.8711938049877288E-2</v>
      </c>
      <c r="AH1673" s="2" t="str">
        <f ca="1"/>
        <v>OK</v>
      </c>
    </row>
    <row r="1674" spans="2:34" x14ac:dyDescent="0.2">
      <c r="B1674" s="2">
        <f ca="1"/>
        <v>0.68671840722673938</v>
      </c>
      <c r="O1674" s="2">
        <f ca="1"/>
        <v>-2.5431898322543969E-2</v>
      </c>
      <c r="X1674" s="2">
        <f ca="1"/>
        <v>51.808205657896558</v>
      </c>
      <c r="AG1674" s="2">
        <f ca="1"/>
        <v>0.22724199731406558</v>
      </c>
      <c r="AH1674" s="2" t="str">
        <f ca="1"/>
        <v>OK</v>
      </c>
    </row>
    <row r="1675" spans="2:34" x14ac:dyDescent="0.2">
      <c r="B1675" s="2">
        <f ca="1"/>
        <v>0.13265485461865101</v>
      </c>
      <c r="O1675" s="2">
        <f ca="1"/>
        <v>1.0620164329554387</v>
      </c>
      <c r="X1675" s="2">
        <f ca="1"/>
        <v>59.265888656832217</v>
      </c>
      <c r="AG1675" s="2">
        <f ca="1"/>
        <v>0.28307025151090759</v>
      </c>
      <c r="AH1675" s="2" t="str">
        <f ca="1"/>
        <v>OK</v>
      </c>
    </row>
    <row r="1676" spans="2:34" x14ac:dyDescent="0.2">
      <c r="B1676" s="2">
        <f ca="1"/>
        <v>0.98540977874362801</v>
      </c>
      <c r="O1676" s="2">
        <f ca="1"/>
        <v>1.3893021215319097</v>
      </c>
      <c r="X1676" s="2">
        <f ca="1"/>
        <v>36.679427583595235</v>
      </c>
      <c r="AG1676" s="2">
        <f ca="1"/>
        <v>2.352728117747227E-2</v>
      </c>
      <c r="AH1676" s="2" t="str">
        <f ca="1"/>
        <v>Good</v>
      </c>
    </row>
    <row r="1677" spans="2:34" x14ac:dyDescent="0.2">
      <c r="B1677" s="2">
        <f ca="1"/>
        <v>0.29347402343376716</v>
      </c>
      <c r="O1677" s="2">
        <f ca="1"/>
        <v>-0.70292191336810017</v>
      </c>
      <c r="X1677" s="2">
        <f ca="1"/>
        <v>29.859763261979158</v>
      </c>
      <c r="AG1677" s="2">
        <f ca="1"/>
        <v>0.83482996549883359</v>
      </c>
      <c r="AH1677" s="2" t="str">
        <f ca="1"/>
        <v>Bad</v>
      </c>
    </row>
    <row r="1678" spans="2:34" x14ac:dyDescent="0.2">
      <c r="B1678" s="2">
        <f ca="1"/>
        <v>0.45768288421833891</v>
      </c>
      <c r="O1678" s="2">
        <f ca="1"/>
        <v>-0.7226009563026432</v>
      </c>
      <c r="X1678" s="2">
        <f ca="1"/>
        <v>52.584825866325808</v>
      </c>
      <c r="AG1678" s="2">
        <f ca="1"/>
        <v>5.3882044083948699E-2</v>
      </c>
      <c r="AH1678" s="2" t="str">
        <f ca="1"/>
        <v>OK</v>
      </c>
    </row>
    <row r="1679" spans="2:34" x14ac:dyDescent="0.2">
      <c r="B1679" s="2">
        <f ca="1"/>
        <v>0.78254759905544824</v>
      </c>
      <c r="O1679" s="2">
        <f ca="1"/>
        <v>0.17195806798721094</v>
      </c>
      <c r="X1679" s="2">
        <f ca="1"/>
        <v>76.187609576000114</v>
      </c>
      <c r="AG1679" s="2">
        <f ca="1"/>
        <v>9.0878156178196168E-2</v>
      </c>
      <c r="AH1679" s="2" t="str">
        <f ca="1"/>
        <v>OK</v>
      </c>
    </row>
    <row r="1680" spans="2:34" x14ac:dyDescent="0.2">
      <c r="B1680" s="2">
        <f ca="1"/>
        <v>0.29984294265687272</v>
      </c>
      <c r="O1680" s="2">
        <f ca="1"/>
        <v>0.58163837683905217</v>
      </c>
      <c r="X1680" s="2">
        <f ca="1"/>
        <v>51.869070912641803</v>
      </c>
      <c r="AG1680" s="2">
        <f ca="1"/>
        <v>0.5050053497826843</v>
      </c>
      <c r="AH1680" s="2" t="str">
        <f ca="1"/>
        <v>Bad</v>
      </c>
    </row>
    <row r="1681" spans="2:34" x14ac:dyDescent="0.2">
      <c r="B1681" s="2">
        <f ca="1"/>
        <v>0.75194123234773835</v>
      </c>
      <c r="O1681" s="2">
        <f ca="1"/>
        <v>-1.1324953626238456</v>
      </c>
      <c r="X1681" s="2">
        <f ca="1"/>
        <v>45.426565867048716</v>
      </c>
      <c r="AG1681" s="2">
        <f ca="1"/>
        <v>6.1291956975979778E-2</v>
      </c>
      <c r="AH1681" s="2" t="str">
        <f ca="1"/>
        <v>OK</v>
      </c>
    </row>
    <row r="1682" spans="2:34" x14ac:dyDescent="0.2">
      <c r="B1682" s="2">
        <f ca="1"/>
        <v>0.22383399637604207</v>
      </c>
      <c r="O1682" s="2">
        <f ca="1"/>
        <v>0.38594426843432228</v>
      </c>
      <c r="X1682" s="2">
        <f ca="1"/>
        <v>39.786270749065686</v>
      </c>
      <c r="AG1682" s="2">
        <f ca="1"/>
        <v>0.14613824344927417</v>
      </c>
      <c r="AH1682" s="2" t="str">
        <f ca="1"/>
        <v>OK</v>
      </c>
    </row>
    <row r="1683" spans="2:34" x14ac:dyDescent="0.2">
      <c r="B1683" s="2">
        <f ca="1"/>
        <v>0.3603257070792627</v>
      </c>
      <c r="O1683" s="2">
        <f ca="1"/>
        <v>-0.61252673776237421</v>
      </c>
      <c r="X1683" s="2">
        <f ca="1"/>
        <v>63.648316339649604</v>
      </c>
      <c r="AG1683" s="2">
        <f ca="1"/>
        <v>2.7355524679080423E-2</v>
      </c>
      <c r="AH1683" s="2" t="str">
        <f ca="1"/>
        <v>Good</v>
      </c>
    </row>
    <row r="1684" spans="2:34" x14ac:dyDescent="0.2">
      <c r="B1684" s="2">
        <f ca="1"/>
        <v>0.66353005908508544</v>
      </c>
      <c r="O1684" s="2">
        <f ca="1"/>
        <v>1.7887183337693733</v>
      </c>
      <c r="X1684" s="2">
        <f ca="1"/>
        <v>47.27915067163061</v>
      </c>
      <c r="AG1684" s="2">
        <f ca="1"/>
        <v>0.36298223640694216</v>
      </c>
      <c r="AH1684" s="2" t="str">
        <f ca="1"/>
        <v>OK</v>
      </c>
    </row>
    <row r="1685" spans="2:34" x14ac:dyDescent="0.2">
      <c r="B1685" s="2">
        <f ca="1"/>
        <v>0.98179641739775536</v>
      </c>
      <c r="O1685" s="2">
        <f ca="1"/>
        <v>0.48039795189770546</v>
      </c>
      <c r="X1685" s="2">
        <f ca="1"/>
        <v>46.170933681620468</v>
      </c>
      <c r="AG1685" s="2">
        <f ca="1"/>
        <v>0.8094553775324429</v>
      </c>
      <c r="AH1685" s="2" t="str">
        <f ca="1"/>
        <v>Bad</v>
      </c>
    </row>
    <row r="1686" spans="2:34" x14ac:dyDescent="0.2">
      <c r="B1686" s="2">
        <f ca="1"/>
        <v>9.96629614557758E-2</v>
      </c>
      <c r="O1686" s="2">
        <f ca="1"/>
        <v>0.21476908602265873</v>
      </c>
      <c r="X1686" s="2">
        <f ca="1"/>
        <v>29.142330835127936</v>
      </c>
      <c r="AG1686" s="2">
        <f ca="1"/>
        <v>0.14088839053390068</v>
      </c>
      <c r="AH1686" s="2" t="str">
        <f ca="1"/>
        <v>OK</v>
      </c>
    </row>
    <row r="1687" spans="2:34" x14ac:dyDescent="0.2">
      <c r="B1687" s="2">
        <f ca="1"/>
        <v>0.64641839708890303</v>
      </c>
      <c r="O1687" s="2">
        <f ca="1"/>
        <v>-0.31259348624891714</v>
      </c>
      <c r="X1687" s="2">
        <f ca="1"/>
        <v>29.547317238756818</v>
      </c>
      <c r="AG1687" s="2">
        <f ca="1"/>
        <v>0.5998961821268145</v>
      </c>
      <c r="AH1687" s="2" t="str">
        <f ca="1"/>
        <v>Bad</v>
      </c>
    </row>
    <row r="1688" spans="2:34" x14ac:dyDescent="0.2">
      <c r="B1688" s="2">
        <f ca="1"/>
        <v>0.24057403121357424</v>
      </c>
      <c r="O1688" s="2">
        <f ca="1"/>
        <v>1.4006031725059409</v>
      </c>
      <c r="X1688" s="2">
        <f ca="1"/>
        <v>65.725321969270254</v>
      </c>
      <c r="AG1688" s="2">
        <f ca="1"/>
        <v>0.56393545617493901</v>
      </c>
      <c r="AH1688" s="2" t="str">
        <f ca="1"/>
        <v>Bad</v>
      </c>
    </row>
    <row r="1689" spans="2:34" x14ac:dyDescent="0.2">
      <c r="B1689" s="2">
        <f ca="1"/>
        <v>0.33995506455655033</v>
      </c>
      <c r="O1689" s="2">
        <f ca="1"/>
        <v>0.15934234529614696</v>
      </c>
      <c r="X1689" s="2">
        <f ca="1"/>
        <v>45.580988950732632</v>
      </c>
      <c r="AG1689" s="2">
        <f ca="1"/>
        <v>0.75105149779704483</v>
      </c>
      <c r="AH1689" s="2" t="str">
        <f ca="1"/>
        <v>Bad</v>
      </c>
    </row>
    <row r="1690" spans="2:34" x14ac:dyDescent="0.2">
      <c r="B1690" s="2">
        <f ca="1"/>
        <v>2.3614216203286631E-2</v>
      </c>
      <c r="O1690" s="2">
        <f ca="1"/>
        <v>2.0727292929932588</v>
      </c>
      <c r="X1690" s="2">
        <f ca="1"/>
        <v>58.14300652928226</v>
      </c>
      <c r="AG1690" s="2">
        <f ca="1"/>
        <v>0.547082197655822</v>
      </c>
      <c r="AH1690" s="2" t="str">
        <f ca="1"/>
        <v>Bad</v>
      </c>
    </row>
    <row r="1691" spans="2:34" x14ac:dyDescent="0.2">
      <c r="B1691" s="2">
        <f ca="1"/>
        <v>0.49052036683689759</v>
      </c>
      <c r="O1691" s="2">
        <f ca="1"/>
        <v>0.92806091414535463</v>
      </c>
      <c r="X1691" s="2">
        <f ca="1"/>
        <v>51.848532339890887</v>
      </c>
      <c r="AG1691" s="2">
        <f ca="1"/>
        <v>0.16591593538175808</v>
      </c>
      <c r="AH1691" s="2" t="str">
        <f ca="1"/>
        <v>OK</v>
      </c>
    </row>
    <row r="1692" spans="2:34" x14ac:dyDescent="0.2">
      <c r="B1692" s="2">
        <f ca="1"/>
        <v>0.48874716908478599</v>
      </c>
      <c r="O1692" s="2">
        <f ca="1"/>
        <v>-1.1533622977904139</v>
      </c>
      <c r="X1692" s="2">
        <f ca="1"/>
        <v>52.727975238968639</v>
      </c>
      <c r="AG1692" s="2">
        <f ca="1"/>
        <v>0.11564577860999448</v>
      </c>
      <c r="AH1692" s="2" t="str">
        <f ca="1"/>
        <v>OK</v>
      </c>
    </row>
    <row r="1693" spans="2:34" x14ac:dyDescent="0.2">
      <c r="B1693" s="2">
        <f ca="1"/>
        <v>0.90407758553345596</v>
      </c>
      <c r="O1693" s="2">
        <f ca="1"/>
        <v>0.95257842891465538</v>
      </c>
      <c r="X1693" s="2">
        <f ca="1"/>
        <v>52.803071689229029</v>
      </c>
      <c r="AG1693" s="2">
        <f ca="1"/>
        <v>0.65730258430831201</v>
      </c>
      <c r="AH1693" s="2" t="str">
        <f ca="1"/>
        <v>Bad</v>
      </c>
    </row>
    <row r="1694" spans="2:34" x14ac:dyDescent="0.2">
      <c r="B1694" s="2">
        <f ca="1"/>
        <v>0.97749106228621385</v>
      </c>
      <c r="O1694" s="2">
        <f ca="1"/>
        <v>0.55296139861602678</v>
      </c>
      <c r="X1694" s="2">
        <f ca="1"/>
        <v>40.754530870535142</v>
      </c>
      <c r="AG1694" s="2">
        <f ca="1"/>
        <v>0.60156270734769812</v>
      </c>
      <c r="AH1694" s="2" t="str">
        <f ca="1"/>
        <v>Bad</v>
      </c>
    </row>
    <row r="1695" spans="2:34" x14ac:dyDescent="0.2">
      <c r="B1695" s="2">
        <f ca="1"/>
        <v>0.61244232739961713</v>
      </c>
      <c r="O1695" s="2">
        <f ca="1"/>
        <v>2.611253923768373</v>
      </c>
      <c r="X1695" s="2">
        <f ca="1"/>
        <v>39.641820241862163</v>
      </c>
      <c r="AG1695" s="2">
        <f ca="1"/>
        <v>0.50938584359170336</v>
      </c>
      <c r="AH1695" s="2" t="str">
        <f ca="1"/>
        <v>Bad</v>
      </c>
    </row>
    <row r="1696" spans="2:34" x14ac:dyDescent="0.2">
      <c r="B1696" s="2">
        <f ca="1"/>
        <v>0.72256224506168842</v>
      </c>
      <c r="O1696" s="2">
        <f ca="1"/>
        <v>7.2096992407406107E-2</v>
      </c>
      <c r="X1696" s="2">
        <f ca="1"/>
        <v>50.895056920865365</v>
      </c>
      <c r="AG1696" s="2">
        <f ca="1"/>
        <v>0.61655034351473281</v>
      </c>
      <c r="AH1696" s="2" t="str">
        <f ca="1"/>
        <v>Bad</v>
      </c>
    </row>
    <row r="1697" spans="2:34" x14ac:dyDescent="0.2">
      <c r="B1697" s="2">
        <f ca="1"/>
        <v>0.31021015401383489</v>
      </c>
      <c r="O1697" s="2">
        <f ca="1"/>
        <v>1.5251654560778991</v>
      </c>
      <c r="X1697" s="2">
        <f ca="1"/>
        <v>49.830284221126448</v>
      </c>
      <c r="AG1697" s="2">
        <f ca="1"/>
        <v>0.20549862578821076</v>
      </c>
      <c r="AH1697" s="2" t="str">
        <f ca="1"/>
        <v>OK</v>
      </c>
    </row>
    <row r="1698" spans="2:34" x14ac:dyDescent="0.2">
      <c r="B1698" s="2">
        <f ca="1"/>
        <v>0.86163240926228402</v>
      </c>
      <c r="O1698" s="2">
        <f ca="1"/>
        <v>0.62209422777175882</v>
      </c>
      <c r="X1698" s="2">
        <f ca="1"/>
        <v>38.430326308138035</v>
      </c>
      <c r="AG1698" s="2">
        <f ca="1"/>
        <v>0.67029061504330123</v>
      </c>
      <c r="AH1698" s="2" t="str">
        <f ca="1"/>
        <v>Bad</v>
      </c>
    </row>
    <row r="1699" spans="2:34" x14ac:dyDescent="0.2">
      <c r="B1699" s="2">
        <f ca="1"/>
        <v>7.0834784393345451E-2</v>
      </c>
      <c r="O1699" s="2">
        <f ca="1"/>
        <v>1.0464310510306438</v>
      </c>
      <c r="X1699" s="2">
        <f ca="1"/>
        <v>56.964527882005541</v>
      </c>
      <c r="AG1699" s="2">
        <f ca="1"/>
        <v>0.31615913570953058</v>
      </c>
      <c r="AH1699" s="2" t="str">
        <f ca="1"/>
        <v>OK</v>
      </c>
    </row>
    <row r="1700" spans="2:34" x14ac:dyDescent="0.2">
      <c r="B1700" s="2">
        <f ca="1"/>
        <v>0.35619295549346242</v>
      </c>
      <c r="O1700" s="2">
        <f ca="1"/>
        <v>-0.25618928912854005</v>
      </c>
      <c r="X1700" s="2">
        <f ca="1"/>
        <v>31.214959455872659</v>
      </c>
      <c r="AG1700" s="2">
        <f ca="1"/>
        <v>0.27043711367049283</v>
      </c>
      <c r="AH1700" s="2" t="str">
        <f ca="1"/>
        <v>OK</v>
      </c>
    </row>
    <row r="1701" spans="2:34" x14ac:dyDescent="0.2">
      <c r="B1701" s="2">
        <f ca="1"/>
        <v>0.88660482545725561</v>
      </c>
      <c r="O1701" s="2">
        <f ca="1"/>
        <v>0.49365714266995575</v>
      </c>
      <c r="X1701" s="2">
        <f ca="1"/>
        <v>38.224749485267935</v>
      </c>
      <c r="AG1701" s="2">
        <f ca="1"/>
        <v>0.82867896775357419</v>
      </c>
      <c r="AH1701" s="2" t="str">
        <f ca="1"/>
        <v>Bad</v>
      </c>
    </row>
    <row r="1702" spans="2:34" x14ac:dyDescent="0.2">
      <c r="B1702" s="2">
        <f ca="1"/>
        <v>0.2750858374079439</v>
      </c>
      <c r="O1702" s="2">
        <f ca="1"/>
        <v>0.7600730287520211</v>
      </c>
      <c r="X1702" s="2">
        <f ca="1"/>
        <v>56.500552236294787</v>
      </c>
      <c r="AG1702" s="2">
        <f ca="1"/>
        <v>0.85875672263263358</v>
      </c>
      <c r="AH1702" s="2" t="str">
        <f ca="1"/>
        <v>Bad</v>
      </c>
    </row>
    <row r="1703" spans="2:34" x14ac:dyDescent="0.2">
      <c r="B1703" s="2">
        <f ca="1"/>
        <v>3.3180864926190212E-2</v>
      </c>
      <c r="O1703" s="2">
        <f ca="1"/>
        <v>0.12665121469988</v>
      </c>
      <c r="X1703" s="2">
        <f ca="1"/>
        <v>67.249327838136836</v>
      </c>
      <c r="AG1703" s="2">
        <f ca="1"/>
        <v>0.97278047365822617</v>
      </c>
      <c r="AH1703" s="2" t="str">
        <f ca="1"/>
        <v>Bad</v>
      </c>
    </row>
    <row r="1704" spans="2:34" x14ac:dyDescent="0.2">
      <c r="B1704" s="2">
        <f ca="1"/>
        <v>0.74819353670546729</v>
      </c>
      <c r="O1704" s="2">
        <f ca="1"/>
        <v>1.1036826732506972</v>
      </c>
      <c r="X1704" s="2">
        <f ca="1"/>
        <v>40.959363360370126</v>
      </c>
      <c r="AG1704" s="2">
        <f ca="1"/>
        <v>1.1410058633155584E-2</v>
      </c>
      <c r="AH1704" s="2" t="str">
        <f ca="1"/>
        <v>Good</v>
      </c>
    </row>
    <row r="1705" spans="2:34" x14ac:dyDescent="0.2">
      <c r="B1705" s="2">
        <f ca="1"/>
        <v>0.6161170271420926</v>
      </c>
      <c r="O1705" s="2">
        <f ca="1"/>
        <v>0.21428785555558338</v>
      </c>
      <c r="X1705" s="2">
        <f ca="1"/>
        <v>64.542098040272364</v>
      </c>
      <c r="AG1705" s="2">
        <f ca="1"/>
        <v>0.40414756628413873</v>
      </c>
      <c r="AH1705" s="2" t="str">
        <f ca="1"/>
        <v>Bad</v>
      </c>
    </row>
    <row r="1706" spans="2:34" x14ac:dyDescent="0.2">
      <c r="B1706" s="2">
        <f ca="1"/>
        <v>0.89571167411538477</v>
      </c>
      <c r="O1706" s="2">
        <f ca="1"/>
        <v>0.15533553228547117</v>
      </c>
      <c r="X1706" s="2">
        <f ca="1"/>
        <v>44.636724197182261</v>
      </c>
      <c r="AG1706" s="2">
        <f ca="1"/>
        <v>0.85407622020752072</v>
      </c>
      <c r="AH1706" s="2" t="str">
        <f ca="1"/>
        <v>Bad</v>
      </c>
    </row>
    <row r="1707" spans="2:34" x14ac:dyDescent="0.2">
      <c r="B1707" s="2">
        <f ca="1"/>
        <v>0.60837673429694172</v>
      </c>
      <c r="O1707" s="2">
        <f ca="1"/>
        <v>-2.3465340982030769</v>
      </c>
      <c r="X1707" s="2">
        <f ca="1"/>
        <v>27.403272233188321</v>
      </c>
      <c r="AG1707" s="2">
        <f ca="1"/>
        <v>5.2662280337498313E-2</v>
      </c>
      <c r="AH1707" s="2" t="str">
        <f ca="1"/>
        <v>OK</v>
      </c>
    </row>
    <row r="1708" spans="2:34" x14ac:dyDescent="0.2">
      <c r="B1708" s="2">
        <f ca="1"/>
        <v>0.68249367532833416</v>
      </c>
      <c r="O1708" s="2">
        <f ca="1"/>
        <v>0.37783393870134979</v>
      </c>
      <c r="X1708" s="2">
        <f ca="1"/>
        <v>97.352439075526036</v>
      </c>
      <c r="AG1708" s="2">
        <f ca="1"/>
        <v>0.12539270411952907</v>
      </c>
      <c r="AH1708" s="2" t="str">
        <f ca="1"/>
        <v>OK</v>
      </c>
    </row>
    <row r="1709" spans="2:34" x14ac:dyDescent="0.2">
      <c r="B1709" s="2">
        <f ca="1"/>
        <v>0.80403646826017994</v>
      </c>
      <c r="O1709" s="2">
        <f ca="1"/>
        <v>-0.28954309544404894</v>
      </c>
      <c r="X1709" s="2">
        <f ca="1"/>
        <v>50.739616727475791</v>
      </c>
      <c r="AG1709" s="2">
        <f ca="1"/>
        <v>7.3595486220622952E-2</v>
      </c>
      <c r="AH1709" s="2" t="str">
        <f ca="1"/>
        <v>OK</v>
      </c>
    </row>
    <row r="1710" spans="2:34" x14ac:dyDescent="0.2">
      <c r="B1710" s="2">
        <f ca="1"/>
        <v>0.84959886601418488</v>
      </c>
      <c r="O1710" s="2">
        <f ca="1"/>
        <v>0.30127866288508814</v>
      </c>
      <c r="X1710" s="2">
        <f ca="1"/>
        <v>68.779579692858263</v>
      </c>
      <c r="AG1710" s="2">
        <f ca="1"/>
        <v>0.80186574559876278</v>
      </c>
      <c r="AH1710" s="2" t="str">
        <f ca="1"/>
        <v>Bad</v>
      </c>
    </row>
    <row r="1711" spans="2:34" x14ac:dyDescent="0.2">
      <c r="B1711" s="2">
        <f ca="1"/>
        <v>0.28825994293068646</v>
      </c>
      <c r="O1711" s="2">
        <f ca="1"/>
        <v>-0.17837685116235408</v>
      </c>
      <c r="X1711" s="2">
        <f ca="1"/>
        <v>30.26073241319812</v>
      </c>
      <c r="AG1711" s="2">
        <f ca="1"/>
        <v>0.12499771570264495</v>
      </c>
      <c r="AH1711" s="2" t="str">
        <f ca="1"/>
        <v>OK</v>
      </c>
    </row>
    <row r="1712" spans="2:34" x14ac:dyDescent="0.2">
      <c r="B1712" s="2">
        <f ca="1"/>
        <v>0.88330455320838941</v>
      </c>
      <c r="O1712" s="2">
        <f ca="1"/>
        <v>-2.1316540664307619</v>
      </c>
      <c r="X1712" s="2">
        <f ca="1"/>
        <v>58.004883079654775</v>
      </c>
      <c r="AG1712" s="2">
        <f ca="1"/>
        <v>0.34393348375823218</v>
      </c>
      <c r="AH1712" s="2" t="str">
        <f ca="1"/>
        <v>OK</v>
      </c>
    </row>
    <row r="1713" spans="2:34" x14ac:dyDescent="0.2">
      <c r="B1713" s="2">
        <f ca="1"/>
        <v>0.55574606417453731</v>
      </c>
      <c r="O1713" s="2">
        <f ca="1"/>
        <v>-2.2659891479473502</v>
      </c>
      <c r="X1713" s="2">
        <f ca="1"/>
        <v>49.880696999865208</v>
      </c>
      <c r="AG1713" s="2">
        <f ca="1"/>
        <v>9.856383561847637E-2</v>
      </c>
      <c r="AH1713" s="2" t="str">
        <f ca="1"/>
        <v>OK</v>
      </c>
    </row>
    <row r="1714" spans="2:34" x14ac:dyDescent="0.2">
      <c r="B1714" s="2">
        <f ca="1"/>
        <v>0.46116616356131246</v>
      </c>
      <c r="O1714" s="2">
        <f ca="1"/>
        <v>-0.29569351769853874</v>
      </c>
      <c r="X1714" s="2">
        <f ca="1"/>
        <v>47.301396101734241</v>
      </c>
      <c r="AG1714" s="2">
        <f ca="1"/>
        <v>0.31116814869872278</v>
      </c>
      <c r="AH1714" s="2" t="str">
        <f ca="1"/>
        <v>OK</v>
      </c>
    </row>
    <row r="1715" spans="2:34" x14ac:dyDescent="0.2">
      <c r="B1715" s="2">
        <f ca="1"/>
        <v>0.63963680285979518</v>
      </c>
      <c r="O1715" s="2">
        <f ca="1"/>
        <v>-0.69545098509155001</v>
      </c>
      <c r="X1715" s="2">
        <f ca="1"/>
        <v>41.643155392819949</v>
      </c>
      <c r="AG1715" s="2">
        <f ca="1"/>
        <v>0.59557703407507456</v>
      </c>
      <c r="AH1715" s="2" t="str">
        <f ca="1"/>
        <v>Bad</v>
      </c>
    </row>
    <row r="1716" spans="2:34" x14ac:dyDescent="0.2">
      <c r="B1716" s="2">
        <f ca="1"/>
        <v>0.61270174488029316</v>
      </c>
      <c r="O1716" s="2">
        <f ca="1"/>
        <v>-0.42621489726481004</v>
      </c>
      <c r="X1716" s="2">
        <f ca="1"/>
        <v>67.052699325743902</v>
      </c>
      <c r="AG1716" s="2">
        <f ca="1"/>
        <v>0.46581500311387258</v>
      </c>
      <c r="AH1716" s="2" t="str">
        <f ca="1"/>
        <v>Bad</v>
      </c>
    </row>
    <row r="1717" spans="2:34" x14ac:dyDescent="0.2">
      <c r="B1717" s="2">
        <f ca="1"/>
        <v>2.6906935838814983E-2</v>
      </c>
      <c r="O1717" s="2">
        <f ca="1"/>
        <v>0.19102557965361422</v>
      </c>
      <c r="X1717" s="2">
        <f ca="1"/>
        <v>37.229718577301043</v>
      </c>
      <c r="AG1717" s="2">
        <f ca="1"/>
        <v>0.74070009689017335</v>
      </c>
      <c r="AH1717" s="2" t="str">
        <f ca="1"/>
        <v>Bad</v>
      </c>
    </row>
    <row r="1718" spans="2:34" x14ac:dyDescent="0.2">
      <c r="B1718" s="2">
        <f ca="1"/>
        <v>0.90550395688188123</v>
      </c>
      <c r="O1718" s="2">
        <f ca="1"/>
        <v>1.5765044144671547</v>
      </c>
      <c r="X1718" s="2">
        <f ca="1"/>
        <v>38.944356814906627</v>
      </c>
      <c r="AG1718" s="2">
        <f ca="1"/>
        <v>0.79928184024807414</v>
      </c>
      <c r="AH1718" s="2" t="str">
        <f ca="1"/>
        <v>Bad</v>
      </c>
    </row>
    <row r="1719" spans="2:34" x14ac:dyDescent="0.2">
      <c r="B1719" s="2">
        <f ca="1"/>
        <v>0.11000925180011456</v>
      </c>
      <c r="O1719" s="2">
        <f ca="1"/>
        <v>0.47879848136178799</v>
      </c>
      <c r="X1719" s="2">
        <f ca="1"/>
        <v>37.208101627982863</v>
      </c>
      <c r="AG1719" s="2">
        <f ca="1"/>
        <v>0.95994387420808325</v>
      </c>
      <c r="AH1719" s="2" t="str">
        <f ca="1"/>
        <v>Bad</v>
      </c>
    </row>
    <row r="1720" spans="2:34" x14ac:dyDescent="0.2">
      <c r="B1720" s="2">
        <f ca="1"/>
        <v>0.54727309126825219</v>
      </c>
      <c r="O1720" s="2">
        <f ca="1"/>
        <v>0.16520722412585473</v>
      </c>
      <c r="X1720" s="2">
        <f ca="1"/>
        <v>77.007663772368801</v>
      </c>
      <c r="AG1720" s="2">
        <f ca="1"/>
        <v>8.286291253441469E-2</v>
      </c>
      <c r="AH1720" s="2" t="str">
        <f ca="1"/>
        <v>OK</v>
      </c>
    </row>
    <row r="1721" spans="2:34" x14ac:dyDescent="0.2">
      <c r="B1721" s="2">
        <f ca="1"/>
        <v>0.43343764773686666</v>
      </c>
      <c r="O1721" s="2">
        <f ca="1"/>
        <v>3.5275862288670336E-2</v>
      </c>
      <c r="X1721" s="2">
        <f ca="1"/>
        <v>45.569971967476981</v>
      </c>
      <c r="AG1721" s="2">
        <f ca="1"/>
        <v>0.90087856598716676</v>
      </c>
      <c r="AH1721" s="2" t="str">
        <f ca="1"/>
        <v>Bad</v>
      </c>
    </row>
    <row r="1722" spans="2:34" x14ac:dyDescent="0.2">
      <c r="B1722" s="2">
        <f ca="1"/>
        <v>5.0848488434906303E-2</v>
      </c>
      <c r="O1722" s="2">
        <f ca="1"/>
        <v>-0.5057651209179711</v>
      </c>
      <c r="X1722" s="2">
        <f ca="1"/>
        <v>38.65904460153228</v>
      </c>
      <c r="AG1722" s="2">
        <f ca="1"/>
        <v>0.45800694754178894</v>
      </c>
      <c r="AH1722" s="2" t="str">
        <f ca="1"/>
        <v>Bad</v>
      </c>
    </row>
    <row r="1723" spans="2:34" x14ac:dyDescent="0.2">
      <c r="B1723" s="2">
        <f ca="1"/>
        <v>0.18964366677738242</v>
      </c>
      <c r="O1723" s="2">
        <f ca="1"/>
        <v>-0.31886737031901424</v>
      </c>
      <c r="X1723" s="2">
        <f ca="1"/>
        <v>42.692573260246093</v>
      </c>
      <c r="AG1723" s="2">
        <f ca="1"/>
        <v>0.16372128533557628</v>
      </c>
      <c r="AH1723" s="2" t="str">
        <f ca="1"/>
        <v>OK</v>
      </c>
    </row>
    <row r="1724" spans="2:34" x14ac:dyDescent="0.2">
      <c r="B1724" s="2">
        <f ca="1"/>
        <v>0.7237230784970583</v>
      </c>
      <c r="O1724" s="2">
        <f ca="1"/>
        <v>-0.34097904754968428</v>
      </c>
      <c r="X1724" s="2">
        <f ca="1"/>
        <v>48.931342298668113</v>
      </c>
      <c r="AG1724" s="2">
        <f ca="1"/>
        <v>0.33382905756080872</v>
      </c>
      <c r="AH1724" s="2" t="str">
        <f ca="1"/>
        <v>OK</v>
      </c>
    </row>
    <row r="1725" spans="2:34" x14ac:dyDescent="0.2">
      <c r="B1725" s="2">
        <f ca="1"/>
        <v>8.4117779888080779E-2</v>
      </c>
      <c r="O1725" s="2">
        <f ca="1"/>
        <v>0.32179853469297248</v>
      </c>
      <c r="X1725" s="2">
        <f ca="1"/>
        <v>52.283027269120971</v>
      </c>
      <c r="AG1725" s="2">
        <f ca="1"/>
        <v>0.14636972630680134</v>
      </c>
      <c r="AH1725" s="2" t="str">
        <f ca="1"/>
        <v>OK</v>
      </c>
    </row>
    <row r="1726" spans="2:34" x14ac:dyDescent="0.2">
      <c r="B1726" s="2">
        <f ca="1"/>
        <v>0.65108076338717091</v>
      </c>
      <c r="O1726" s="2">
        <f ca="1"/>
        <v>1.1331773300327521</v>
      </c>
      <c r="X1726" s="2">
        <f ca="1"/>
        <v>38.77219264737149</v>
      </c>
      <c r="AG1726" s="2">
        <f ca="1"/>
        <v>0.96338997862966336</v>
      </c>
      <c r="AH1726" s="2" t="str">
        <f ca="1"/>
        <v>Bad</v>
      </c>
    </row>
    <row r="1727" spans="2:34" x14ac:dyDescent="0.2">
      <c r="B1727" s="2">
        <f ca="1"/>
        <v>0.32339222886472041</v>
      </c>
      <c r="O1727" s="2">
        <f ca="1"/>
        <v>1.7393663940045845</v>
      </c>
      <c r="X1727" s="2">
        <f ca="1"/>
        <v>42.486113703520644</v>
      </c>
      <c r="AG1727" s="2">
        <f ca="1"/>
        <v>0.75174313787182401</v>
      </c>
      <c r="AH1727" s="2" t="str">
        <f ca="1"/>
        <v>Bad</v>
      </c>
    </row>
    <row r="1728" spans="2:34" x14ac:dyDescent="0.2">
      <c r="B1728" s="2">
        <f ca="1"/>
        <v>0.18954937686945761</v>
      </c>
      <c r="O1728" s="2">
        <f ca="1"/>
        <v>-0.93813816147527984</v>
      </c>
      <c r="X1728" s="2">
        <f ca="1"/>
        <v>69.561841039527479</v>
      </c>
      <c r="AG1728" s="2">
        <f ca="1"/>
        <v>8.6916536065201333E-2</v>
      </c>
      <c r="AH1728" s="2" t="str">
        <f ca="1"/>
        <v>OK</v>
      </c>
    </row>
    <row r="1729" spans="2:34" x14ac:dyDescent="0.2">
      <c r="B1729" s="2">
        <f ca="1"/>
        <v>0.86716946938615913</v>
      </c>
      <c r="O1729" s="2">
        <f ca="1"/>
        <v>-0.74484834615684803</v>
      </c>
      <c r="X1729" s="2">
        <f ca="1"/>
        <v>48.020231798807423</v>
      </c>
      <c r="AG1729" s="2">
        <f ca="1"/>
        <v>0.39636878393213015</v>
      </c>
      <c r="AH1729" s="2" t="str">
        <f ca="1"/>
        <v>OK</v>
      </c>
    </row>
    <row r="1730" spans="2:34" x14ac:dyDescent="0.2">
      <c r="B1730" s="2">
        <f ca="1"/>
        <v>0.81335264687473985</v>
      </c>
      <c r="O1730" s="2">
        <f ca="1"/>
        <v>0.29759634882314645</v>
      </c>
      <c r="X1730" s="2">
        <f ca="1"/>
        <v>35.097275081181095</v>
      </c>
      <c r="AG1730" s="2">
        <f ca="1"/>
        <v>4.1248288876704731E-2</v>
      </c>
      <c r="AH1730" s="2" t="str">
        <f ca="1"/>
        <v>Good</v>
      </c>
    </row>
    <row r="1731" spans="2:34" x14ac:dyDescent="0.2">
      <c r="B1731" s="2">
        <f ca="1"/>
        <v>0.18765757092065205</v>
      </c>
      <c r="O1731" s="2">
        <f ca="1"/>
        <v>-0.90214872137732094</v>
      </c>
      <c r="X1731" s="2">
        <f ca="1"/>
        <v>48.430124737509644</v>
      </c>
      <c r="AG1731" s="2">
        <f ca="1"/>
        <v>0.18873691593756448</v>
      </c>
      <c r="AH1731" s="2" t="str">
        <f ca="1"/>
        <v>OK</v>
      </c>
    </row>
    <row r="1732" spans="2:34" x14ac:dyDescent="0.2">
      <c r="B1732" s="2">
        <f ca="1"/>
        <v>0.11167020825234197</v>
      </c>
      <c r="O1732" s="2">
        <f ca="1"/>
        <v>0.34680700040520041</v>
      </c>
      <c r="X1732" s="2">
        <f ca="1"/>
        <v>65.268126996719971</v>
      </c>
      <c r="AG1732" s="2">
        <f ca="1"/>
        <v>0.68609131881690977</v>
      </c>
      <c r="AH1732" s="2" t="str">
        <f ca="1"/>
        <v>Bad</v>
      </c>
    </row>
    <row r="1733" spans="2:34" x14ac:dyDescent="0.2">
      <c r="B1733" s="2">
        <f ca="1"/>
        <v>0.87641700281218271</v>
      </c>
      <c r="O1733" s="2">
        <f ca="1"/>
        <v>-0.3618349939325779</v>
      </c>
      <c r="X1733" s="2">
        <f ca="1"/>
        <v>36.175976328891267</v>
      </c>
      <c r="AG1733" s="2">
        <f ca="1"/>
        <v>0.42764349839246862</v>
      </c>
      <c r="AH1733" s="2" t="str">
        <f ca="1"/>
        <v>Bad</v>
      </c>
    </row>
    <row r="1734" spans="2:34" x14ac:dyDescent="0.2">
      <c r="B1734" s="2">
        <f ca="1"/>
        <v>0.74493065852856488</v>
      </c>
      <c r="O1734" s="2">
        <f ca="1"/>
        <v>-1.0705780574968795</v>
      </c>
      <c r="X1734" s="2">
        <f ca="1"/>
        <v>28.420514279481054</v>
      </c>
      <c r="AG1734" s="2">
        <f ca="1"/>
        <v>0.11204160956442633</v>
      </c>
      <c r="AH1734" s="2" t="str">
        <f ca="1"/>
        <v>OK</v>
      </c>
    </row>
    <row r="1735" spans="2:34" x14ac:dyDescent="0.2">
      <c r="B1735" s="2">
        <f ca="1"/>
        <v>0.25039659366011735</v>
      </c>
      <c r="O1735" s="2">
        <f ca="1"/>
        <v>0.47508776557276622</v>
      </c>
      <c r="X1735" s="2">
        <f ca="1"/>
        <v>90.141723027882691</v>
      </c>
      <c r="AG1735" s="2">
        <f ca="1"/>
        <v>0.89893100040344298</v>
      </c>
      <c r="AH1735" s="2" t="str">
        <f ca="1"/>
        <v>Bad</v>
      </c>
    </row>
    <row r="1736" spans="2:34" x14ac:dyDescent="0.2">
      <c r="B1736" s="2">
        <f ca="1"/>
        <v>0.434999009917304</v>
      </c>
      <c r="O1736" s="2">
        <f ca="1"/>
        <v>0.45059437999980073</v>
      </c>
      <c r="X1736" s="2">
        <f ca="1"/>
        <v>33.569345931498056</v>
      </c>
      <c r="AG1736" s="2">
        <f ca="1"/>
        <v>0.58672821765582972</v>
      </c>
      <c r="AH1736" s="2" t="str">
        <f ca="1"/>
        <v>Bad</v>
      </c>
    </row>
    <row r="1737" spans="2:34" x14ac:dyDescent="0.2">
      <c r="B1737" s="2">
        <f ca="1"/>
        <v>0.56364407289579987</v>
      </c>
      <c r="O1737" s="2">
        <f ca="1"/>
        <v>-1.1372765906627649</v>
      </c>
      <c r="X1737" s="2">
        <f ca="1"/>
        <v>69.850057967910061</v>
      </c>
      <c r="AG1737" s="2">
        <f ca="1"/>
        <v>0.92563343671617493</v>
      </c>
      <c r="AH1737" s="2" t="str">
        <f ca="1"/>
        <v>Bad</v>
      </c>
    </row>
    <row r="1738" spans="2:34" x14ac:dyDescent="0.2">
      <c r="B1738" s="2">
        <f ca="1"/>
        <v>0.14088018708323768</v>
      </c>
      <c r="O1738" s="2">
        <f ca="1"/>
        <v>-0.6716916686788158</v>
      </c>
      <c r="X1738" s="2">
        <f ca="1"/>
        <v>51.946183876828513</v>
      </c>
      <c r="AG1738" s="2">
        <f ca="1"/>
        <v>0.12999668776077367</v>
      </c>
      <c r="AH1738" s="2" t="str">
        <f ca="1"/>
        <v>OK</v>
      </c>
    </row>
    <row r="1739" spans="2:34" x14ac:dyDescent="0.2">
      <c r="B1739" s="2">
        <f ca="1"/>
        <v>0.10234557842070768</v>
      </c>
      <c r="O1739" s="2">
        <f ca="1"/>
        <v>0.46257442220279293</v>
      </c>
      <c r="X1739" s="2">
        <f ca="1"/>
        <v>55.383815022617291</v>
      </c>
      <c r="AG1739" s="2">
        <f ca="1"/>
        <v>0.16988603357422383</v>
      </c>
      <c r="AH1739" s="2" t="str">
        <f ca="1"/>
        <v>OK</v>
      </c>
    </row>
    <row r="1740" spans="2:34" x14ac:dyDescent="0.2">
      <c r="B1740" s="2">
        <f ca="1"/>
        <v>0.27566617302835739</v>
      </c>
      <c r="O1740" s="2">
        <f ca="1"/>
        <v>0.16366621296279873</v>
      </c>
      <c r="X1740" s="2">
        <f ca="1"/>
        <v>83.511033730702025</v>
      </c>
      <c r="AG1740" s="2">
        <f ca="1"/>
        <v>0.29692314489816418</v>
      </c>
      <c r="AH1740" s="2" t="str">
        <f ca="1"/>
        <v>OK</v>
      </c>
    </row>
    <row r="1741" spans="2:34" x14ac:dyDescent="0.2">
      <c r="B1741" s="2">
        <f ca="1"/>
        <v>0.65224136587546799</v>
      </c>
      <c r="O1741" s="2">
        <f ca="1"/>
        <v>-0.14622097555464289</v>
      </c>
      <c r="X1741" s="2">
        <f ca="1"/>
        <v>64.319341065480032</v>
      </c>
      <c r="AG1741" s="2">
        <f ca="1"/>
        <v>8.6189212181585484E-2</v>
      </c>
      <c r="AH1741" s="2" t="str">
        <f ca="1"/>
        <v>OK</v>
      </c>
    </row>
    <row r="1742" spans="2:34" x14ac:dyDescent="0.2">
      <c r="B1742" s="2">
        <f ca="1"/>
        <v>0.99248177164767792</v>
      </c>
      <c r="O1742" s="2">
        <f ca="1"/>
        <v>-0.38014314596194887</v>
      </c>
      <c r="X1742" s="2">
        <f ca="1"/>
        <v>62.442506973261366</v>
      </c>
      <c r="AG1742" s="2">
        <f ca="1"/>
        <v>0.1534909348632858</v>
      </c>
      <c r="AH1742" s="2" t="str">
        <f ca="1"/>
        <v>OK</v>
      </c>
    </row>
    <row r="1743" spans="2:34" x14ac:dyDescent="0.2">
      <c r="B1743" s="2">
        <f ca="1"/>
        <v>0.5462489726919042</v>
      </c>
      <c r="O1743" s="2">
        <f ca="1"/>
        <v>-0.11949153083133515</v>
      </c>
      <c r="X1743" s="2">
        <f ca="1"/>
        <v>28.582162236236911</v>
      </c>
      <c r="AG1743" s="2">
        <f ca="1"/>
        <v>0.76309814050649272</v>
      </c>
      <c r="AH1743" s="2" t="str">
        <f ca="1"/>
        <v>Bad</v>
      </c>
    </row>
    <row r="1744" spans="2:34" x14ac:dyDescent="0.2">
      <c r="B1744" s="2">
        <f ca="1"/>
        <v>0.19337119845409112</v>
      </c>
      <c r="O1744" s="2">
        <f ca="1"/>
        <v>-0.28191515169199205</v>
      </c>
      <c r="X1744" s="2">
        <f ca="1"/>
        <v>28.782473752506206</v>
      </c>
      <c r="AG1744" s="2">
        <f ca="1"/>
        <v>0.24187554830829439</v>
      </c>
      <c r="AH1744" s="2" t="str">
        <f ca="1"/>
        <v>OK</v>
      </c>
    </row>
    <row r="1745" spans="2:34" x14ac:dyDescent="0.2">
      <c r="B1745" s="2">
        <f ca="1"/>
        <v>0.25568393051402172</v>
      </c>
      <c r="O1745" s="2">
        <f ca="1"/>
        <v>1.46471692162172</v>
      </c>
      <c r="X1745" s="2">
        <f ca="1"/>
        <v>43.312710627585901</v>
      </c>
      <c r="AG1745" s="2">
        <f ca="1"/>
        <v>0.23323201894534318</v>
      </c>
      <c r="AH1745" s="2" t="str">
        <f ca="1"/>
        <v>OK</v>
      </c>
    </row>
    <row r="1746" spans="2:34" x14ac:dyDescent="0.2">
      <c r="B1746" s="2">
        <f ca="1"/>
        <v>0.21082423722432231</v>
      </c>
      <c r="O1746" s="2">
        <f ca="1"/>
        <v>-0.46227194486031936</v>
      </c>
      <c r="X1746" s="2">
        <f ca="1"/>
        <v>42.489090731208883</v>
      </c>
      <c r="AG1746" s="2">
        <f ca="1"/>
        <v>0.86469477678893591</v>
      </c>
      <c r="AH1746" s="2" t="str">
        <f ca="1"/>
        <v>Bad</v>
      </c>
    </row>
    <row r="1747" spans="2:34" x14ac:dyDescent="0.2">
      <c r="B1747" s="2">
        <f ca="1"/>
        <v>0.40812470292336145</v>
      </c>
      <c r="O1747" s="2">
        <f ca="1"/>
        <v>-0.59498783790186949</v>
      </c>
      <c r="X1747" s="2">
        <f ca="1"/>
        <v>24.711379491651854</v>
      </c>
      <c r="AG1747" s="2">
        <f ca="1"/>
        <v>0.29202968712813315</v>
      </c>
      <c r="AH1747" s="2" t="str">
        <f ca="1"/>
        <v>OK</v>
      </c>
    </row>
    <row r="1748" spans="2:34" x14ac:dyDescent="0.2">
      <c r="B1748" s="2">
        <f ca="1"/>
        <v>0.283940498551011</v>
      </c>
      <c r="O1748" s="2">
        <f ca="1"/>
        <v>0.73824289867025061</v>
      </c>
      <c r="X1748" s="2">
        <f ca="1"/>
        <v>38.852059388400463</v>
      </c>
      <c r="AG1748" s="2">
        <f ca="1"/>
        <v>0.26727515617997666</v>
      </c>
      <c r="AH1748" s="2" t="str">
        <f ca="1"/>
        <v>OK</v>
      </c>
    </row>
    <row r="1749" spans="2:34" x14ac:dyDescent="0.2">
      <c r="B1749" s="2">
        <f ca="1"/>
        <v>0.74525229094861722</v>
      </c>
      <c r="O1749" s="2">
        <f ca="1"/>
        <v>-1.6076852136721795</v>
      </c>
      <c r="X1749" s="2">
        <f ca="1"/>
        <v>37.535567807996543</v>
      </c>
      <c r="AG1749" s="2">
        <f ca="1"/>
        <v>0.58782609619662241</v>
      </c>
      <c r="AH1749" s="2" t="str">
        <f ca="1"/>
        <v>Bad</v>
      </c>
    </row>
    <row r="1750" spans="2:34" x14ac:dyDescent="0.2">
      <c r="B1750" s="2">
        <f ca="1"/>
        <v>8.1178809943797781E-2</v>
      </c>
      <c r="O1750" s="2">
        <f ca="1"/>
        <v>0.29555396649743859</v>
      </c>
      <c r="X1750" s="2">
        <f ca="1"/>
        <v>38.856394473025091</v>
      </c>
      <c r="AG1750" s="2">
        <f ca="1"/>
        <v>0.90213622282610628</v>
      </c>
      <c r="AH1750" s="2" t="str">
        <f ca="1"/>
        <v>Bad</v>
      </c>
    </row>
    <row r="1751" spans="2:34" x14ac:dyDescent="0.2">
      <c r="B1751" s="2">
        <f ca="1"/>
        <v>0.16307856395334919</v>
      </c>
      <c r="O1751" s="2">
        <f ca="1"/>
        <v>-0.73964974089693503</v>
      </c>
      <c r="X1751" s="2">
        <f ca="1"/>
        <v>74.379456655102771</v>
      </c>
      <c r="AG1751" s="2">
        <f ca="1"/>
        <v>0.54052812227014302</v>
      </c>
      <c r="AH1751" s="2" t="str">
        <f ca="1"/>
        <v>Bad</v>
      </c>
    </row>
    <row r="1752" spans="2:34" x14ac:dyDescent="0.2">
      <c r="B1752" s="2">
        <f ca="1"/>
        <v>0.90215141095629781</v>
      </c>
      <c r="O1752" s="2">
        <f ca="1"/>
        <v>-0.13119213828614967</v>
      </c>
      <c r="X1752" s="2">
        <f ca="1"/>
        <v>74.52727999813996</v>
      </c>
      <c r="AG1752" s="2">
        <f ca="1"/>
        <v>0.69198668363183602</v>
      </c>
      <c r="AH1752" s="2" t="str">
        <f ca="1"/>
        <v>Bad</v>
      </c>
    </row>
    <row r="1753" spans="2:34" x14ac:dyDescent="0.2">
      <c r="B1753" s="2">
        <f ca="1"/>
        <v>0.24500857954019706</v>
      </c>
      <c r="O1753" s="2">
        <f ca="1"/>
        <v>0.59229575048209315</v>
      </c>
      <c r="X1753" s="2">
        <f ca="1"/>
        <v>37.299930442580873</v>
      </c>
      <c r="AG1753" s="2">
        <f ca="1"/>
        <v>0.20114219883009121</v>
      </c>
      <c r="AH1753" s="2" t="str">
        <f ca="1"/>
        <v>OK</v>
      </c>
    </row>
    <row r="1754" spans="2:34" x14ac:dyDescent="0.2">
      <c r="B1754" s="2">
        <f ca="1"/>
        <v>0.46398109137089838</v>
      </c>
      <c r="O1754" s="2">
        <f ca="1"/>
        <v>0.55590197292910037</v>
      </c>
      <c r="X1754" s="2">
        <f ca="1"/>
        <v>87.329899536703635</v>
      </c>
      <c r="AG1754" s="2">
        <f ca="1"/>
        <v>0.9429546079469211</v>
      </c>
      <c r="AH1754" s="2" t="str">
        <f ca="1"/>
        <v>Bad</v>
      </c>
    </row>
    <row r="1755" spans="2:34" x14ac:dyDescent="0.2">
      <c r="B1755" s="2">
        <f ca="1"/>
        <v>0.49033517431328644</v>
      </c>
      <c r="O1755" s="2">
        <f ca="1"/>
        <v>0.22208080280729356</v>
      </c>
      <c r="X1755" s="2">
        <f ca="1"/>
        <v>26.49429294771722</v>
      </c>
      <c r="AG1755" s="2">
        <f ca="1"/>
        <v>0.56398334362495772</v>
      </c>
      <c r="AH1755" s="2" t="str">
        <f ca="1"/>
        <v>Bad</v>
      </c>
    </row>
    <row r="1756" spans="2:34" x14ac:dyDescent="0.2">
      <c r="B1756" s="2">
        <f ca="1"/>
        <v>0.35742694037824529</v>
      </c>
      <c r="O1756" s="2">
        <f ca="1"/>
        <v>0.74462800432817489</v>
      </c>
      <c r="X1756" s="2">
        <f ca="1"/>
        <v>63.295006718852946</v>
      </c>
      <c r="AG1756" s="2">
        <f ca="1"/>
        <v>0.87077905743840733</v>
      </c>
      <c r="AH1756" s="2" t="str">
        <f ca="1"/>
        <v>Bad</v>
      </c>
    </row>
    <row r="1757" spans="2:34" x14ac:dyDescent="0.2">
      <c r="B1757" s="2">
        <f ca="1"/>
        <v>0.72786764917903191</v>
      </c>
      <c r="O1757" s="2">
        <f ca="1"/>
        <v>-0.52967414214557285</v>
      </c>
      <c r="X1757" s="2">
        <f ca="1"/>
        <v>49.127793278389866</v>
      </c>
      <c r="AG1757" s="2">
        <f ca="1"/>
        <v>0.49186237930296217</v>
      </c>
      <c r="AH1757" s="2" t="str">
        <f ca="1"/>
        <v>Bad</v>
      </c>
    </row>
    <row r="1758" spans="2:34" x14ac:dyDescent="0.2">
      <c r="B1758" s="2">
        <f ca="1"/>
        <v>0.95073451694010847</v>
      </c>
      <c r="O1758" s="2">
        <f ca="1"/>
        <v>-0.1816132589063969</v>
      </c>
      <c r="X1758" s="2">
        <f ca="1"/>
        <v>53.855086564997521</v>
      </c>
      <c r="AG1758" s="2">
        <f ca="1"/>
        <v>0.32380282345429401</v>
      </c>
      <c r="AH1758" s="2" t="str">
        <f ca="1"/>
        <v>OK</v>
      </c>
    </row>
    <row r="1759" spans="2:34" x14ac:dyDescent="0.2">
      <c r="B1759" s="2">
        <f ca="1"/>
        <v>4.5688045011886835E-2</v>
      </c>
      <c r="O1759" s="2">
        <f ca="1"/>
        <v>1.6167108916449713</v>
      </c>
      <c r="X1759" s="2">
        <f ca="1"/>
        <v>60.271966810455439</v>
      </c>
      <c r="AG1759" s="2">
        <f ca="1"/>
        <v>0.48935941179060727</v>
      </c>
      <c r="AH1759" s="2" t="str">
        <f ca="1"/>
        <v>Bad</v>
      </c>
    </row>
    <row r="1760" spans="2:34" x14ac:dyDescent="0.2">
      <c r="B1760" s="2">
        <f ca="1"/>
        <v>0.16954124485702327</v>
      </c>
      <c r="O1760" s="2">
        <f ca="1"/>
        <v>2.0538632544752775</v>
      </c>
      <c r="X1760" s="2">
        <f ca="1"/>
        <v>52.812500153462921</v>
      </c>
      <c r="AG1760" s="2">
        <f ca="1"/>
        <v>0.5052538165192364</v>
      </c>
      <c r="AH1760" s="2" t="str">
        <f ca="1"/>
        <v>Bad</v>
      </c>
    </row>
    <row r="1761" spans="2:34" x14ac:dyDescent="0.2">
      <c r="B1761" s="2">
        <f ca="1"/>
        <v>0.98766813453059532</v>
      </c>
      <c r="O1761" s="2">
        <f ca="1"/>
        <v>0.16739493988516602</v>
      </c>
      <c r="X1761" s="2">
        <f ca="1"/>
        <v>66.387002538131071</v>
      </c>
      <c r="AG1761" s="2">
        <f ca="1"/>
        <v>0.25045284777824017</v>
      </c>
      <c r="AH1761" s="2" t="str">
        <f ca="1"/>
        <v>OK</v>
      </c>
    </row>
    <row r="1762" spans="2:34" x14ac:dyDescent="0.2">
      <c r="B1762" s="2">
        <f ca="1"/>
        <v>0.73859713131981719</v>
      </c>
      <c r="O1762" s="2">
        <f ca="1"/>
        <v>-2.6883607414895079</v>
      </c>
      <c r="X1762" s="2">
        <f ca="1"/>
        <v>37.918654635202969</v>
      </c>
      <c r="AG1762" s="2">
        <f ca="1"/>
        <v>0.85897646366491287</v>
      </c>
      <c r="AH1762" s="2" t="str">
        <f ca="1"/>
        <v>Bad</v>
      </c>
    </row>
    <row r="1763" spans="2:34" x14ac:dyDescent="0.2">
      <c r="B1763" s="2">
        <f ca="1"/>
        <v>0.7071006650522742</v>
      </c>
      <c r="O1763" s="2">
        <f ca="1"/>
        <v>0.8457281818288741</v>
      </c>
      <c r="X1763" s="2">
        <f ca="1"/>
        <v>69.143735671634204</v>
      </c>
      <c r="AG1763" s="2">
        <f ca="1"/>
        <v>0.59286091188614365</v>
      </c>
      <c r="AH1763" s="2" t="str">
        <f ca="1"/>
        <v>Bad</v>
      </c>
    </row>
    <row r="1764" spans="2:34" x14ac:dyDescent="0.2">
      <c r="B1764" s="2">
        <f ca="1"/>
        <v>8.0899808410386687E-2</v>
      </c>
      <c r="O1764" s="2">
        <f ca="1"/>
        <v>0.18532515013686487</v>
      </c>
      <c r="X1764" s="2">
        <f ca="1"/>
        <v>51.659788633344085</v>
      </c>
      <c r="AG1764" s="2">
        <f ca="1"/>
        <v>0.18415549854030644</v>
      </c>
      <c r="AH1764" s="2" t="str">
        <f ca="1"/>
        <v>OK</v>
      </c>
    </row>
    <row r="1765" spans="2:34" x14ac:dyDescent="0.2">
      <c r="B1765" s="2">
        <f ca="1"/>
        <v>0.57514476429380279</v>
      </c>
      <c r="O1765" s="2">
        <f ca="1"/>
        <v>0.25487556485954327</v>
      </c>
      <c r="X1765" s="2">
        <f ca="1"/>
        <v>45.054901890410058</v>
      </c>
      <c r="AG1765" s="2">
        <f ca="1"/>
        <v>0.97261735921899217</v>
      </c>
      <c r="AH1765" s="2" t="str">
        <f ca="1"/>
        <v>Bad</v>
      </c>
    </row>
    <row r="1766" spans="2:34" x14ac:dyDescent="0.2">
      <c r="B1766" s="2">
        <f ca="1"/>
        <v>0.55501196004944298</v>
      </c>
      <c r="O1766" s="2">
        <f ca="1"/>
        <v>1.4792638162546752</v>
      </c>
      <c r="X1766" s="2">
        <f ca="1"/>
        <v>46.147606118303692</v>
      </c>
      <c r="AG1766" s="2">
        <f ca="1"/>
        <v>0.17622735110132659</v>
      </c>
      <c r="AH1766" s="2" t="str">
        <f ca="1"/>
        <v>OK</v>
      </c>
    </row>
    <row r="1767" spans="2:34" x14ac:dyDescent="0.2">
      <c r="B1767" s="2">
        <f ca="1"/>
        <v>0.36672379192729121</v>
      </c>
      <c r="O1767" s="2">
        <f ca="1"/>
        <v>1.4741884380851067</v>
      </c>
      <c r="X1767" s="2">
        <f ca="1"/>
        <v>42.817667512635651</v>
      </c>
      <c r="AG1767" s="2">
        <f ca="1"/>
        <v>0.4209962824179434</v>
      </c>
      <c r="AH1767" s="2" t="str">
        <f ca="1"/>
        <v>Bad</v>
      </c>
    </row>
    <row r="1768" spans="2:34" x14ac:dyDescent="0.2">
      <c r="B1768" s="2">
        <f ca="1"/>
        <v>0.47096593508833395</v>
      </c>
      <c r="O1768" s="2">
        <f ca="1"/>
        <v>0.34084170987503576</v>
      </c>
      <c r="X1768" s="2">
        <f ca="1"/>
        <v>43.146598764143846</v>
      </c>
      <c r="AG1768" s="2">
        <f ca="1"/>
        <v>0.17008595271011839</v>
      </c>
      <c r="AH1768" s="2" t="str">
        <f ca="1"/>
        <v>OK</v>
      </c>
    </row>
    <row r="1769" spans="2:34" x14ac:dyDescent="0.2">
      <c r="B1769" s="2">
        <f ca="1"/>
        <v>0.80617850296740334</v>
      </c>
      <c r="O1769" s="2">
        <f ca="1"/>
        <v>-0.8910127943978815</v>
      </c>
      <c r="X1769" s="2">
        <f ca="1"/>
        <v>42.85183673949993</v>
      </c>
      <c r="AG1769" s="2">
        <f ca="1"/>
        <v>0.3923432245690841</v>
      </c>
      <c r="AH1769" s="2" t="str">
        <f ca="1"/>
        <v>OK</v>
      </c>
    </row>
    <row r="1770" spans="2:34" x14ac:dyDescent="0.2">
      <c r="B1770" s="2">
        <f ca="1"/>
        <v>0.46914920548080175</v>
      </c>
      <c r="O1770" s="2">
        <f ca="1"/>
        <v>-1.1329381509371614</v>
      </c>
      <c r="X1770" s="2">
        <f ca="1"/>
        <v>39.26564341294624</v>
      </c>
      <c r="AG1770" s="2">
        <f ca="1"/>
        <v>0.10840184701319266</v>
      </c>
      <c r="AH1770" s="2" t="str">
        <f ca="1"/>
        <v>OK</v>
      </c>
    </row>
    <row r="1771" spans="2:34" x14ac:dyDescent="0.2">
      <c r="B1771" s="2">
        <f ca="1"/>
        <v>0.3566108678842026</v>
      </c>
      <c r="O1771" s="2">
        <f ca="1"/>
        <v>0.21180746426298802</v>
      </c>
      <c r="X1771" s="2">
        <f ca="1"/>
        <v>44.524727903217382</v>
      </c>
      <c r="AG1771" s="2">
        <f ca="1"/>
        <v>8.2462800280539428E-2</v>
      </c>
      <c r="AH1771" s="2" t="str">
        <f ca="1"/>
        <v>OK</v>
      </c>
    </row>
    <row r="1772" spans="2:34" x14ac:dyDescent="0.2">
      <c r="B1772" s="2">
        <f ca="1"/>
        <v>0.36378558466031063</v>
      </c>
      <c r="O1772" s="2">
        <f ca="1"/>
        <v>0.30268801556257158</v>
      </c>
      <c r="X1772" s="2">
        <f ca="1"/>
        <v>79.986032250586149</v>
      </c>
      <c r="AG1772" s="2">
        <f ca="1"/>
        <v>0.68770456160075688</v>
      </c>
      <c r="AH1772" s="2" t="str">
        <f ca="1"/>
        <v>Bad</v>
      </c>
    </row>
    <row r="1773" spans="2:34" x14ac:dyDescent="0.2">
      <c r="B1773" s="2">
        <f ca="1"/>
        <v>0.95519043751863264</v>
      </c>
      <c r="O1773" s="2">
        <f ca="1"/>
        <v>-0.14253079081107986</v>
      </c>
      <c r="X1773" s="2">
        <f ca="1"/>
        <v>45.769402116628214</v>
      </c>
      <c r="AG1773" s="2">
        <f ca="1"/>
        <v>0.3382542406747886</v>
      </c>
      <c r="AH1773" s="2" t="str">
        <f ca="1"/>
        <v>OK</v>
      </c>
    </row>
    <row r="1774" spans="2:34" x14ac:dyDescent="0.2">
      <c r="B1774" s="2">
        <f ca="1"/>
        <v>0.76664153641719923</v>
      </c>
      <c r="O1774" s="2">
        <f ca="1"/>
        <v>-0.18050541531384529</v>
      </c>
      <c r="X1774" s="2">
        <f ca="1"/>
        <v>51.763164458239473</v>
      </c>
      <c r="AG1774" s="2">
        <f ca="1"/>
        <v>0.55304443155350769</v>
      </c>
      <c r="AH1774" s="2" t="str">
        <f ca="1"/>
        <v>Bad</v>
      </c>
    </row>
    <row r="1775" spans="2:34" x14ac:dyDescent="0.2">
      <c r="B1775" s="2">
        <f ca="1"/>
        <v>0.35967252954925488</v>
      </c>
      <c r="O1775" s="2">
        <f ca="1"/>
        <v>-0.34524244366299683</v>
      </c>
      <c r="X1775" s="2">
        <f ca="1"/>
        <v>40.127170899578523</v>
      </c>
      <c r="AG1775" s="2">
        <f ca="1"/>
        <v>8.797739369726254E-2</v>
      </c>
      <c r="AH1775" s="2" t="str">
        <f ca="1"/>
        <v>OK</v>
      </c>
    </row>
    <row r="1776" spans="2:34" x14ac:dyDescent="0.2">
      <c r="B1776" s="2">
        <f ca="1"/>
        <v>0.40420484871111784</v>
      </c>
      <c r="O1776" s="2">
        <f ca="1"/>
        <v>-1.7584911531981746</v>
      </c>
      <c r="X1776" s="2">
        <f ca="1"/>
        <v>37.144206228230161</v>
      </c>
      <c r="AG1776" s="2">
        <f ca="1"/>
        <v>0.54012836245588391</v>
      </c>
      <c r="AH1776" s="2" t="str">
        <f ca="1"/>
        <v>Bad</v>
      </c>
    </row>
    <row r="1777" spans="2:34" x14ac:dyDescent="0.2">
      <c r="B1777" s="2">
        <f ca="1"/>
        <v>0.20142744669831503</v>
      </c>
      <c r="O1777" s="2">
        <f ca="1"/>
        <v>0.48894307678693738</v>
      </c>
      <c r="X1777" s="2">
        <f ca="1"/>
        <v>64.069994716276454</v>
      </c>
      <c r="AG1777" s="2">
        <f ca="1"/>
        <v>0.16468421652868659</v>
      </c>
      <c r="AH1777" s="2" t="str">
        <f ca="1"/>
        <v>OK</v>
      </c>
    </row>
    <row r="1778" spans="2:34" x14ac:dyDescent="0.2">
      <c r="B1778" s="2">
        <f ca="1"/>
        <v>7.1769458344058012E-2</v>
      </c>
      <c r="O1778" s="2">
        <f ca="1"/>
        <v>1.2932106714459142</v>
      </c>
      <c r="X1778" s="2">
        <f ca="1"/>
        <v>55.077161835969278</v>
      </c>
      <c r="AG1778" s="2">
        <f ca="1"/>
        <v>0.74385801930154427</v>
      </c>
      <c r="AH1778" s="2" t="str">
        <f ca="1"/>
        <v>Bad</v>
      </c>
    </row>
    <row r="1779" spans="2:34" x14ac:dyDescent="0.2">
      <c r="B1779" s="2">
        <f ca="1"/>
        <v>0.90772647805381923</v>
      </c>
      <c r="O1779" s="2">
        <f ca="1"/>
        <v>0.15156995691233388</v>
      </c>
      <c r="X1779" s="2">
        <f ca="1"/>
        <v>53.185042228931579</v>
      </c>
      <c r="AG1779" s="2">
        <f ca="1"/>
        <v>0.14324880848419275</v>
      </c>
      <c r="AH1779" s="2" t="str">
        <f ca="1"/>
        <v>OK</v>
      </c>
    </row>
    <row r="1780" spans="2:34" x14ac:dyDescent="0.2">
      <c r="B1780" s="2">
        <f ca="1"/>
        <v>0.64313364773630188</v>
      </c>
      <c r="O1780" s="2">
        <f ca="1"/>
        <v>2.2612976219972603</v>
      </c>
      <c r="X1780" s="2">
        <f ca="1"/>
        <v>44.472435471712195</v>
      </c>
      <c r="AG1780" s="2">
        <f ca="1"/>
        <v>0.70063833108139639</v>
      </c>
      <c r="AH1780" s="2" t="str">
        <f ca="1"/>
        <v>Bad</v>
      </c>
    </row>
    <row r="1781" spans="2:34" x14ac:dyDescent="0.2">
      <c r="B1781" s="2">
        <f ca="1"/>
        <v>0.28028058815100709</v>
      </c>
      <c r="O1781" s="2">
        <f ca="1"/>
        <v>-0.43549236946158476</v>
      </c>
      <c r="X1781" s="2">
        <f ca="1"/>
        <v>39.622359769560681</v>
      </c>
      <c r="AG1781" s="2">
        <f ca="1"/>
        <v>0.53487367189588308</v>
      </c>
      <c r="AH1781" s="2" t="str">
        <f ca="1"/>
        <v>Bad</v>
      </c>
    </row>
    <row r="1782" spans="2:34" x14ac:dyDescent="0.2">
      <c r="B1782" s="2">
        <f ca="1"/>
        <v>0.60626271823240918</v>
      </c>
      <c r="O1782" s="2">
        <f ca="1"/>
        <v>0.20859264419263723</v>
      </c>
      <c r="X1782" s="2">
        <f ca="1"/>
        <v>55.540137032191822</v>
      </c>
      <c r="AG1782" s="2">
        <f ca="1"/>
        <v>0.16403518655533778</v>
      </c>
      <c r="AH1782" s="2" t="str">
        <f ca="1"/>
        <v>OK</v>
      </c>
    </row>
    <row r="1783" spans="2:34" x14ac:dyDescent="0.2">
      <c r="B1783" s="2">
        <f ca="1"/>
        <v>0.38849471098247457</v>
      </c>
      <c r="O1783" s="2">
        <f ca="1"/>
        <v>-0.57672261784733714</v>
      </c>
      <c r="X1783" s="2">
        <f ca="1"/>
        <v>64.614442638483553</v>
      </c>
      <c r="AG1783" s="2">
        <f ca="1"/>
        <v>0.35748234781719801</v>
      </c>
      <c r="AH1783" s="2" t="str">
        <f ca="1"/>
        <v>OK</v>
      </c>
    </row>
    <row r="1784" spans="2:34" x14ac:dyDescent="0.2">
      <c r="B1784" s="2">
        <f ca="1"/>
        <v>0.94230709558417214</v>
      </c>
      <c r="O1784" s="2">
        <f ca="1"/>
        <v>-0.20387023638612356</v>
      </c>
      <c r="X1784" s="2">
        <f ca="1"/>
        <v>49.18040510002178</v>
      </c>
      <c r="AG1784" s="2">
        <f ca="1"/>
        <v>0.58224657895081156</v>
      </c>
      <c r="AH1784" s="2" t="str">
        <f ca="1"/>
        <v>Bad</v>
      </c>
    </row>
    <row r="1785" spans="2:34" x14ac:dyDescent="0.2">
      <c r="B1785" s="2">
        <f ca="1"/>
        <v>0.95085509324537698</v>
      </c>
      <c r="O1785" s="2">
        <f ca="1"/>
        <v>0.23488302267658687</v>
      </c>
      <c r="X1785" s="2">
        <f ca="1"/>
        <v>89.83868982209971</v>
      </c>
      <c r="AG1785" s="2">
        <f ca="1"/>
        <v>0.30928473388100075</v>
      </c>
      <c r="AH1785" s="2" t="str">
        <f ca="1"/>
        <v>OK</v>
      </c>
    </row>
    <row r="1786" spans="2:34" x14ac:dyDescent="0.2">
      <c r="B1786" s="2">
        <f ca="1"/>
        <v>0.8675473690996085</v>
      </c>
      <c r="O1786" s="2">
        <f ca="1"/>
        <v>-1.4078130797587605</v>
      </c>
      <c r="X1786" s="2">
        <f ca="1"/>
        <v>65.587015454636756</v>
      </c>
      <c r="AG1786" s="2">
        <f ca="1"/>
        <v>0.70233430558022891</v>
      </c>
      <c r="AH1786" s="2" t="str">
        <f ca="1"/>
        <v>Bad</v>
      </c>
    </row>
    <row r="1787" spans="2:34" x14ac:dyDescent="0.2">
      <c r="B1787" s="2">
        <f ca="1"/>
        <v>0.93948626640495059</v>
      </c>
      <c r="O1787" s="2">
        <f ca="1"/>
        <v>-7.9801505437099574E-2</v>
      </c>
      <c r="X1787" s="2">
        <f ca="1"/>
        <v>59.139744367833984</v>
      </c>
      <c r="AG1787" s="2">
        <f ca="1"/>
        <v>5.351530490137324E-2</v>
      </c>
      <c r="AH1787" s="2" t="str">
        <f ca="1"/>
        <v>OK</v>
      </c>
    </row>
    <row r="1788" spans="2:34" x14ac:dyDescent="0.2">
      <c r="B1788" s="2">
        <f ca="1"/>
        <v>0.10168745006335955</v>
      </c>
      <c r="O1788" s="2">
        <f ca="1"/>
        <v>1.2534634916843612</v>
      </c>
      <c r="X1788" s="2">
        <f ca="1"/>
        <v>42.623887095604402</v>
      </c>
      <c r="AG1788" s="2">
        <f ca="1"/>
        <v>0.82375201540209808</v>
      </c>
      <c r="AH1788" s="2" t="str">
        <f ca="1"/>
        <v>Bad</v>
      </c>
    </row>
    <row r="1789" spans="2:34" x14ac:dyDescent="0.2">
      <c r="B1789" s="2">
        <f ca="1"/>
        <v>0.67741394431143109</v>
      </c>
      <c r="O1789" s="2">
        <f ca="1"/>
        <v>-0.30895204027744538</v>
      </c>
      <c r="X1789" s="2">
        <f ca="1"/>
        <v>46.52305741521328</v>
      </c>
      <c r="AG1789" s="2">
        <f ca="1"/>
        <v>0.45436341741622077</v>
      </c>
      <c r="AH1789" s="2" t="str">
        <f ca="1"/>
        <v>Bad</v>
      </c>
    </row>
    <row r="1790" spans="2:34" x14ac:dyDescent="0.2">
      <c r="B1790" s="2">
        <f ca="1"/>
        <v>0.53824322209521558</v>
      </c>
      <c r="O1790" s="2">
        <f ca="1"/>
        <v>-1.3166604929011521</v>
      </c>
      <c r="X1790" s="2">
        <f ca="1"/>
        <v>71.954887350838362</v>
      </c>
      <c r="AG1790" s="2">
        <f ca="1"/>
        <v>0.57176787884117775</v>
      </c>
      <c r="AH1790" s="2" t="str">
        <f ca="1"/>
        <v>Bad</v>
      </c>
    </row>
    <row r="1791" spans="2:34" x14ac:dyDescent="0.2">
      <c r="B1791" s="2">
        <f ca="1"/>
        <v>0.55661511232645511</v>
      </c>
      <c r="O1791" s="2">
        <f ca="1"/>
        <v>-0.85770770228625182</v>
      </c>
      <c r="X1791" s="2">
        <f ca="1"/>
        <v>56.461977602573235</v>
      </c>
      <c r="AG1791" s="2">
        <f ca="1"/>
        <v>0.62544445036210528</v>
      </c>
      <c r="AH1791" s="2" t="str">
        <f ca="1"/>
        <v>Bad</v>
      </c>
    </row>
    <row r="1792" spans="2:34" x14ac:dyDescent="0.2">
      <c r="B1792" s="2">
        <f ca="1"/>
        <v>0.55001651477258839</v>
      </c>
      <c r="O1792" s="2">
        <f ca="1"/>
        <v>-0.1912720518912088</v>
      </c>
      <c r="X1792" s="2">
        <f ca="1"/>
        <v>44.803789386848464</v>
      </c>
      <c r="AG1792" s="2">
        <f ca="1"/>
        <v>5.5229128141101036E-2</v>
      </c>
      <c r="AH1792" s="2" t="str">
        <f ca="1"/>
        <v>OK</v>
      </c>
    </row>
    <row r="1793" spans="2:34" x14ac:dyDescent="0.2">
      <c r="B1793" s="2">
        <f ca="1"/>
        <v>0.20726956075708181</v>
      </c>
      <c r="O1793" s="2">
        <f ca="1"/>
        <v>0.12670652383847789</v>
      </c>
      <c r="X1793" s="2">
        <f ca="1"/>
        <v>51.204567416224258</v>
      </c>
      <c r="AG1793" s="2">
        <f ca="1"/>
        <v>0.18526955609319429</v>
      </c>
      <c r="AH1793" s="2" t="str">
        <f ca="1"/>
        <v>OK</v>
      </c>
    </row>
    <row r="1794" spans="2:34" x14ac:dyDescent="0.2">
      <c r="B1794" s="2">
        <f ca="1"/>
        <v>0.43072144860178874</v>
      </c>
      <c r="O1794" s="2">
        <f ca="1"/>
        <v>-0.6460034565221473</v>
      </c>
      <c r="X1794" s="2">
        <f ca="1"/>
        <v>42.168486583683453</v>
      </c>
      <c r="AG1794" s="2">
        <f ca="1"/>
        <v>0.23164463466486263</v>
      </c>
      <c r="AH1794" s="2" t="str">
        <f ca="1"/>
        <v>OK</v>
      </c>
    </row>
    <row r="1795" spans="2:34" x14ac:dyDescent="0.2">
      <c r="B1795" s="2">
        <f ca="1"/>
        <v>0.78214509627859985</v>
      </c>
      <c r="O1795" s="2">
        <f ca="1"/>
        <v>-0.40554819022692001</v>
      </c>
      <c r="X1795" s="2">
        <f ca="1"/>
        <v>63.262287431927575</v>
      </c>
      <c r="AG1795" s="2">
        <f ca="1"/>
        <v>0.36892726391185593</v>
      </c>
      <c r="AH1795" s="2" t="str">
        <f ca="1"/>
        <v>OK</v>
      </c>
    </row>
    <row r="1796" spans="2:34" x14ac:dyDescent="0.2">
      <c r="B1796" s="2">
        <f ca="1"/>
        <v>0.29657983516119191</v>
      </c>
      <c r="O1796" s="2">
        <f ca="1"/>
        <v>-0.23284122423535947</v>
      </c>
      <c r="X1796" s="2">
        <f ca="1"/>
        <v>47.180598759863088</v>
      </c>
      <c r="AG1796" s="2">
        <f ca="1"/>
        <v>0.7922530454641783</v>
      </c>
      <c r="AH1796" s="2" t="str">
        <f ca="1"/>
        <v>Bad</v>
      </c>
    </row>
    <row r="1797" spans="2:34" x14ac:dyDescent="0.2">
      <c r="B1797" s="2">
        <f ca="1"/>
        <v>0.20415097846480634</v>
      </c>
      <c r="O1797" s="2">
        <f ca="1"/>
        <v>-0.42901072683062752</v>
      </c>
      <c r="X1797" s="2">
        <f ca="1"/>
        <v>49.038751610040066</v>
      </c>
      <c r="AG1797" s="2">
        <f ca="1"/>
        <v>4.161420702772145E-2</v>
      </c>
      <c r="AH1797" s="2" t="str">
        <f ca="1"/>
        <v>Good</v>
      </c>
    </row>
    <row r="1798" spans="2:34" x14ac:dyDescent="0.2">
      <c r="B1798" s="2">
        <f ca="1"/>
        <v>6.742869100943083E-2</v>
      </c>
      <c r="O1798" s="2">
        <f ca="1"/>
        <v>0.27366728431253307</v>
      </c>
      <c r="X1798" s="2">
        <f ca="1"/>
        <v>62.261256197867226</v>
      </c>
      <c r="AG1798" s="2">
        <f ca="1"/>
        <v>0.6413701718440088</v>
      </c>
      <c r="AH1798" s="2" t="str">
        <f ca="1"/>
        <v>Bad</v>
      </c>
    </row>
    <row r="1799" spans="2:34" x14ac:dyDescent="0.2">
      <c r="B1799" s="2">
        <f ca="1"/>
        <v>0.81039755339696695</v>
      </c>
      <c r="O1799" s="2">
        <f ca="1"/>
        <v>-0.92080441436389115</v>
      </c>
      <c r="X1799" s="2">
        <f ca="1"/>
        <v>53.299233216699939</v>
      </c>
      <c r="AG1799" s="2">
        <f ca="1"/>
        <v>0.4804405489426351</v>
      </c>
      <c r="AH1799" s="2" t="str">
        <f ca="1"/>
        <v>Bad</v>
      </c>
    </row>
    <row r="1800" spans="2:34" x14ac:dyDescent="0.2">
      <c r="B1800" s="2">
        <f ca="1"/>
        <v>0.93643321035522575</v>
      </c>
      <c r="O1800" s="2">
        <f ca="1"/>
        <v>1.6895419922149058</v>
      </c>
      <c r="X1800" s="2">
        <f ca="1"/>
        <v>52.699826217561991</v>
      </c>
      <c r="AG1800" s="2">
        <f ca="1"/>
        <v>6.4661002519945221E-2</v>
      </c>
      <c r="AH1800" s="2" t="str">
        <f ca="1"/>
        <v>OK</v>
      </c>
    </row>
    <row r="1801" spans="2:34" x14ac:dyDescent="0.2">
      <c r="B1801" s="2">
        <f ca="1"/>
        <v>0.25047624618518216</v>
      </c>
      <c r="O1801" s="2">
        <f ca="1"/>
        <v>0.85874338050454224</v>
      </c>
      <c r="X1801" s="2">
        <f ca="1"/>
        <v>97.872605992633964</v>
      </c>
      <c r="AG1801" s="2">
        <f ca="1"/>
        <v>0.46062211348616344</v>
      </c>
      <c r="AH1801" s="2" t="str">
        <f ca="1"/>
        <v>Bad</v>
      </c>
    </row>
    <row r="1802" spans="2:34" x14ac:dyDescent="0.2">
      <c r="B1802" s="2">
        <f ca="1"/>
        <v>0.5086472810183178</v>
      </c>
      <c r="O1802" s="2">
        <f ca="1"/>
        <v>0.94757058432033126</v>
      </c>
      <c r="X1802" s="2">
        <f ca="1"/>
        <v>36.893782173495083</v>
      </c>
      <c r="AG1802" s="2">
        <f ca="1"/>
        <v>0.10591513430682631</v>
      </c>
      <c r="AH1802" s="2" t="str">
        <f ca="1"/>
        <v>OK</v>
      </c>
    </row>
    <row r="1803" spans="2:34" x14ac:dyDescent="0.2">
      <c r="B1803" s="2">
        <f ca="1"/>
        <v>0.69860214403893295</v>
      </c>
      <c r="O1803" s="2">
        <f ca="1"/>
        <v>-0.84900020649267394</v>
      </c>
      <c r="X1803" s="2">
        <f ca="1"/>
        <v>49.714371183780699</v>
      </c>
      <c r="AG1803" s="2">
        <f ca="1"/>
        <v>0.73448528027315385</v>
      </c>
      <c r="AH1803" s="2" t="str">
        <f ca="1"/>
        <v>Bad</v>
      </c>
    </row>
    <row r="1804" spans="2:34" x14ac:dyDescent="0.2">
      <c r="B1804" s="2">
        <f ca="1"/>
        <v>0.94711300268765508</v>
      </c>
      <c r="O1804" s="2">
        <f ca="1"/>
        <v>-1.4238539386598952</v>
      </c>
      <c r="X1804" s="2">
        <f ca="1"/>
        <v>37.520285734575992</v>
      </c>
      <c r="AG1804" s="2">
        <f ca="1"/>
        <v>0.16772706527132564</v>
      </c>
      <c r="AH1804" s="2" t="str">
        <f ca="1"/>
        <v>OK</v>
      </c>
    </row>
    <row r="1805" spans="2:34" x14ac:dyDescent="0.2">
      <c r="B1805" s="2">
        <f ca="1"/>
        <v>0.59764446152145223</v>
      </c>
      <c r="O1805" s="2">
        <f ca="1"/>
        <v>-0.38758846218199305</v>
      </c>
      <c r="X1805" s="2">
        <f ca="1"/>
        <v>76.254910110642228</v>
      </c>
      <c r="AG1805" s="2">
        <f ca="1"/>
        <v>0.12852398099286289</v>
      </c>
      <c r="AH1805" s="2" t="str">
        <f ca="1"/>
        <v>OK</v>
      </c>
    </row>
    <row r="1806" spans="2:34" x14ac:dyDescent="0.2">
      <c r="B1806" s="2">
        <f ca="1"/>
        <v>9.8294462445516428E-2</v>
      </c>
      <c r="O1806" s="2">
        <f ca="1"/>
        <v>-1.2456041977338574</v>
      </c>
      <c r="X1806" s="2">
        <f ca="1"/>
        <v>46.814127586511567</v>
      </c>
      <c r="AG1806" s="2">
        <f ca="1"/>
        <v>0.11080778226983901</v>
      </c>
      <c r="AH1806" s="2" t="str">
        <f ca="1"/>
        <v>OK</v>
      </c>
    </row>
    <row r="1807" spans="2:34" x14ac:dyDescent="0.2">
      <c r="B1807" s="2">
        <f ca="1"/>
        <v>0.46890917984183611</v>
      </c>
      <c r="O1807" s="2">
        <f ca="1"/>
        <v>0.13472672206857672</v>
      </c>
      <c r="X1807" s="2">
        <f ca="1"/>
        <v>69.662640795037689</v>
      </c>
      <c r="AG1807" s="2">
        <f ca="1"/>
        <v>0.49131524523724956</v>
      </c>
      <c r="AH1807" s="2" t="str">
        <f ca="1"/>
        <v>Bad</v>
      </c>
    </row>
    <row r="1808" spans="2:34" x14ac:dyDescent="0.2">
      <c r="B1808" s="2">
        <f ca="1"/>
        <v>0.73113869352072802</v>
      </c>
      <c r="O1808" s="2">
        <f ca="1"/>
        <v>-0.84120802309441312</v>
      </c>
      <c r="X1808" s="2">
        <f ca="1"/>
        <v>57.092586342007024</v>
      </c>
      <c r="AG1808" s="2">
        <f ca="1"/>
        <v>0.4504572031507057</v>
      </c>
      <c r="AH1808" s="2" t="str">
        <f ca="1"/>
        <v>Bad</v>
      </c>
    </row>
    <row r="1809" spans="2:34" x14ac:dyDescent="0.2">
      <c r="B1809" s="2">
        <f ca="1"/>
        <v>0.44623236173105285</v>
      </c>
      <c r="O1809" s="2">
        <f ca="1"/>
        <v>-1.6151399410607056E-2</v>
      </c>
      <c r="X1809" s="2">
        <f ca="1"/>
        <v>48.985953063202075</v>
      </c>
      <c r="AG1809" s="2">
        <f ca="1"/>
        <v>0.40735843291870921</v>
      </c>
      <c r="AH1809" s="2" t="str">
        <f ca="1"/>
        <v>Bad</v>
      </c>
    </row>
    <row r="1810" spans="2:34" x14ac:dyDescent="0.2">
      <c r="B1810" s="2">
        <f ca="1"/>
        <v>0.90930104099742537</v>
      </c>
      <c r="O1810" s="2">
        <f ca="1"/>
        <v>0.82137542438395383</v>
      </c>
      <c r="X1810" s="2">
        <f ca="1"/>
        <v>45.147009423711573</v>
      </c>
      <c r="AG1810" s="2">
        <f ca="1"/>
        <v>6.5979832232065272E-2</v>
      </c>
      <c r="AH1810" s="2" t="str">
        <f ca="1"/>
        <v>OK</v>
      </c>
    </row>
    <row r="1811" spans="2:34" x14ac:dyDescent="0.2">
      <c r="B1811" s="2">
        <f ca="1"/>
        <v>0.87131106625588894</v>
      </c>
      <c r="O1811" s="2">
        <f ca="1"/>
        <v>0.79466309602982155</v>
      </c>
      <c r="X1811" s="2">
        <f ca="1"/>
        <v>43.669372539667194</v>
      </c>
      <c r="AG1811" s="2">
        <f ca="1"/>
        <v>0.92259756464503528</v>
      </c>
      <c r="AH1811" s="2" t="str">
        <f ca="1"/>
        <v>Bad</v>
      </c>
    </row>
    <row r="1812" spans="2:34" x14ac:dyDescent="0.2">
      <c r="B1812" s="2">
        <f ca="1"/>
        <v>0.66670920583280369</v>
      </c>
      <c r="O1812" s="2">
        <f ca="1"/>
        <v>-3.3301832498142461E-3</v>
      </c>
      <c r="X1812" s="2">
        <f ca="1"/>
        <v>48.064234488161304</v>
      </c>
      <c r="AG1812" s="2">
        <f ca="1"/>
        <v>6.0332789165391532E-3</v>
      </c>
      <c r="AH1812" s="2" t="str">
        <f ca="1"/>
        <v>Good</v>
      </c>
    </row>
    <row r="1813" spans="2:34" x14ac:dyDescent="0.2">
      <c r="B1813" s="2">
        <f ca="1"/>
        <v>0.32248485731300436</v>
      </c>
      <c r="O1813" s="2">
        <f ca="1"/>
        <v>0.14617987258085435</v>
      </c>
      <c r="X1813" s="2">
        <f ca="1"/>
        <v>52.890794042037484</v>
      </c>
      <c r="AG1813" s="2">
        <f ca="1"/>
        <v>0.97777932283460056</v>
      </c>
      <c r="AH1813" s="2" t="str">
        <f ca="1"/>
        <v>Bad</v>
      </c>
    </row>
    <row r="1814" spans="2:34" x14ac:dyDescent="0.2">
      <c r="B1814" s="2">
        <f ca="1"/>
        <v>0.63380247284908742</v>
      </c>
      <c r="O1814" s="2">
        <f ca="1"/>
        <v>1.3130087527924235</v>
      </c>
      <c r="X1814" s="2">
        <f ca="1"/>
        <v>34.4788018765068</v>
      </c>
      <c r="AG1814" s="2">
        <f ca="1"/>
        <v>0.18115632836556728</v>
      </c>
      <c r="AH1814" s="2" t="str">
        <f ca="1"/>
        <v>OK</v>
      </c>
    </row>
    <row r="1815" spans="2:34" x14ac:dyDescent="0.2">
      <c r="B1815" s="2">
        <f ca="1"/>
        <v>0.54882540322838058</v>
      </c>
      <c r="O1815" s="2">
        <f ca="1"/>
        <v>1.0441298451515837</v>
      </c>
      <c r="X1815" s="2">
        <f ca="1"/>
        <v>91.18554677498085</v>
      </c>
      <c r="AG1815" s="2">
        <f ca="1"/>
        <v>0.30441941831891817</v>
      </c>
      <c r="AH1815" s="2" t="str">
        <f ca="1"/>
        <v>OK</v>
      </c>
    </row>
    <row r="1816" spans="2:34" x14ac:dyDescent="0.2">
      <c r="B1816" s="2">
        <f ca="1"/>
        <v>0.50310049576522009</v>
      </c>
      <c r="O1816" s="2">
        <f ca="1"/>
        <v>2.1093500225542359</v>
      </c>
      <c r="X1816" s="2">
        <f ca="1"/>
        <v>43.859443888833994</v>
      </c>
      <c r="AG1816" s="2">
        <f ca="1"/>
        <v>0.47299801295059862</v>
      </c>
      <c r="AH1816" s="2" t="str">
        <f ca="1"/>
        <v>Bad</v>
      </c>
    </row>
    <row r="1817" spans="2:34" x14ac:dyDescent="0.2">
      <c r="B1817" s="2">
        <f ca="1"/>
        <v>7.396747800091763E-2</v>
      </c>
      <c r="O1817" s="2">
        <f ca="1"/>
        <v>0.61585870630313932</v>
      </c>
      <c r="X1817" s="2">
        <f ca="1"/>
        <v>23.373979383049438</v>
      </c>
      <c r="AG1817" s="2">
        <f ca="1"/>
        <v>0.9780912176829577</v>
      </c>
      <c r="AH1817" s="2" t="str">
        <f ca="1"/>
        <v>Bad</v>
      </c>
    </row>
    <row r="1818" spans="2:34" x14ac:dyDescent="0.2">
      <c r="B1818" s="2">
        <f ca="1"/>
        <v>0.32366769791070737</v>
      </c>
      <c r="O1818" s="2">
        <f ca="1"/>
        <v>-0.34442349260158228</v>
      </c>
      <c r="X1818" s="2">
        <f ca="1"/>
        <v>52.103432392430491</v>
      </c>
      <c r="AG1818" s="2">
        <f ca="1"/>
        <v>1.799613649023879E-2</v>
      </c>
      <c r="AH1818" s="2" t="str">
        <f ca="1"/>
        <v>Good</v>
      </c>
    </row>
    <row r="1819" spans="2:34" x14ac:dyDescent="0.2">
      <c r="B1819" s="2">
        <f ca="1"/>
        <v>0.45494063525865625</v>
      </c>
      <c r="O1819" s="2">
        <f ca="1"/>
        <v>-2.8504335923772373E-2</v>
      </c>
      <c r="X1819" s="2">
        <f ca="1"/>
        <v>41.875392443805737</v>
      </c>
      <c r="AG1819" s="2">
        <f ca="1"/>
        <v>3.5659818320665781E-2</v>
      </c>
      <c r="AH1819" s="2" t="str">
        <f ca="1"/>
        <v>Good</v>
      </c>
    </row>
    <row r="1820" spans="2:34" x14ac:dyDescent="0.2">
      <c r="B1820" s="2">
        <f ca="1"/>
        <v>0.59635172193550434</v>
      </c>
      <c r="O1820" s="2">
        <f ca="1"/>
        <v>-1.3069789147250015</v>
      </c>
      <c r="X1820" s="2">
        <f ca="1"/>
        <v>51.037704804754974</v>
      </c>
      <c r="AG1820" s="2">
        <f ca="1"/>
        <v>6.9346552079890378E-2</v>
      </c>
      <c r="AH1820" s="2" t="str">
        <f ca="1"/>
        <v>OK</v>
      </c>
    </row>
    <row r="1821" spans="2:34" x14ac:dyDescent="0.2">
      <c r="B1821" s="2">
        <f ca="1"/>
        <v>0.3106113559088437</v>
      </c>
      <c r="O1821" s="2">
        <f ca="1"/>
        <v>-0.8092848358743262</v>
      </c>
      <c r="X1821" s="2">
        <f ca="1"/>
        <v>37.503547354424938</v>
      </c>
      <c r="AG1821" s="2">
        <f ca="1"/>
        <v>9.2573641235264903E-2</v>
      </c>
      <c r="AH1821" s="2" t="str">
        <f ca="1"/>
        <v>OK</v>
      </c>
    </row>
    <row r="1822" spans="2:34" x14ac:dyDescent="0.2">
      <c r="B1822" s="2">
        <f ca="1"/>
        <v>3.8770399072091566E-2</v>
      </c>
      <c r="O1822" s="2">
        <f ca="1"/>
        <v>0.19510764463428942</v>
      </c>
      <c r="X1822" s="2">
        <f ca="1"/>
        <v>54.657483949250256</v>
      </c>
      <c r="AG1822" s="2">
        <f ca="1"/>
        <v>0.87826073331361787</v>
      </c>
      <c r="AH1822" s="2" t="str">
        <f ca="1"/>
        <v>Bad</v>
      </c>
    </row>
    <row r="1823" spans="2:34" x14ac:dyDescent="0.2">
      <c r="B1823" s="2">
        <f ca="1"/>
        <v>0.80809571446096795</v>
      </c>
      <c r="O1823" s="2">
        <f ca="1"/>
        <v>0.61098122267575827</v>
      </c>
      <c r="X1823" s="2">
        <f ca="1"/>
        <v>52.028150077705924</v>
      </c>
      <c r="AG1823" s="2">
        <f ca="1"/>
        <v>0.94658945403053973</v>
      </c>
      <c r="AH1823" s="2" t="str">
        <f ca="1"/>
        <v>Bad</v>
      </c>
    </row>
    <row r="1824" spans="2:34" x14ac:dyDescent="0.2">
      <c r="B1824" s="2">
        <f ca="1"/>
        <v>0.61885435124902255</v>
      </c>
      <c r="O1824" s="2">
        <f ca="1"/>
        <v>0.19340687682336719</v>
      </c>
      <c r="X1824" s="2">
        <f ca="1"/>
        <v>35.874914915286851</v>
      </c>
      <c r="AG1824" s="2">
        <f ca="1"/>
        <v>0.28263816676396525</v>
      </c>
      <c r="AH1824" s="2" t="str">
        <f ca="1"/>
        <v>OK</v>
      </c>
    </row>
    <row r="1825" spans="2:34" x14ac:dyDescent="0.2">
      <c r="B1825" s="2">
        <f ca="1"/>
        <v>0.3416775130358285</v>
      </c>
      <c r="O1825" s="2">
        <f ca="1"/>
        <v>8.3190410738403484E-2</v>
      </c>
      <c r="X1825" s="2">
        <f ca="1"/>
        <v>30.031332420802627</v>
      </c>
      <c r="AG1825" s="2">
        <f ca="1"/>
        <v>0.6664605834025803</v>
      </c>
      <c r="AH1825" s="2" t="str">
        <f ca="1"/>
        <v>Bad</v>
      </c>
    </row>
    <row r="1826" spans="2:34" x14ac:dyDescent="0.2">
      <c r="B1826" s="2">
        <f ca="1"/>
        <v>0.37807604322101196</v>
      </c>
      <c r="O1826" s="2">
        <f ca="1"/>
        <v>1.7177275367708669</v>
      </c>
      <c r="X1826" s="2">
        <f ca="1"/>
        <v>78.79221917586878</v>
      </c>
      <c r="AG1826" s="2">
        <f ca="1"/>
        <v>0.5672086330862538</v>
      </c>
      <c r="AH1826" s="2" t="str">
        <f ca="1"/>
        <v>Bad</v>
      </c>
    </row>
    <row r="1827" spans="2:34" x14ac:dyDescent="0.2">
      <c r="B1827" s="2">
        <f ca="1"/>
        <v>0.16649309003027946</v>
      </c>
      <c r="O1827" s="2">
        <f ca="1"/>
        <v>-0.45185338876101228</v>
      </c>
      <c r="X1827" s="2">
        <f ca="1"/>
        <v>37.547694025481213</v>
      </c>
      <c r="AG1827" s="2">
        <f ca="1"/>
        <v>0.58859595716097246</v>
      </c>
      <c r="AH1827" s="2" t="str">
        <f ca="1"/>
        <v>Bad</v>
      </c>
    </row>
    <row r="1828" spans="2:34" x14ac:dyDescent="0.2">
      <c r="B1828" s="2">
        <f ca="1"/>
        <v>0.13643789990565858</v>
      </c>
      <c r="O1828" s="2">
        <f ca="1"/>
        <v>-0.69204299221370547</v>
      </c>
      <c r="X1828" s="2">
        <f ca="1"/>
        <v>72.543349071890361</v>
      </c>
      <c r="AG1828" s="2">
        <f ca="1"/>
        <v>0.36475006137949562</v>
      </c>
      <c r="AH1828" s="2" t="str">
        <f ca="1"/>
        <v>OK</v>
      </c>
    </row>
    <row r="1829" spans="2:34" x14ac:dyDescent="0.2">
      <c r="B1829" s="2">
        <f ca="1"/>
        <v>0.40614461546150804</v>
      </c>
      <c r="O1829" s="2">
        <f ca="1"/>
        <v>0.59669042729731203</v>
      </c>
      <c r="X1829" s="2">
        <f ca="1"/>
        <v>25.625425780115776</v>
      </c>
      <c r="AG1829" s="2">
        <f ca="1"/>
        <v>3.4247202585354852E-2</v>
      </c>
      <c r="AH1829" s="2" t="str">
        <f ca="1"/>
        <v>Good</v>
      </c>
    </row>
    <row r="1830" spans="2:34" x14ac:dyDescent="0.2">
      <c r="B1830" s="2">
        <f ca="1"/>
        <v>0.1567923707300658</v>
      </c>
      <c r="O1830" s="2">
        <f ca="1"/>
        <v>-1.3404167982699022</v>
      </c>
      <c r="X1830" s="2">
        <f ca="1"/>
        <v>53.539149529852629</v>
      </c>
      <c r="AG1830" s="2">
        <f ca="1"/>
        <v>0.20972196847620661</v>
      </c>
      <c r="AH1830" s="2" t="str">
        <f ca="1"/>
        <v>OK</v>
      </c>
    </row>
    <row r="1831" spans="2:34" x14ac:dyDescent="0.2">
      <c r="B1831" s="2">
        <f ca="1"/>
        <v>6.434811619131553E-2</v>
      </c>
      <c r="O1831" s="2">
        <f ca="1"/>
        <v>0.85219728429355646</v>
      </c>
      <c r="X1831" s="2">
        <f ca="1"/>
        <v>36.771105197560175</v>
      </c>
      <c r="AG1831" s="2">
        <f ca="1"/>
        <v>0.26014123033870518</v>
      </c>
      <c r="AH1831" s="2" t="str">
        <f ca="1"/>
        <v>OK</v>
      </c>
    </row>
    <row r="1832" spans="2:34" x14ac:dyDescent="0.2">
      <c r="B1832" s="2">
        <f ca="1"/>
        <v>0.64365595755274829</v>
      </c>
      <c r="O1832" s="2">
        <f ca="1"/>
        <v>-1.2194966069756976</v>
      </c>
      <c r="X1832" s="2">
        <f ca="1"/>
        <v>44.549343066190488</v>
      </c>
      <c r="AG1832" s="2">
        <f ca="1"/>
        <v>0.52008078282742387</v>
      </c>
      <c r="AH1832" s="2" t="str">
        <f ca="1"/>
        <v>Bad</v>
      </c>
    </row>
    <row r="1833" spans="2:34" x14ac:dyDescent="0.2">
      <c r="B1833" s="2">
        <f ca="1"/>
        <v>0.1950514771703884</v>
      </c>
      <c r="O1833" s="2">
        <f ca="1"/>
        <v>-0.94910785748262894</v>
      </c>
      <c r="X1833" s="2">
        <f ca="1"/>
        <v>53.648309088693971</v>
      </c>
      <c r="AG1833" s="2">
        <f ca="1"/>
        <v>0.16276587549371091</v>
      </c>
      <c r="AH1833" s="2" t="str">
        <f ca="1"/>
        <v>OK</v>
      </c>
    </row>
    <row r="1834" spans="2:34" x14ac:dyDescent="0.2">
      <c r="B1834" s="2">
        <f ca="1"/>
        <v>0.25481721141136959</v>
      </c>
      <c r="O1834" s="2">
        <f ca="1"/>
        <v>0.93952731710154913</v>
      </c>
      <c r="X1834" s="2">
        <f ca="1"/>
        <v>69.597018206665979</v>
      </c>
      <c r="AG1834" s="2">
        <f ca="1"/>
        <v>0.11097431403542135</v>
      </c>
      <c r="AH1834" s="2" t="str">
        <f ca="1"/>
        <v>OK</v>
      </c>
    </row>
    <row r="1835" spans="2:34" x14ac:dyDescent="0.2">
      <c r="B1835" s="2">
        <f ca="1"/>
        <v>0.63560715198882667</v>
      </c>
      <c r="O1835" s="2">
        <f ca="1"/>
        <v>4.7571906887509757E-2</v>
      </c>
      <c r="X1835" s="2">
        <f ca="1"/>
        <v>40.673598920003485</v>
      </c>
      <c r="AG1835" s="2">
        <f ca="1"/>
        <v>0.33062012461097368</v>
      </c>
      <c r="AH1835" s="2" t="str">
        <f ca="1"/>
        <v>OK</v>
      </c>
    </row>
    <row r="1836" spans="2:34" x14ac:dyDescent="0.2">
      <c r="B1836" s="2">
        <f ca="1"/>
        <v>0.9735414506372646</v>
      </c>
      <c r="O1836" s="2">
        <f ca="1"/>
        <v>1.6585350617529724</v>
      </c>
      <c r="X1836" s="2">
        <f ca="1"/>
        <v>121.45014213392463</v>
      </c>
      <c r="AG1836" s="2">
        <f ca="1"/>
        <v>0.56737081035514603</v>
      </c>
      <c r="AH1836" s="2" t="str">
        <f ca="1"/>
        <v>Bad</v>
      </c>
    </row>
    <row r="1837" spans="2:34" x14ac:dyDescent="0.2">
      <c r="B1837" s="2">
        <f ca="1"/>
        <v>0.37204888897438115</v>
      </c>
      <c r="O1837" s="2">
        <f ca="1"/>
        <v>-1.0923920299808987</v>
      </c>
      <c r="X1837" s="2">
        <f ca="1"/>
        <v>40.377161948120737</v>
      </c>
      <c r="AG1837" s="2">
        <f ca="1"/>
        <v>0.70496116660177632</v>
      </c>
      <c r="AH1837" s="2" t="str">
        <f ca="1"/>
        <v>Bad</v>
      </c>
    </row>
    <row r="1838" spans="2:34" x14ac:dyDescent="0.2">
      <c r="B1838" s="2">
        <f ca="1"/>
        <v>0.40163027560214326</v>
      </c>
      <c r="O1838" s="2">
        <f ca="1"/>
        <v>1.0751093435955956</v>
      </c>
      <c r="X1838" s="2">
        <f ca="1"/>
        <v>60.657844120548503</v>
      </c>
      <c r="AG1838" s="2">
        <f ca="1"/>
        <v>0.7368498827527199</v>
      </c>
      <c r="AH1838" s="2" t="str">
        <f ca="1"/>
        <v>Bad</v>
      </c>
    </row>
    <row r="1839" spans="2:34" x14ac:dyDescent="0.2">
      <c r="B1839" s="2">
        <f ca="1"/>
        <v>0.33314189240916958</v>
      </c>
      <c r="O1839" s="2">
        <f ca="1"/>
        <v>0.89926580885880114</v>
      </c>
      <c r="X1839" s="2">
        <f ca="1"/>
        <v>61.999744044753641</v>
      </c>
      <c r="AG1839" s="2">
        <f ca="1"/>
        <v>0.94446611997429075</v>
      </c>
      <c r="AH1839" s="2" t="str">
        <f ca="1"/>
        <v>Bad</v>
      </c>
    </row>
    <row r="1840" spans="2:34" x14ac:dyDescent="0.2">
      <c r="B1840" s="2">
        <f ca="1"/>
        <v>0.98131301572467211</v>
      </c>
      <c r="O1840" s="2">
        <f ca="1"/>
        <v>1.096663114638279</v>
      </c>
      <c r="X1840" s="2">
        <f ca="1"/>
        <v>48.903573939391649</v>
      </c>
      <c r="AG1840" s="2">
        <f ca="1"/>
        <v>0.80279591670575701</v>
      </c>
      <c r="AH1840" s="2" t="str">
        <f ca="1"/>
        <v>Bad</v>
      </c>
    </row>
    <row r="1841" spans="2:34" x14ac:dyDescent="0.2">
      <c r="B1841" s="2">
        <f ca="1"/>
        <v>0.83573148073772052</v>
      </c>
      <c r="O1841" s="2">
        <f ca="1"/>
        <v>0.82209458051312001</v>
      </c>
      <c r="X1841" s="2">
        <f ca="1"/>
        <v>45.173476437840193</v>
      </c>
      <c r="AG1841" s="2">
        <f ca="1"/>
        <v>0.78561855513220413</v>
      </c>
      <c r="AH1841" s="2" t="str">
        <f ca="1"/>
        <v>Bad</v>
      </c>
    </row>
    <row r="1842" spans="2:34" x14ac:dyDescent="0.2">
      <c r="B1842" s="2">
        <f ca="1"/>
        <v>0.52188803302358378</v>
      </c>
      <c r="O1842" s="2">
        <f ca="1"/>
        <v>-0.98792773863578875</v>
      </c>
      <c r="X1842" s="2">
        <f ca="1"/>
        <v>48.083032784107679</v>
      </c>
      <c r="AG1842" s="2">
        <f ca="1"/>
        <v>0.86715588234852081</v>
      </c>
      <c r="AH1842" s="2" t="str">
        <f ca="1"/>
        <v>Bad</v>
      </c>
    </row>
    <row r="1843" spans="2:34" x14ac:dyDescent="0.2">
      <c r="B1843" s="2">
        <f ca="1"/>
        <v>7.7405768054335189E-2</v>
      </c>
      <c r="O1843" s="2">
        <f ca="1"/>
        <v>0.57109525113561632</v>
      </c>
      <c r="X1843" s="2">
        <f ca="1"/>
        <v>27.846536222583001</v>
      </c>
      <c r="AG1843" s="2">
        <f ca="1"/>
        <v>0.39490190823636162</v>
      </c>
      <c r="AH1843" s="2" t="str">
        <f ca="1"/>
        <v>OK</v>
      </c>
    </row>
    <row r="1844" spans="2:34" x14ac:dyDescent="0.2">
      <c r="B1844" s="2">
        <f ca="1"/>
        <v>0.22381146692469756</v>
      </c>
      <c r="O1844" s="2">
        <f ca="1"/>
        <v>-0.56978700903744572</v>
      </c>
      <c r="X1844" s="2">
        <f ca="1"/>
        <v>35.425209062056993</v>
      </c>
      <c r="AG1844" s="2">
        <f ca="1"/>
        <v>0.18572547982001475</v>
      </c>
      <c r="AH1844" s="2" t="str">
        <f ca="1"/>
        <v>OK</v>
      </c>
    </row>
    <row r="1845" spans="2:34" x14ac:dyDescent="0.2">
      <c r="B1845" s="2">
        <f ca="1"/>
        <v>0.90349525392825325</v>
      </c>
      <c r="O1845" s="2">
        <f ca="1"/>
        <v>-0.11383792298785764</v>
      </c>
      <c r="X1845" s="2">
        <f ca="1"/>
        <v>44.810314915326316</v>
      </c>
      <c r="AG1845" s="2">
        <f ca="1"/>
        <v>1.041311706911574E-2</v>
      </c>
      <c r="AH1845" s="2" t="str">
        <f ca="1"/>
        <v>Good</v>
      </c>
    </row>
    <row r="1846" spans="2:34" x14ac:dyDescent="0.2">
      <c r="B1846" s="2">
        <f ca="1"/>
        <v>0.41537606320729359</v>
      </c>
      <c r="O1846" s="2">
        <f ca="1"/>
        <v>0.73412642559086183</v>
      </c>
      <c r="X1846" s="2">
        <f ca="1"/>
        <v>26.658518360980025</v>
      </c>
      <c r="AG1846" s="2">
        <f ca="1"/>
        <v>0.39564959510320219</v>
      </c>
      <c r="AH1846" s="2" t="str">
        <f ca="1"/>
        <v>OK</v>
      </c>
    </row>
    <row r="1847" spans="2:34" x14ac:dyDescent="0.2">
      <c r="B1847" s="2">
        <f ca="1"/>
        <v>0.26790445261604789</v>
      </c>
      <c r="O1847" s="2">
        <f ca="1"/>
        <v>-0.93204550317405011</v>
      </c>
      <c r="X1847" s="2">
        <f ca="1"/>
        <v>26.331327022289855</v>
      </c>
      <c r="AG1847" s="2">
        <f ca="1"/>
        <v>0.10791997815670684</v>
      </c>
      <c r="AH1847" s="2" t="str">
        <f ca="1"/>
        <v>OK</v>
      </c>
    </row>
    <row r="1848" spans="2:34" x14ac:dyDescent="0.2">
      <c r="B1848" s="2">
        <f ca="1"/>
        <v>0.33314569529879989</v>
      </c>
      <c r="O1848" s="2">
        <f ca="1"/>
        <v>-0.95448296690359802</v>
      </c>
      <c r="X1848" s="2">
        <f ca="1"/>
        <v>42.87473255675777</v>
      </c>
      <c r="AG1848" s="2">
        <f ca="1"/>
        <v>0.9949796286435546</v>
      </c>
      <c r="AH1848" s="2" t="str">
        <f ca="1"/>
        <v>Bad</v>
      </c>
    </row>
    <row r="1849" spans="2:34" x14ac:dyDescent="0.2">
      <c r="B1849" s="2">
        <f ca="1"/>
        <v>0.4288417151978321</v>
      </c>
      <c r="O1849" s="2">
        <f ca="1"/>
        <v>0.16511624919186935</v>
      </c>
      <c r="X1849" s="2">
        <f ca="1"/>
        <v>47.902318953668768</v>
      </c>
      <c r="AG1849" s="2">
        <f ca="1"/>
        <v>0.80895933764713446</v>
      </c>
      <c r="AH1849" s="2" t="str">
        <f ca="1"/>
        <v>Bad</v>
      </c>
    </row>
    <row r="1850" spans="2:34" x14ac:dyDescent="0.2">
      <c r="B1850" s="2">
        <f ca="1"/>
        <v>0.5663776991354601</v>
      </c>
      <c r="O1850" s="2">
        <f ca="1"/>
        <v>-1.4195245109434134</v>
      </c>
      <c r="X1850" s="2">
        <f ca="1"/>
        <v>43.073726591025846</v>
      </c>
      <c r="AG1850" s="2">
        <f ca="1"/>
        <v>0.51969797698887321</v>
      </c>
      <c r="AH1850" s="2" t="str">
        <f ca="1"/>
        <v>Bad</v>
      </c>
    </row>
    <row r="1851" spans="2:34" x14ac:dyDescent="0.2">
      <c r="B1851" s="2">
        <f ca="1"/>
        <v>0.26121561722499109</v>
      </c>
      <c r="O1851" s="2">
        <f ca="1"/>
        <v>-1.4371806996422962</v>
      </c>
      <c r="X1851" s="2">
        <f ca="1"/>
        <v>33.342039218384073</v>
      </c>
      <c r="AG1851" s="2">
        <f ca="1"/>
        <v>0.37142518123598434</v>
      </c>
      <c r="AH1851" s="2" t="str">
        <f ca="1"/>
        <v>OK</v>
      </c>
    </row>
    <row r="1852" spans="2:34" x14ac:dyDescent="0.2">
      <c r="B1852" s="2">
        <f ca="1"/>
        <v>0.31841600083487753</v>
      </c>
      <c r="O1852" s="2">
        <f ca="1"/>
        <v>-1.4188311892912613</v>
      </c>
      <c r="X1852" s="2">
        <f ca="1"/>
        <v>45.977112090004113</v>
      </c>
      <c r="AG1852" s="2">
        <f ca="1"/>
        <v>0.66375631612924924</v>
      </c>
      <c r="AH1852" s="2" t="str">
        <f ca="1"/>
        <v>Bad</v>
      </c>
    </row>
    <row r="1853" spans="2:34" x14ac:dyDescent="0.2">
      <c r="B1853" s="2">
        <f ca="1"/>
        <v>0.778681211071651</v>
      </c>
      <c r="O1853" s="2">
        <f ca="1"/>
        <v>0.46529031405029414</v>
      </c>
      <c r="X1853" s="2">
        <f ca="1"/>
        <v>47.409825068221998</v>
      </c>
      <c r="AG1853" s="2">
        <f ca="1"/>
        <v>0.85382102834766882</v>
      </c>
      <c r="AH1853" s="2" t="str">
        <f ca="1"/>
        <v>Bad</v>
      </c>
    </row>
    <row r="1854" spans="2:34" x14ac:dyDescent="0.2">
      <c r="B1854" s="2">
        <f ca="1"/>
        <v>0.87744100607839304</v>
      </c>
      <c r="O1854" s="2">
        <f ca="1"/>
        <v>-0.4258822605025982</v>
      </c>
      <c r="X1854" s="2">
        <f ca="1"/>
        <v>39.019440325899964</v>
      </c>
      <c r="AG1854" s="2">
        <f ca="1"/>
        <v>0.5239509735946497</v>
      </c>
      <c r="AH1854" s="2" t="str">
        <f ca="1"/>
        <v>Bad</v>
      </c>
    </row>
    <row r="1855" spans="2:34" x14ac:dyDescent="0.2">
      <c r="B1855" s="2">
        <f ca="1"/>
        <v>0.82804712992882301</v>
      </c>
      <c r="O1855" s="2">
        <f ca="1"/>
        <v>1.3102988271752773</v>
      </c>
      <c r="X1855" s="2">
        <f ca="1"/>
        <v>45.279614211924859</v>
      </c>
      <c r="AG1855" s="2">
        <f ca="1"/>
        <v>0.76149872678162445</v>
      </c>
      <c r="AH1855" s="2" t="str">
        <f ca="1"/>
        <v>Bad</v>
      </c>
    </row>
    <row r="1856" spans="2:34" x14ac:dyDescent="0.2">
      <c r="B1856" s="2">
        <f ca="1"/>
        <v>0.25664936199647559</v>
      </c>
      <c r="O1856" s="2">
        <f ca="1"/>
        <v>-0.27948055871446131</v>
      </c>
      <c r="X1856" s="2">
        <f ca="1"/>
        <v>47.715399463418706</v>
      </c>
      <c r="AG1856" s="2">
        <f ca="1"/>
        <v>2.382660606864806E-2</v>
      </c>
      <c r="AH1856" s="2" t="str">
        <f ca="1"/>
        <v>Good</v>
      </c>
    </row>
    <row r="1857" spans="2:34" x14ac:dyDescent="0.2">
      <c r="B1857" s="2">
        <f ca="1"/>
        <v>0.68339643397151528</v>
      </c>
      <c r="O1857" s="2">
        <f ca="1"/>
        <v>1.2511698515828407</v>
      </c>
      <c r="X1857" s="2">
        <f ca="1"/>
        <v>83.128065159788008</v>
      </c>
      <c r="AG1857" s="2">
        <f ca="1"/>
        <v>0.23944297219866684</v>
      </c>
      <c r="AH1857" s="2" t="str">
        <f ca="1"/>
        <v>OK</v>
      </c>
    </row>
    <row r="1858" spans="2:34" x14ac:dyDescent="0.2">
      <c r="B1858" s="2">
        <f ca="1"/>
        <v>0.83768578502094138</v>
      </c>
      <c r="O1858" s="2">
        <f ca="1"/>
        <v>1.4294021960489038</v>
      </c>
      <c r="X1858" s="2">
        <f ca="1"/>
        <v>29.134386608788098</v>
      </c>
      <c r="AG1858" s="2">
        <f ca="1"/>
        <v>0.44423853655097778</v>
      </c>
      <c r="AH1858" s="2" t="str">
        <f ca="1"/>
        <v>Bad</v>
      </c>
    </row>
    <row r="1859" spans="2:34" x14ac:dyDescent="0.2">
      <c r="B1859" s="2">
        <f ca="1"/>
        <v>0.32721234432242041</v>
      </c>
      <c r="O1859" s="2">
        <f ca="1"/>
        <v>0.8236891498287684</v>
      </c>
      <c r="X1859" s="2">
        <f ca="1"/>
        <v>37.700416788498963</v>
      </c>
      <c r="AG1859" s="2">
        <f ca="1"/>
        <v>0.84200920712614113</v>
      </c>
      <c r="AH1859" s="2" t="str">
        <f ca="1"/>
        <v>Bad</v>
      </c>
    </row>
    <row r="1860" spans="2:34" x14ac:dyDescent="0.2">
      <c r="B1860" s="2">
        <f ca="1"/>
        <v>0.33069228980632026</v>
      </c>
      <c r="O1860" s="2">
        <f ca="1"/>
        <v>-0.27778960506424893</v>
      </c>
      <c r="X1860" s="2">
        <f ca="1"/>
        <v>92.219558667615814</v>
      </c>
      <c r="AG1860" s="2">
        <f ca="1"/>
        <v>0.6991279818341436</v>
      </c>
      <c r="AH1860" s="2" t="str">
        <f ca="1"/>
        <v>Bad</v>
      </c>
    </row>
    <row r="1861" spans="2:34" x14ac:dyDescent="0.2">
      <c r="B1861" s="2">
        <f ca="1"/>
        <v>0.50057805361004415</v>
      </c>
      <c r="O1861" s="2">
        <f ca="1"/>
        <v>0.28703608576979062</v>
      </c>
      <c r="X1861" s="2">
        <f ca="1"/>
        <v>57.463528784262856</v>
      </c>
      <c r="AG1861" s="2">
        <f ca="1"/>
        <v>0.55466132684406566</v>
      </c>
      <c r="AH1861" s="2" t="str">
        <f ca="1"/>
        <v>Bad</v>
      </c>
    </row>
    <row r="1862" spans="2:34" x14ac:dyDescent="0.2">
      <c r="B1862" s="2">
        <f ca="1"/>
        <v>0.62458238518453246</v>
      </c>
      <c r="O1862" s="2">
        <f ca="1"/>
        <v>-0.90985785844479539</v>
      </c>
      <c r="X1862" s="2">
        <f ca="1"/>
        <v>32.321867785027813</v>
      </c>
      <c r="AG1862" s="2">
        <f ca="1"/>
        <v>0.51911141498442159</v>
      </c>
      <c r="AH1862" s="2" t="str">
        <f ca="1"/>
        <v>Bad</v>
      </c>
    </row>
    <row r="1863" spans="2:34" x14ac:dyDescent="0.2">
      <c r="B1863" s="2">
        <f ca="1"/>
        <v>0.50086389324375702</v>
      </c>
      <c r="O1863" s="2">
        <f ca="1"/>
        <v>1.532945601665231</v>
      </c>
      <c r="X1863" s="2">
        <f ca="1"/>
        <v>45.148083530218521</v>
      </c>
      <c r="AG1863" s="2">
        <f ca="1"/>
        <v>0.46606989257549092</v>
      </c>
      <c r="AH1863" s="2" t="str">
        <f ca="1"/>
        <v>Bad</v>
      </c>
    </row>
    <row r="1864" spans="2:34" x14ac:dyDescent="0.2">
      <c r="B1864" s="2">
        <f ca="1"/>
        <v>0.83645354905889935</v>
      </c>
      <c r="O1864" s="2">
        <f ca="1"/>
        <v>-1.2010512846948668E-2</v>
      </c>
      <c r="X1864" s="2">
        <f ca="1"/>
        <v>35.095812879759542</v>
      </c>
      <c r="AG1864" s="2">
        <f ca="1"/>
        <v>0.8082683557625161</v>
      </c>
      <c r="AH1864" s="2" t="str">
        <f ca="1"/>
        <v>Bad</v>
      </c>
    </row>
    <row r="1865" spans="2:34" x14ac:dyDescent="0.2">
      <c r="B1865" s="2">
        <f ca="1"/>
        <v>4.0020353268986897E-2</v>
      </c>
      <c r="O1865" s="2">
        <f ca="1"/>
        <v>-0.32443579799969796</v>
      </c>
      <c r="X1865" s="2">
        <f ca="1"/>
        <v>31.128820411046114</v>
      </c>
      <c r="AG1865" s="2">
        <f ca="1"/>
        <v>0.33407940997081065</v>
      </c>
      <c r="AH1865" s="2" t="str">
        <f ca="1"/>
        <v>OK</v>
      </c>
    </row>
    <row r="1866" spans="2:34" x14ac:dyDescent="0.2">
      <c r="B1866" s="2">
        <f ca="1"/>
        <v>0.54895764889411391</v>
      </c>
      <c r="O1866" s="2">
        <f ca="1"/>
        <v>-1.4752941306088119</v>
      </c>
      <c r="X1866" s="2">
        <f ca="1"/>
        <v>64.002018381875715</v>
      </c>
      <c r="AG1866" s="2">
        <f ca="1"/>
        <v>0.8254485189228955</v>
      </c>
      <c r="AH1866" s="2" t="str">
        <f ca="1"/>
        <v>Bad</v>
      </c>
    </row>
    <row r="1867" spans="2:34" x14ac:dyDescent="0.2">
      <c r="B1867" s="2">
        <f ca="1"/>
        <v>1.3259677733321151E-2</v>
      </c>
      <c r="O1867" s="2">
        <f ca="1"/>
        <v>-0.93259356081094258</v>
      </c>
      <c r="X1867" s="2">
        <f ca="1"/>
        <v>78.505298296835363</v>
      </c>
      <c r="AG1867" s="2">
        <f ca="1"/>
        <v>7.1478052204796416E-3</v>
      </c>
      <c r="AH1867" s="2" t="str">
        <f ca="1"/>
        <v>Good</v>
      </c>
    </row>
    <row r="1868" spans="2:34" x14ac:dyDescent="0.2">
      <c r="B1868" s="2">
        <f ca="1"/>
        <v>0.93895143070840748</v>
      </c>
      <c r="O1868" s="2">
        <f ca="1"/>
        <v>0.44167174300703493</v>
      </c>
      <c r="X1868" s="2">
        <f ca="1"/>
        <v>49.361438628542004</v>
      </c>
      <c r="AG1868" s="2">
        <f ca="1"/>
        <v>0.9186464969208068</v>
      </c>
      <c r="AH1868" s="2" t="str">
        <f ca="1"/>
        <v>Bad</v>
      </c>
    </row>
    <row r="1869" spans="2:34" x14ac:dyDescent="0.2">
      <c r="B1869" s="2">
        <f ca="1"/>
        <v>0.36196843715446647</v>
      </c>
      <c r="O1869" s="2">
        <f ca="1"/>
        <v>-0.2243868557260412</v>
      </c>
      <c r="X1869" s="2">
        <f ca="1"/>
        <v>43.726889420500157</v>
      </c>
      <c r="AG1869" s="2">
        <f ca="1"/>
        <v>0.26753038408853547</v>
      </c>
      <c r="AH1869" s="2" t="str">
        <f ca="1"/>
        <v>OK</v>
      </c>
    </row>
    <row r="1870" spans="2:34" x14ac:dyDescent="0.2">
      <c r="B1870" s="2">
        <f ca="1"/>
        <v>0.62537568299794466</v>
      </c>
      <c r="O1870" s="2">
        <f ca="1"/>
        <v>0.50270520930998497</v>
      </c>
      <c r="X1870" s="2">
        <f ca="1"/>
        <v>45.497915518591377</v>
      </c>
      <c r="AG1870" s="2">
        <f ca="1"/>
        <v>0.22384775429468418</v>
      </c>
      <c r="AH1870" s="2" t="str">
        <f ca="1"/>
        <v>OK</v>
      </c>
    </row>
    <row r="1871" spans="2:34" x14ac:dyDescent="0.2">
      <c r="B1871" s="2">
        <f ca="1"/>
        <v>0.25477289522785895</v>
      </c>
      <c r="O1871" s="2">
        <f ca="1"/>
        <v>0.63915816581002316</v>
      </c>
      <c r="X1871" s="2">
        <f ca="1"/>
        <v>25.53382880639009</v>
      </c>
      <c r="AG1871" s="2">
        <f ca="1"/>
        <v>0.39084382864337375</v>
      </c>
      <c r="AH1871" s="2" t="str">
        <f ca="1"/>
        <v>OK</v>
      </c>
    </row>
    <row r="1872" spans="2:34" x14ac:dyDescent="0.2">
      <c r="B1872" s="2">
        <f ca="1"/>
        <v>0.2619381089065127</v>
      </c>
      <c r="O1872" s="2">
        <f ca="1"/>
        <v>0.34679387739342227</v>
      </c>
      <c r="X1872" s="2">
        <f ca="1"/>
        <v>39.570811448261637</v>
      </c>
      <c r="AG1872" s="2">
        <f ca="1"/>
        <v>0.6130010103225918</v>
      </c>
      <c r="AH1872" s="2" t="str">
        <f ca="1"/>
        <v>Bad</v>
      </c>
    </row>
    <row r="1873" spans="2:34" x14ac:dyDescent="0.2">
      <c r="B1873" s="2">
        <f ca="1"/>
        <v>0.62754098935912128</v>
      </c>
      <c r="O1873" s="2">
        <f ca="1"/>
        <v>0.81657388328499669</v>
      </c>
      <c r="X1873" s="2">
        <f ca="1"/>
        <v>29.839418408267854</v>
      </c>
      <c r="AG1873" s="2">
        <f ca="1"/>
        <v>0.89100385129905035</v>
      </c>
      <c r="AH1873" s="2" t="str">
        <f ca="1"/>
        <v>Bad</v>
      </c>
    </row>
    <row r="1874" spans="2:34" x14ac:dyDescent="0.2">
      <c r="B1874" s="2">
        <f ca="1"/>
        <v>0.34169852946210622</v>
      </c>
      <c r="O1874" s="2">
        <f ca="1"/>
        <v>-0.95580314806317124</v>
      </c>
      <c r="X1874" s="2">
        <f ca="1"/>
        <v>37.164496525329866</v>
      </c>
      <c r="AG1874" s="2">
        <f ca="1"/>
        <v>0.12476085459885322</v>
      </c>
      <c r="AH1874" s="2" t="str">
        <f ca="1"/>
        <v>OK</v>
      </c>
    </row>
    <row r="1875" spans="2:34" x14ac:dyDescent="0.2">
      <c r="B1875" s="2">
        <f ca="1"/>
        <v>0.24586539166738874</v>
      </c>
      <c r="O1875" s="2">
        <f ca="1"/>
        <v>-2.0727974590639517</v>
      </c>
      <c r="X1875" s="2">
        <f ca="1"/>
        <v>42.354621723264913</v>
      </c>
      <c r="AG1875" s="2">
        <f ca="1"/>
        <v>0.76607392211469061</v>
      </c>
      <c r="AH1875" s="2" t="str">
        <f ca="1"/>
        <v>Bad</v>
      </c>
    </row>
    <row r="1876" spans="2:34" x14ac:dyDescent="0.2">
      <c r="B1876" s="2">
        <f ca="1"/>
        <v>0.76861208709151474</v>
      </c>
      <c r="O1876" s="2">
        <f ca="1"/>
        <v>1.3797132585920182</v>
      </c>
      <c r="X1876" s="2">
        <f ca="1"/>
        <v>55.532550551302165</v>
      </c>
      <c r="AG1876" s="2">
        <f ca="1"/>
        <v>0.91749692992485832</v>
      </c>
      <c r="AH1876" s="2" t="str">
        <f ca="1"/>
        <v>Bad</v>
      </c>
    </row>
    <row r="1877" spans="2:34" x14ac:dyDescent="0.2">
      <c r="B1877" s="2">
        <f ca="1"/>
        <v>0.57842538609961203</v>
      </c>
      <c r="O1877" s="2">
        <f ca="1"/>
        <v>-0.72242079395329972</v>
      </c>
      <c r="X1877" s="2">
        <f ca="1"/>
        <v>67.578965542067507</v>
      </c>
      <c r="AG1877" s="2">
        <f ca="1"/>
        <v>0.72949482007433075</v>
      </c>
      <c r="AH1877" s="2" t="str">
        <f ca="1"/>
        <v>Bad</v>
      </c>
    </row>
    <row r="1878" spans="2:34" x14ac:dyDescent="0.2">
      <c r="B1878" s="2">
        <f ca="1"/>
        <v>0.16859465153337405</v>
      </c>
      <c r="O1878" s="2">
        <f ca="1"/>
        <v>0.87745385021059397</v>
      </c>
      <c r="X1878" s="2">
        <f ca="1"/>
        <v>49.360142247796979</v>
      </c>
      <c r="AG1878" s="2">
        <f ca="1"/>
        <v>9.347535180797184E-2</v>
      </c>
      <c r="AH1878" s="2" t="str">
        <f ca="1"/>
        <v>OK</v>
      </c>
    </row>
    <row r="1879" spans="2:34" x14ac:dyDescent="0.2">
      <c r="B1879" s="2">
        <f ca="1"/>
        <v>0.9605651848463781</v>
      </c>
      <c r="O1879" s="2">
        <f ca="1"/>
        <v>1.1799887687847879</v>
      </c>
      <c r="X1879" s="2">
        <f ca="1"/>
        <v>34.520122151900154</v>
      </c>
      <c r="AG1879" s="2">
        <f ca="1"/>
        <v>0.58050935348867561</v>
      </c>
      <c r="AH1879" s="2" t="str">
        <f ca="1"/>
        <v>Bad</v>
      </c>
    </row>
    <row r="1880" spans="2:34" x14ac:dyDescent="0.2">
      <c r="B1880" s="2">
        <f ca="1"/>
        <v>0.44201980033350186</v>
      </c>
      <c r="O1880" s="2">
        <f ca="1"/>
        <v>1.0346668670546224</v>
      </c>
      <c r="X1880" s="2">
        <f ca="1"/>
        <v>69.488841574259766</v>
      </c>
      <c r="AG1880" s="2">
        <f ca="1"/>
        <v>0.18613151359069668</v>
      </c>
      <c r="AH1880" s="2" t="str">
        <f ca="1"/>
        <v>OK</v>
      </c>
    </row>
    <row r="1881" spans="2:34" x14ac:dyDescent="0.2">
      <c r="B1881" s="2">
        <f ca="1"/>
        <v>0.49297462424731209</v>
      </c>
      <c r="O1881" s="2">
        <f ca="1"/>
        <v>0.76689053976506838</v>
      </c>
      <c r="X1881" s="2">
        <f ca="1"/>
        <v>34.794648418379872</v>
      </c>
      <c r="AG1881" s="2">
        <f ca="1"/>
        <v>2.5918467898882636E-2</v>
      </c>
      <c r="AH1881" s="2" t="str">
        <f ca="1"/>
        <v>Good</v>
      </c>
    </row>
    <row r="1882" spans="2:34" x14ac:dyDescent="0.2">
      <c r="B1882" s="2">
        <f ca="1"/>
        <v>0.85672459921007604</v>
      </c>
      <c r="O1882" s="2">
        <f ca="1"/>
        <v>1.2165410204667644</v>
      </c>
      <c r="X1882" s="2">
        <f ca="1"/>
        <v>35.405188856355004</v>
      </c>
      <c r="AG1882" s="2">
        <f ca="1"/>
        <v>0.30371616213737163</v>
      </c>
      <c r="AH1882" s="2" t="str">
        <f ca="1"/>
        <v>OK</v>
      </c>
    </row>
    <row r="1883" spans="2:34" x14ac:dyDescent="0.2">
      <c r="B1883" s="2">
        <f ca="1"/>
        <v>0.57466547281672686</v>
      </c>
      <c r="O1883" s="2">
        <f ca="1"/>
        <v>0.17068893601313165</v>
      </c>
      <c r="X1883" s="2">
        <f ca="1"/>
        <v>49.688669858294304</v>
      </c>
      <c r="AG1883" s="2">
        <f ca="1"/>
        <v>0.3023267937835179</v>
      </c>
      <c r="AH1883" s="2" t="str">
        <f ca="1"/>
        <v>OK</v>
      </c>
    </row>
    <row r="1884" spans="2:34" x14ac:dyDescent="0.2">
      <c r="B1884" s="2">
        <f ca="1"/>
        <v>0.12789281249172002</v>
      </c>
      <c r="O1884" s="2">
        <f ca="1"/>
        <v>-0.24583338114294176</v>
      </c>
      <c r="X1884" s="2">
        <f ca="1"/>
        <v>45.087804732910456</v>
      </c>
      <c r="AG1884" s="2">
        <f ca="1"/>
        <v>0.56096271852522772</v>
      </c>
      <c r="AH1884" s="2" t="str">
        <f ca="1"/>
        <v>Bad</v>
      </c>
    </row>
    <row r="1885" spans="2:34" x14ac:dyDescent="0.2">
      <c r="B1885" s="2">
        <f ca="1"/>
        <v>0.19231676827174882</v>
      </c>
      <c r="O1885" s="2">
        <f ca="1"/>
        <v>0.81051831395078389</v>
      </c>
      <c r="X1885" s="2">
        <f ca="1"/>
        <v>53.721371756338556</v>
      </c>
      <c r="AG1885" s="2">
        <f ca="1"/>
        <v>0.24635491499779394</v>
      </c>
      <c r="AH1885" s="2" t="str">
        <f ca="1"/>
        <v>OK</v>
      </c>
    </row>
    <row r="1886" spans="2:34" x14ac:dyDescent="0.2">
      <c r="B1886" s="2">
        <f ca="1"/>
        <v>0.85150926650449787</v>
      </c>
      <c r="O1886" s="2">
        <f ca="1"/>
        <v>0.84043197259266522</v>
      </c>
      <c r="X1886" s="2">
        <f ca="1"/>
        <v>46.601893408835892</v>
      </c>
      <c r="AG1886" s="2">
        <f ca="1"/>
        <v>0.54481451481885212</v>
      </c>
      <c r="AH1886" s="2" t="str">
        <f ca="1"/>
        <v>Bad</v>
      </c>
    </row>
    <row r="1887" spans="2:34" x14ac:dyDescent="0.2">
      <c r="B1887" s="2">
        <f ca="1"/>
        <v>0.76074440176150104</v>
      </c>
      <c r="O1887" s="2">
        <f ca="1"/>
        <v>1.9724952349442559</v>
      </c>
      <c r="X1887" s="2">
        <f ca="1"/>
        <v>43.361651139733127</v>
      </c>
      <c r="AG1887" s="2">
        <f ca="1"/>
        <v>0.92687083459956554</v>
      </c>
      <c r="AH1887" s="2" t="str">
        <f ca="1"/>
        <v>Bad</v>
      </c>
    </row>
    <row r="1888" spans="2:34" x14ac:dyDescent="0.2">
      <c r="B1888" s="2">
        <f ca="1"/>
        <v>0.12811399645643573</v>
      </c>
      <c r="O1888" s="2">
        <f ca="1"/>
        <v>0.93550485414155859</v>
      </c>
      <c r="X1888" s="2">
        <f ca="1"/>
        <v>27.36993648986093</v>
      </c>
      <c r="AG1888" s="2">
        <f ca="1"/>
        <v>0.5624662594758798</v>
      </c>
      <c r="AH1888" s="2" t="str">
        <f ca="1"/>
        <v>Bad</v>
      </c>
    </row>
    <row r="1889" spans="2:34" x14ac:dyDescent="0.2">
      <c r="B1889" s="2">
        <f ca="1"/>
        <v>2.6103234873644965E-2</v>
      </c>
      <c r="O1889" s="2">
        <f ca="1"/>
        <v>-6.9395840279583385E-2</v>
      </c>
      <c r="X1889" s="2">
        <f ca="1"/>
        <v>78.303398104321644</v>
      </c>
      <c r="AG1889" s="2">
        <f ca="1"/>
        <v>0.92719258430018359</v>
      </c>
      <c r="AH1889" s="2" t="str">
        <f ca="1"/>
        <v>Bad</v>
      </c>
    </row>
    <row r="1890" spans="2:34" x14ac:dyDescent="0.2">
      <c r="B1890" s="2">
        <f ca="1"/>
        <v>0.82434777116338087</v>
      </c>
      <c r="O1890" s="2">
        <f ca="1"/>
        <v>0.29348204569819664</v>
      </c>
      <c r="X1890" s="2">
        <f ca="1"/>
        <v>47.535479264268503</v>
      </c>
      <c r="AG1890" s="2">
        <f ca="1"/>
        <v>0.35199847102634818</v>
      </c>
      <c r="AH1890" s="2" t="str">
        <f ca="1"/>
        <v>OK</v>
      </c>
    </row>
    <row r="1891" spans="2:34" x14ac:dyDescent="0.2">
      <c r="B1891" s="2">
        <f ca="1"/>
        <v>0.61920282971028651</v>
      </c>
      <c r="O1891" s="2">
        <f ca="1"/>
        <v>-0.55518837965204149</v>
      </c>
      <c r="X1891" s="2">
        <f ca="1"/>
        <v>42.580214299559941</v>
      </c>
      <c r="AG1891" s="2">
        <f ca="1"/>
        <v>0.97217631721217268</v>
      </c>
      <c r="AH1891" s="2" t="str">
        <f ca="1"/>
        <v>Bad</v>
      </c>
    </row>
    <row r="1892" spans="2:34" x14ac:dyDescent="0.2">
      <c r="B1892" s="2">
        <f ca="1"/>
        <v>0.22403801413329827</v>
      </c>
      <c r="O1892" s="2">
        <f ca="1"/>
        <v>-1.5351505708850968</v>
      </c>
      <c r="X1892" s="2">
        <f ca="1"/>
        <v>41.900469988920946</v>
      </c>
      <c r="AG1892" s="2">
        <f ca="1"/>
        <v>0.69987843876203448</v>
      </c>
      <c r="AH1892" s="2" t="str">
        <f ca="1"/>
        <v>Bad</v>
      </c>
    </row>
    <row r="1893" spans="2:34" x14ac:dyDescent="0.2">
      <c r="B1893" s="2">
        <f ca="1"/>
        <v>0.15799129915530408</v>
      </c>
      <c r="O1893" s="2">
        <f ca="1"/>
        <v>-0.19936883027996125</v>
      </c>
      <c r="X1893" s="2">
        <f ca="1"/>
        <v>39.718591235676378</v>
      </c>
      <c r="AG1893" s="2">
        <f ca="1"/>
        <v>0.89917831346358312</v>
      </c>
      <c r="AH1893" s="2" t="str">
        <f ca="1"/>
        <v>Bad</v>
      </c>
    </row>
    <row r="1894" spans="2:34" x14ac:dyDescent="0.2">
      <c r="B1894" s="2">
        <f ca="1"/>
        <v>0.73901530749776301</v>
      </c>
      <c r="O1894" s="2">
        <f ca="1"/>
        <v>-0.12952696386522403</v>
      </c>
      <c r="X1894" s="2">
        <f ca="1"/>
        <v>45.000928469395006</v>
      </c>
      <c r="AG1894" s="2">
        <f ca="1"/>
        <v>0.80848591789897406</v>
      </c>
      <c r="AH1894" s="2" t="str">
        <f ca="1"/>
        <v>Bad</v>
      </c>
    </row>
    <row r="1895" spans="2:34" x14ac:dyDescent="0.2">
      <c r="B1895" s="2">
        <f ca="1"/>
        <v>0.73513957981092592</v>
      </c>
      <c r="O1895" s="2">
        <f ca="1"/>
        <v>0.30243025608744406</v>
      </c>
      <c r="X1895" s="2">
        <f ca="1"/>
        <v>27.799904726151766</v>
      </c>
      <c r="AG1895" s="2">
        <f ca="1"/>
        <v>0.33945222215353099</v>
      </c>
      <c r="AH1895" s="2" t="str">
        <f ca="1"/>
        <v>OK</v>
      </c>
    </row>
    <row r="1896" spans="2:34" x14ac:dyDescent="0.2">
      <c r="B1896" s="2">
        <f ca="1"/>
        <v>0.2167749582902958</v>
      </c>
      <c r="O1896" s="2">
        <f ca="1"/>
        <v>-0.81732977760069092</v>
      </c>
      <c r="X1896" s="2">
        <f ca="1"/>
        <v>48.448305834532938</v>
      </c>
      <c r="AG1896" s="2">
        <f ca="1"/>
        <v>0.92471362603992335</v>
      </c>
      <c r="AH1896" s="2" t="str">
        <f ca="1"/>
        <v>Bad</v>
      </c>
    </row>
    <row r="1897" spans="2:34" x14ac:dyDescent="0.2">
      <c r="B1897" s="2">
        <f ca="1"/>
        <v>0.9656010090290672</v>
      </c>
      <c r="O1897" s="2">
        <f ca="1"/>
        <v>1.0486685038489563</v>
      </c>
      <c r="X1897" s="2">
        <f ca="1"/>
        <v>76.498906393375393</v>
      </c>
      <c r="AG1897" s="2">
        <f ca="1"/>
        <v>0.16153586064476322</v>
      </c>
      <c r="AH1897" s="2" t="str">
        <f ca="1"/>
        <v>OK</v>
      </c>
    </row>
    <row r="1898" spans="2:34" x14ac:dyDescent="0.2">
      <c r="B1898" s="2">
        <f ca="1"/>
        <v>9.4079989117966001E-2</v>
      </c>
      <c r="O1898" s="2">
        <f ca="1"/>
        <v>0.46357454183494634</v>
      </c>
      <c r="X1898" s="2">
        <f ca="1"/>
        <v>51.136811984262813</v>
      </c>
      <c r="AG1898" s="2">
        <f ca="1"/>
        <v>0.49672483101394027</v>
      </c>
      <c r="AH1898" s="2" t="str">
        <f ca="1"/>
        <v>Bad</v>
      </c>
    </row>
    <row r="1899" spans="2:34" x14ac:dyDescent="0.2">
      <c r="B1899" s="2">
        <f ca="1"/>
        <v>7.6863985357003672E-2</v>
      </c>
      <c r="O1899" s="2">
        <f ca="1"/>
        <v>1.0414138578345056</v>
      </c>
      <c r="X1899" s="2">
        <f ca="1"/>
        <v>40.127925728837617</v>
      </c>
      <c r="AG1899" s="2">
        <f ca="1"/>
        <v>0.17488158797266529</v>
      </c>
      <c r="AH1899" s="2" t="str">
        <f ca="1"/>
        <v>OK</v>
      </c>
    </row>
    <row r="1900" spans="2:34" x14ac:dyDescent="0.2">
      <c r="B1900" s="2">
        <f ca="1"/>
        <v>0.93006745462076612</v>
      </c>
      <c r="O1900" s="2">
        <f ca="1"/>
        <v>2.4426611635522901</v>
      </c>
      <c r="X1900" s="2">
        <f ca="1"/>
        <v>41.481144958654056</v>
      </c>
      <c r="AG1900" s="2">
        <f ca="1"/>
        <v>1.389331336399291E-3</v>
      </c>
      <c r="AH1900" s="2" t="str">
        <f ca="1"/>
        <v>Good</v>
      </c>
    </row>
    <row r="1901" spans="2:34" x14ac:dyDescent="0.2">
      <c r="B1901" s="2">
        <f ca="1"/>
        <v>0.80753112685039197</v>
      </c>
      <c r="O1901" s="2">
        <f ca="1"/>
        <v>0.44862282819473281</v>
      </c>
      <c r="X1901" s="2">
        <f ca="1"/>
        <v>51.2043796500365</v>
      </c>
      <c r="AG1901" s="2">
        <f ca="1"/>
        <v>0.74626499505953325</v>
      </c>
      <c r="AH1901" s="2" t="str">
        <f ca="1"/>
        <v>Bad</v>
      </c>
    </row>
    <row r="1902" spans="2:34" x14ac:dyDescent="0.2">
      <c r="B1902" s="2">
        <f ca="1"/>
        <v>0.41269701793066393</v>
      </c>
      <c r="O1902" s="2">
        <f ca="1"/>
        <v>-0.59522688208953245</v>
      </c>
      <c r="X1902" s="2">
        <f ca="1"/>
        <v>85.663946015287337</v>
      </c>
      <c r="AG1902" s="2">
        <f ca="1"/>
        <v>0.64912166763216783</v>
      </c>
      <c r="AH1902" s="2" t="str">
        <f ca="1"/>
        <v>Bad</v>
      </c>
    </row>
    <row r="1903" spans="2:34" x14ac:dyDescent="0.2">
      <c r="B1903" s="2">
        <f ca="1"/>
        <v>0.72496278974706074</v>
      </c>
      <c r="O1903" s="2">
        <f ca="1"/>
        <v>-0.79410680180696169</v>
      </c>
      <c r="X1903" s="2">
        <f ca="1"/>
        <v>44.559805549023508</v>
      </c>
      <c r="AG1903" s="2">
        <f ca="1"/>
        <v>0.41568836681297539</v>
      </c>
      <c r="AH1903" s="2" t="str">
        <f ca="1"/>
        <v>Bad</v>
      </c>
    </row>
    <row r="1904" spans="2:34" x14ac:dyDescent="0.2">
      <c r="B1904" s="2">
        <f ca="1"/>
        <v>0.3699942409487178</v>
      </c>
      <c r="O1904" s="2">
        <f ca="1"/>
        <v>-1.5994985654427873</v>
      </c>
      <c r="X1904" s="2">
        <f ca="1"/>
        <v>35.6347039075509</v>
      </c>
      <c r="AG1904" s="2">
        <f ca="1"/>
        <v>2.5428993693825008E-2</v>
      </c>
      <c r="AH1904" s="2" t="str">
        <f ca="1"/>
        <v>Good</v>
      </c>
    </row>
    <row r="1905" spans="2:34" x14ac:dyDescent="0.2">
      <c r="B1905" s="2">
        <f ca="1"/>
        <v>3.7740045590981097E-2</v>
      </c>
      <c r="O1905" s="2">
        <f ca="1"/>
        <v>1.1480846905756799</v>
      </c>
      <c r="X1905" s="2">
        <f ca="1"/>
        <v>38.745297508635758</v>
      </c>
      <c r="AG1905" s="2">
        <f ca="1"/>
        <v>1.7184319952006977E-2</v>
      </c>
      <c r="AH1905" s="2" t="str">
        <f ca="1"/>
        <v>Good</v>
      </c>
    </row>
    <row r="1906" spans="2:34" x14ac:dyDescent="0.2">
      <c r="B1906" s="2">
        <f ca="1"/>
        <v>0.41252070609201641</v>
      </c>
      <c r="O1906" s="2">
        <f ca="1"/>
        <v>1.0625285702102156</v>
      </c>
      <c r="X1906" s="2">
        <f ca="1"/>
        <v>32.883220962080387</v>
      </c>
      <c r="AG1906" s="2">
        <f ca="1"/>
        <v>0.33059994494471701</v>
      </c>
      <c r="AH1906" s="2" t="str">
        <f ca="1"/>
        <v>OK</v>
      </c>
    </row>
    <row r="1907" spans="2:34" x14ac:dyDescent="0.2">
      <c r="B1907" s="2">
        <f ca="1"/>
        <v>0.38027641692911285</v>
      </c>
      <c r="O1907" s="2">
        <f ca="1"/>
        <v>-2.4171661266743705</v>
      </c>
      <c r="X1907" s="2">
        <f ca="1"/>
        <v>30.757951069726168</v>
      </c>
      <c r="AG1907" s="2">
        <f ca="1"/>
        <v>0.4063178367267859</v>
      </c>
      <c r="AH1907" s="2" t="str">
        <f ca="1"/>
        <v>Bad</v>
      </c>
    </row>
    <row r="1908" spans="2:34" x14ac:dyDescent="0.2">
      <c r="B1908" s="2">
        <f ca="1"/>
        <v>0.94434115896676474</v>
      </c>
      <c r="O1908" s="2">
        <f ca="1"/>
        <v>-1.8041330455135289</v>
      </c>
      <c r="X1908" s="2">
        <f ca="1"/>
        <v>26.288208648895054</v>
      </c>
      <c r="AG1908" s="2">
        <f ca="1"/>
        <v>0.58520296902447355</v>
      </c>
      <c r="AH1908" s="2" t="str">
        <f ca="1"/>
        <v>Bad</v>
      </c>
    </row>
    <row r="1909" spans="2:34" x14ac:dyDescent="0.2">
      <c r="B1909" s="2">
        <f ca="1"/>
        <v>0.34579239559424457</v>
      </c>
      <c r="O1909" s="2">
        <f ca="1"/>
        <v>1.5399012410952106</v>
      </c>
      <c r="X1909" s="2">
        <f ca="1"/>
        <v>53.314996108714169</v>
      </c>
      <c r="AG1909" s="2">
        <f ca="1"/>
        <v>0.24914204600051604</v>
      </c>
      <c r="AH1909" s="2" t="str">
        <f ca="1"/>
        <v>OK</v>
      </c>
    </row>
    <row r="1910" spans="2:34" x14ac:dyDescent="0.2">
      <c r="B1910" s="2">
        <f ca="1"/>
        <v>0.85626394325500388</v>
      </c>
      <c r="O1910" s="2">
        <f ca="1"/>
        <v>3.185791278862405E-2</v>
      </c>
      <c r="X1910" s="2">
        <f ca="1"/>
        <v>40.519757694649826</v>
      </c>
      <c r="AG1910" s="2">
        <f ca="1"/>
        <v>0.80251392113994902</v>
      </c>
      <c r="AH1910" s="2" t="str">
        <f ca="1"/>
        <v>Bad</v>
      </c>
    </row>
    <row r="1911" spans="2:34" x14ac:dyDescent="0.2">
      <c r="B1911" s="2">
        <f ca="1"/>
        <v>0.65381895404300416</v>
      </c>
      <c r="O1911" s="2">
        <f ca="1"/>
        <v>0.16132002691129677</v>
      </c>
      <c r="X1911" s="2">
        <f ca="1"/>
        <v>48.431643904045288</v>
      </c>
      <c r="AG1911" s="2">
        <f ca="1"/>
        <v>0.52214050137301671</v>
      </c>
      <c r="AH1911" s="2" t="str">
        <f ca="1"/>
        <v>Bad</v>
      </c>
    </row>
    <row r="1912" spans="2:34" x14ac:dyDescent="0.2">
      <c r="B1912" s="2">
        <f ca="1"/>
        <v>0.51487645590133169</v>
      </c>
      <c r="O1912" s="2">
        <f ca="1"/>
        <v>0.74153524738098242</v>
      </c>
      <c r="X1912" s="2">
        <f ca="1"/>
        <v>34.591122438233235</v>
      </c>
      <c r="AG1912" s="2">
        <f ca="1"/>
        <v>0.35253315177789357</v>
      </c>
      <c r="AH1912" s="2" t="str">
        <f ca="1"/>
        <v>OK</v>
      </c>
    </row>
    <row r="1913" spans="2:34" x14ac:dyDescent="0.2">
      <c r="B1913" s="2">
        <f ca="1"/>
        <v>0.1477256708254242</v>
      </c>
      <c r="O1913" s="2">
        <f ca="1"/>
        <v>-2.6456531434120727</v>
      </c>
      <c r="X1913" s="2">
        <f ca="1"/>
        <v>32.336471926516296</v>
      </c>
      <c r="AG1913" s="2">
        <f ca="1"/>
        <v>7.6649250230156785E-2</v>
      </c>
      <c r="AH1913" s="2" t="str">
        <f ca="1"/>
        <v>OK</v>
      </c>
    </row>
    <row r="1914" spans="2:34" x14ac:dyDescent="0.2">
      <c r="B1914" s="2">
        <f ca="1"/>
        <v>0.69400835019501228</v>
      </c>
      <c r="O1914" s="2">
        <f ca="1"/>
        <v>0.23443319507719634</v>
      </c>
      <c r="X1914" s="2">
        <f ca="1"/>
        <v>26.501292760755778</v>
      </c>
      <c r="AG1914" s="2">
        <f ca="1"/>
        <v>4.7588541887746194E-2</v>
      </c>
      <c r="AH1914" s="2" t="str">
        <f ca="1"/>
        <v>Good</v>
      </c>
    </row>
    <row r="1915" spans="2:34" x14ac:dyDescent="0.2">
      <c r="B1915" s="2">
        <f ca="1"/>
        <v>0.6226768720890119</v>
      </c>
      <c r="O1915" s="2">
        <f ca="1"/>
        <v>-1.86967231689443</v>
      </c>
      <c r="X1915" s="2">
        <f ca="1"/>
        <v>39.892446313126413</v>
      </c>
      <c r="AG1915" s="2">
        <f ca="1"/>
        <v>0.59040646788659257</v>
      </c>
      <c r="AH1915" s="2" t="str">
        <f ca="1"/>
        <v>Bad</v>
      </c>
    </row>
    <row r="1916" spans="2:34" x14ac:dyDescent="0.2">
      <c r="B1916" s="2">
        <f ca="1"/>
        <v>0.93957458475719724</v>
      </c>
      <c r="O1916" s="2">
        <f ca="1"/>
        <v>-1.5709042340638866</v>
      </c>
      <c r="X1916" s="2">
        <f ca="1"/>
        <v>47.89994604257609</v>
      </c>
      <c r="AG1916" s="2">
        <f ca="1"/>
        <v>0.18460454798696135</v>
      </c>
      <c r="AH1916" s="2" t="str">
        <f ca="1"/>
        <v>OK</v>
      </c>
    </row>
    <row r="1917" spans="2:34" x14ac:dyDescent="0.2">
      <c r="B1917" s="2">
        <f ca="1"/>
        <v>0.45842043288971079</v>
      </c>
      <c r="O1917" s="2">
        <f ca="1"/>
        <v>-0.10620062975946984</v>
      </c>
      <c r="X1917" s="2">
        <f ca="1"/>
        <v>56.842228564823067</v>
      </c>
      <c r="AG1917" s="2">
        <f ca="1"/>
        <v>0.80557318998783756</v>
      </c>
      <c r="AH1917" s="2" t="str">
        <f ca="1"/>
        <v>Bad</v>
      </c>
    </row>
    <row r="1918" spans="2:34" x14ac:dyDescent="0.2">
      <c r="B1918" s="2">
        <f ca="1"/>
        <v>0.86558858884395717</v>
      </c>
      <c r="O1918" s="2">
        <f ca="1"/>
        <v>-0.5740880339979072</v>
      </c>
      <c r="X1918" s="2">
        <f ca="1"/>
        <v>65.559314176009892</v>
      </c>
      <c r="AG1918" s="2">
        <f ca="1"/>
        <v>0.48392876251543737</v>
      </c>
      <c r="AH1918" s="2" t="str">
        <f ca="1"/>
        <v>Bad</v>
      </c>
    </row>
    <row r="1919" spans="2:34" x14ac:dyDescent="0.2">
      <c r="B1919" s="2">
        <f ca="1"/>
        <v>0.40517935883640299</v>
      </c>
      <c r="O1919" s="2">
        <f ca="1"/>
        <v>0.61037190586693324</v>
      </c>
      <c r="X1919" s="2">
        <f ca="1"/>
        <v>66.523373998443972</v>
      </c>
      <c r="AG1919" s="2">
        <f ca="1"/>
        <v>0.35402467090571155</v>
      </c>
      <c r="AH1919" s="2" t="str">
        <f ca="1"/>
        <v>OK</v>
      </c>
    </row>
    <row r="1920" spans="2:34" x14ac:dyDescent="0.2">
      <c r="B1920" s="2">
        <f ca="1"/>
        <v>0.93995950490301849</v>
      </c>
      <c r="O1920" s="2">
        <f ca="1"/>
        <v>1.0905635337488688</v>
      </c>
      <c r="X1920" s="2">
        <f ca="1"/>
        <v>55.121986424763151</v>
      </c>
      <c r="AG1920" s="2">
        <f ca="1"/>
        <v>0.12698196600618417</v>
      </c>
      <c r="AH1920" s="2" t="str">
        <f ca="1"/>
        <v>OK</v>
      </c>
    </row>
    <row r="1921" spans="2:34" x14ac:dyDescent="0.2">
      <c r="B1921" s="2">
        <f ca="1"/>
        <v>0.82643742008050203</v>
      </c>
      <c r="O1921" s="2">
        <f ca="1"/>
        <v>-0.61608811156524157</v>
      </c>
      <c r="X1921" s="2">
        <f ca="1"/>
        <v>76.51753953733396</v>
      </c>
      <c r="AG1921" s="2">
        <f ca="1"/>
        <v>0.25795943916647812</v>
      </c>
      <c r="AH1921" s="2" t="str">
        <f ca="1"/>
        <v>OK</v>
      </c>
    </row>
    <row r="1922" spans="2:34" x14ac:dyDescent="0.2">
      <c r="B1922" s="2">
        <f ca="1"/>
        <v>0.31528044477777972</v>
      </c>
      <c r="O1922" s="2">
        <f ca="1"/>
        <v>-0.87730651852829911</v>
      </c>
      <c r="X1922" s="2">
        <f ca="1"/>
        <v>88.910443183237135</v>
      </c>
      <c r="AG1922" s="2">
        <f ca="1"/>
        <v>0.50075580615065185</v>
      </c>
      <c r="AH1922" s="2" t="str">
        <f ca="1"/>
        <v>Bad</v>
      </c>
    </row>
    <row r="1923" spans="2:34" x14ac:dyDescent="0.2">
      <c r="B1923" s="2">
        <f ca="1"/>
        <v>9.9484091865540414E-2</v>
      </c>
      <c r="O1923" s="2">
        <f ca="1"/>
        <v>-0.27186640675635754</v>
      </c>
      <c r="X1923" s="2">
        <f ca="1"/>
        <v>31.808687159784039</v>
      </c>
      <c r="AG1923" s="2">
        <f ca="1"/>
        <v>0.97061168788101093</v>
      </c>
      <c r="AH1923" s="2" t="str">
        <f ca="1"/>
        <v>Bad</v>
      </c>
    </row>
    <row r="1924" spans="2:34" x14ac:dyDescent="0.2">
      <c r="B1924" s="2">
        <f ca="1"/>
        <v>7.6049502054948315E-2</v>
      </c>
      <c r="O1924" s="2">
        <f ca="1"/>
        <v>-0.25819010833649719</v>
      </c>
      <c r="X1924" s="2">
        <f ca="1"/>
        <v>40.370244707001781</v>
      </c>
      <c r="AG1924" s="2">
        <f ca="1"/>
        <v>0.16587447817308343</v>
      </c>
      <c r="AH1924" s="2" t="str">
        <f ca="1"/>
        <v>OK</v>
      </c>
    </row>
    <row r="1925" spans="2:34" x14ac:dyDescent="0.2">
      <c r="B1925" s="2">
        <f ca="1"/>
        <v>0.20540216169569825</v>
      </c>
      <c r="O1925" s="2">
        <f ca="1"/>
        <v>-0.42506310119270202</v>
      </c>
      <c r="X1925" s="2">
        <f ca="1"/>
        <v>40.884060870585202</v>
      </c>
      <c r="AG1925" s="2">
        <f ca="1"/>
        <v>0.42477181410305165</v>
      </c>
      <c r="AH1925" s="2" t="str">
        <f ca="1"/>
        <v>Bad</v>
      </c>
    </row>
    <row r="1926" spans="2:34" x14ac:dyDescent="0.2">
      <c r="B1926" s="2">
        <f ca="1"/>
        <v>0.15328140367435727</v>
      </c>
      <c r="O1926" s="2">
        <f ca="1"/>
        <v>-0.24846537336500035</v>
      </c>
      <c r="X1926" s="2">
        <f ca="1"/>
        <v>63.452847055049887</v>
      </c>
      <c r="AG1926" s="2">
        <f ca="1"/>
        <v>0.13549632179371884</v>
      </c>
      <c r="AH1926" s="2" t="str">
        <f ca="1"/>
        <v>OK</v>
      </c>
    </row>
    <row r="1927" spans="2:34" x14ac:dyDescent="0.2">
      <c r="B1927" s="2">
        <f ca="1"/>
        <v>0.34153248079903542</v>
      </c>
      <c r="O1927" s="2">
        <f ca="1"/>
        <v>-0.91334813537712434</v>
      </c>
      <c r="X1927" s="2">
        <f ca="1"/>
        <v>40.930296800866508</v>
      </c>
      <c r="AG1927" s="2">
        <f ca="1"/>
        <v>0.83279575546529139</v>
      </c>
      <c r="AH1927" s="2" t="str">
        <f ca="1"/>
        <v>Bad</v>
      </c>
    </row>
    <row r="1928" spans="2:34" x14ac:dyDescent="0.2">
      <c r="B1928" s="2">
        <f ca="1"/>
        <v>0.78323556985576959</v>
      </c>
      <c r="O1928" s="2">
        <f ca="1"/>
        <v>0.24394229195057329</v>
      </c>
      <c r="X1928" s="2">
        <f ca="1"/>
        <v>43.03244849687708</v>
      </c>
      <c r="AG1928" s="2">
        <f ca="1"/>
        <v>0.61127986086204023</v>
      </c>
      <c r="AH1928" s="2" t="str">
        <f ca="1"/>
        <v>Bad</v>
      </c>
    </row>
    <row r="1929" spans="2:34" x14ac:dyDescent="0.2">
      <c r="B1929" s="2">
        <f ca="1"/>
        <v>0.68507932040464992</v>
      </c>
      <c r="O1929" s="2">
        <f ca="1"/>
        <v>-0.30258866898641706</v>
      </c>
      <c r="X1929" s="2">
        <f ca="1"/>
        <v>107.0479985886376</v>
      </c>
      <c r="AG1929" s="2">
        <f ca="1"/>
        <v>0.67206129803328651</v>
      </c>
      <c r="AH1929" s="2" t="str">
        <f ca="1"/>
        <v>Bad</v>
      </c>
    </row>
    <row r="1930" spans="2:34" x14ac:dyDescent="0.2">
      <c r="B1930" s="2">
        <f ca="1"/>
        <v>0.94120889965512733</v>
      </c>
      <c r="O1930" s="2">
        <f ca="1"/>
        <v>1.2952877992944658</v>
      </c>
      <c r="X1930" s="2">
        <f ca="1"/>
        <v>44.112503749112186</v>
      </c>
      <c r="AG1930" s="2">
        <f ca="1"/>
        <v>0.10318900082404592</v>
      </c>
      <c r="AH1930" s="2" t="str">
        <f ca="1"/>
        <v>OK</v>
      </c>
    </row>
    <row r="1931" spans="2:34" x14ac:dyDescent="0.2">
      <c r="B1931" s="2">
        <f ca="1"/>
        <v>0.91750726557966722</v>
      </c>
      <c r="O1931" s="2">
        <f ca="1"/>
        <v>-1.2180313801338472</v>
      </c>
      <c r="X1931" s="2">
        <f ca="1"/>
        <v>36.013495904959271</v>
      </c>
      <c r="AG1931" s="2">
        <f ca="1"/>
        <v>0.26635901415675667</v>
      </c>
      <c r="AH1931" s="2" t="str">
        <f ca="1"/>
        <v>OK</v>
      </c>
    </row>
    <row r="1932" spans="2:34" x14ac:dyDescent="0.2">
      <c r="B1932" s="2">
        <f ca="1"/>
        <v>0.77739520347064772</v>
      </c>
      <c r="O1932" s="2">
        <f ca="1"/>
        <v>-1.3738253719090425</v>
      </c>
      <c r="X1932" s="2">
        <f ca="1"/>
        <v>30.428806910770234</v>
      </c>
      <c r="AG1932" s="2">
        <f ca="1"/>
        <v>0.7585203235238891</v>
      </c>
      <c r="AH1932" s="2" t="str">
        <f ca="1"/>
        <v>Bad</v>
      </c>
    </row>
    <row r="1933" spans="2:34" x14ac:dyDescent="0.2">
      <c r="B1933" s="2">
        <f ca="1"/>
        <v>0.14672912871946231</v>
      </c>
      <c r="O1933" s="2">
        <f ca="1"/>
        <v>0.18224344914764218</v>
      </c>
      <c r="X1933" s="2">
        <f ca="1"/>
        <v>48.875283437502375</v>
      </c>
      <c r="AG1933" s="2">
        <f ca="1"/>
        <v>0.51463894505756991</v>
      </c>
      <c r="AH1933" s="2" t="str">
        <f ca="1"/>
        <v>Bad</v>
      </c>
    </row>
    <row r="1934" spans="2:34" x14ac:dyDescent="0.2">
      <c r="B1934" s="2">
        <f ca="1"/>
        <v>6.1601182903628482E-2</v>
      </c>
      <c r="O1934" s="2">
        <f ca="1"/>
        <v>-1.2702278475838666</v>
      </c>
      <c r="X1934" s="2">
        <f ca="1"/>
        <v>36.539959686975756</v>
      </c>
      <c r="AG1934" s="2">
        <f ca="1"/>
        <v>0.49293552287277342</v>
      </c>
      <c r="AH1934" s="2" t="str">
        <f ca="1"/>
        <v>Bad</v>
      </c>
    </row>
    <row r="1935" spans="2:34" x14ac:dyDescent="0.2">
      <c r="B1935" s="2">
        <f ca="1"/>
        <v>0.5525318255531908</v>
      </c>
      <c r="O1935" s="2">
        <f ca="1"/>
        <v>0.72990894364261349</v>
      </c>
      <c r="X1935" s="2">
        <f ca="1"/>
        <v>30.561395888876216</v>
      </c>
      <c r="AG1935" s="2">
        <f ca="1"/>
        <v>5.6320983486128462E-2</v>
      </c>
      <c r="AH1935" s="2" t="str">
        <f ca="1"/>
        <v>OK</v>
      </c>
    </row>
    <row r="1936" spans="2:34" x14ac:dyDescent="0.2">
      <c r="B1936" s="2">
        <f ca="1"/>
        <v>0.68015388001441934</v>
      </c>
      <c r="O1936" s="2">
        <f ca="1"/>
        <v>0.47194155232037854</v>
      </c>
      <c r="X1936" s="2">
        <f ca="1"/>
        <v>25.174824362691439</v>
      </c>
      <c r="AG1936" s="2">
        <f ca="1"/>
        <v>0.82473612582758893</v>
      </c>
      <c r="AH1936" s="2" t="str">
        <f ca="1"/>
        <v>Bad</v>
      </c>
    </row>
    <row r="1937" spans="2:34" x14ac:dyDescent="0.2">
      <c r="B1937" s="2">
        <f ca="1"/>
        <v>0.90720018416544579</v>
      </c>
      <c r="O1937" s="2">
        <f ca="1"/>
        <v>0.84461586310233905</v>
      </c>
      <c r="X1937" s="2">
        <f ca="1"/>
        <v>46.067579874760241</v>
      </c>
      <c r="AG1937" s="2">
        <f ca="1"/>
        <v>0.88370300091632159</v>
      </c>
      <c r="AH1937" s="2" t="str">
        <f ca="1"/>
        <v>Bad</v>
      </c>
    </row>
    <row r="1938" spans="2:34" x14ac:dyDescent="0.2">
      <c r="B1938" s="2">
        <f ca="1"/>
        <v>0.56960867225771783</v>
      </c>
      <c r="O1938" s="2">
        <f ca="1"/>
        <v>1.9157150997992036</v>
      </c>
      <c r="X1938" s="2">
        <f ca="1"/>
        <v>36.553057861650565</v>
      </c>
      <c r="AG1938" s="2">
        <f ca="1"/>
        <v>0.99934847545700523</v>
      </c>
      <c r="AH1938" s="2" t="str">
        <f ca="1"/>
        <v>Bad</v>
      </c>
    </row>
    <row r="1939" spans="2:34" x14ac:dyDescent="0.2">
      <c r="B1939" s="2">
        <f ca="1"/>
        <v>3.4107493285114865E-2</v>
      </c>
      <c r="O1939" s="2">
        <f ca="1"/>
        <v>0.34053704314747396</v>
      </c>
      <c r="X1939" s="2">
        <f ca="1"/>
        <v>29.731045205901161</v>
      </c>
      <c r="AG1939" s="2">
        <f ca="1"/>
        <v>0.59196395197598872</v>
      </c>
      <c r="AH1939" s="2" t="str">
        <f ca="1"/>
        <v>Bad</v>
      </c>
    </row>
    <row r="1940" spans="2:34" x14ac:dyDescent="0.2">
      <c r="B1940" s="2">
        <f ca="1"/>
        <v>0.82078923727445963</v>
      </c>
      <c r="O1940" s="2">
        <f ca="1"/>
        <v>-0.26500734901870565</v>
      </c>
      <c r="X1940" s="2">
        <f ca="1"/>
        <v>42.876622187437107</v>
      </c>
      <c r="AG1940" s="2">
        <f ca="1"/>
        <v>0.4737446802021652</v>
      </c>
      <c r="AH1940" s="2" t="str">
        <f ca="1"/>
        <v>Bad</v>
      </c>
    </row>
    <row r="1941" spans="2:34" x14ac:dyDescent="0.2">
      <c r="B1941" s="2">
        <f ca="1"/>
        <v>5.0083338981674608E-3</v>
      </c>
      <c r="O1941" s="2">
        <f ca="1"/>
        <v>-0.58498209683107494</v>
      </c>
      <c r="X1941" s="2">
        <f ca="1"/>
        <v>105.62275624820782</v>
      </c>
      <c r="AG1941" s="2">
        <f ca="1"/>
        <v>0.55203163236254982</v>
      </c>
      <c r="AH1941" s="2" t="str">
        <f ca="1"/>
        <v>Bad</v>
      </c>
    </row>
    <row r="1942" spans="2:34" x14ac:dyDescent="0.2">
      <c r="B1942" s="2">
        <f ca="1"/>
        <v>0.3711257090078699</v>
      </c>
      <c r="O1942" s="2">
        <f ca="1"/>
        <v>1.5007654067846941</v>
      </c>
      <c r="X1942" s="2">
        <f ca="1"/>
        <v>54.396144219051834</v>
      </c>
      <c r="AG1942" s="2">
        <f ca="1"/>
        <v>0.57661750754110108</v>
      </c>
      <c r="AH1942" s="2" t="str">
        <f ca="1"/>
        <v>Bad</v>
      </c>
    </row>
    <row r="1943" spans="2:34" x14ac:dyDescent="0.2">
      <c r="B1943" s="2">
        <f ca="1"/>
        <v>0.67426629165485452</v>
      </c>
      <c r="O1943" s="2">
        <f ca="1"/>
        <v>-1.1487235547691861</v>
      </c>
      <c r="X1943" s="2">
        <f ca="1"/>
        <v>66.983611344719392</v>
      </c>
      <c r="AG1943" s="2">
        <f ca="1"/>
        <v>0.87954638832305609</v>
      </c>
      <c r="AH1943" s="2" t="str">
        <f ca="1"/>
        <v>Bad</v>
      </c>
    </row>
    <row r="1944" spans="2:34" x14ac:dyDescent="0.2">
      <c r="B1944" s="2">
        <f ca="1"/>
        <v>0.66288192982623628</v>
      </c>
      <c r="O1944" s="2">
        <f ca="1"/>
        <v>-1.0764649819262007</v>
      </c>
      <c r="X1944" s="2">
        <f ca="1"/>
        <v>55.427811683861279</v>
      </c>
      <c r="AG1944" s="2">
        <f ca="1"/>
        <v>0.56203118839548405</v>
      </c>
      <c r="AH1944" s="2" t="str">
        <f ca="1"/>
        <v>Bad</v>
      </c>
    </row>
    <row r="1945" spans="2:34" x14ac:dyDescent="0.2">
      <c r="B1945" s="2">
        <f ca="1"/>
        <v>0.64240006586667819</v>
      </c>
      <c r="O1945" s="2">
        <f ca="1"/>
        <v>-5.8831583818739812E-2</v>
      </c>
      <c r="X1945" s="2">
        <f ca="1"/>
        <v>46.956043927066332</v>
      </c>
      <c r="AG1945" s="2">
        <f ca="1"/>
        <v>0.67213490635870232</v>
      </c>
      <c r="AH1945" s="2" t="str">
        <f ca="1"/>
        <v>Bad</v>
      </c>
    </row>
    <row r="1946" spans="2:34" x14ac:dyDescent="0.2">
      <c r="B1946" s="2">
        <f ca="1"/>
        <v>0.60217494040378261</v>
      </c>
      <c r="O1946" s="2">
        <f ca="1"/>
        <v>0.22272514250261649</v>
      </c>
      <c r="X1946" s="2">
        <f ca="1"/>
        <v>38.046505404803312</v>
      </c>
      <c r="AG1946" s="2">
        <f ca="1"/>
        <v>0.95292893528203071</v>
      </c>
      <c r="AH1946" s="2" t="str">
        <f ca="1"/>
        <v>Bad</v>
      </c>
    </row>
    <row r="1947" spans="2:34" x14ac:dyDescent="0.2">
      <c r="B1947" s="2">
        <f ca="1"/>
        <v>0.68488995221959148</v>
      </c>
      <c r="O1947" s="2">
        <f ca="1"/>
        <v>3.1311621539201351</v>
      </c>
      <c r="X1947" s="2">
        <f ca="1"/>
        <v>21.59149749050944</v>
      </c>
      <c r="AG1947" s="2">
        <f ca="1"/>
        <v>0.5697826424241681</v>
      </c>
      <c r="AH1947" s="2" t="str">
        <f ca="1"/>
        <v>Bad</v>
      </c>
    </row>
    <row r="1948" spans="2:34" x14ac:dyDescent="0.2">
      <c r="B1948" s="2">
        <f ca="1"/>
        <v>0.39825318466840698</v>
      </c>
      <c r="O1948" s="2">
        <f ca="1"/>
        <v>1.2529818478240502</v>
      </c>
      <c r="X1948" s="2">
        <f ca="1"/>
        <v>51.720528624521776</v>
      </c>
      <c r="AG1948" s="2">
        <f ca="1"/>
        <v>0.33052224105712513</v>
      </c>
      <c r="AH1948" s="2" t="str">
        <f ca="1"/>
        <v>OK</v>
      </c>
    </row>
    <row r="1949" spans="2:34" x14ac:dyDescent="0.2">
      <c r="B1949" s="2">
        <f ca="1"/>
        <v>0.90760615965823077</v>
      </c>
      <c r="O1949" s="2">
        <f ca="1"/>
        <v>0.99693529383728752</v>
      </c>
      <c r="X1949" s="2">
        <f ca="1"/>
        <v>53.242362028278521</v>
      </c>
      <c r="AG1949" s="2">
        <f ca="1"/>
        <v>0.64562050644238078</v>
      </c>
      <c r="AH1949" s="2" t="str">
        <f ca="1"/>
        <v>Bad</v>
      </c>
    </row>
    <row r="1950" spans="2:34" x14ac:dyDescent="0.2">
      <c r="B1950" s="2">
        <f ca="1"/>
        <v>0.18777104101748354</v>
      </c>
      <c r="O1950" s="2">
        <f ca="1"/>
        <v>-1.5573937916873786</v>
      </c>
      <c r="X1950" s="2">
        <f ca="1"/>
        <v>43.102813378890772</v>
      </c>
      <c r="AG1950" s="2">
        <f ca="1"/>
        <v>0.71666467382532506</v>
      </c>
      <c r="AH1950" s="2" t="str">
        <f ca="1"/>
        <v>Bad</v>
      </c>
    </row>
    <row r="1951" spans="2:34" x14ac:dyDescent="0.2">
      <c r="B1951" s="2">
        <f ca="1"/>
        <v>7.3397619473624998E-2</v>
      </c>
      <c r="O1951" s="2">
        <f ca="1"/>
        <v>1.9625710039272015</v>
      </c>
      <c r="X1951" s="2">
        <f ca="1"/>
        <v>60.035036385857545</v>
      </c>
      <c r="AG1951" s="2">
        <f ca="1"/>
        <v>6.0139766609780043E-2</v>
      </c>
      <c r="AH1951" s="2" t="str">
        <f ca="1"/>
        <v>OK</v>
      </c>
    </row>
    <row r="1952" spans="2:34" x14ac:dyDescent="0.2">
      <c r="B1952" s="2">
        <f ca="1"/>
        <v>0.65374672293362224</v>
      </c>
      <c r="O1952" s="2">
        <f ca="1"/>
        <v>1.2936761042167593</v>
      </c>
      <c r="X1952" s="2">
        <f ca="1"/>
        <v>36.440770588095859</v>
      </c>
      <c r="AG1952" s="2">
        <f ca="1"/>
        <v>0.58309735140330377</v>
      </c>
      <c r="AH1952" s="2" t="str">
        <f ca="1"/>
        <v>Bad</v>
      </c>
    </row>
    <row r="1953" spans="2:34" x14ac:dyDescent="0.2">
      <c r="B1953" s="2">
        <f ca="1"/>
        <v>0.62897925396469745</v>
      </c>
      <c r="O1953" s="2">
        <f ca="1"/>
        <v>-2.255673801018593</v>
      </c>
      <c r="X1953" s="2">
        <f ca="1"/>
        <v>48.241779078737189</v>
      </c>
      <c r="AG1953" s="2">
        <f ca="1"/>
        <v>0.34036080699769666</v>
      </c>
      <c r="AH1953" s="2" t="str">
        <f ca="1"/>
        <v>OK</v>
      </c>
    </row>
    <row r="1954" spans="2:34" x14ac:dyDescent="0.2">
      <c r="B1954" s="2">
        <f ca="1"/>
        <v>0.65290375719699223</v>
      </c>
      <c r="O1954" s="2">
        <f ca="1"/>
        <v>-1.3659112167443426</v>
      </c>
      <c r="X1954" s="2">
        <f ca="1"/>
        <v>41.022451036931564</v>
      </c>
      <c r="AG1954" s="2">
        <f ca="1"/>
        <v>0.37263326050458057</v>
      </c>
      <c r="AH1954" s="2" t="str">
        <f ca="1"/>
        <v>OK</v>
      </c>
    </row>
    <row r="1955" spans="2:34" x14ac:dyDescent="0.2">
      <c r="B1955" s="2">
        <f ca="1"/>
        <v>0.12740779911287392</v>
      </c>
      <c r="O1955" s="2">
        <f ca="1"/>
        <v>0.12362473525723811</v>
      </c>
      <c r="X1955" s="2">
        <f ca="1"/>
        <v>53.887005318869747</v>
      </c>
      <c r="AG1955" s="2">
        <f ca="1"/>
        <v>0.90128552158342123</v>
      </c>
      <c r="AH1955" s="2" t="str">
        <f ca="1"/>
        <v>Bad</v>
      </c>
    </row>
    <row r="1956" spans="2:34" x14ac:dyDescent="0.2">
      <c r="B1956" s="2">
        <f ca="1"/>
        <v>0.70251107797821555</v>
      </c>
      <c r="O1956" s="2">
        <f ca="1"/>
        <v>0.72268888940501652</v>
      </c>
      <c r="X1956" s="2">
        <f ca="1"/>
        <v>53.316761460916133</v>
      </c>
      <c r="AG1956" s="2">
        <f ca="1"/>
        <v>0.55008712186700293</v>
      </c>
      <c r="AH1956" s="2" t="str">
        <f ca="1"/>
        <v>Bad</v>
      </c>
    </row>
    <row r="1957" spans="2:34" x14ac:dyDescent="0.2">
      <c r="B1957" s="2">
        <f ca="1"/>
        <v>0.28960305174568579</v>
      </c>
      <c r="O1957" s="2">
        <f ca="1"/>
        <v>0.27227652434521149</v>
      </c>
      <c r="X1957" s="2">
        <f ca="1"/>
        <v>55.655599070797244</v>
      </c>
      <c r="AG1957" s="2">
        <f ca="1"/>
        <v>0.50548396798172623</v>
      </c>
      <c r="AH1957" s="2" t="str">
        <f ca="1"/>
        <v>Bad</v>
      </c>
    </row>
    <row r="1958" spans="2:34" x14ac:dyDescent="0.2">
      <c r="B1958" s="2">
        <f ca="1"/>
        <v>6.305314252270211E-3</v>
      </c>
      <c r="O1958" s="2">
        <f ca="1"/>
        <v>-1.1330605942002014</v>
      </c>
      <c r="X1958" s="2">
        <f ca="1"/>
        <v>28.100035970118405</v>
      </c>
      <c r="AG1958" s="2">
        <f ca="1"/>
        <v>0.860774434575037</v>
      </c>
      <c r="AH1958" s="2" t="str">
        <f ca="1"/>
        <v>Bad</v>
      </c>
    </row>
    <row r="1959" spans="2:34" x14ac:dyDescent="0.2">
      <c r="B1959" s="2">
        <f ca="1"/>
        <v>0.89301118972916305</v>
      </c>
      <c r="O1959" s="2">
        <f ca="1"/>
        <v>0.644828356575886</v>
      </c>
      <c r="X1959" s="2">
        <f ca="1"/>
        <v>36.284880431866171</v>
      </c>
      <c r="AG1959" s="2">
        <f ca="1"/>
        <v>0.10503978086014421</v>
      </c>
      <c r="AH1959" s="2" t="str">
        <f ca="1"/>
        <v>OK</v>
      </c>
    </row>
    <row r="1960" spans="2:34" x14ac:dyDescent="0.2">
      <c r="B1960" s="2">
        <f ca="1"/>
        <v>0.96539890002144579</v>
      </c>
      <c r="O1960" s="2">
        <f ca="1"/>
        <v>-1.8956893927157115</v>
      </c>
      <c r="X1960" s="2">
        <f ca="1"/>
        <v>25.919501010794551</v>
      </c>
      <c r="AG1960" s="2">
        <f ca="1"/>
        <v>0.90422908681048542</v>
      </c>
      <c r="AH1960" s="2" t="str">
        <f ca="1"/>
        <v>Bad</v>
      </c>
    </row>
    <row r="1961" spans="2:34" x14ac:dyDescent="0.2">
      <c r="B1961" s="2">
        <f ca="1"/>
        <v>0.55775340457844491</v>
      </c>
      <c r="O1961" s="2">
        <f ca="1"/>
        <v>1.6554113247949367</v>
      </c>
      <c r="X1961" s="2">
        <f ca="1"/>
        <v>71.74729220597024</v>
      </c>
      <c r="AG1961" s="2">
        <f ca="1"/>
        <v>0.82958195010919922</v>
      </c>
      <c r="AH1961" s="2" t="str">
        <f ca="1"/>
        <v>Bad</v>
      </c>
    </row>
    <row r="1962" spans="2:34" x14ac:dyDescent="0.2">
      <c r="B1962" s="2">
        <f ca="1"/>
        <v>0.43721725935223121</v>
      </c>
      <c r="O1962" s="2">
        <f ca="1"/>
        <v>0.58690807729241246</v>
      </c>
      <c r="X1962" s="2">
        <f ca="1"/>
        <v>53.995543578445677</v>
      </c>
      <c r="AG1962" s="2">
        <f ca="1"/>
        <v>0.62210893202662909</v>
      </c>
      <c r="AH1962" s="2" t="str">
        <f ca="1"/>
        <v>Bad</v>
      </c>
    </row>
    <row r="1963" spans="2:34" x14ac:dyDescent="0.2">
      <c r="B1963" s="2">
        <f ca="1"/>
        <v>7.8966206084703394E-2</v>
      </c>
      <c r="O1963" s="2">
        <f ca="1"/>
        <v>0.18032520690940879</v>
      </c>
      <c r="X1963" s="2">
        <f ca="1"/>
        <v>42.244300785456019</v>
      </c>
      <c r="AG1963" s="2">
        <f ca="1"/>
        <v>0.75033662369259502</v>
      </c>
      <c r="AH1963" s="2" t="str">
        <f ca="1"/>
        <v>Bad</v>
      </c>
    </row>
    <row r="1964" spans="2:34" x14ac:dyDescent="0.2">
      <c r="B1964" s="2">
        <f ca="1"/>
        <v>8.2210424255362957E-2</v>
      </c>
      <c r="O1964" s="2">
        <f ca="1"/>
        <v>-0.83241441355042356</v>
      </c>
      <c r="X1964" s="2">
        <f ca="1"/>
        <v>75.97500596711852</v>
      </c>
      <c r="AG1964" s="2">
        <f ca="1"/>
        <v>0.66591951212643652</v>
      </c>
      <c r="AH1964" s="2" t="str">
        <f ca="1"/>
        <v>Bad</v>
      </c>
    </row>
    <row r="1965" spans="2:34" x14ac:dyDescent="0.2">
      <c r="B1965" s="2">
        <f ca="1"/>
        <v>6.7641807352626371E-2</v>
      </c>
      <c r="O1965" s="2">
        <f ca="1"/>
        <v>-0.69921689864028447</v>
      </c>
      <c r="X1965" s="2">
        <f ca="1"/>
        <v>71.489102701264898</v>
      </c>
      <c r="AG1965" s="2">
        <f ca="1"/>
        <v>0.11585447818843342</v>
      </c>
      <c r="AH1965" s="2" t="str">
        <f ca="1"/>
        <v>OK</v>
      </c>
    </row>
    <row r="1966" spans="2:34" x14ac:dyDescent="0.2">
      <c r="B1966" s="2">
        <f ca="1"/>
        <v>0.11424755069889647</v>
      </c>
      <c r="O1966" s="2">
        <f ca="1"/>
        <v>-3.4846781375090896E-2</v>
      </c>
      <c r="X1966" s="2">
        <f ca="1"/>
        <v>54.339175312755692</v>
      </c>
      <c r="AG1966" s="2">
        <f ca="1"/>
        <v>6.6137738418211134E-2</v>
      </c>
      <c r="AH1966" s="2" t="str">
        <f ca="1"/>
        <v>OK</v>
      </c>
    </row>
    <row r="1967" spans="2:34" x14ac:dyDescent="0.2">
      <c r="B1967" s="2">
        <f ca="1"/>
        <v>0.55033524952743518</v>
      </c>
      <c r="O1967" s="2">
        <f ca="1"/>
        <v>0.47987800257290225</v>
      </c>
      <c r="X1967" s="2">
        <f ca="1"/>
        <v>51.941265905763103</v>
      </c>
      <c r="AG1967" s="2">
        <f ca="1"/>
        <v>0.69883299056933268</v>
      </c>
      <c r="AH1967" s="2" t="str">
        <f ca="1"/>
        <v>Bad</v>
      </c>
    </row>
    <row r="1968" spans="2:34" x14ac:dyDescent="0.2">
      <c r="B1968" s="2">
        <f ca="1"/>
        <v>0.9358119654208823</v>
      </c>
      <c r="O1968" s="2">
        <f ca="1"/>
        <v>1.3252602804445521</v>
      </c>
      <c r="X1968" s="2">
        <f ca="1"/>
        <v>76.286767898441511</v>
      </c>
      <c r="AG1968" s="2">
        <f ca="1"/>
        <v>0.99536134967102874</v>
      </c>
      <c r="AH1968" s="2" t="str">
        <f ca="1"/>
        <v>Bad</v>
      </c>
    </row>
    <row r="1969" spans="2:34" x14ac:dyDescent="0.2">
      <c r="B1969" s="2">
        <f ca="1"/>
        <v>0.48664647051531995</v>
      </c>
      <c r="O1969" s="2">
        <f ca="1"/>
        <v>-1.8758709364341792</v>
      </c>
      <c r="X1969" s="2">
        <f ca="1"/>
        <v>56.836462980412378</v>
      </c>
      <c r="AG1969" s="2">
        <f ca="1"/>
        <v>0.61719263810104463</v>
      </c>
      <c r="AH1969" s="2" t="str">
        <f ca="1"/>
        <v>Bad</v>
      </c>
    </row>
    <row r="1970" spans="2:34" x14ac:dyDescent="0.2">
      <c r="B1970" s="2">
        <f ca="1"/>
        <v>0.40724159745561939</v>
      </c>
      <c r="O1970" s="2">
        <f ca="1"/>
        <v>0.72550475813799598</v>
      </c>
      <c r="X1970" s="2">
        <f ca="1"/>
        <v>35.793831021066794</v>
      </c>
      <c r="AG1970" s="2">
        <f ca="1"/>
        <v>0.23140367315923505</v>
      </c>
      <c r="AH1970" s="2" t="str">
        <f ca="1"/>
        <v>OK</v>
      </c>
    </row>
    <row r="1971" spans="2:34" x14ac:dyDescent="0.2">
      <c r="B1971" s="2">
        <f ca="1"/>
        <v>0.40202512403625001</v>
      </c>
      <c r="O1971" s="2">
        <f ca="1"/>
        <v>-0.77782103724342955</v>
      </c>
      <c r="X1971" s="2">
        <f ca="1"/>
        <v>24.21700010072847</v>
      </c>
      <c r="AG1971" s="2">
        <f ca="1"/>
        <v>0.29254040943594295</v>
      </c>
      <c r="AH1971" s="2" t="str">
        <f ca="1"/>
        <v>OK</v>
      </c>
    </row>
    <row r="1972" spans="2:34" x14ac:dyDescent="0.2">
      <c r="B1972" s="2">
        <f ca="1"/>
        <v>0.31291918666594953</v>
      </c>
      <c r="O1972" s="2">
        <f ca="1"/>
        <v>-0.30119177758872079</v>
      </c>
      <c r="X1972" s="2">
        <f ca="1"/>
        <v>47.749199161480966</v>
      </c>
      <c r="AG1972" s="2">
        <f ca="1"/>
        <v>0.89710499609953498</v>
      </c>
      <c r="AH1972" s="2" t="str">
        <f ca="1"/>
        <v>Bad</v>
      </c>
    </row>
    <row r="1973" spans="2:34" x14ac:dyDescent="0.2">
      <c r="B1973" s="2">
        <f ca="1"/>
        <v>6.8793789823086815E-2</v>
      </c>
      <c r="O1973" s="2">
        <f ca="1"/>
        <v>-7.120391185804853E-2</v>
      </c>
      <c r="X1973" s="2">
        <f ca="1"/>
        <v>70.45075951551452</v>
      </c>
      <c r="AG1973" s="2">
        <f ca="1"/>
        <v>7.2074275955138489E-3</v>
      </c>
      <c r="AH1973" s="2" t="str">
        <f ca="1"/>
        <v>Good</v>
      </c>
    </row>
    <row r="1974" spans="2:34" x14ac:dyDescent="0.2">
      <c r="B1974" s="2">
        <f ca="1"/>
        <v>0.2035935574699006</v>
      </c>
      <c r="O1974" s="2">
        <f ca="1"/>
        <v>0.46911842139705284</v>
      </c>
      <c r="X1974" s="2">
        <f ca="1"/>
        <v>68.460092311073865</v>
      </c>
      <c r="AG1974" s="2">
        <f ca="1"/>
        <v>0.57320045961906563</v>
      </c>
      <c r="AH1974" s="2" t="str">
        <f ca="1"/>
        <v>Bad</v>
      </c>
    </row>
    <row r="1975" spans="2:34" x14ac:dyDescent="0.2">
      <c r="B1975" s="2">
        <f ca="1"/>
        <v>0.85531965895996653</v>
      </c>
      <c r="O1975" s="2">
        <f ca="1"/>
        <v>1.5943848470828672</v>
      </c>
      <c r="X1975" s="2">
        <f ca="1"/>
        <v>43.478053650715196</v>
      </c>
      <c r="AG1975" s="2">
        <f ca="1"/>
        <v>0.14558739061277115</v>
      </c>
      <c r="AH1975" s="2" t="str">
        <f ca="1"/>
        <v>OK</v>
      </c>
    </row>
    <row r="1976" spans="2:34" x14ac:dyDescent="0.2">
      <c r="B1976" s="2">
        <f ca="1"/>
        <v>0.63315173958411153</v>
      </c>
      <c r="O1976" s="2">
        <f ca="1"/>
        <v>-0.86373611680360407</v>
      </c>
      <c r="X1976" s="2">
        <f ca="1"/>
        <v>66.287517067932015</v>
      </c>
      <c r="AG1976" s="2">
        <f ca="1"/>
        <v>0.54279143401500907</v>
      </c>
      <c r="AH1976" s="2" t="str">
        <f ca="1"/>
        <v>Bad</v>
      </c>
    </row>
    <row r="1977" spans="2:34" x14ac:dyDescent="0.2">
      <c r="B1977" s="2">
        <f ca="1"/>
        <v>0.37202147158169829</v>
      </c>
      <c r="O1977" s="2">
        <f ca="1"/>
        <v>-0.41366072434760814</v>
      </c>
      <c r="X1977" s="2">
        <f ca="1"/>
        <v>23.218027316648914</v>
      </c>
      <c r="AG1977" s="2">
        <f ca="1"/>
        <v>0.80374801821976738</v>
      </c>
      <c r="AH1977" s="2" t="str">
        <f ca="1"/>
        <v>Bad</v>
      </c>
    </row>
    <row r="1978" spans="2:34" x14ac:dyDescent="0.2">
      <c r="B1978" s="2">
        <f ca="1"/>
        <v>0.94303367640913738</v>
      </c>
      <c r="O1978" s="2">
        <f ca="1"/>
        <v>0.14340923345875545</v>
      </c>
      <c r="X1978" s="2">
        <f ca="1"/>
        <v>35.231300626453866</v>
      </c>
      <c r="AG1978" s="2">
        <f ca="1"/>
        <v>0.90761777363694218</v>
      </c>
      <c r="AH1978" s="2" t="str">
        <f ca="1"/>
        <v>Bad</v>
      </c>
    </row>
    <row r="1979" spans="2:34" x14ac:dyDescent="0.2">
      <c r="B1979" s="2">
        <f ca="1"/>
        <v>6.9049858749168358E-3</v>
      </c>
      <c r="O1979" s="2">
        <f ca="1"/>
        <v>-1.4960516575442881</v>
      </c>
      <c r="X1979" s="2">
        <f ca="1"/>
        <v>56.417210230624299</v>
      </c>
      <c r="AG1979" s="2">
        <f ca="1"/>
        <v>0.65747159069630889</v>
      </c>
      <c r="AH1979" s="2" t="str">
        <f ca="1"/>
        <v>Bad</v>
      </c>
    </row>
    <row r="1980" spans="2:34" x14ac:dyDescent="0.2">
      <c r="B1980" s="2">
        <f ca="1"/>
        <v>0.96124353471927027</v>
      </c>
      <c r="O1980" s="2">
        <f ca="1"/>
        <v>-0.56847771796992674</v>
      </c>
      <c r="X1980" s="2">
        <f ca="1"/>
        <v>49.633662061631306</v>
      </c>
      <c r="AG1980" s="2">
        <f ca="1"/>
        <v>2.4096105849209515E-2</v>
      </c>
      <c r="AH1980" s="2" t="str">
        <f ca="1"/>
        <v>Good</v>
      </c>
    </row>
    <row r="1981" spans="2:34" x14ac:dyDescent="0.2">
      <c r="B1981" s="2">
        <f ca="1"/>
        <v>0.37489709363744605</v>
      </c>
      <c r="O1981" s="2">
        <f ca="1"/>
        <v>0.85119959038552362</v>
      </c>
      <c r="X1981" s="2">
        <f ca="1"/>
        <v>28.723793527393898</v>
      </c>
      <c r="AG1981" s="2">
        <f ca="1"/>
        <v>0.59604459853741765</v>
      </c>
      <c r="AH1981" s="2" t="str">
        <f ca="1"/>
        <v>Bad</v>
      </c>
    </row>
    <row r="1982" spans="2:34" x14ac:dyDescent="0.2">
      <c r="B1982" s="2">
        <f ca="1"/>
        <v>0.10500135432598179</v>
      </c>
      <c r="O1982" s="2">
        <f ca="1"/>
        <v>-0.36278355293983106</v>
      </c>
      <c r="X1982" s="2">
        <f ca="1"/>
        <v>48.952482200255069</v>
      </c>
      <c r="AG1982" s="2">
        <f ca="1"/>
        <v>0.73584062882333412</v>
      </c>
      <c r="AH1982" s="2" t="str">
        <f ca="1"/>
        <v>Bad</v>
      </c>
    </row>
    <row r="1983" spans="2:34" x14ac:dyDescent="0.2">
      <c r="B1983" s="2">
        <f ca="1"/>
        <v>0.71877189893207838</v>
      </c>
      <c r="O1983" s="2">
        <f ca="1"/>
        <v>-0.82203027753693614</v>
      </c>
      <c r="X1983" s="2">
        <f ca="1"/>
        <v>60.900342358663771</v>
      </c>
      <c r="AG1983" s="2">
        <f ca="1"/>
        <v>0.75869021195556385</v>
      </c>
      <c r="AH1983" s="2" t="str">
        <f ca="1"/>
        <v>Bad</v>
      </c>
    </row>
    <row r="1984" spans="2:34" x14ac:dyDescent="0.2">
      <c r="B1984" s="2">
        <f ca="1"/>
        <v>0.88878889876560407</v>
      </c>
      <c r="O1984" s="2">
        <f ca="1"/>
        <v>0.63883284189116007</v>
      </c>
      <c r="X1984" s="2">
        <f ca="1"/>
        <v>30.552253892724259</v>
      </c>
      <c r="AG1984" s="2">
        <f ca="1"/>
        <v>0.20689066489110908</v>
      </c>
      <c r="AH1984" s="2" t="str">
        <f ca="1"/>
        <v>OK</v>
      </c>
    </row>
    <row r="1985" spans="2:34" x14ac:dyDescent="0.2">
      <c r="B1985" s="2">
        <f ca="1"/>
        <v>0.5611908313695313</v>
      </c>
      <c r="O1985" s="2">
        <f ca="1"/>
        <v>0.49144549392113168</v>
      </c>
      <c r="X1985" s="2">
        <f ca="1"/>
        <v>41.83436055067866</v>
      </c>
      <c r="AG1985" s="2">
        <f ca="1"/>
        <v>2.0390834660432455E-2</v>
      </c>
      <c r="AH1985" s="2" t="str">
        <f ca="1"/>
        <v>Good</v>
      </c>
    </row>
    <row r="1986" spans="2:34" x14ac:dyDescent="0.2">
      <c r="B1986" s="2">
        <f ca="1"/>
        <v>0.62888193881688559</v>
      </c>
      <c r="O1986" s="2">
        <f ca="1"/>
        <v>-0.38916885582479183</v>
      </c>
      <c r="X1986" s="2">
        <f ca="1"/>
        <v>52.025881873353519</v>
      </c>
      <c r="AG1986" s="2">
        <f ca="1"/>
        <v>0.7806457667566753</v>
      </c>
      <c r="AH1986" s="2" t="str">
        <f ca="1"/>
        <v>Bad</v>
      </c>
    </row>
    <row r="1987" spans="2:34" x14ac:dyDescent="0.2">
      <c r="B1987" s="2">
        <f ca="1"/>
        <v>7.3882632045592089E-3</v>
      </c>
      <c r="O1987" s="2">
        <f ca="1"/>
        <v>-1.2058099126671349</v>
      </c>
      <c r="X1987" s="2">
        <f ca="1"/>
        <v>55.807423074873157</v>
      </c>
      <c r="AG1987" s="2">
        <f ca="1"/>
        <v>0.61468614449943493</v>
      </c>
      <c r="AH1987" s="2" t="str">
        <f ca="1"/>
        <v>Bad</v>
      </c>
    </row>
    <row r="1988" spans="2:34" x14ac:dyDescent="0.2">
      <c r="B1988" s="2">
        <f ca="1"/>
        <v>0.11520187309638752</v>
      </c>
      <c r="O1988" s="2">
        <f ca="1"/>
        <v>-0.62894168628389446</v>
      </c>
      <c r="X1988" s="2">
        <f ca="1"/>
        <v>50.451250129117625</v>
      </c>
      <c r="AG1988" s="2">
        <f ca="1"/>
        <v>4.15539028164571E-2</v>
      </c>
      <c r="AH1988" s="2" t="str">
        <f ca="1"/>
        <v>Good</v>
      </c>
    </row>
    <row r="1989" spans="2:34" x14ac:dyDescent="0.2">
      <c r="B1989" s="2">
        <f ca="1"/>
        <v>4.9264607971110541E-2</v>
      </c>
      <c r="O1989" s="2">
        <f ca="1"/>
        <v>-0.39991908860007286</v>
      </c>
      <c r="X1989" s="2">
        <f ca="1"/>
        <v>63.277055026393313</v>
      </c>
      <c r="AG1989" s="2">
        <f ca="1"/>
        <v>0.30442832206897541</v>
      </c>
      <c r="AH1989" s="2" t="str">
        <f ca="1"/>
        <v>OK</v>
      </c>
    </row>
    <row r="1990" spans="2:34" x14ac:dyDescent="0.2">
      <c r="B1990" s="2">
        <f ca="1"/>
        <v>0.66542128448905613</v>
      </c>
      <c r="O1990" s="2">
        <f ca="1"/>
        <v>0.75478602427384434</v>
      </c>
      <c r="X1990" s="2">
        <f ca="1"/>
        <v>74.744493270971645</v>
      </c>
      <c r="AG1990" s="2">
        <f ca="1"/>
        <v>0.55295399794885847</v>
      </c>
      <c r="AH1990" s="2" t="str">
        <f ca="1"/>
        <v>Bad</v>
      </c>
    </row>
    <row r="1991" spans="2:34" x14ac:dyDescent="0.2">
      <c r="B1991" s="2">
        <f ca="1"/>
        <v>0.77084905902474832</v>
      </c>
      <c r="O1991" s="2">
        <f ca="1"/>
        <v>-2.4597814383620875</v>
      </c>
      <c r="X1991" s="2">
        <f ca="1"/>
        <v>29.220070909776471</v>
      </c>
      <c r="AG1991" s="2">
        <f ca="1"/>
        <v>8.7683667784835606E-2</v>
      </c>
      <c r="AH1991" s="2" t="str">
        <f ca="1"/>
        <v>OK</v>
      </c>
    </row>
    <row r="1992" spans="2:34" x14ac:dyDescent="0.2">
      <c r="B1992" s="2">
        <f ca="1"/>
        <v>0.85340704974567982</v>
      </c>
      <c r="O1992" s="2">
        <f ca="1"/>
        <v>-0.44746691874067496</v>
      </c>
      <c r="X1992" s="2">
        <f ca="1"/>
        <v>64.042160324430824</v>
      </c>
      <c r="AG1992" s="2">
        <f ca="1"/>
        <v>0.79959432710608458</v>
      </c>
      <c r="AH1992" s="2" t="str">
        <f ca="1"/>
        <v>Bad</v>
      </c>
    </row>
    <row r="1993" spans="2:34" x14ac:dyDescent="0.2">
      <c r="B1993" s="2">
        <f ca="1"/>
        <v>0.67401123921221573</v>
      </c>
      <c r="O1993" s="2">
        <f ca="1"/>
        <v>-0.65081960037607256</v>
      </c>
      <c r="X1993" s="2">
        <f ca="1"/>
        <v>77.884397533779023</v>
      </c>
      <c r="AG1993" s="2">
        <f ca="1"/>
        <v>0.47243815601390948</v>
      </c>
      <c r="AH1993" s="2" t="str">
        <f ca="1"/>
        <v>Bad</v>
      </c>
    </row>
    <row r="1994" spans="2:34" x14ac:dyDescent="0.2">
      <c r="B1994" s="2">
        <f ca="1"/>
        <v>0.48677168997755826</v>
      </c>
      <c r="O1994" s="2">
        <f ca="1"/>
        <v>-0.89818613943918835</v>
      </c>
      <c r="X1994" s="2">
        <f ca="1"/>
        <v>49.94176735488508</v>
      </c>
      <c r="AG1994" s="2">
        <f ca="1"/>
        <v>0.95230319941814678</v>
      </c>
      <c r="AH1994" s="2" t="str">
        <f ca="1"/>
        <v>Bad</v>
      </c>
    </row>
    <row r="1995" spans="2:34" x14ac:dyDescent="0.2">
      <c r="B1995" s="2">
        <f ca="1"/>
        <v>0.70732189622312136</v>
      </c>
      <c r="O1995" s="2">
        <f ca="1"/>
        <v>0.2598593233980469</v>
      </c>
      <c r="X1995" s="2">
        <f ca="1"/>
        <v>42.865539870488654</v>
      </c>
      <c r="AG1995" s="2">
        <f ca="1"/>
        <v>0.7776132542383416</v>
      </c>
      <c r="AH1995" s="2" t="str">
        <f ca="1"/>
        <v>Bad</v>
      </c>
    </row>
    <row r="1996" spans="2:34" x14ac:dyDescent="0.2">
      <c r="B1996" s="2">
        <f ca="1"/>
        <v>0.10092814198802524</v>
      </c>
      <c r="O1996" s="2">
        <f ca="1"/>
        <v>0.55257883832961974</v>
      </c>
      <c r="X1996" s="2">
        <f ca="1"/>
        <v>85.990526065848996</v>
      </c>
      <c r="AG1996" s="2">
        <f ca="1"/>
        <v>0.451371895534322</v>
      </c>
      <c r="AH1996" s="2" t="str">
        <f ca="1"/>
        <v>Bad</v>
      </c>
    </row>
    <row r="1997" spans="2:34" x14ac:dyDescent="0.2">
      <c r="B1997" s="2">
        <f ca="1"/>
        <v>0.60318081825121461</v>
      </c>
      <c r="O1997" s="2">
        <f ca="1"/>
        <v>0.73504631401927134</v>
      </c>
      <c r="X1997" s="2">
        <f ca="1"/>
        <v>64.610161503565209</v>
      </c>
      <c r="AG1997" s="2">
        <f ca="1"/>
        <v>0.38632792959559348</v>
      </c>
      <c r="AH1997" s="2" t="str">
        <f ca="1"/>
        <v>OK</v>
      </c>
    </row>
    <row r="1998" spans="2:34" x14ac:dyDescent="0.2">
      <c r="B1998" s="2">
        <f ca="1"/>
        <v>0.53012737840192492</v>
      </c>
      <c r="O1998" s="2">
        <f ca="1"/>
        <v>0.83694954721960058</v>
      </c>
      <c r="X1998" s="2">
        <f ca="1"/>
        <v>24.312194493573216</v>
      </c>
      <c r="AG1998" s="2">
        <f ca="1"/>
        <v>0.57397414161063187</v>
      </c>
      <c r="AH1998" s="2" t="str">
        <f ca="1"/>
        <v>Bad</v>
      </c>
    </row>
    <row r="1999" spans="2:34" x14ac:dyDescent="0.2">
      <c r="B1999" s="2">
        <f ca="1"/>
        <v>5.5010902888057434E-3</v>
      </c>
      <c r="O1999" s="2">
        <f ca="1"/>
        <v>-0.31710896658159343</v>
      </c>
      <c r="X1999" s="2">
        <f ca="1"/>
        <v>36.521346327127539</v>
      </c>
      <c r="AG1999" s="2">
        <f ca="1"/>
        <v>4.0184431220729566E-2</v>
      </c>
      <c r="AH1999" s="2" t="str">
        <f ca="1"/>
        <v>Good</v>
      </c>
    </row>
    <row r="2000" spans="2:34" x14ac:dyDescent="0.2">
      <c r="B2000" s="2">
        <f ca="1"/>
        <v>0.99011285132611504</v>
      </c>
      <c r="O2000" s="2">
        <f ca="1"/>
        <v>-1.1588563954962769</v>
      </c>
      <c r="X2000" s="2">
        <f ca="1"/>
        <v>36.357065042449946</v>
      </c>
      <c r="AG2000" s="2">
        <f ca="1"/>
        <v>0.33163182644191624</v>
      </c>
      <c r="AH2000" s="2" t="str">
        <f ca="1"/>
        <v>OK</v>
      </c>
    </row>
    <row r="2001" spans="2:34" x14ac:dyDescent="0.2">
      <c r="B2001" s="2">
        <f ca="1"/>
        <v>0.59433426297547731</v>
      </c>
      <c r="O2001" s="2">
        <f ca="1"/>
        <v>1.0184720438900361</v>
      </c>
      <c r="X2001" s="2">
        <f ca="1"/>
        <v>53.460459094758981</v>
      </c>
      <c r="AG2001" s="2">
        <f ca="1"/>
        <v>0.41351385906731997</v>
      </c>
      <c r="AH2001" s="2" t="str">
        <f ca="1"/>
        <v>Bad</v>
      </c>
    </row>
    <row r="2002" spans="2:34" x14ac:dyDescent="0.2">
      <c r="B2002" s="2">
        <f ca="1"/>
        <v>0.85116199051803654</v>
      </c>
      <c r="O2002" s="2">
        <f ca="1"/>
        <v>-0.28854281407294469</v>
      </c>
      <c r="X2002" s="2">
        <f ca="1"/>
        <v>70.611029076320321</v>
      </c>
      <c r="AG2002" s="2">
        <f ca="1"/>
        <v>2.4517079736393166E-2</v>
      </c>
      <c r="AH2002" s="2" t="str">
        <f ca="1"/>
        <v>Good</v>
      </c>
    </row>
    <row r="2003" spans="2:34" x14ac:dyDescent="0.2">
      <c r="B2003" s="2">
        <f ca="1"/>
        <v>0.12392231592304692</v>
      </c>
      <c r="O2003" s="2">
        <f ca="1"/>
        <v>-0.53274977588369643</v>
      </c>
      <c r="X2003" s="2">
        <f ca="1"/>
        <v>61.889284678815947</v>
      </c>
      <c r="AG2003" s="2">
        <f ca="1"/>
        <v>0.78466898757961379</v>
      </c>
      <c r="AH2003" s="2" t="str">
        <f ca="1"/>
        <v>Bad</v>
      </c>
    </row>
    <row r="2004" spans="2:34" x14ac:dyDescent="0.2">
      <c r="B2004" s="2">
        <f ca="1"/>
        <v>0.62421837328286389</v>
      </c>
      <c r="O2004" s="2">
        <f ca="1"/>
        <v>-0.26448400827512714</v>
      </c>
      <c r="X2004" s="2">
        <f ca="1"/>
        <v>58.1868387462508</v>
      </c>
      <c r="AG2004" s="2">
        <f ca="1"/>
        <v>0.27032887613726508</v>
      </c>
      <c r="AH2004" s="2" t="str">
        <f ca="1"/>
        <v>OK</v>
      </c>
    </row>
    <row r="2005" spans="2:34" x14ac:dyDescent="0.2">
      <c r="B2005" s="2">
        <f ca="1"/>
        <v>0.98596511536382092</v>
      </c>
      <c r="O2005" s="2">
        <f ca="1"/>
        <v>1.7197556253743491</v>
      </c>
      <c r="X2005" s="2">
        <f ca="1"/>
        <v>60.915795495840079</v>
      </c>
      <c r="AG2005" s="2">
        <f ca="1"/>
        <v>0.79929688949156108</v>
      </c>
      <c r="AH2005" s="2" t="str">
        <f ca="1"/>
        <v>Bad</v>
      </c>
    </row>
    <row r="2006" spans="2:34" x14ac:dyDescent="0.2">
      <c r="B2006" s="2">
        <f ca="1"/>
        <v>0.5192884979807515</v>
      </c>
      <c r="O2006" s="2">
        <f ca="1"/>
        <v>0.84421598883347182</v>
      </c>
      <c r="X2006" s="2">
        <f ca="1"/>
        <v>60.258762117818414</v>
      </c>
      <c r="AG2006" s="2">
        <f ca="1"/>
        <v>0.96118066013443215</v>
      </c>
      <c r="AH2006" s="2" t="str">
        <f ca="1"/>
        <v>Bad</v>
      </c>
    </row>
    <row r="2007" spans="2:34" x14ac:dyDescent="0.2">
      <c r="B2007" s="2">
        <f ca="1"/>
        <v>0.84309478703415208</v>
      </c>
      <c r="O2007" s="2">
        <f ca="1"/>
        <v>0.30346251437635818</v>
      </c>
      <c r="X2007" s="2">
        <f ca="1"/>
        <v>32.92085526069107</v>
      </c>
      <c r="AG2007" s="2">
        <f ca="1"/>
        <v>2.175406062590457E-2</v>
      </c>
      <c r="AH2007" s="2" t="str">
        <f ca="1"/>
        <v>Good</v>
      </c>
    </row>
    <row r="2008" spans="2:34" x14ac:dyDescent="0.2">
      <c r="B2008" s="2">
        <f ca="1"/>
        <v>0.8834638867972906</v>
      </c>
      <c r="O2008" s="2">
        <f ca="1"/>
        <v>-1.007712010495206</v>
      </c>
      <c r="X2008" s="2">
        <f ca="1"/>
        <v>36.173452249017537</v>
      </c>
      <c r="AG2008" s="2">
        <f ca="1"/>
        <v>0.24267935095528292</v>
      </c>
      <c r="AH2008" s="2" t="str">
        <f ca="1"/>
        <v>OK</v>
      </c>
    </row>
    <row r="2009" spans="2:34" x14ac:dyDescent="0.2">
      <c r="B2009" s="2">
        <f ca="1"/>
        <v>1.9531757826525276E-2</v>
      </c>
      <c r="O2009" s="2">
        <f ca="1"/>
        <v>-0.90214648938308328</v>
      </c>
      <c r="X2009" s="2">
        <f ca="1"/>
        <v>38.731023980201307</v>
      </c>
      <c r="AG2009" s="2">
        <f ca="1"/>
        <v>0.66460434837917082</v>
      </c>
      <c r="AH2009" s="2" t="str">
        <f ca="1"/>
        <v>Bad</v>
      </c>
    </row>
    <row r="2010" spans="2:34" x14ac:dyDescent="0.2">
      <c r="B2010" s="2">
        <f ca="1"/>
        <v>7.1785459769464488E-3</v>
      </c>
      <c r="O2010" s="2">
        <f ca="1"/>
        <v>-0.55505990884878542</v>
      </c>
      <c r="X2010" s="2">
        <f ca="1"/>
        <v>52.417093657875284</v>
      </c>
      <c r="AG2010" s="2">
        <f ca="1"/>
        <v>0.29465152517538451</v>
      </c>
      <c r="AH2010" s="2" t="str">
        <f ca="1"/>
        <v>OK</v>
      </c>
    </row>
    <row r="2011" spans="2:34" x14ac:dyDescent="0.2">
      <c r="B2011" s="2">
        <f ca="1"/>
        <v>0.28610336487063748</v>
      </c>
      <c r="O2011" s="2">
        <f ca="1"/>
        <v>-0.30718124159818899</v>
      </c>
      <c r="X2011" s="2">
        <f ca="1"/>
        <v>56.177273814706503</v>
      </c>
      <c r="AG2011" s="2">
        <f ca="1"/>
        <v>0.88481221425018575</v>
      </c>
      <c r="AH2011" s="2" t="str">
        <f ca="1"/>
        <v>Bad</v>
      </c>
    </row>
    <row r="2012" spans="2:34" x14ac:dyDescent="0.2">
      <c r="B2012" s="2">
        <f ca="1"/>
        <v>0.91286777951512321</v>
      </c>
      <c r="O2012" s="2">
        <f ca="1"/>
        <v>-0.44508977265036093</v>
      </c>
      <c r="X2012" s="2">
        <f ca="1"/>
        <v>54.670855968582188</v>
      </c>
      <c r="AG2012" s="2">
        <f ca="1"/>
        <v>0.32875245348780324</v>
      </c>
      <c r="AH2012" s="2" t="str">
        <f ca="1"/>
        <v>OK</v>
      </c>
    </row>
    <row r="2013" spans="2:34" x14ac:dyDescent="0.2">
      <c r="B2013" s="2">
        <f ca="1"/>
        <v>0.96504627084373795</v>
      </c>
      <c r="O2013" s="2">
        <f ca="1"/>
        <v>0.2619207540494124</v>
      </c>
      <c r="X2013" s="2">
        <f ca="1"/>
        <v>20.114818051208054</v>
      </c>
      <c r="AG2013" s="2">
        <f ca="1"/>
        <v>0.37558559884036291</v>
      </c>
      <c r="AH2013" s="2" t="str">
        <f ca="1"/>
        <v>OK</v>
      </c>
    </row>
    <row r="2014" spans="2:34" x14ac:dyDescent="0.2">
      <c r="B2014" s="2">
        <f ca="1"/>
        <v>0.16152443169482922</v>
      </c>
      <c r="O2014" s="2">
        <f ca="1"/>
        <v>0.20180818498572664</v>
      </c>
      <c r="X2014" s="2">
        <f ca="1"/>
        <v>37.375763409738255</v>
      </c>
      <c r="AG2014" s="2">
        <f ca="1"/>
        <v>0.95704479886238736</v>
      </c>
      <c r="AH2014" s="2" t="str">
        <f ca="1"/>
        <v>Bad</v>
      </c>
    </row>
    <row r="2015" spans="2:34" x14ac:dyDescent="0.2">
      <c r="B2015" s="2">
        <f ca="1"/>
        <v>0.91564879304369251</v>
      </c>
      <c r="O2015" s="2">
        <f ca="1"/>
        <v>-1.8859012299006834</v>
      </c>
      <c r="X2015" s="2">
        <f ca="1"/>
        <v>64.580111467984466</v>
      </c>
      <c r="AG2015" s="2">
        <f ca="1"/>
        <v>0.82793699576496405</v>
      </c>
      <c r="AH2015" s="2" t="str">
        <f ca="1"/>
        <v>Bad</v>
      </c>
    </row>
    <row r="2016" spans="2:34" x14ac:dyDescent="0.2">
      <c r="B2016" s="2">
        <f ca="1"/>
        <v>0.16116362289116304</v>
      </c>
      <c r="O2016" s="2">
        <f ca="1"/>
        <v>-1.6394149823959399</v>
      </c>
      <c r="X2016" s="2">
        <f ca="1"/>
        <v>48.26889101154309</v>
      </c>
      <c r="AG2016" s="2">
        <f ca="1"/>
        <v>0.1916397283639355</v>
      </c>
      <c r="AH2016" s="2" t="str">
        <f ca="1"/>
        <v>OK</v>
      </c>
    </row>
    <row r="2017" spans="2:34" x14ac:dyDescent="0.2">
      <c r="B2017" s="2">
        <f ca="1"/>
        <v>0.19684657833777153</v>
      </c>
      <c r="O2017" s="2">
        <f ca="1"/>
        <v>-0.58781558483871965</v>
      </c>
      <c r="X2017" s="2">
        <f ca="1"/>
        <v>60.045605139196851</v>
      </c>
      <c r="AG2017" s="2">
        <f ca="1"/>
        <v>0.49548430879320904</v>
      </c>
      <c r="AH2017" s="2" t="str">
        <f ca="1"/>
        <v>Bad</v>
      </c>
    </row>
    <row r="2018" spans="2:34" x14ac:dyDescent="0.2">
      <c r="B2018" s="2">
        <f ca="1"/>
        <v>0.24223869458152403</v>
      </c>
      <c r="O2018" s="2">
        <f ca="1"/>
        <v>-0.84995001533287573</v>
      </c>
      <c r="X2018" s="2">
        <f ca="1"/>
        <v>93.289476223452226</v>
      </c>
      <c r="AG2018" s="2">
        <f ca="1"/>
        <v>0.80167832860282795</v>
      </c>
      <c r="AH2018" s="2" t="str">
        <f ca="1"/>
        <v>Bad</v>
      </c>
    </row>
    <row r="2019" spans="2:34" x14ac:dyDescent="0.2">
      <c r="B2019" s="2">
        <f ca="1"/>
        <v>0.15674368739684419</v>
      </c>
      <c r="O2019" s="2">
        <f ca="1"/>
        <v>1.2818441233768878</v>
      </c>
      <c r="X2019" s="2">
        <f ca="1"/>
        <v>56.286556227950094</v>
      </c>
      <c r="AG2019" s="2">
        <f ca="1"/>
        <v>0.98035913263511421</v>
      </c>
      <c r="AH2019" s="2" t="str">
        <f ca="1"/>
        <v>Bad</v>
      </c>
    </row>
    <row r="2020" spans="2:34" x14ac:dyDescent="0.2">
      <c r="B2020" s="2">
        <f ca="1"/>
        <v>0.38839878820963847</v>
      </c>
      <c r="O2020" s="2">
        <f ca="1"/>
        <v>5.9058898427234184E-2</v>
      </c>
      <c r="X2020" s="2">
        <f ca="1"/>
        <v>74.474206133383532</v>
      </c>
      <c r="AG2020" s="2">
        <f ca="1"/>
        <v>0.45329657262838063</v>
      </c>
      <c r="AH2020" s="2" t="str">
        <f ca="1"/>
        <v>Bad</v>
      </c>
    </row>
    <row r="2021" spans="2:34" x14ac:dyDescent="0.2">
      <c r="B2021" s="2">
        <f ca="1"/>
        <v>4.3342270143329031E-2</v>
      </c>
      <c r="O2021" s="2">
        <f ca="1"/>
        <v>-0.52181180355504786</v>
      </c>
      <c r="X2021" s="2">
        <f ca="1"/>
        <v>27.243943186228389</v>
      </c>
      <c r="AG2021" s="2">
        <f ca="1"/>
        <v>0.14105715797160534</v>
      </c>
      <c r="AH2021" s="2" t="str">
        <f ca="1"/>
        <v>OK</v>
      </c>
    </row>
    <row r="2022" spans="2:34" x14ac:dyDescent="0.2">
      <c r="B2022" s="2">
        <f ca="1"/>
        <v>0.84114423759303825</v>
      </c>
      <c r="O2022" s="2">
        <f ca="1"/>
        <v>1.2240106776748187</v>
      </c>
      <c r="X2022" s="2">
        <f ca="1"/>
        <v>40.744723017663127</v>
      </c>
      <c r="AG2022" s="2">
        <f ca="1"/>
        <v>0.7103699775674297</v>
      </c>
      <c r="AH2022" s="2" t="str">
        <f ca="1"/>
        <v>Bad</v>
      </c>
    </row>
    <row r="2023" spans="2:34" x14ac:dyDescent="0.2">
      <c r="B2023" s="2">
        <f ca="1"/>
        <v>0.80492632407707876</v>
      </c>
      <c r="O2023" s="2">
        <f ca="1"/>
        <v>0.89617358900759803</v>
      </c>
      <c r="X2023" s="2">
        <f ca="1"/>
        <v>37.475968300880908</v>
      </c>
      <c r="AG2023" s="2">
        <f ca="1"/>
        <v>0.47457132959598414</v>
      </c>
      <c r="AH2023" s="2" t="str">
        <f ca="1"/>
        <v>Bad</v>
      </c>
    </row>
    <row r="2024" spans="2:34" x14ac:dyDescent="0.2">
      <c r="B2024" s="2">
        <f ca="1"/>
        <v>0.34685226646815015</v>
      </c>
      <c r="O2024" s="2">
        <f ca="1"/>
        <v>-4.4224640230442598E-2</v>
      </c>
      <c r="X2024" s="2">
        <f ca="1"/>
        <v>48.389912905566199</v>
      </c>
      <c r="AG2024" s="2">
        <f ca="1"/>
        <v>0.1645006634462951</v>
      </c>
      <c r="AH2024" s="2" t="str">
        <f ca="1"/>
        <v>OK</v>
      </c>
    </row>
    <row r="2025" spans="2:34" x14ac:dyDescent="0.2">
      <c r="B2025" s="2">
        <f ca="1"/>
        <v>0.46015294067632806</v>
      </c>
      <c r="O2025" s="2">
        <f ca="1"/>
        <v>0.37216125576780812</v>
      </c>
      <c r="X2025" s="2">
        <f ca="1"/>
        <v>32.540024253101237</v>
      </c>
      <c r="AG2025" s="2">
        <f ca="1"/>
        <v>7.0961004559415786E-2</v>
      </c>
      <c r="AH2025" s="2" t="str">
        <f ca="1"/>
        <v>OK</v>
      </c>
    </row>
    <row r="2026" spans="2:34" x14ac:dyDescent="0.2">
      <c r="B2026" s="2">
        <f ca="1"/>
        <v>0.57798514996620565</v>
      </c>
      <c r="O2026" s="2">
        <f ca="1"/>
        <v>2.196435774670952</v>
      </c>
      <c r="X2026" s="2">
        <f ca="1"/>
        <v>38.351102338401624</v>
      </c>
      <c r="AG2026" s="2">
        <f ca="1"/>
        <v>0.24944712557188398</v>
      </c>
      <c r="AH2026" s="2" t="str">
        <f ca="1"/>
        <v>OK</v>
      </c>
    </row>
    <row r="2027" spans="2:34" x14ac:dyDescent="0.2">
      <c r="B2027" s="2">
        <f ca="1"/>
        <v>0.45924118222236565</v>
      </c>
      <c r="O2027" s="2">
        <f ca="1"/>
        <v>1.2086527506734321</v>
      </c>
      <c r="X2027" s="2">
        <f ca="1"/>
        <v>65.661823389386015</v>
      </c>
      <c r="AG2027" s="2">
        <f ca="1"/>
        <v>0.44041538104055267</v>
      </c>
      <c r="AH2027" s="2" t="str">
        <f ca="1"/>
        <v>Bad</v>
      </c>
    </row>
    <row r="2028" spans="2:34" x14ac:dyDescent="0.2">
      <c r="B2028" s="2">
        <f ca="1"/>
        <v>0.448857965599752</v>
      </c>
      <c r="O2028" s="2">
        <f ca="1"/>
        <v>-0.16714241554437134</v>
      </c>
      <c r="X2028" s="2">
        <f ca="1"/>
        <v>47.528886264039599</v>
      </c>
      <c r="AG2028" s="2">
        <f ca="1"/>
        <v>0.81994370907726744</v>
      </c>
      <c r="AH2028" s="2" t="str">
        <f ca="1"/>
        <v>Bad</v>
      </c>
    </row>
    <row r="2029" spans="2:34" x14ac:dyDescent="0.2">
      <c r="B2029" s="2">
        <f ca="1"/>
        <v>0.69464462034692964</v>
      </c>
      <c r="O2029" s="2">
        <f ca="1"/>
        <v>1.3035895794959216</v>
      </c>
      <c r="X2029" s="2">
        <f ca="1"/>
        <v>80.855197582842067</v>
      </c>
      <c r="AG2029" s="2">
        <f ca="1"/>
        <v>0.82770741760865096</v>
      </c>
      <c r="AH2029" s="2" t="str">
        <f ca="1"/>
        <v>Bad</v>
      </c>
    </row>
    <row r="2030" spans="2:34" x14ac:dyDescent="0.2">
      <c r="B2030" s="2">
        <f ca="1"/>
        <v>0.88019920902018733</v>
      </c>
      <c r="O2030" s="2">
        <f ca="1"/>
        <v>1.4762448682351414</v>
      </c>
      <c r="X2030" s="2">
        <f ca="1"/>
        <v>56.736766453666199</v>
      </c>
      <c r="AG2030" s="2">
        <f ca="1"/>
        <v>0.97362301093713266</v>
      </c>
      <c r="AH2030" s="2" t="str">
        <f ca="1"/>
        <v>Bad</v>
      </c>
    </row>
    <row r="2031" spans="2:34" x14ac:dyDescent="0.2">
      <c r="B2031" s="2">
        <f ca="1"/>
        <v>0.9918118411125203</v>
      </c>
      <c r="O2031" s="2">
        <f ca="1"/>
        <v>0.73279589598375194</v>
      </c>
      <c r="X2031" s="2">
        <f ca="1"/>
        <v>54.579597746472061</v>
      </c>
      <c r="AG2031" s="2">
        <f ca="1"/>
        <v>0.35284054355723349</v>
      </c>
      <c r="AH2031" s="2" t="str">
        <f ca="1"/>
        <v>OK</v>
      </c>
    </row>
    <row r="2032" spans="2:34" x14ac:dyDescent="0.2">
      <c r="B2032" s="2">
        <f ca="1"/>
        <v>0.56113938999901092</v>
      </c>
      <c r="O2032" s="2">
        <f ca="1"/>
        <v>1.1400020942355311</v>
      </c>
      <c r="X2032" s="2">
        <f ca="1"/>
        <v>38.061840343873179</v>
      </c>
      <c r="AG2032" s="2">
        <f ca="1"/>
        <v>0.53051251898378804</v>
      </c>
      <c r="AH2032" s="2" t="str">
        <f ca="1"/>
        <v>Bad</v>
      </c>
    </row>
    <row r="2033" spans="2:34" x14ac:dyDescent="0.2">
      <c r="B2033" s="2">
        <f ca="1"/>
        <v>0.74698598670721372</v>
      </c>
      <c r="O2033" s="2">
        <f ca="1"/>
        <v>-1.5832354303660097</v>
      </c>
      <c r="X2033" s="2">
        <f ca="1"/>
        <v>94.104270345417532</v>
      </c>
      <c r="AG2033" s="2">
        <f ca="1"/>
        <v>0.2602266245842848</v>
      </c>
      <c r="AH2033" s="2" t="str">
        <f ca="1"/>
        <v>OK</v>
      </c>
    </row>
    <row r="2034" spans="2:34" x14ac:dyDescent="0.2">
      <c r="B2034" s="2">
        <f ca="1"/>
        <v>0.31800431453241207</v>
      </c>
      <c r="O2034" s="2">
        <f ca="1"/>
        <v>0.97257595751024861</v>
      </c>
      <c r="X2034" s="2">
        <f ca="1"/>
        <v>80.955962219389889</v>
      </c>
      <c r="AG2034" s="2">
        <f ca="1"/>
        <v>0.26607361096929893</v>
      </c>
      <c r="AH2034" s="2" t="str">
        <f ca="1"/>
        <v>OK</v>
      </c>
    </row>
    <row r="2035" spans="2:34" x14ac:dyDescent="0.2">
      <c r="B2035" s="2">
        <f ca="1"/>
        <v>0.73823373218351707</v>
      </c>
      <c r="O2035" s="2">
        <f ca="1"/>
        <v>9.4021746259590876E-3</v>
      </c>
      <c r="X2035" s="2">
        <f ca="1"/>
        <v>68.62439232615327</v>
      </c>
      <c r="AG2035" s="2">
        <f ca="1"/>
        <v>0.8018018227303787</v>
      </c>
      <c r="AH2035" s="2" t="str">
        <f ca="1"/>
        <v>Bad</v>
      </c>
    </row>
    <row r="2036" spans="2:34" x14ac:dyDescent="0.2">
      <c r="B2036" s="2">
        <f ca="1"/>
        <v>0.96495146034534218</v>
      </c>
      <c r="O2036" s="2">
        <f ca="1"/>
        <v>-0.14158233868207465</v>
      </c>
      <c r="X2036" s="2">
        <f ca="1"/>
        <v>27.529351273695049</v>
      </c>
      <c r="AG2036" s="2">
        <f ca="1"/>
        <v>0.92021559708847844</v>
      </c>
      <c r="AH2036" s="2" t="str">
        <f ca="1"/>
        <v>Bad</v>
      </c>
    </row>
    <row r="2037" spans="2:34" x14ac:dyDescent="0.2">
      <c r="B2037" s="2">
        <f ca="1"/>
        <v>0.88794870303814233</v>
      </c>
      <c r="O2037" s="2">
        <f ca="1"/>
        <v>-0.9097484496963324</v>
      </c>
      <c r="X2037" s="2">
        <f ca="1"/>
        <v>58.99505490864108</v>
      </c>
      <c r="AG2037" s="2">
        <f ca="1"/>
        <v>1.5946285362381296E-2</v>
      </c>
      <c r="AH2037" s="2" t="str">
        <f ca="1"/>
        <v>Good</v>
      </c>
    </row>
    <row r="2038" spans="2:34" x14ac:dyDescent="0.2">
      <c r="B2038" s="2">
        <f ca="1"/>
        <v>0.71049145924088308</v>
      </c>
      <c r="O2038" s="2">
        <f ca="1"/>
        <v>-0.74971843862935628</v>
      </c>
      <c r="X2038" s="2">
        <f ca="1"/>
        <v>62.665071283298452</v>
      </c>
      <c r="AG2038" s="2">
        <f ca="1"/>
        <v>0.85363168351264718</v>
      </c>
      <c r="AH2038" s="2" t="str">
        <f ca="1"/>
        <v>Bad</v>
      </c>
    </row>
    <row r="2039" spans="2:34" x14ac:dyDescent="0.2">
      <c r="B2039" s="2">
        <f ca="1"/>
        <v>0.89936592704081808</v>
      </c>
      <c r="O2039" s="2">
        <f ca="1"/>
        <v>0.15967094162834253</v>
      </c>
      <c r="X2039" s="2">
        <f ca="1"/>
        <v>53.485668285172999</v>
      </c>
      <c r="AG2039" s="2">
        <f ca="1"/>
        <v>0.98197993891363522</v>
      </c>
      <c r="AH2039" s="2" t="str">
        <f ca="1"/>
        <v>Bad</v>
      </c>
    </row>
    <row r="2040" spans="2:34" x14ac:dyDescent="0.2">
      <c r="B2040" s="2">
        <f ca="1"/>
        <v>0.59337530772678337</v>
      </c>
      <c r="O2040" s="2">
        <f ca="1"/>
        <v>0.34833017576146869</v>
      </c>
      <c r="X2040" s="2">
        <f ca="1"/>
        <v>25.072054084810247</v>
      </c>
      <c r="AG2040" s="2">
        <f ca="1"/>
        <v>0.85667257689712706</v>
      </c>
      <c r="AH2040" s="2" t="str">
        <f ca="1"/>
        <v>Bad</v>
      </c>
    </row>
    <row r="2041" spans="2:34" x14ac:dyDescent="0.2">
      <c r="B2041" s="2">
        <f ca="1"/>
        <v>0.56095681505140105</v>
      </c>
      <c r="O2041" s="2">
        <f ca="1"/>
        <v>0.4400595231007885</v>
      </c>
      <c r="X2041" s="2">
        <f ca="1"/>
        <v>42.184389464435085</v>
      </c>
      <c r="AG2041" s="2">
        <f ca="1"/>
        <v>0.25426176378034793</v>
      </c>
      <c r="AH2041" s="2" t="str">
        <f ca="1"/>
        <v>OK</v>
      </c>
    </row>
    <row r="2042" spans="2:34" x14ac:dyDescent="0.2">
      <c r="B2042" s="2">
        <f ca="1"/>
        <v>0.42543665318688273</v>
      </c>
      <c r="O2042" s="2">
        <f ca="1"/>
        <v>0.94873400582423606</v>
      </c>
      <c r="X2042" s="2">
        <f ca="1"/>
        <v>36.483646981550571</v>
      </c>
      <c r="AG2042" s="2">
        <f ca="1"/>
        <v>0.7744695664343364</v>
      </c>
      <c r="AH2042" s="2" t="str">
        <f ca="1"/>
        <v>Bad</v>
      </c>
    </row>
    <row r="2043" spans="2:34" x14ac:dyDescent="0.2">
      <c r="B2043" s="2">
        <f ca="1"/>
        <v>0.19260934525093942</v>
      </c>
      <c r="O2043" s="2">
        <f ca="1"/>
        <v>0.54896365559479743</v>
      </c>
      <c r="X2043" s="2">
        <f ca="1"/>
        <v>76.115403805938499</v>
      </c>
      <c r="AG2043" s="2">
        <f ca="1"/>
        <v>0.34914595015193606</v>
      </c>
      <c r="AH2043" s="2" t="str">
        <f ca="1"/>
        <v>OK</v>
      </c>
    </row>
    <row r="2044" spans="2:34" x14ac:dyDescent="0.2">
      <c r="B2044" s="2">
        <f ca="1"/>
        <v>0.26283220526707374</v>
      </c>
      <c r="O2044" s="2">
        <f ca="1"/>
        <v>-0.14257580069460588</v>
      </c>
      <c r="X2044" s="2">
        <f ca="1"/>
        <v>60.808989062281931</v>
      </c>
      <c r="AG2044" s="2">
        <f ca="1"/>
        <v>0.51618268200075934</v>
      </c>
      <c r="AH2044" s="2" t="str">
        <f ca="1"/>
        <v>Bad</v>
      </c>
    </row>
    <row r="2045" spans="2:34" x14ac:dyDescent="0.2">
      <c r="B2045" s="2">
        <f ca="1"/>
        <v>0.72884951680559107</v>
      </c>
      <c r="O2045" s="2">
        <f ca="1"/>
        <v>0.6942543812930928</v>
      </c>
      <c r="X2045" s="2">
        <f ca="1"/>
        <v>28.398310763970112</v>
      </c>
      <c r="AG2045" s="2">
        <f ca="1"/>
        <v>0.86586772550956526</v>
      </c>
      <c r="AH2045" s="2" t="str">
        <f ca="1"/>
        <v>Bad</v>
      </c>
    </row>
    <row r="2046" spans="2:34" x14ac:dyDescent="0.2">
      <c r="B2046" s="2">
        <f ca="1"/>
        <v>4.2925782005820423E-3</v>
      </c>
      <c r="O2046" s="2">
        <f ca="1"/>
        <v>-1.0926494048242779</v>
      </c>
      <c r="X2046" s="2">
        <f ca="1"/>
        <v>49.803072581148548</v>
      </c>
      <c r="AG2046" s="2">
        <f ca="1"/>
        <v>0.38025175501300312</v>
      </c>
      <c r="AH2046" s="2" t="str">
        <f ca="1"/>
        <v>OK</v>
      </c>
    </row>
    <row r="2047" spans="2:34" x14ac:dyDescent="0.2">
      <c r="B2047" s="2">
        <f ca="1"/>
        <v>0.41980577990128087</v>
      </c>
      <c r="O2047" s="2">
        <f ca="1"/>
        <v>-0.3287729140525873</v>
      </c>
      <c r="X2047" s="2">
        <f ca="1"/>
        <v>45.625395157289965</v>
      </c>
      <c r="AG2047" s="2">
        <f ca="1"/>
        <v>0.17475032993943529</v>
      </c>
      <c r="AH2047" s="2" t="str">
        <f ca="1"/>
        <v>OK</v>
      </c>
    </row>
    <row r="2048" spans="2:34" x14ac:dyDescent="0.2">
      <c r="B2048" s="2">
        <f ca="1"/>
        <v>0.48382450370391838</v>
      </c>
      <c r="O2048" s="2">
        <f ca="1"/>
        <v>0.50309768412853562</v>
      </c>
      <c r="X2048" s="2">
        <f ca="1"/>
        <v>52.408726660686114</v>
      </c>
      <c r="AG2048" s="2">
        <f ca="1"/>
        <v>0.29944216599011142</v>
      </c>
      <c r="AH2048" s="2" t="str">
        <f ca="1"/>
        <v>OK</v>
      </c>
    </row>
    <row r="2049" spans="2:34" x14ac:dyDescent="0.2">
      <c r="B2049" s="2">
        <f ca="1"/>
        <v>0.98188937021849476</v>
      </c>
      <c r="O2049" s="2">
        <f ca="1"/>
        <v>1.8678954829917078</v>
      </c>
      <c r="X2049" s="2">
        <f ca="1"/>
        <v>53.336397449802064</v>
      </c>
      <c r="AG2049" s="2">
        <f ca="1"/>
        <v>0.64676651335731261</v>
      </c>
      <c r="AH2049" s="2" t="str">
        <f ca="1"/>
        <v>Bad</v>
      </c>
    </row>
    <row r="2050" spans="2:34" x14ac:dyDescent="0.2">
      <c r="B2050" s="2">
        <f ca="1"/>
        <v>0.64262088294134356</v>
      </c>
      <c r="O2050" s="2">
        <f ca="1"/>
        <v>0.14069697405053036</v>
      </c>
      <c r="X2050" s="2">
        <f ca="1"/>
        <v>49.674534176333992</v>
      </c>
      <c r="AG2050" s="2">
        <f ca="1"/>
        <v>0.90085592809046422</v>
      </c>
      <c r="AH2050" s="2" t="str">
        <f ca="1"/>
        <v>Bad</v>
      </c>
    </row>
    <row r="2051" spans="2:34" x14ac:dyDescent="0.2">
      <c r="B2051" s="2">
        <f ca="1"/>
        <v>0.69915593809632948</v>
      </c>
      <c r="O2051" s="2">
        <f ca="1"/>
        <v>0.27931354311071777</v>
      </c>
      <c r="X2051" s="2">
        <f ca="1"/>
        <v>51.65642969171099</v>
      </c>
      <c r="AG2051" s="2">
        <f ca="1"/>
        <v>0.87270061734332338</v>
      </c>
      <c r="AH2051" s="2" t="str">
        <f ca="1"/>
        <v>Bad</v>
      </c>
    </row>
    <row r="2052" spans="2:34" x14ac:dyDescent="0.2">
      <c r="B2052" s="2">
        <f ca="1"/>
        <v>0.94877180161378116</v>
      </c>
      <c r="O2052" s="2">
        <f ca="1"/>
        <v>-0.68701818271575898</v>
      </c>
      <c r="X2052" s="2">
        <f ca="1"/>
        <v>40.643309213288461</v>
      </c>
      <c r="AG2052" s="2">
        <f ca="1"/>
        <v>0.99036541100557485</v>
      </c>
      <c r="AH2052" s="2" t="str">
        <f ca="1"/>
        <v>Bad</v>
      </c>
    </row>
    <row r="2053" spans="2:34" x14ac:dyDescent="0.2">
      <c r="B2053" s="2">
        <f ca="1"/>
        <v>0.29207946611325131</v>
      </c>
      <c r="O2053" s="2">
        <f ca="1"/>
        <v>-0.18128101933861931</v>
      </c>
      <c r="X2053" s="2">
        <f ca="1"/>
        <v>33.097740817901311</v>
      </c>
      <c r="AG2053" s="2">
        <f ca="1"/>
        <v>0.93730140575689713</v>
      </c>
      <c r="AH2053" s="2" t="str">
        <f ca="1"/>
        <v>Bad</v>
      </c>
    </row>
    <row r="2054" spans="2:34" x14ac:dyDescent="0.2">
      <c r="B2054" s="2">
        <f ca="1"/>
        <v>0.55859355538174049</v>
      </c>
      <c r="O2054" s="2">
        <f ca="1"/>
        <v>0.33154971606366418</v>
      </c>
      <c r="X2054" s="2">
        <f ca="1"/>
        <v>55.0061585211768</v>
      </c>
      <c r="AG2054" s="2">
        <f ca="1"/>
        <v>0.55214829174371749</v>
      </c>
      <c r="AH2054" s="2" t="str">
        <f ca="1"/>
        <v>Bad</v>
      </c>
    </row>
    <row r="2055" spans="2:34" x14ac:dyDescent="0.2">
      <c r="B2055" s="2">
        <f ca="1"/>
        <v>0.18112238057941443</v>
      </c>
      <c r="O2055" s="2">
        <f ca="1"/>
        <v>-2.1243711836791728</v>
      </c>
      <c r="X2055" s="2">
        <f ca="1"/>
        <v>50.87041078986266</v>
      </c>
      <c r="AG2055" s="2">
        <f ca="1"/>
        <v>0.88009005715579169</v>
      </c>
      <c r="AH2055" s="2" t="str">
        <f ca="1"/>
        <v>Bad</v>
      </c>
    </row>
    <row r="2056" spans="2:34" x14ac:dyDescent="0.2">
      <c r="B2056" s="2">
        <f ca="1"/>
        <v>0.51893179103859044</v>
      </c>
      <c r="O2056" s="2">
        <f ca="1"/>
        <v>5.0990519779787483E-2</v>
      </c>
      <c r="X2056" s="2">
        <f ca="1"/>
        <v>43.855010778902212</v>
      </c>
      <c r="AG2056" s="2">
        <f ca="1"/>
        <v>0.41109656166677411</v>
      </c>
      <c r="AH2056" s="2" t="str">
        <f ca="1"/>
        <v>Bad</v>
      </c>
    </row>
    <row r="2057" spans="2:34" x14ac:dyDescent="0.2">
      <c r="B2057" s="2">
        <f ca="1"/>
        <v>0.95318041635710071</v>
      </c>
      <c r="O2057" s="2">
        <f ca="1"/>
        <v>1.4627275640105604</v>
      </c>
      <c r="X2057" s="2">
        <f ca="1"/>
        <v>31.39416915990823</v>
      </c>
      <c r="AG2057" s="2">
        <f ca="1"/>
        <v>1.2040806402862758E-2</v>
      </c>
      <c r="AH2057" s="2" t="str">
        <f ca="1"/>
        <v>Good</v>
      </c>
    </row>
    <row r="2058" spans="2:34" x14ac:dyDescent="0.2">
      <c r="B2058" s="2">
        <f ca="1"/>
        <v>0.79310237484671875</v>
      </c>
      <c r="O2058" s="2">
        <f ca="1"/>
        <v>-1.1051476449319448</v>
      </c>
      <c r="X2058" s="2">
        <f ca="1"/>
        <v>62.257834943677764</v>
      </c>
      <c r="AG2058" s="2">
        <f ca="1"/>
        <v>0.65294456070225082</v>
      </c>
      <c r="AH2058" s="2" t="str">
        <f ca="1"/>
        <v>Bad</v>
      </c>
    </row>
    <row r="2059" spans="2:34" x14ac:dyDescent="0.2">
      <c r="B2059" s="2">
        <f ca="1"/>
        <v>0.24963815385500054</v>
      </c>
      <c r="O2059" s="2">
        <f ca="1"/>
        <v>0.96944273378206314</v>
      </c>
      <c r="X2059" s="2">
        <f ca="1"/>
        <v>52.830398280894435</v>
      </c>
      <c r="AG2059" s="2">
        <f ca="1"/>
        <v>0.84134712400945721</v>
      </c>
      <c r="AH2059" s="2" t="str">
        <f ca="1"/>
        <v>Bad</v>
      </c>
    </row>
    <row r="2060" spans="2:34" x14ac:dyDescent="0.2">
      <c r="B2060" s="2">
        <f ca="1"/>
        <v>0.43676851296237462</v>
      </c>
      <c r="O2060" s="2">
        <f ca="1"/>
        <v>-0.45548019598942274</v>
      </c>
      <c r="X2060" s="2">
        <f ca="1"/>
        <v>35.170115994205815</v>
      </c>
      <c r="AG2060" s="2">
        <f ca="1"/>
        <v>0.52161020596316643</v>
      </c>
      <c r="AH2060" s="2" t="str">
        <f ca="1"/>
        <v>Bad</v>
      </c>
    </row>
    <row r="2061" spans="2:34" x14ac:dyDescent="0.2">
      <c r="B2061" s="2">
        <f ca="1"/>
        <v>0.60039123313327258</v>
      </c>
      <c r="O2061" s="2">
        <f ca="1"/>
        <v>-1.010673871467092</v>
      </c>
      <c r="X2061" s="2">
        <f ca="1"/>
        <v>75.744557302638597</v>
      </c>
      <c r="AG2061" s="2">
        <f ca="1"/>
        <v>9.8633906133094973E-2</v>
      </c>
      <c r="AH2061" s="2" t="str">
        <f ca="1"/>
        <v>OK</v>
      </c>
    </row>
    <row r="2062" spans="2:34" x14ac:dyDescent="0.2">
      <c r="B2062" s="2">
        <f ca="1"/>
        <v>0.1811545664252221</v>
      </c>
      <c r="O2062" s="2">
        <f ca="1"/>
        <v>0.76795271116323072</v>
      </c>
      <c r="X2062" s="2">
        <f ca="1"/>
        <v>53.619996880435544</v>
      </c>
      <c r="AG2062" s="2">
        <f ca="1"/>
        <v>0.63850225018615037</v>
      </c>
      <c r="AH2062" s="2" t="str">
        <f ca="1"/>
        <v>Bad</v>
      </c>
    </row>
    <row r="2063" spans="2:34" x14ac:dyDescent="0.2">
      <c r="B2063" s="2">
        <f ca="1"/>
        <v>0.53565662175998874</v>
      </c>
      <c r="O2063" s="2">
        <f ca="1"/>
        <v>9.8677333299596187E-2</v>
      </c>
      <c r="X2063" s="2">
        <f ca="1"/>
        <v>80.743758678077342</v>
      </c>
      <c r="AG2063" s="2">
        <f ca="1"/>
        <v>0.29423824564841605</v>
      </c>
      <c r="AH2063" s="2" t="str">
        <f ca="1"/>
        <v>OK</v>
      </c>
    </row>
    <row r="2064" spans="2:34" x14ac:dyDescent="0.2">
      <c r="B2064" s="2">
        <f ca="1"/>
        <v>0.50720808177665511</v>
      </c>
      <c r="O2064" s="2">
        <f ca="1"/>
        <v>1.1031902503552795</v>
      </c>
      <c r="X2064" s="2">
        <f ca="1"/>
        <v>55.442717144789917</v>
      </c>
      <c r="AG2064" s="2">
        <f ca="1"/>
        <v>0.14160455341166656</v>
      </c>
      <c r="AH2064" s="2" t="str">
        <f ca="1"/>
        <v>OK</v>
      </c>
    </row>
    <row r="2065" spans="2:34" x14ac:dyDescent="0.2">
      <c r="B2065" s="2">
        <f ca="1"/>
        <v>0.82818664458285585</v>
      </c>
      <c r="O2065" s="2">
        <f ca="1"/>
        <v>-2.8864905387363742E-2</v>
      </c>
      <c r="X2065" s="2">
        <f ca="1"/>
        <v>49.684557592863563</v>
      </c>
      <c r="AG2065" s="2">
        <f ca="1"/>
        <v>0.98490232455079041</v>
      </c>
      <c r="AH2065" s="2" t="str">
        <f ca="1"/>
        <v>Bad</v>
      </c>
    </row>
    <row r="2066" spans="2:34" x14ac:dyDescent="0.2">
      <c r="B2066" s="2">
        <f ca="1"/>
        <v>0.35418244355748341</v>
      </c>
      <c r="O2066" s="2">
        <f ca="1"/>
        <v>-0.20762792268455948</v>
      </c>
      <c r="X2066" s="2">
        <f ca="1"/>
        <v>37.353060502208095</v>
      </c>
      <c r="AG2066" s="2">
        <f ca="1"/>
        <v>0.86349104805264942</v>
      </c>
      <c r="AH2066" s="2" t="str">
        <f ca="1"/>
        <v>Bad</v>
      </c>
    </row>
    <row r="2067" spans="2:34" x14ac:dyDescent="0.2">
      <c r="B2067" s="2">
        <f ca="1"/>
        <v>0.88105520107658197</v>
      </c>
      <c r="O2067" s="2">
        <f ca="1"/>
        <v>7.0579810375831359E-2</v>
      </c>
      <c r="X2067" s="2">
        <f ca="1"/>
        <v>70.710897191856944</v>
      </c>
      <c r="AG2067" s="2">
        <f ca="1"/>
        <v>0.7128817147779325</v>
      </c>
      <c r="AH2067" s="2" t="str">
        <f ca="1"/>
        <v>Bad</v>
      </c>
    </row>
    <row r="2068" spans="2:34" x14ac:dyDescent="0.2">
      <c r="B2068" s="2">
        <f ca="1"/>
        <v>0.95721581843651715</v>
      </c>
      <c r="O2068" s="2">
        <f ca="1"/>
        <v>-1.7326431408669385</v>
      </c>
      <c r="X2068" s="2">
        <f ca="1"/>
        <v>32.596334323313428</v>
      </c>
      <c r="AG2068" s="2">
        <f ca="1"/>
        <v>0.26974024139060027</v>
      </c>
      <c r="AH2068" s="2" t="str">
        <f ca="1"/>
        <v>OK</v>
      </c>
    </row>
    <row r="2069" spans="2:34" x14ac:dyDescent="0.2">
      <c r="B2069" s="2">
        <f ca="1"/>
        <v>0.55615244463429514</v>
      </c>
      <c r="O2069" s="2">
        <f ca="1"/>
        <v>1.5273901421907137</v>
      </c>
      <c r="X2069" s="2">
        <f ca="1"/>
        <v>38.116140399902385</v>
      </c>
      <c r="AG2069" s="2">
        <f ca="1"/>
        <v>0.59554287337781964</v>
      </c>
      <c r="AH2069" s="2" t="str">
        <f ca="1"/>
        <v>Bad</v>
      </c>
    </row>
    <row r="2070" spans="2:34" x14ac:dyDescent="0.2">
      <c r="B2070" s="2">
        <f ca="1"/>
        <v>0.50371899024302791</v>
      </c>
      <c r="O2070" s="2">
        <f ca="1"/>
        <v>-1.0090397073224726</v>
      </c>
      <c r="X2070" s="2">
        <f ca="1"/>
        <v>42.942850484281365</v>
      </c>
      <c r="AG2070" s="2">
        <f ca="1"/>
        <v>0.1234323242311528</v>
      </c>
      <c r="AH2070" s="2" t="str">
        <f ca="1"/>
        <v>OK</v>
      </c>
    </row>
    <row r="2071" spans="2:34" x14ac:dyDescent="0.2">
      <c r="B2071" s="2">
        <f ca="1"/>
        <v>0.26000696582753413</v>
      </c>
      <c r="O2071" s="2">
        <f ca="1"/>
        <v>1.8198482255015915</v>
      </c>
      <c r="X2071" s="2">
        <f ca="1"/>
        <v>23.692201916490543</v>
      </c>
      <c r="AG2071" s="2">
        <f ca="1"/>
        <v>0.16813000971342751</v>
      </c>
      <c r="AH2071" s="2" t="str">
        <f ca="1"/>
        <v>OK</v>
      </c>
    </row>
    <row r="2072" spans="2:34" x14ac:dyDescent="0.2">
      <c r="B2072" s="2">
        <f ca="1"/>
        <v>0.82249009157740316</v>
      </c>
      <c r="O2072" s="2">
        <f ca="1"/>
        <v>0.70039323632793549</v>
      </c>
      <c r="X2072" s="2">
        <f ca="1"/>
        <v>17.424261972669662</v>
      </c>
      <c r="AG2072" s="2">
        <f ca="1"/>
        <v>0.51316254229174807</v>
      </c>
      <c r="AH2072" s="2" t="str">
        <f ca="1"/>
        <v>Bad</v>
      </c>
    </row>
    <row r="2073" spans="2:34" x14ac:dyDescent="0.2">
      <c r="B2073" s="2">
        <f ca="1"/>
        <v>0.45926633169523368</v>
      </c>
      <c r="O2073" s="2">
        <f ca="1"/>
        <v>-1.1388054377715497</v>
      </c>
      <c r="X2073" s="2">
        <f ca="1"/>
        <v>37.615749129300518</v>
      </c>
      <c r="AG2073" s="2">
        <f ca="1"/>
        <v>0.40482709526189509</v>
      </c>
      <c r="AH2073" s="2" t="str">
        <f ca="1"/>
        <v>Bad</v>
      </c>
    </row>
    <row r="2074" spans="2:34" x14ac:dyDescent="0.2">
      <c r="B2074" s="2">
        <f ca="1"/>
        <v>0.42922314035127096</v>
      </c>
      <c r="O2074" s="2">
        <f ca="1"/>
        <v>-1.6479290335662631</v>
      </c>
      <c r="X2074" s="2">
        <f ca="1"/>
        <v>46.750284324553903</v>
      </c>
      <c r="AG2074" s="2">
        <f ca="1"/>
        <v>0.6633262629030463</v>
      </c>
      <c r="AH2074" s="2" t="str">
        <f ca="1"/>
        <v>Bad</v>
      </c>
    </row>
    <row r="2075" spans="2:34" x14ac:dyDescent="0.2">
      <c r="B2075" s="2">
        <f ca="1"/>
        <v>0.31097837288932961</v>
      </c>
      <c r="O2075" s="2">
        <f ca="1"/>
        <v>-0.48208134611823722</v>
      </c>
      <c r="X2075" s="2">
        <f ca="1"/>
        <v>60.815187820438716</v>
      </c>
      <c r="AG2075" s="2">
        <f ca="1"/>
        <v>0.11101951590390358</v>
      </c>
      <c r="AH2075" s="2" t="str">
        <f ca="1"/>
        <v>OK</v>
      </c>
    </row>
    <row r="2076" spans="2:34" x14ac:dyDescent="0.2">
      <c r="B2076" s="2">
        <f ca="1"/>
        <v>0.67000655291093825</v>
      </c>
      <c r="O2076" s="2">
        <f ca="1"/>
        <v>-0.28698585606544857</v>
      </c>
      <c r="X2076" s="2">
        <f ca="1"/>
        <v>46.529323196637193</v>
      </c>
      <c r="AG2076" s="2">
        <f ca="1"/>
        <v>0.85762590371455705</v>
      </c>
      <c r="AH2076" s="2" t="str">
        <f ca="1"/>
        <v>Bad</v>
      </c>
    </row>
    <row r="2077" spans="2:34" x14ac:dyDescent="0.2">
      <c r="B2077" s="2">
        <f ca="1"/>
        <v>0.98919053995448358</v>
      </c>
      <c r="O2077" s="2">
        <f ca="1"/>
        <v>0.51769243260397524</v>
      </c>
      <c r="X2077" s="2">
        <f ca="1"/>
        <v>60.682584782378214</v>
      </c>
      <c r="AG2077" s="2">
        <f ca="1"/>
        <v>0.64271529112224401</v>
      </c>
      <c r="AH2077" s="2" t="str">
        <f ca="1"/>
        <v>Bad</v>
      </c>
    </row>
    <row r="2078" spans="2:34" x14ac:dyDescent="0.2">
      <c r="B2078" s="2">
        <f ca="1"/>
        <v>0.99430038797702092</v>
      </c>
      <c r="O2078" s="2">
        <f ca="1"/>
        <v>1.6384695768585538</v>
      </c>
      <c r="X2078" s="2">
        <f ca="1"/>
        <v>23.704866718065816</v>
      </c>
      <c r="AG2078" s="2">
        <f ca="1"/>
        <v>0.25505495214496876</v>
      </c>
      <c r="AH2078" s="2" t="str">
        <f ca="1"/>
        <v>OK</v>
      </c>
    </row>
    <row r="2079" spans="2:34" x14ac:dyDescent="0.2">
      <c r="B2079" s="2">
        <f ca="1"/>
        <v>2.3605457662456031E-2</v>
      </c>
      <c r="O2079" s="2">
        <f ca="1"/>
        <v>0.61208159071912871</v>
      </c>
      <c r="X2079" s="2">
        <f ca="1"/>
        <v>23.728077572119854</v>
      </c>
      <c r="AG2079" s="2">
        <f ca="1"/>
        <v>0.56800501743468823</v>
      </c>
      <c r="AH2079" s="2" t="str">
        <f ca="1"/>
        <v>Bad</v>
      </c>
    </row>
    <row r="2080" spans="2:34" x14ac:dyDescent="0.2">
      <c r="B2080" s="2">
        <f ca="1"/>
        <v>0.1274934098797631</v>
      </c>
      <c r="O2080" s="2">
        <f ca="1"/>
        <v>-1.2744916426249397</v>
      </c>
      <c r="X2080" s="2">
        <f ca="1"/>
        <v>65.684025027723294</v>
      </c>
      <c r="AG2080" s="2">
        <f ca="1"/>
        <v>0.68883219811691054</v>
      </c>
      <c r="AH2080" s="2" t="str">
        <f ca="1"/>
        <v>Bad</v>
      </c>
    </row>
    <row r="2081" spans="2:34" x14ac:dyDescent="0.2">
      <c r="B2081" s="2">
        <f ca="1"/>
        <v>0.38953472815302415</v>
      </c>
      <c r="O2081" s="2">
        <f ca="1"/>
        <v>0.73814212950481717</v>
      </c>
      <c r="X2081" s="2">
        <f ca="1"/>
        <v>54.575442216926774</v>
      </c>
      <c r="AG2081" s="2">
        <f ca="1"/>
        <v>0.23250560410046139</v>
      </c>
      <c r="AH2081" s="2" t="str">
        <f ca="1"/>
        <v>OK</v>
      </c>
    </row>
    <row r="2082" spans="2:34" x14ac:dyDescent="0.2">
      <c r="B2082" s="2">
        <f ca="1"/>
        <v>0.1149482575669285</v>
      </c>
      <c r="O2082" s="2">
        <f ca="1"/>
        <v>-0.56537803054606917</v>
      </c>
      <c r="X2082" s="2">
        <f ca="1"/>
        <v>28.385291239787705</v>
      </c>
      <c r="AG2082" s="2">
        <f ca="1"/>
        <v>0.49437691758627622</v>
      </c>
      <c r="AH2082" s="2" t="str">
        <f ca="1"/>
        <v>Bad</v>
      </c>
    </row>
    <row r="2083" spans="2:34" x14ac:dyDescent="0.2">
      <c r="B2083" s="2">
        <f ca="1"/>
        <v>0.37068660429242239</v>
      </c>
      <c r="O2083" s="2">
        <f ca="1"/>
        <v>0.38247570311569468</v>
      </c>
      <c r="X2083" s="2">
        <f ca="1"/>
        <v>48.940237628000396</v>
      </c>
      <c r="AG2083" s="2">
        <f ca="1"/>
        <v>0.68387604161764681</v>
      </c>
      <c r="AH2083" s="2" t="str">
        <f ca="1"/>
        <v>Bad</v>
      </c>
    </row>
    <row r="2084" spans="2:34" x14ac:dyDescent="0.2">
      <c r="B2084" s="2">
        <f ca="1"/>
        <v>0.23518392832311319</v>
      </c>
      <c r="O2084" s="2">
        <f ca="1"/>
        <v>0.91928792032900764</v>
      </c>
      <c r="X2084" s="2">
        <f ca="1"/>
        <v>60.657454597231471</v>
      </c>
      <c r="AG2084" s="2">
        <f ca="1"/>
        <v>0.24342379654677804</v>
      </c>
      <c r="AH2084" s="2" t="str">
        <f ca="1"/>
        <v>OK</v>
      </c>
    </row>
    <row r="2085" spans="2:34" x14ac:dyDescent="0.2">
      <c r="B2085" s="2">
        <f ca="1"/>
        <v>0.92518934840837019</v>
      </c>
      <c r="O2085" s="2">
        <f ca="1"/>
        <v>-0.34064842637432358</v>
      </c>
      <c r="X2085" s="2">
        <f ca="1"/>
        <v>24.576516817098728</v>
      </c>
      <c r="AG2085" s="2">
        <f ca="1"/>
        <v>0.68534761032883385</v>
      </c>
      <c r="AH2085" s="2" t="str">
        <f ca="1"/>
        <v>Bad</v>
      </c>
    </row>
    <row r="2086" spans="2:34" x14ac:dyDescent="0.2">
      <c r="B2086" s="2">
        <f ca="1"/>
        <v>0.98668357716615307</v>
      </c>
      <c r="O2086" s="2">
        <f ca="1"/>
        <v>0.83713275645542173</v>
      </c>
      <c r="X2086" s="2">
        <f ca="1"/>
        <v>64.328516504489556</v>
      </c>
      <c r="AG2086" s="2">
        <f ca="1"/>
        <v>0.92406626160505212</v>
      </c>
      <c r="AH2086" s="2" t="str">
        <f ca="1"/>
        <v>Bad</v>
      </c>
    </row>
    <row r="2087" spans="2:34" x14ac:dyDescent="0.2">
      <c r="B2087" s="2">
        <f ca="1"/>
        <v>0.21601331839455251</v>
      </c>
      <c r="O2087" s="2">
        <f ca="1"/>
        <v>-1.3553014701334563</v>
      </c>
      <c r="X2087" s="2">
        <f ca="1"/>
        <v>38.643671236385046</v>
      </c>
      <c r="AG2087" s="2">
        <f ca="1"/>
        <v>0.58138209453035183</v>
      </c>
      <c r="AH2087" s="2" t="str">
        <f ca="1"/>
        <v>Bad</v>
      </c>
    </row>
    <row r="2088" spans="2:34" x14ac:dyDescent="0.2">
      <c r="B2088" s="2">
        <f ca="1"/>
        <v>0.28886386379713924</v>
      </c>
      <c r="O2088" s="2">
        <f ca="1"/>
        <v>1.2334204159002675</v>
      </c>
      <c r="X2088" s="2">
        <f ca="1"/>
        <v>25.372557818794572</v>
      </c>
      <c r="AG2088" s="2">
        <f ca="1"/>
        <v>0.41790297927976128</v>
      </c>
      <c r="AH2088" s="2" t="str">
        <f ca="1"/>
        <v>Bad</v>
      </c>
    </row>
    <row r="2089" spans="2:34" x14ac:dyDescent="0.2">
      <c r="B2089" s="2">
        <f ca="1"/>
        <v>0.7960454530678871</v>
      </c>
      <c r="O2089" s="2">
        <f ca="1"/>
        <v>-1.3251119996199634</v>
      </c>
      <c r="X2089" s="2">
        <f ca="1"/>
        <v>71.396459126134488</v>
      </c>
      <c r="AG2089" s="2">
        <f ca="1"/>
        <v>0.38247996018066122</v>
      </c>
      <c r="AH2089" s="2" t="str">
        <f ca="1"/>
        <v>OK</v>
      </c>
    </row>
    <row r="2090" spans="2:34" x14ac:dyDescent="0.2">
      <c r="B2090" s="2">
        <f ca="1"/>
        <v>0.52647857877257143</v>
      </c>
      <c r="O2090" s="2">
        <f ca="1"/>
        <v>-0.22915784871863365</v>
      </c>
      <c r="X2090" s="2">
        <f ca="1"/>
        <v>30.300306234399088</v>
      </c>
      <c r="AG2090" s="2">
        <f ca="1"/>
        <v>0.91205345573017604</v>
      </c>
      <c r="AH2090" s="2" t="str">
        <f ca="1"/>
        <v>Bad</v>
      </c>
    </row>
    <row r="2091" spans="2:34" x14ac:dyDescent="0.2">
      <c r="B2091" s="2">
        <f ca="1"/>
        <v>3.9460732715466795E-2</v>
      </c>
      <c r="O2091" s="2">
        <f ca="1"/>
        <v>-1.3734666058905587</v>
      </c>
      <c r="X2091" s="2">
        <f ca="1"/>
        <v>48.981400261821378</v>
      </c>
      <c r="AG2091" s="2">
        <f ca="1"/>
        <v>0.84061432027320482</v>
      </c>
      <c r="AH2091" s="2" t="str">
        <f ca="1"/>
        <v>Bad</v>
      </c>
    </row>
    <row r="2092" spans="2:34" x14ac:dyDescent="0.2">
      <c r="B2092" s="2">
        <f ca="1"/>
        <v>0.55855312203732677</v>
      </c>
      <c r="O2092" s="2">
        <f ca="1"/>
        <v>-0.31016961811879357</v>
      </c>
      <c r="X2092" s="2">
        <f ca="1"/>
        <v>40.05582727454599</v>
      </c>
      <c r="AG2092" s="2">
        <f ca="1"/>
        <v>0.14013533200832029</v>
      </c>
      <c r="AH2092" s="2" t="str">
        <f ca="1"/>
        <v>OK</v>
      </c>
    </row>
    <row r="2093" spans="2:34" x14ac:dyDescent="0.2">
      <c r="B2093" s="2">
        <f ca="1"/>
        <v>0.43970967528374127</v>
      </c>
      <c r="O2093" s="2">
        <f ca="1"/>
        <v>-0.11646509981522295</v>
      </c>
      <c r="X2093" s="2">
        <f ca="1"/>
        <v>63.14208425600193</v>
      </c>
      <c r="AG2093" s="2">
        <f ca="1"/>
        <v>0.35921058727250199</v>
      </c>
      <c r="AH2093" s="2" t="str">
        <f ca="1"/>
        <v>OK</v>
      </c>
    </row>
    <row r="2094" spans="2:34" x14ac:dyDescent="0.2">
      <c r="B2094" s="2">
        <f ca="1"/>
        <v>0.14768814403015273</v>
      </c>
      <c r="O2094" s="2">
        <f ca="1"/>
        <v>1.920048818283014</v>
      </c>
      <c r="X2094" s="2">
        <f ca="1"/>
        <v>43.094870768992273</v>
      </c>
      <c r="AG2094" s="2">
        <f ca="1"/>
        <v>0.62725070418537832</v>
      </c>
      <c r="AH2094" s="2" t="str">
        <f ca="1"/>
        <v>Bad</v>
      </c>
    </row>
    <row r="2095" spans="2:34" x14ac:dyDescent="0.2">
      <c r="B2095" s="2">
        <f ca="1"/>
        <v>0.52810489806558092</v>
      </c>
      <c r="O2095" s="2">
        <f ca="1"/>
        <v>0.6323773804633025</v>
      </c>
      <c r="X2095" s="2">
        <f ca="1"/>
        <v>59.197919958666517</v>
      </c>
      <c r="AG2095" s="2">
        <f ca="1"/>
        <v>0.57266254104812475</v>
      </c>
      <c r="AH2095" s="2" t="str">
        <f ca="1"/>
        <v>Bad</v>
      </c>
    </row>
    <row r="2096" spans="2:34" x14ac:dyDescent="0.2">
      <c r="B2096" s="2">
        <f ca="1"/>
        <v>0.17455768440316688</v>
      </c>
      <c r="O2096" s="2">
        <f ca="1"/>
        <v>-1.5606325382490052</v>
      </c>
      <c r="X2096" s="2">
        <f ca="1"/>
        <v>43.387287592315012</v>
      </c>
      <c r="AG2096" s="2">
        <f ca="1"/>
        <v>0.47083238055343224</v>
      </c>
      <c r="AH2096" s="2" t="str">
        <f ca="1"/>
        <v>Bad</v>
      </c>
    </row>
    <row r="2097" spans="2:34" x14ac:dyDescent="0.2">
      <c r="B2097" s="2">
        <f ca="1"/>
        <v>0.47674579372555859</v>
      </c>
      <c r="O2097" s="2">
        <f ca="1"/>
        <v>-1.8540998776145601</v>
      </c>
      <c r="X2097" s="2">
        <f ca="1"/>
        <v>35.799650211233072</v>
      </c>
      <c r="AG2097" s="2">
        <f ca="1"/>
        <v>0.66012915856128007</v>
      </c>
      <c r="AH2097" s="2" t="str">
        <f ca="1"/>
        <v>Bad</v>
      </c>
    </row>
    <row r="2098" spans="2:34" x14ac:dyDescent="0.2">
      <c r="B2098" s="2">
        <f ca="1"/>
        <v>0.52274564762506381</v>
      </c>
      <c r="O2098" s="2">
        <f ca="1"/>
        <v>-0.99187843684008892</v>
      </c>
      <c r="X2098" s="2">
        <f ca="1"/>
        <v>22.239237935244091</v>
      </c>
      <c r="AG2098" s="2">
        <f ca="1"/>
        <v>0.21135017864508421</v>
      </c>
      <c r="AH2098" s="2" t="str">
        <f ca="1"/>
        <v>OK</v>
      </c>
    </row>
    <row r="2099" spans="2:34" x14ac:dyDescent="0.2">
      <c r="B2099" s="2">
        <f ca="1"/>
        <v>0.1767206051014707</v>
      </c>
      <c r="O2099" s="2">
        <f ca="1"/>
        <v>7.7732769114254141E-2</v>
      </c>
      <c r="X2099" s="2">
        <f ca="1"/>
        <v>44.371660094276194</v>
      </c>
      <c r="AG2099" s="2">
        <f ca="1"/>
        <v>0.70656080755414363</v>
      </c>
      <c r="AH2099" s="2" t="str">
        <f ca="1"/>
        <v>Bad</v>
      </c>
    </row>
    <row r="2100" spans="2:34" x14ac:dyDescent="0.2">
      <c r="B2100" s="2">
        <f ca="1"/>
        <v>0.24910189506890879</v>
      </c>
      <c r="O2100" s="2">
        <f ca="1"/>
        <v>-1.1313910545659283</v>
      </c>
      <c r="X2100" s="2">
        <f ca="1"/>
        <v>52.320777156368749</v>
      </c>
      <c r="AG2100" s="2">
        <f ca="1"/>
        <v>0.34387042406023638</v>
      </c>
      <c r="AH2100" s="2" t="str">
        <f ca="1"/>
        <v>OK</v>
      </c>
    </row>
    <row r="2101" spans="2:34" x14ac:dyDescent="0.2">
      <c r="B2101" s="2">
        <f ca="1"/>
        <v>0.18948388934063076</v>
      </c>
      <c r="O2101" s="2">
        <f ca="1"/>
        <v>-0.51923729706701849</v>
      </c>
      <c r="X2101" s="2">
        <f ca="1"/>
        <v>36.697129480197276</v>
      </c>
      <c r="AG2101" s="2">
        <f ca="1"/>
        <v>0.47166585341902323</v>
      </c>
      <c r="AH2101" s="2" t="str">
        <f ca="1"/>
        <v>Bad</v>
      </c>
    </row>
    <row r="2102" spans="2:34" x14ac:dyDescent="0.2">
      <c r="B2102" s="2">
        <f ca="1"/>
        <v>0.69406104338999808</v>
      </c>
      <c r="O2102" s="2">
        <f ca="1"/>
        <v>2.392538092970351</v>
      </c>
      <c r="X2102" s="2">
        <f ca="1"/>
        <v>42.766274076167925</v>
      </c>
      <c r="AG2102" s="2">
        <f ca="1"/>
        <v>0.28258222589961002</v>
      </c>
      <c r="AH2102" s="2" t="str">
        <f ca="1"/>
        <v>OK</v>
      </c>
    </row>
    <row r="2103" spans="2:34" x14ac:dyDescent="0.2">
      <c r="B2103" s="2">
        <f ca="1"/>
        <v>0.73968630942536917</v>
      </c>
      <c r="O2103" s="2">
        <f ca="1"/>
        <v>-1.2560857863791191</v>
      </c>
      <c r="X2103" s="2">
        <f ca="1"/>
        <v>67.334630318543844</v>
      </c>
      <c r="AG2103" s="2">
        <f ca="1"/>
        <v>0.15848673706564154</v>
      </c>
      <c r="AH2103" s="2" t="str">
        <f ca="1"/>
        <v>OK</v>
      </c>
    </row>
    <row r="2104" spans="2:34" x14ac:dyDescent="0.2">
      <c r="B2104" s="2">
        <f ca="1"/>
        <v>0.2350168936462651</v>
      </c>
      <c r="O2104" s="2">
        <f ca="1"/>
        <v>-0.60213787144417497</v>
      </c>
      <c r="X2104" s="2">
        <f ca="1"/>
        <v>49.847649396564158</v>
      </c>
      <c r="AG2104" s="2">
        <f ca="1"/>
        <v>0.40089156232003464</v>
      </c>
      <c r="AH2104" s="2" t="str">
        <f ca="1"/>
        <v>Bad</v>
      </c>
    </row>
    <row r="2105" spans="2:34" x14ac:dyDescent="0.2">
      <c r="B2105" s="2">
        <f ca="1"/>
        <v>0.43644674174914266</v>
      </c>
      <c r="O2105" s="2">
        <f ca="1"/>
        <v>0.41038715805998904</v>
      </c>
      <c r="X2105" s="2">
        <f ca="1"/>
        <v>66.04184463175821</v>
      </c>
      <c r="AG2105" s="2">
        <f ca="1"/>
        <v>0.68915653184237868</v>
      </c>
      <c r="AH2105" s="2" t="str">
        <f ca="1"/>
        <v>Bad</v>
      </c>
    </row>
    <row r="2106" spans="2:34" x14ac:dyDescent="0.2">
      <c r="B2106" s="2">
        <f ca="1"/>
        <v>0.49123798352698378</v>
      </c>
      <c r="O2106" s="2">
        <f ca="1"/>
        <v>0.13713270546874395</v>
      </c>
      <c r="X2106" s="2">
        <f ca="1"/>
        <v>41.998072737975569</v>
      </c>
      <c r="AG2106" s="2">
        <f ca="1"/>
        <v>0.20237017737709984</v>
      </c>
      <c r="AH2106" s="2" t="str">
        <f ca="1"/>
        <v>OK</v>
      </c>
    </row>
    <row r="2107" spans="2:34" x14ac:dyDescent="0.2">
      <c r="B2107" s="2">
        <f ca="1"/>
        <v>2.7746363510677829E-2</v>
      </c>
      <c r="O2107" s="2">
        <f ca="1"/>
        <v>-0.12183003848581356</v>
      </c>
      <c r="X2107" s="2">
        <f ca="1"/>
        <v>39.399817196268259</v>
      </c>
      <c r="AG2107" s="2">
        <f ca="1"/>
        <v>0.12619723081506917</v>
      </c>
      <c r="AH2107" s="2" t="str">
        <f ca="1"/>
        <v>OK</v>
      </c>
    </row>
    <row r="2108" spans="2:34" x14ac:dyDescent="0.2">
      <c r="B2108" s="2">
        <f ca="1"/>
        <v>0.69058468658010463</v>
      </c>
      <c r="O2108" s="2">
        <f ca="1"/>
        <v>1.3045664455330102</v>
      </c>
      <c r="X2108" s="2">
        <f ca="1"/>
        <v>43.709552345962834</v>
      </c>
      <c r="AG2108" s="2">
        <f ca="1"/>
        <v>0.43671696646306613</v>
      </c>
      <c r="AH2108" s="2" t="str">
        <f ca="1"/>
        <v>Bad</v>
      </c>
    </row>
    <row r="2109" spans="2:34" x14ac:dyDescent="0.2">
      <c r="B2109" s="2">
        <f ca="1"/>
        <v>0.91895062335802646</v>
      </c>
      <c r="O2109" s="2">
        <f ca="1"/>
        <v>0.1780354631179715</v>
      </c>
      <c r="X2109" s="2">
        <f ca="1"/>
        <v>36.849215924839669</v>
      </c>
      <c r="AG2109" s="2">
        <f ca="1"/>
        <v>0.34076909920888099</v>
      </c>
      <c r="AH2109" s="2" t="str">
        <f ca="1"/>
        <v>OK</v>
      </c>
    </row>
    <row r="2110" spans="2:34" x14ac:dyDescent="0.2">
      <c r="B2110" s="2">
        <f ca="1"/>
        <v>0.93808650349150446</v>
      </c>
      <c r="O2110" s="2">
        <f ca="1"/>
        <v>-1.2182967498015147</v>
      </c>
      <c r="X2110" s="2">
        <f ca="1"/>
        <v>71.103451360142159</v>
      </c>
      <c r="AG2110" s="2">
        <f ca="1"/>
        <v>1.1112834535617733E-2</v>
      </c>
      <c r="AH2110" s="2" t="str">
        <f ca="1"/>
        <v>Good</v>
      </c>
    </row>
    <row r="2111" spans="2:34" x14ac:dyDescent="0.2">
      <c r="B2111" s="2">
        <f ca="1"/>
        <v>0.3133490679444213</v>
      </c>
      <c r="O2111" s="2">
        <f ca="1"/>
        <v>6.7729450524609144E-2</v>
      </c>
      <c r="X2111" s="2">
        <f ca="1"/>
        <v>60.403424072310358</v>
      </c>
      <c r="AG2111" s="2">
        <f ca="1"/>
        <v>0.98506921968915973</v>
      </c>
      <c r="AH2111" s="2" t="str">
        <f ca="1"/>
        <v>Bad</v>
      </c>
    </row>
    <row r="2112" spans="2:34" x14ac:dyDescent="0.2">
      <c r="B2112" s="2">
        <f ca="1"/>
        <v>3.373874981095959E-2</v>
      </c>
      <c r="O2112" s="2">
        <f ca="1"/>
        <v>-0.90925323696311766</v>
      </c>
      <c r="X2112" s="2">
        <f ca="1"/>
        <v>51.749069732914364</v>
      </c>
      <c r="AG2112" s="2">
        <f ca="1"/>
        <v>0.4673500975540168</v>
      </c>
      <c r="AH2112" s="2" t="str">
        <f ca="1"/>
        <v>Bad</v>
      </c>
    </row>
    <row r="2113" spans="2:34" x14ac:dyDescent="0.2">
      <c r="B2113" s="2">
        <f ca="1"/>
        <v>0.29641281584251855</v>
      </c>
      <c r="O2113" s="2">
        <f ca="1"/>
        <v>-0.65527636604172013</v>
      </c>
      <c r="X2113" s="2">
        <f ca="1"/>
        <v>54.394282355179151</v>
      </c>
      <c r="AG2113" s="2">
        <f ca="1"/>
        <v>0.75313846644454174</v>
      </c>
      <c r="AH2113" s="2" t="str">
        <f ca="1"/>
        <v>Bad</v>
      </c>
    </row>
    <row r="2114" spans="2:34" x14ac:dyDescent="0.2">
      <c r="B2114" s="2">
        <f ca="1"/>
        <v>0.89508405726101326</v>
      </c>
      <c r="O2114" s="2">
        <f ca="1"/>
        <v>0.11404802029819391</v>
      </c>
      <c r="X2114" s="2">
        <f ca="1"/>
        <v>44.810400958285555</v>
      </c>
      <c r="AG2114" s="2">
        <f ca="1"/>
        <v>0.54254194913526632</v>
      </c>
      <c r="AH2114" s="2" t="str">
        <f ca="1"/>
        <v>Bad</v>
      </c>
    </row>
    <row r="2115" spans="2:34" x14ac:dyDescent="0.2">
      <c r="B2115" s="2">
        <f ca="1"/>
        <v>0.30117066559185757</v>
      </c>
      <c r="O2115" s="2">
        <f ca="1"/>
        <v>-1.7346178057839186</v>
      </c>
      <c r="X2115" s="2">
        <f ca="1"/>
        <v>38.938771351326913</v>
      </c>
      <c r="AG2115" s="2">
        <f ca="1"/>
        <v>0.12867781626591301</v>
      </c>
      <c r="AH2115" s="2" t="str">
        <f ca="1"/>
        <v>OK</v>
      </c>
    </row>
    <row r="2116" spans="2:34" x14ac:dyDescent="0.2">
      <c r="B2116" s="2">
        <f ca="1"/>
        <v>0.89038702989721874</v>
      </c>
      <c r="O2116" s="2">
        <f ca="1"/>
        <v>0.91118218870986034</v>
      </c>
      <c r="X2116" s="2">
        <f ca="1"/>
        <v>45.331674942019397</v>
      </c>
      <c r="AG2116" s="2">
        <f ca="1"/>
        <v>0.38338829201042146</v>
      </c>
      <c r="AH2116" s="2" t="str">
        <f ca="1"/>
        <v>OK</v>
      </c>
    </row>
    <row r="2117" spans="2:34" x14ac:dyDescent="0.2">
      <c r="B2117" s="2">
        <f ca="1"/>
        <v>0.66425427033866669</v>
      </c>
      <c r="O2117" s="2">
        <f ca="1"/>
        <v>-0.14174951025267604</v>
      </c>
      <c r="X2117" s="2">
        <f ca="1"/>
        <v>61.640509598515848</v>
      </c>
      <c r="AG2117" s="2">
        <f ca="1"/>
        <v>0.23730412018427027</v>
      </c>
      <c r="AH2117" s="2" t="str">
        <f ca="1"/>
        <v>OK</v>
      </c>
    </row>
    <row r="2118" spans="2:34" x14ac:dyDescent="0.2">
      <c r="B2118" s="2">
        <f ca="1"/>
        <v>0.97857120474470416</v>
      </c>
      <c r="O2118" s="2">
        <f ca="1"/>
        <v>-0.24080207343558246</v>
      </c>
      <c r="X2118" s="2">
        <f ca="1"/>
        <v>67.187742109222995</v>
      </c>
      <c r="AG2118" s="2">
        <f ca="1"/>
        <v>0.13733625985078124</v>
      </c>
      <c r="AH2118" s="2" t="str">
        <f ca="1"/>
        <v>OK</v>
      </c>
    </row>
    <row r="2119" spans="2:34" x14ac:dyDescent="0.2">
      <c r="B2119" s="2">
        <f ca="1"/>
        <v>0.22159627386308545</v>
      </c>
      <c r="O2119" s="2">
        <f ca="1"/>
        <v>0.32086663099252111</v>
      </c>
      <c r="X2119" s="2">
        <f ca="1"/>
        <v>30.57916126775735</v>
      </c>
      <c r="AG2119" s="2">
        <f ca="1"/>
        <v>0.48160292116568471</v>
      </c>
      <c r="AH2119" s="2" t="str">
        <f ca="1"/>
        <v>Bad</v>
      </c>
    </row>
    <row r="2120" spans="2:34" x14ac:dyDescent="0.2">
      <c r="B2120" s="2">
        <f ca="1"/>
        <v>0.99167213386635744</v>
      </c>
      <c r="O2120" s="2">
        <f ca="1"/>
        <v>0.38130168709729195</v>
      </c>
      <c r="X2120" s="2">
        <f ca="1"/>
        <v>69.980613841106361</v>
      </c>
      <c r="AG2120" s="2">
        <f ca="1"/>
        <v>0.42224025704528434</v>
      </c>
      <c r="AH2120" s="2" t="str">
        <f ca="1"/>
        <v>Bad</v>
      </c>
    </row>
    <row r="2121" spans="2:34" x14ac:dyDescent="0.2">
      <c r="B2121" s="2">
        <f ca="1"/>
        <v>0.82913203142240199</v>
      </c>
      <c r="O2121" s="2">
        <f ca="1"/>
        <v>-0.18813780286009207</v>
      </c>
      <c r="X2121" s="2">
        <f ca="1"/>
        <v>51.799955587278419</v>
      </c>
      <c r="AG2121" s="2">
        <f ca="1"/>
        <v>0.85302818233141675</v>
      </c>
      <c r="AH2121" s="2" t="str">
        <f ca="1"/>
        <v>Bad</v>
      </c>
    </row>
    <row r="2122" spans="2:34" x14ac:dyDescent="0.2">
      <c r="B2122" s="2">
        <f ca="1"/>
        <v>0.97398129565591707</v>
      </c>
      <c r="O2122" s="2">
        <f ca="1"/>
        <v>-2.7172182695196872E-2</v>
      </c>
      <c r="X2122" s="2">
        <f ca="1"/>
        <v>25.536252003131569</v>
      </c>
      <c r="AG2122" s="2">
        <f ca="1"/>
        <v>5.7007991683956316E-2</v>
      </c>
      <c r="AH2122" s="2" t="str">
        <f ca="1"/>
        <v>OK</v>
      </c>
    </row>
    <row r="2123" spans="2:34" x14ac:dyDescent="0.2">
      <c r="B2123" s="2">
        <f ca="1"/>
        <v>0.34983939396999331</v>
      </c>
      <c r="O2123" s="2">
        <f ca="1"/>
        <v>-1.7590956732841332</v>
      </c>
      <c r="X2123" s="2">
        <f ca="1"/>
        <v>26.395509876970578</v>
      </c>
      <c r="AG2123" s="2">
        <f ca="1"/>
        <v>0.54851553724451629</v>
      </c>
      <c r="AH2123" s="2" t="str">
        <f ca="1"/>
        <v>Bad</v>
      </c>
    </row>
    <row r="2124" spans="2:34" x14ac:dyDescent="0.2">
      <c r="B2124" s="2">
        <f ca="1"/>
        <v>0.62560352542569841</v>
      </c>
      <c r="O2124" s="2">
        <f ca="1"/>
        <v>0.96152859388705181</v>
      </c>
      <c r="X2124" s="2">
        <f ca="1"/>
        <v>74.794871645001294</v>
      </c>
      <c r="AG2124" s="2">
        <f ca="1"/>
        <v>0.17672039591142696</v>
      </c>
      <c r="AH2124" s="2" t="str">
        <f ca="1"/>
        <v>OK</v>
      </c>
    </row>
    <row r="2125" spans="2:34" x14ac:dyDescent="0.2">
      <c r="B2125" s="2">
        <f ca="1"/>
        <v>0.63097681612894885</v>
      </c>
      <c r="O2125" s="2">
        <f ca="1"/>
        <v>1.2091382737652143</v>
      </c>
      <c r="X2125" s="2">
        <f ca="1"/>
        <v>78.97395915716794</v>
      </c>
      <c r="AG2125" s="2">
        <f ca="1"/>
        <v>0.39289228061586345</v>
      </c>
      <c r="AH2125" s="2" t="str">
        <f ca="1"/>
        <v>OK</v>
      </c>
    </row>
    <row r="2126" spans="2:34" x14ac:dyDescent="0.2">
      <c r="B2126" s="2">
        <f ca="1"/>
        <v>0.876251897505262</v>
      </c>
      <c r="O2126" s="2">
        <f ca="1"/>
        <v>-0.47501195218290765</v>
      </c>
      <c r="X2126" s="2">
        <f ca="1"/>
        <v>65.726832946981546</v>
      </c>
      <c r="AG2126" s="2">
        <f ca="1"/>
        <v>0.27350750549033576</v>
      </c>
      <c r="AH2126" s="2" t="str">
        <f ca="1"/>
        <v>OK</v>
      </c>
    </row>
    <row r="2127" spans="2:34" x14ac:dyDescent="0.2">
      <c r="B2127" s="2">
        <f ca="1"/>
        <v>0.19236730021049575</v>
      </c>
      <c r="O2127" s="2">
        <f ca="1"/>
        <v>7.730515299714466E-2</v>
      </c>
      <c r="X2127" s="2">
        <f ca="1"/>
        <v>62.640449433843422</v>
      </c>
      <c r="AG2127" s="2">
        <f ca="1"/>
        <v>0.39934761957480491</v>
      </c>
      <c r="AH2127" s="2" t="str">
        <f ca="1"/>
        <v>OK</v>
      </c>
    </row>
    <row r="2128" spans="2:34" x14ac:dyDescent="0.2">
      <c r="B2128" s="2">
        <f ca="1"/>
        <v>0.16057817431538468</v>
      </c>
      <c r="O2128" s="2">
        <f ca="1"/>
        <v>-1.7600981880559317</v>
      </c>
      <c r="X2128" s="2">
        <f ca="1"/>
        <v>30.078684234551755</v>
      </c>
      <c r="AG2128" s="2">
        <f ca="1"/>
        <v>0.53132671024070555</v>
      </c>
      <c r="AH2128" s="2" t="str">
        <f ca="1"/>
        <v>Bad</v>
      </c>
    </row>
    <row r="2129" spans="2:34" x14ac:dyDescent="0.2">
      <c r="B2129" s="2">
        <f ca="1"/>
        <v>0.46004612019645541</v>
      </c>
      <c r="O2129" s="2">
        <f ca="1"/>
        <v>0.10605888998712532</v>
      </c>
      <c r="X2129" s="2">
        <f ca="1"/>
        <v>40.992232054716609</v>
      </c>
      <c r="AG2129" s="2">
        <f ca="1"/>
        <v>2.241528637310819E-2</v>
      </c>
      <c r="AH2129" s="2" t="str">
        <f ca="1"/>
        <v>Good</v>
      </c>
    </row>
    <row r="2130" spans="2:34" x14ac:dyDescent="0.2">
      <c r="B2130" s="2">
        <f ca="1"/>
        <v>0.50070712958668162</v>
      </c>
      <c r="O2130" s="2">
        <f ca="1"/>
        <v>1.1321140044060769</v>
      </c>
      <c r="X2130" s="2">
        <f ca="1"/>
        <v>74.698371113898943</v>
      </c>
      <c r="AG2130" s="2">
        <f ca="1"/>
        <v>0.77631986083348026</v>
      </c>
      <c r="AH2130" s="2" t="str">
        <f ca="1"/>
        <v>Bad</v>
      </c>
    </row>
    <row r="2131" spans="2:34" x14ac:dyDescent="0.2">
      <c r="B2131" s="2">
        <f ca="1"/>
        <v>0.649101512506983</v>
      </c>
      <c r="O2131" s="2">
        <f ca="1"/>
        <v>-1.3035326402756668</v>
      </c>
      <c r="X2131" s="2">
        <f ca="1"/>
        <v>50.033091514695002</v>
      </c>
      <c r="AG2131" s="2">
        <f ca="1"/>
        <v>0.75131726570858604</v>
      </c>
      <c r="AH2131" s="2" t="str">
        <f ca="1"/>
        <v>Bad</v>
      </c>
    </row>
    <row r="2132" spans="2:34" x14ac:dyDescent="0.2">
      <c r="B2132" s="2">
        <f ca="1"/>
        <v>0.1178930814856034</v>
      </c>
      <c r="O2132" s="2">
        <f ca="1"/>
        <v>-0.13804941915103264</v>
      </c>
      <c r="X2132" s="2">
        <f ca="1"/>
        <v>53.321105831532691</v>
      </c>
      <c r="AG2132" s="2">
        <f ca="1"/>
        <v>0.2049938611745965</v>
      </c>
      <c r="AH2132" s="2" t="str">
        <f ca="1"/>
        <v>OK</v>
      </c>
    </row>
    <row r="2133" spans="2:34" x14ac:dyDescent="0.2">
      <c r="B2133" s="2">
        <f ca="1"/>
        <v>0.4120239959321077</v>
      </c>
      <c r="O2133" s="2">
        <f ca="1"/>
        <v>-2.2919189758395232E-2</v>
      </c>
      <c r="X2133" s="2">
        <f ca="1"/>
        <v>28.413588403079796</v>
      </c>
      <c r="AG2133" s="2">
        <f ca="1"/>
        <v>0.14183355247929108</v>
      </c>
      <c r="AH2133" s="2" t="str">
        <f ca="1"/>
        <v>OK</v>
      </c>
    </row>
    <row r="2134" spans="2:34" x14ac:dyDescent="0.2">
      <c r="B2134" s="2">
        <f ca="1"/>
        <v>0.97440784994182805</v>
      </c>
      <c r="O2134" s="2">
        <f ca="1"/>
        <v>-0.59537617521838604</v>
      </c>
      <c r="X2134" s="2">
        <f ca="1"/>
        <v>63.435574314375522</v>
      </c>
      <c r="AG2134" s="2">
        <f ca="1"/>
        <v>0.2231899501457304</v>
      </c>
      <c r="AH2134" s="2" t="str">
        <f ca="1"/>
        <v>OK</v>
      </c>
    </row>
    <row r="2135" spans="2:34" x14ac:dyDescent="0.2">
      <c r="B2135" s="2">
        <f ca="1"/>
        <v>0.35676243091921123</v>
      </c>
      <c r="O2135" s="2">
        <f ca="1"/>
        <v>1.0970051772175589</v>
      </c>
      <c r="X2135" s="2">
        <f ca="1"/>
        <v>55.220810427105739</v>
      </c>
      <c r="AG2135" s="2">
        <f ca="1"/>
        <v>0.4004118799988885</v>
      </c>
      <c r="AH2135" s="2" t="str">
        <f ca="1"/>
        <v>Bad</v>
      </c>
    </row>
    <row r="2136" spans="2:34" x14ac:dyDescent="0.2">
      <c r="B2136" s="2">
        <f ca="1"/>
        <v>0.72377991474407777</v>
      </c>
      <c r="O2136" s="2">
        <f ca="1"/>
        <v>-1.2685086880249776</v>
      </c>
      <c r="X2136" s="2">
        <f ca="1"/>
        <v>34.977631300977585</v>
      </c>
      <c r="AG2136" s="2">
        <f ca="1"/>
        <v>0.32312807528615961</v>
      </c>
      <c r="AH2136" s="2" t="str">
        <f ca="1"/>
        <v>OK</v>
      </c>
    </row>
    <row r="2137" spans="2:34" x14ac:dyDescent="0.2">
      <c r="B2137" s="2">
        <f ca="1"/>
        <v>0.89364098686051907</v>
      </c>
      <c r="O2137" s="2">
        <f ca="1"/>
        <v>0.33962698376189543</v>
      </c>
      <c r="X2137" s="2">
        <f ca="1"/>
        <v>35.827301859443139</v>
      </c>
      <c r="AG2137" s="2">
        <f ca="1"/>
        <v>0.85902650305454964</v>
      </c>
      <c r="AH2137" s="2" t="str">
        <f ca="1"/>
        <v>Bad</v>
      </c>
    </row>
    <row r="2138" spans="2:34" x14ac:dyDescent="0.2">
      <c r="B2138" s="2">
        <f ca="1"/>
        <v>0.97674510569642825</v>
      </c>
      <c r="O2138" s="2">
        <f ca="1"/>
        <v>0.7924874995393032</v>
      </c>
      <c r="X2138" s="2">
        <f ca="1"/>
        <v>52.931988737616102</v>
      </c>
      <c r="AG2138" s="2">
        <f ca="1"/>
        <v>0.16679259664339563</v>
      </c>
      <c r="AH2138" s="2" t="str">
        <f ca="1"/>
        <v>OK</v>
      </c>
    </row>
    <row r="2139" spans="2:34" x14ac:dyDescent="0.2">
      <c r="B2139" s="2">
        <f ca="1"/>
        <v>0.29077487025347026</v>
      </c>
      <c r="O2139" s="2">
        <f ca="1"/>
        <v>1.4541559450374102</v>
      </c>
      <c r="X2139" s="2">
        <f ca="1"/>
        <v>40.062998580273764</v>
      </c>
      <c r="AG2139" s="2">
        <f ca="1"/>
        <v>0.1865997814586724</v>
      </c>
      <c r="AH2139" s="2" t="str">
        <f ca="1"/>
        <v>OK</v>
      </c>
    </row>
    <row r="2140" spans="2:34" x14ac:dyDescent="0.2">
      <c r="B2140" s="2">
        <f ca="1"/>
        <v>0.39193803736746835</v>
      </c>
      <c r="O2140" s="2">
        <f ca="1"/>
        <v>-0.95110642687088054</v>
      </c>
      <c r="X2140" s="2">
        <f ca="1"/>
        <v>55.793023034185751</v>
      </c>
      <c r="AG2140" s="2">
        <f ca="1"/>
        <v>0.69420216635331133</v>
      </c>
      <c r="AH2140" s="2" t="str">
        <f ca="1"/>
        <v>Bad</v>
      </c>
    </row>
    <row r="2141" spans="2:34" x14ac:dyDescent="0.2">
      <c r="B2141" s="2">
        <f ca="1"/>
        <v>0.50475835277882908</v>
      </c>
      <c r="O2141" s="2">
        <f ca="1"/>
        <v>-0.14416105720724254</v>
      </c>
      <c r="X2141" s="2">
        <f ca="1"/>
        <v>45.382111612507586</v>
      </c>
      <c r="AG2141" s="2">
        <f ca="1"/>
        <v>0.2928301798053734</v>
      </c>
      <c r="AH2141" s="2" t="str">
        <f ca="1"/>
        <v>OK</v>
      </c>
    </row>
    <row r="2142" spans="2:34" x14ac:dyDescent="0.2">
      <c r="B2142" s="2">
        <f ca="1"/>
        <v>0.43994869031240924</v>
      </c>
      <c r="O2142" s="2">
        <f ca="1"/>
        <v>5.2582783913780781E-2</v>
      </c>
      <c r="X2142" s="2">
        <f ca="1"/>
        <v>41.865534150896949</v>
      </c>
      <c r="AG2142" s="2">
        <f ca="1"/>
        <v>0.69150201915994791</v>
      </c>
      <c r="AH2142" s="2" t="str">
        <f ca="1"/>
        <v>Bad</v>
      </c>
    </row>
    <row r="2143" spans="2:34" x14ac:dyDescent="0.2">
      <c r="B2143" s="2">
        <f ca="1"/>
        <v>0.25319152256479138</v>
      </c>
      <c r="O2143" s="2">
        <f ca="1"/>
        <v>1.0627385816230281</v>
      </c>
      <c r="X2143" s="2">
        <f ca="1"/>
        <v>48.24967683479872</v>
      </c>
      <c r="AG2143" s="2">
        <f ca="1"/>
        <v>0.86596883546524639</v>
      </c>
      <c r="AH2143" s="2" t="str">
        <f ca="1"/>
        <v>Bad</v>
      </c>
    </row>
    <row r="2144" spans="2:34" x14ac:dyDescent="0.2">
      <c r="B2144" s="2">
        <f ca="1"/>
        <v>0.68608597080605982</v>
      </c>
      <c r="O2144" s="2">
        <f ca="1"/>
        <v>0.52926256589041931</v>
      </c>
      <c r="X2144" s="2">
        <f ca="1"/>
        <v>59.327361562319297</v>
      </c>
      <c r="AG2144" s="2">
        <f ca="1"/>
        <v>0.84813456973117529</v>
      </c>
      <c r="AH2144" s="2" t="str">
        <f ca="1"/>
        <v>Bad</v>
      </c>
    </row>
    <row r="2145" spans="2:34" x14ac:dyDescent="0.2">
      <c r="B2145" s="2">
        <f ca="1"/>
        <v>0.9844244813018399</v>
      </c>
      <c r="O2145" s="2">
        <f ca="1"/>
        <v>-0.5330617135684097</v>
      </c>
      <c r="X2145" s="2">
        <f ca="1"/>
        <v>78.602805009917375</v>
      </c>
      <c r="AG2145" s="2">
        <f ca="1"/>
        <v>0.35521913063564892</v>
      </c>
      <c r="AH2145" s="2" t="str">
        <f ca="1"/>
        <v>OK</v>
      </c>
    </row>
    <row r="2146" spans="2:34" x14ac:dyDescent="0.2">
      <c r="B2146" s="2">
        <f ca="1"/>
        <v>0.99590877258651078</v>
      </c>
      <c r="O2146" s="2">
        <f ca="1"/>
        <v>-1.4453537395534071</v>
      </c>
      <c r="X2146" s="2">
        <f ca="1"/>
        <v>45.392364561219324</v>
      </c>
      <c r="AG2146" s="2">
        <f ca="1"/>
        <v>0.44664991504035112</v>
      </c>
      <c r="AH2146" s="2" t="str">
        <f ca="1"/>
        <v>Bad</v>
      </c>
    </row>
    <row r="2147" spans="2:34" x14ac:dyDescent="0.2">
      <c r="B2147" s="2">
        <f ca="1"/>
        <v>0.98227420125779186</v>
      </c>
      <c r="O2147" s="2">
        <f ca="1"/>
        <v>1.2583885654728368</v>
      </c>
      <c r="X2147" s="2">
        <f ca="1"/>
        <v>32.997507718085984</v>
      </c>
      <c r="AG2147" s="2">
        <f ca="1"/>
        <v>0.72634838279061076</v>
      </c>
      <c r="AH2147" s="2" t="str">
        <f ca="1"/>
        <v>Bad</v>
      </c>
    </row>
    <row r="2148" spans="2:34" x14ac:dyDescent="0.2">
      <c r="B2148" s="2">
        <f ca="1"/>
        <v>0.96612579698938972</v>
      </c>
      <c r="O2148" s="2">
        <f ca="1"/>
        <v>0.74417472944091712</v>
      </c>
      <c r="X2148" s="2">
        <f ca="1"/>
        <v>38.625804661817369</v>
      </c>
      <c r="AG2148" s="2">
        <f ca="1"/>
        <v>0.48063722557222599</v>
      </c>
      <c r="AH2148" s="2" t="str">
        <f ca="1"/>
        <v>Bad</v>
      </c>
    </row>
    <row r="2149" spans="2:34" x14ac:dyDescent="0.2">
      <c r="B2149" s="2">
        <f ca="1"/>
        <v>0.2158731996015093</v>
      </c>
      <c r="O2149" s="2">
        <f ca="1"/>
        <v>0.29302835238300368</v>
      </c>
      <c r="X2149" s="2">
        <f ca="1"/>
        <v>66.867469993538023</v>
      </c>
      <c r="AG2149" s="2">
        <f ca="1"/>
        <v>0.78213265159389711</v>
      </c>
      <c r="AH2149" s="2" t="str">
        <f ca="1"/>
        <v>Bad</v>
      </c>
    </row>
    <row r="2150" spans="2:34" x14ac:dyDescent="0.2">
      <c r="B2150" s="2">
        <f ca="1"/>
        <v>0.68001315572610155</v>
      </c>
      <c r="O2150" s="2">
        <f ca="1"/>
        <v>0.88249093754297336</v>
      </c>
      <c r="X2150" s="2">
        <f ca="1"/>
        <v>52.583232850471795</v>
      </c>
      <c r="AG2150" s="2">
        <f ca="1"/>
        <v>0.54130936523729778</v>
      </c>
      <c r="AH2150" s="2" t="str">
        <f ca="1"/>
        <v>Bad</v>
      </c>
    </row>
    <row r="2151" spans="2:34" x14ac:dyDescent="0.2">
      <c r="B2151" s="2">
        <f ca="1"/>
        <v>0.23519573326820176</v>
      </c>
      <c r="O2151" s="2">
        <f ca="1"/>
        <v>0.6385244596144436</v>
      </c>
      <c r="X2151" s="2">
        <f ca="1"/>
        <v>52.687303460415279</v>
      </c>
      <c r="AG2151" s="2">
        <f ca="1"/>
        <v>0.89483019014566878</v>
      </c>
      <c r="AH2151" s="2" t="str">
        <f ca="1"/>
        <v>Bad</v>
      </c>
    </row>
    <row r="2152" spans="2:34" x14ac:dyDescent="0.2">
      <c r="B2152" s="2">
        <f ca="1"/>
        <v>0.43264144602379684</v>
      </c>
      <c r="O2152" s="2">
        <f ca="1"/>
        <v>0.44835805338673657</v>
      </c>
      <c r="X2152" s="2">
        <f ca="1"/>
        <v>39.577790940710578</v>
      </c>
      <c r="AG2152" s="2">
        <f ca="1"/>
        <v>0.77718709829297006</v>
      </c>
      <c r="AH2152" s="2" t="str">
        <f ca="1"/>
        <v>Bad</v>
      </c>
    </row>
    <row r="2153" spans="2:34" x14ac:dyDescent="0.2">
      <c r="B2153" s="2">
        <f ca="1"/>
        <v>1.5779723772886278E-3</v>
      </c>
      <c r="O2153" s="2">
        <f ca="1"/>
        <v>1.158320045245318</v>
      </c>
      <c r="X2153" s="2">
        <f ca="1"/>
        <v>64.716255369911948</v>
      </c>
      <c r="AG2153" s="2">
        <f ca="1"/>
        <v>9.4570833524102005E-2</v>
      </c>
      <c r="AH2153" s="2" t="str">
        <f ca="1"/>
        <v>OK</v>
      </c>
    </row>
    <row r="2154" spans="2:34" x14ac:dyDescent="0.2">
      <c r="B2154" s="2">
        <f ca="1"/>
        <v>0.50853288824553422</v>
      </c>
      <c r="O2154" s="2">
        <f ca="1"/>
        <v>0.68564313834223078</v>
      </c>
      <c r="X2154" s="2">
        <f ca="1"/>
        <v>53.038011169754</v>
      </c>
      <c r="AG2154" s="2">
        <f ca="1"/>
        <v>0.61353703049719344</v>
      </c>
      <c r="AH2154" s="2" t="str">
        <f ca="1"/>
        <v>Bad</v>
      </c>
    </row>
    <row r="2155" spans="2:34" x14ac:dyDescent="0.2">
      <c r="B2155" s="2">
        <f ca="1"/>
        <v>0.77987421497612797</v>
      </c>
      <c r="O2155" s="2">
        <f ca="1"/>
        <v>-0.70599521481043648</v>
      </c>
      <c r="X2155" s="2">
        <f ca="1"/>
        <v>64.984529697290895</v>
      </c>
      <c r="AG2155" s="2">
        <f ca="1"/>
        <v>0.1863503959213999</v>
      </c>
      <c r="AH2155" s="2" t="str">
        <f ca="1"/>
        <v>OK</v>
      </c>
    </row>
    <row r="2156" spans="2:34" x14ac:dyDescent="0.2">
      <c r="B2156" s="2">
        <f ca="1"/>
        <v>0.89700892655211706</v>
      </c>
      <c r="O2156" s="2">
        <f ca="1"/>
        <v>0.42630161974403447</v>
      </c>
      <c r="X2156" s="2">
        <f ca="1"/>
        <v>48.428939388057266</v>
      </c>
      <c r="AG2156" s="2">
        <f ca="1"/>
        <v>0.88700229350205362</v>
      </c>
      <c r="AH2156" s="2" t="str">
        <f ca="1"/>
        <v>Bad</v>
      </c>
    </row>
    <row r="2157" spans="2:34" x14ac:dyDescent="0.2">
      <c r="B2157" s="2">
        <f ca="1"/>
        <v>0.20624657908665678</v>
      </c>
      <c r="O2157" s="2">
        <f ca="1"/>
        <v>0.18164794621098695</v>
      </c>
      <c r="X2157" s="2">
        <f ca="1"/>
        <v>22.199768214017652</v>
      </c>
      <c r="AG2157" s="2">
        <f ca="1"/>
        <v>0.62343830781756426</v>
      </c>
      <c r="AH2157" s="2" t="str">
        <f ca="1"/>
        <v>Bad</v>
      </c>
    </row>
    <row r="2158" spans="2:34" x14ac:dyDescent="0.2">
      <c r="B2158" s="2">
        <f ca="1"/>
        <v>0.992532178656089</v>
      </c>
      <c r="O2158" s="2">
        <f ca="1"/>
        <v>0.1041785834238298</v>
      </c>
      <c r="X2158" s="2">
        <f ca="1"/>
        <v>31.456991097403435</v>
      </c>
      <c r="AG2158" s="2">
        <f ca="1"/>
        <v>0.25114322510271192</v>
      </c>
      <c r="AH2158" s="2" t="str">
        <f ca="1"/>
        <v>OK</v>
      </c>
    </row>
    <row r="2159" spans="2:34" x14ac:dyDescent="0.2">
      <c r="B2159" s="2">
        <f ca="1"/>
        <v>9.2700642903793984E-2</v>
      </c>
      <c r="O2159" s="2">
        <f ca="1"/>
        <v>-2.4827364608760262E-2</v>
      </c>
      <c r="X2159" s="2">
        <f ca="1"/>
        <v>43.198258710903517</v>
      </c>
      <c r="AG2159" s="2">
        <f ca="1"/>
        <v>0.66067866585354018</v>
      </c>
      <c r="AH2159" s="2" t="str">
        <f ca="1"/>
        <v>Bad</v>
      </c>
    </row>
    <row r="2160" spans="2:34" x14ac:dyDescent="0.2">
      <c r="B2160" s="2">
        <f ca="1"/>
        <v>0.87811084370127612</v>
      </c>
      <c r="O2160" s="2">
        <f ca="1"/>
        <v>-0.33561696780953576</v>
      </c>
      <c r="X2160" s="2">
        <f ca="1"/>
        <v>42.496703029871753</v>
      </c>
      <c r="AG2160" s="2">
        <f ca="1"/>
        <v>0.23239094031224106</v>
      </c>
      <c r="AH2160" s="2" t="str">
        <f ca="1"/>
        <v>OK</v>
      </c>
    </row>
    <row r="2161" spans="2:34" x14ac:dyDescent="0.2">
      <c r="B2161" s="2">
        <f ca="1"/>
        <v>0.83038428362360484</v>
      </c>
      <c r="O2161" s="2">
        <f ca="1"/>
        <v>0.45491472965770452</v>
      </c>
      <c r="X2161" s="2">
        <f ca="1"/>
        <v>38.110514790515218</v>
      </c>
      <c r="AG2161" s="2">
        <f ca="1"/>
        <v>0.61921372477279668</v>
      </c>
      <c r="AH2161" s="2" t="str">
        <f ca="1"/>
        <v>Bad</v>
      </c>
    </row>
    <row r="2162" spans="2:34" x14ac:dyDescent="0.2">
      <c r="B2162" s="2">
        <f ca="1"/>
        <v>0.3471632126649129</v>
      </c>
      <c r="O2162" s="2">
        <f ca="1"/>
        <v>-0.2930616646286226</v>
      </c>
      <c r="X2162" s="2">
        <f ca="1"/>
        <v>34.181252174392498</v>
      </c>
      <c r="AG2162" s="2">
        <f ca="1"/>
        <v>0.6027621451576759</v>
      </c>
      <c r="AH2162" s="2" t="str">
        <f ca="1"/>
        <v>Bad</v>
      </c>
    </row>
    <row r="2163" spans="2:34" x14ac:dyDescent="0.2">
      <c r="B2163" s="2">
        <f ca="1"/>
        <v>8.8077233856659332E-2</v>
      </c>
      <c r="O2163" s="2">
        <f ca="1"/>
        <v>-0.36166414140440484</v>
      </c>
      <c r="X2163" s="2">
        <f ca="1"/>
        <v>66.961714800076479</v>
      </c>
      <c r="AG2163" s="2">
        <f ca="1"/>
        <v>0.25797436301966892</v>
      </c>
      <c r="AH2163" s="2" t="str">
        <f ca="1"/>
        <v>OK</v>
      </c>
    </row>
    <row r="2164" spans="2:34" x14ac:dyDescent="0.2">
      <c r="B2164" s="2">
        <f ca="1"/>
        <v>0.41949643240433265</v>
      </c>
      <c r="O2164" s="2">
        <f ca="1"/>
        <v>3.5674036132028184</v>
      </c>
      <c r="X2164" s="2">
        <f ca="1"/>
        <v>61.168150643080153</v>
      </c>
      <c r="AG2164" s="2">
        <f ca="1"/>
        <v>0.48010501116192872</v>
      </c>
      <c r="AH2164" s="2" t="str">
        <f ca="1"/>
        <v>Bad</v>
      </c>
    </row>
    <row r="2165" spans="2:34" x14ac:dyDescent="0.2">
      <c r="B2165" s="2">
        <f ca="1"/>
        <v>0.21571661226798544</v>
      </c>
      <c r="O2165" s="2">
        <f ca="1"/>
        <v>-1.3317322645591774</v>
      </c>
      <c r="X2165" s="2">
        <f ca="1"/>
        <v>42.786214845581611</v>
      </c>
      <c r="AG2165" s="2">
        <f ca="1"/>
        <v>0.73019482727236462</v>
      </c>
      <c r="AH2165" s="2" t="str">
        <f ca="1"/>
        <v>Bad</v>
      </c>
    </row>
    <row r="2166" spans="2:34" x14ac:dyDescent="0.2">
      <c r="B2166" s="2">
        <f ca="1"/>
        <v>9.6653383281317673E-3</v>
      </c>
      <c r="O2166" s="2">
        <f ca="1"/>
        <v>0.68794987453136069</v>
      </c>
      <c r="X2166" s="2">
        <f ca="1"/>
        <v>24.76431402984953</v>
      </c>
      <c r="AG2166" s="2">
        <f ca="1"/>
        <v>0.96971890500518332</v>
      </c>
      <c r="AH2166" s="2" t="str">
        <f ca="1"/>
        <v>Bad</v>
      </c>
    </row>
    <row r="2167" spans="2:34" x14ac:dyDescent="0.2">
      <c r="B2167" s="2">
        <f ca="1"/>
        <v>0.81151620362536758</v>
      </c>
      <c r="O2167" s="2">
        <f ca="1"/>
        <v>0.2409781180225993</v>
      </c>
      <c r="X2167" s="2">
        <f ca="1"/>
        <v>78.194982222478885</v>
      </c>
      <c r="AG2167" s="2">
        <f ca="1"/>
        <v>0.94946704385502212</v>
      </c>
      <c r="AH2167" s="2" t="str">
        <f ca="1"/>
        <v>Bad</v>
      </c>
    </row>
    <row r="2168" spans="2:34" x14ac:dyDescent="0.2">
      <c r="B2168" s="2">
        <f ca="1"/>
        <v>0.86164416650147269</v>
      </c>
      <c r="O2168" s="2">
        <f ca="1"/>
        <v>1.1187245811055295</v>
      </c>
      <c r="X2168" s="2">
        <f ca="1"/>
        <v>48.574398157130297</v>
      </c>
      <c r="AG2168" s="2">
        <f ca="1"/>
        <v>0.67597323202027493</v>
      </c>
      <c r="AH2168" s="2" t="str">
        <f ca="1"/>
        <v>Bad</v>
      </c>
    </row>
    <row r="2169" spans="2:34" x14ac:dyDescent="0.2">
      <c r="B2169" s="2">
        <f ca="1"/>
        <v>0.7347403476817389</v>
      </c>
      <c r="O2169" s="2">
        <f ca="1"/>
        <v>0.74514760742460906</v>
      </c>
      <c r="X2169" s="2">
        <f ca="1"/>
        <v>37.940814609632916</v>
      </c>
      <c r="AG2169" s="2">
        <f ca="1"/>
        <v>0.59635153815210806</v>
      </c>
      <c r="AH2169" s="2" t="str">
        <f ca="1"/>
        <v>Bad</v>
      </c>
    </row>
    <row r="2170" spans="2:34" x14ac:dyDescent="0.2">
      <c r="B2170" s="2">
        <f ca="1"/>
        <v>0.4348499692501111</v>
      </c>
      <c r="O2170" s="2">
        <f ca="1"/>
        <v>-7.9888025479383479E-2</v>
      </c>
      <c r="X2170" s="2">
        <f ca="1"/>
        <v>49.678893869857617</v>
      </c>
      <c r="AG2170" s="2">
        <f ca="1"/>
        <v>0.85330782323639798</v>
      </c>
      <c r="AH2170" s="2" t="str">
        <f ca="1"/>
        <v>Bad</v>
      </c>
    </row>
    <row r="2171" spans="2:34" x14ac:dyDescent="0.2">
      <c r="B2171" s="2">
        <f ca="1"/>
        <v>0.56317890775477641</v>
      </c>
      <c r="O2171" s="2">
        <f ca="1"/>
        <v>-1.0399386223750902</v>
      </c>
      <c r="X2171" s="2">
        <f ca="1"/>
        <v>26.820841838231317</v>
      </c>
      <c r="AG2171" s="2">
        <f ca="1"/>
        <v>0.13178079138061771</v>
      </c>
      <c r="AH2171" s="2" t="str">
        <f ca="1"/>
        <v>OK</v>
      </c>
    </row>
    <row r="2172" spans="2:34" x14ac:dyDescent="0.2">
      <c r="B2172" s="2">
        <f ca="1"/>
        <v>0.61435757944162117</v>
      </c>
      <c r="O2172" s="2">
        <f ca="1"/>
        <v>0.66328794144184755</v>
      </c>
      <c r="X2172" s="2">
        <f ca="1"/>
        <v>47.449124450752706</v>
      </c>
      <c r="AG2172" s="2">
        <f ca="1"/>
        <v>0.97285639644521393</v>
      </c>
      <c r="AH2172" s="2" t="str">
        <f ca="1"/>
        <v>Bad</v>
      </c>
    </row>
    <row r="2173" spans="2:34" x14ac:dyDescent="0.2">
      <c r="B2173" s="2">
        <f ca="1"/>
        <v>0.19705108142916661</v>
      </c>
      <c r="O2173" s="2">
        <f ca="1"/>
        <v>0.43034569862207278</v>
      </c>
      <c r="X2173" s="2">
        <f ca="1"/>
        <v>32.779911699903927</v>
      </c>
      <c r="AG2173" s="2">
        <f ca="1"/>
        <v>0.77603044982520153</v>
      </c>
      <c r="AH2173" s="2" t="str">
        <f ca="1"/>
        <v>Bad</v>
      </c>
    </row>
    <row r="2174" spans="2:34" x14ac:dyDescent="0.2">
      <c r="B2174" s="2">
        <f ca="1"/>
        <v>0.55957286457879807</v>
      </c>
      <c r="O2174" s="2">
        <f ca="1"/>
        <v>0.99544024581423407</v>
      </c>
      <c r="X2174" s="2">
        <f ca="1"/>
        <v>38.824574079040239</v>
      </c>
      <c r="AG2174" s="2">
        <f ca="1"/>
        <v>5.0255838429606792E-2</v>
      </c>
      <c r="AH2174" s="2" t="str">
        <f ca="1"/>
        <v>OK</v>
      </c>
    </row>
    <row r="2175" spans="2:34" x14ac:dyDescent="0.2">
      <c r="B2175" s="2">
        <f ca="1"/>
        <v>0.38760593199855986</v>
      </c>
      <c r="O2175" s="2">
        <f ca="1"/>
        <v>2.0999861708444882</v>
      </c>
      <c r="X2175" s="2">
        <f ca="1"/>
        <v>77.7416136225918</v>
      </c>
      <c r="AG2175" s="2">
        <f ca="1"/>
        <v>0.86401935734182667</v>
      </c>
      <c r="AH2175" s="2" t="str">
        <f ca="1"/>
        <v>Bad</v>
      </c>
    </row>
    <row r="2176" spans="2:34" x14ac:dyDescent="0.2">
      <c r="B2176" s="2">
        <f ca="1"/>
        <v>0.29289558940092597</v>
      </c>
      <c r="O2176" s="2">
        <f ca="1"/>
        <v>-1.0098280010672551</v>
      </c>
      <c r="X2176" s="2">
        <f ca="1"/>
        <v>34.732234294071745</v>
      </c>
      <c r="AG2176" s="2">
        <f ca="1"/>
        <v>0.11155161644933709</v>
      </c>
      <c r="AH2176" s="2" t="str">
        <f ca="1"/>
        <v>OK</v>
      </c>
    </row>
    <row r="2177" spans="2:34" x14ac:dyDescent="0.2">
      <c r="B2177" s="2">
        <f ca="1"/>
        <v>0.68281928819515203</v>
      </c>
      <c r="O2177" s="2">
        <f ca="1"/>
        <v>-0.11635095565386022</v>
      </c>
      <c r="X2177" s="2">
        <f ca="1"/>
        <v>48.58736028467078</v>
      </c>
      <c r="AG2177" s="2">
        <f ca="1"/>
        <v>0.82122855222432523</v>
      </c>
      <c r="AH2177" s="2" t="str">
        <f ca="1"/>
        <v>Bad</v>
      </c>
    </row>
    <row r="2178" spans="2:34" x14ac:dyDescent="0.2">
      <c r="B2178" s="2">
        <f ca="1"/>
        <v>0.7315780433145167</v>
      </c>
      <c r="O2178" s="2">
        <f ca="1"/>
        <v>0.67680135545971087</v>
      </c>
      <c r="X2178" s="2">
        <f ca="1"/>
        <v>18.704844125929707</v>
      </c>
      <c r="AG2178" s="2">
        <f ca="1"/>
        <v>0.5299818458891663</v>
      </c>
      <c r="AH2178" s="2" t="str">
        <f ca="1"/>
        <v>Bad</v>
      </c>
    </row>
    <row r="2179" spans="2:34" x14ac:dyDescent="0.2">
      <c r="B2179" s="2">
        <f ca="1"/>
        <v>1.7599648673158441E-2</v>
      </c>
      <c r="O2179" s="2">
        <f ca="1"/>
        <v>1.3671025057536781</v>
      </c>
      <c r="X2179" s="2">
        <f ca="1"/>
        <v>21.943762594077612</v>
      </c>
      <c r="AG2179" s="2">
        <f ca="1"/>
        <v>0.11676778242354313</v>
      </c>
      <c r="AH2179" s="2" t="str">
        <f ca="1"/>
        <v>OK</v>
      </c>
    </row>
    <row r="2180" spans="2:34" x14ac:dyDescent="0.2">
      <c r="B2180" s="2">
        <f ca="1"/>
        <v>0.94155858043131202</v>
      </c>
      <c r="O2180" s="2">
        <f ca="1"/>
        <v>-1.0478951874019788</v>
      </c>
      <c r="X2180" s="2">
        <f ca="1"/>
        <v>56.52259177136326</v>
      </c>
      <c r="AG2180" s="2">
        <f ca="1"/>
        <v>0.60282442843703765</v>
      </c>
      <c r="AH2180" s="2" t="str">
        <f ca="1"/>
        <v>Bad</v>
      </c>
    </row>
    <row r="2181" spans="2:34" x14ac:dyDescent="0.2">
      <c r="B2181" s="2">
        <f ca="1"/>
        <v>0.7579657606168666</v>
      </c>
      <c r="O2181" s="2">
        <f ca="1"/>
        <v>1.5077964416133041</v>
      </c>
      <c r="X2181" s="2">
        <f ca="1"/>
        <v>47.675473719768902</v>
      </c>
      <c r="AG2181" s="2">
        <f ca="1"/>
        <v>0.93791685309753081</v>
      </c>
      <c r="AH2181" s="2" t="str">
        <f ca="1"/>
        <v>Bad</v>
      </c>
    </row>
    <row r="2182" spans="2:34" x14ac:dyDescent="0.2">
      <c r="B2182" s="2">
        <f ca="1"/>
        <v>0.86150517440752972</v>
      </c>
      <c r="O2182" s="2">
        <f ca="1"/>
        <v>0.60045116105874863</v>
      </c>
      <c r="X2182" s="2">
        <f ca="1"/>
        <v>28.479804768003994</v>
      </c>
      <c r="AG2182" s="2">
        <f ca="1"/>
        <v>0.43499536469815525</v>
      </c>
      <c r="AH2182" s="2" t="str">
        <f ca="1"/>
        <v>Bad</v>
      </c>
    </row>
    <row r="2183" spans="2:34" x14ac:dyDescent="0.2">
      <c r="B2183" s="2">
        <f ca="1"/>
        <v>0.59754747838018618</v>
      </c>
      <c r="O2183" s="2">
        <f ca="1"/>
        <v>-0.59419959920820009</v>
      </c>
      <c r="X2183" s="2">
        <f ca="1"/>
        <v>41.545335245384024</v>
      </c>
      <c r="AG2183" s="2">
        <f ca="1"/>
        <v>0.51052248915594634</v>
      </c>
      <c r="AH2183" s="2" t="str">
        <f ca="1"/>
        <v>Bad</v>
      </c>
    </row>
    <row r="2184" spans="2:34" x14ac:dyDescent="0.2">
      <c r="B2184" s="2">
        <f ca="1"/>
        <v>0.81101355591037483</v>
      </c>
      <c r="O2184" s="2">
        <f ca="1"/>
        <v>-1.3143386218211657</v>
      </c>
      <c r="X2184" s="2">
        <f ca="1"/>
        <v>69.574707812667825</v>
      </c>
      <c r="AG2184" s="2">
        <f ca="1"/>
        <v>0.71958457453891933</v>
      </c>
      <c r="AH2184" s="2" t="str">
        <f ca="1"/>
        <v>Bad</v>
      </c>
    </row>
    <row r="2185" spans="2:34" x14ac:dyDescent="0.2">
      <c r="B2185" s="2">
        <f ca="1"/>
        <v>0.20976353121601043</v>
      </c>
      <c r="O2185" s="2">
        <f ca="1"/>
        <v>-2.0524878233879027E-2</v>
      </c>
      <c r="X2185" s="2">
        <f ca="1"/>
        <v>69.450928596004232</v>
      </c>
      <c r="AG2185" s="2">
        <f ca="1"/>
        <v>9.1008368883902735E-2</v>
      </c>
      <c r="AH2185" s="2" t="str">
        <f ca="1"/>
        <v>OK</v>
      </c>
    </row>
    <row r="2186" spans="2:34" x14ac:dyDescent="0.2">
      <c r="B2186" s="2">
        <f ca="1"/>
        <v>0.3593931678731026</v>
      </c>
      <c r="O2186" s="2">
        <f ca="1"/>
        <v>1.5360861131383037</v>
      </c>
      <c r="X2186" s="2">
        <f ca="1"/>
        <v>41.689674436422372</v>
      </c>
      <c r="AG2186" s="2">
        <f ca="1"/>
        <v>0.68269320065369055</v>
      </c>
      <c r="AH2186" s="2" t="str">
        <f ca="1"/>
        <v>Bad</v>
      </c>
    </row>
    <row r="2187" spans="2:34" x14ac:dyDescent="0.2">
      <c r="B2187" s="2">
        <f ca="1"/>
        <v>0.95292322489275327</v>
      </c>
      <c r="O2187" s="2">
        <f ca="1"/>
        <v>1.9918776226724153</v>
      </c>
      <c r="X2187" s="2">
        <f ca="1"/>
        <v>107.63470491207482</v>
      </c>
      <c r="AG2187" s="2">
        <f ca="1"/>
        <v>0.78375277578762881</v>
      </c>
      <c r="AH2187" s="2" t="str">
        <f ca="1"/>
        <v>Bad</v>
      </c>
    </row>
    <row r="2188" spans="2:34" x14ac:dyDescent="0.2">
      <c r="B2188" s="2">
        <f ca="1"/>
        <v>0.46517354613771822</v>
      </c>
      <c r="O2188" s="2">
        <f ca="1"/>
        <v>-0.48784237842419464</v>
      </c>
      <c r="X2188" s="2">
        <f ca="1"/>
        <v>30.190918944475907</v>
      </c>
      <c r="AG2188" s="2">
        <f ca="1"/>
        <v>2.8116859897680424E-2</v>
      </c>
      <c r="AH2188" s="2" t="str">
        <f ca="1"/>
        <v>Good</v>
      </c>
    </row>
    <row r="2189" spans="2:34" x14ac:dyDescent="0.2">
      <c r="B2189" s="2">
        <f ca="1"/>
        <v>0.55663327312865718</v>
      </c>
      <c r="O2189" s="2">
        <f ca="1"/>
        <v>-1.4575213418816215</v>
      </c>
      <c r="X2189" s="2">
        <f ca="1"/>
        <v>35.785068361962402</v>
      </c>
      <c r="AG2189" s="2">
        <f ca="1"/>
        <v>1.4794541518070137E-2</v>
      </c>
      <c r="AH2189" s="2" t="str">
        <f ca="1"/>
        <v>Good</v>
      </c>
    </row>
    <row r="2190" spans="2:34" x14ac:dyDescent="0.2">
      <c r="B2190" s="2">
        <f ca="1"/>
        <v>0.73035696720751142</v>
      </c>
      <c r="O2190" s="2">
        <f ca="1"/>
        <v>-0.21006684509489193</v>
      </c>
      <c r="X2190" s="2">
        <f ca="1"/>
        <v>75.430991905208913</v>
      </c>
      <c r="AG2190" s="2">
        <f ca="1"/>
        <v>0.70511594460927851</v>
      </c>
      <c r="AH2190" s="2" t="str">
        <f ca="1"/>
        <v>Bad</v>
      </c>
    </row>
    <row r="2191" spans="2:34" x14ac:dyDescent="0.2">
      <c r="B2191" s="2">
        <f ca="1"/>
        <v>8.4180013937964482E-3</v>
      </c>
      <c r="O2191" s="2">
        <f ca="1"/>
        <v>-1.1696346639213711</v>
      </c>
      <c r="X2191" s="2">
        <f ca="1"/>
        <v>42.344248009587204</v>
      </c>
      <c r="AG2191" s="2">
        <f ca="1"/>
        <v>0.73188903788774584</v>
      </c>
      <c r="AH2191" s="2" t="str">
        <f ca="1"/>
        <v>Bad</v>
      </c>
    </row>
    <row r="2192" spans="2:34" x14ac:dyDescent="0.2">
      <c r="B2192" s="2">
        <f ca="1"/>
        <v>0.63615771101885188</v>
      </c>
      <c r="O2192" s="2">
        <f ca="1"/>
        <v>0.38212192631780456</v>
      </c>
      <c r="X2192" s="2">
        <f ca="1"/>
        <v>66.623437012546503</v>
      </c>
      <c r="AG2192" s="2">
        <f ca="1"/>
        <v>0.88946789525192171</v>
      </c>
      <c r="AH2192" s="2" t="str">
        <f ca="1"/>
        <v>Bad</v>
      </c>
    </row>
    <row r="2193" spans="2:34" x14ac:dyDescent="0.2">
      <c r="B2193" s="2">
        <f ca="1"/>
        <v>0.9882453583706583</v>
      </c>
      <c r="O2193" s="2">
        <f ca="1"/>
        <v>0.20488850248697543</v>
      </c>
      <c r="X2193" s="2">
        <f ca="1"/>
        <v>52.035970772128593</v>
      </c>
      <c r="AG2193" s="2">
        <f ca="1"/>
        <v>0.14336521983197525</v>
      </c>
      <c r="AH2193" s="2" t="str">
        <f ca="1"/>
        <v>OK</v>
      </c>
    </row>
    <row r="2194" spans="2:34" x14ac:dyDescent="0.2">
      <c r="B2194" s="2">
        <f ca="1"/>
        <v>0.72608688135841071</v>
      </c>
      <c r="O2194" s="2">
        <f ca="1"/>
        <v>2.8226836381157895E-2</v>
      </c>
      <c r="X2194" s="2">
        <f ca="1"/>
        <v>48.144401570556894</v>
      </c>
      <c r="AG2194" s="2">
        <f ca="1"/>
        <v>0.23475693572390699</v>
      </c>
      <c r="AH2194" s="2" t="str">
        <f ca="1"/>
        <v>OK</v>
      </c>
    </row>
    <row r="2195" spans="2:34" x14ac:dyDescent="0.2">
      <c r="B2195" s="2">
        <f ca="1"/>
        <v>0.80479503929605922</v>
      </c>
      <c r="O2195" s="2">
        <f ca="1"/>
        <v>1.2014227298048974</v>
      </c>
      <c r="X2195" s="2">
        <f ca="1"/>
        <v>45.005775005478377</v>
      </c>
      <c r="AG2195" s="2">
        <f ca="1"/>
        <v>0.82255050458791334</v>
      </c>
      <c r="AH2195" s="2" t="str">
        <f ca="1"/>
        <v>Bad</v>
      </c>
    </row>
    <row r="2196" spans="2:34" x14ac:dyDescent="0.2">
      <c r="B2196" s="2">
        <f ca="1"/>
        <v>0.28124187204319373</v>
      </c>
      <c r="O2196" s="2">
        <f ca="1"/>
        <v>0.87063347757703935</v>
      </c>
      <c r="X2196" s="2">
        <f ca="1"/>
        <v>61.371955564819842</v>
      </c>
      <c r="AG2196" s="2">
        <f ca="1"/>
        <v>6.9957869768229042E-3</v>
      </c>
      <c r="AH2196" s="2" t="str">
        <f ca="1"/>
        <v>Good</v>
      </c>
    </row>
    <row r="2197" spans="2:34" x14ac:dyDescent="0.2">
      <c r="B2197" s="2">
        <f ca="1"/>
        <v>0.49052941146424978</v>
      </c>
      <c r="O2197" s="2">
        <f ca="1"/>
        <v>0.39488709425039165</v>
      </c>
      <c r="X2197" s="2">
        <f ca="1"/>
        <v>40.391295557212608</v>
      </c>
      <c r="AG2197" s="2">
        <f ca="1"/>
        <v>0.89647555551199876</v>
      </c>
      <c r="AH2197" s="2" t="str">
        <f ca="1"/>
        <v>Bad</v>
      </c>
    </row>
    <row r="2198" spans="2:34" x14ac:dyDescent="0.2">
      <c r="B2198" s="2">
        <f ca="1"/>
        <v>0.74643777221172924</v>
      </c>
      <c r="O2198" s="2">
        <f ca="1"/>
        <v>-0.3366478229846982</v>
      </c>
      <c r="X2198" s="2">
        <f ca="1"/>
        <v>56.849732411933509</v>
      </c>
      <c r="AG2198" s="2">
        <f ca="1"/>
        <v>0.2622945879287053</v>
      </c>
      <c r="AH2198" s="2" t="str">
        <f ca="1"/>
        <v>OK</v>
      </c>
    </row>
    <row r="2199" spans="2:34" x14ac:dyDescent="0.2">
      <c r="B2199" s="2">
        <f ca="1"/>
        <v>0.62641078024029739</v>
      </c>
      <c r="O2199" s="2">
        <f ca="1"/>
        <v>-1.4234993949597436</v>
      </c>
      <c r="X2199" s="2">
        <f ca="1"/>
        <v>33.763893084001857</v>
      </c>
      <c r="AG2199" s="2">
        <f ca="1"/>
        <v>0.75978336756876508</v>
      </c>
      <c r="AH2199" s="2" t="str">
        <f ca="1"/>
        <v>Bad</v>
      </c>
    </row>
    <row r="2200" spans="2:34" x14ac:dyDescent="0.2">
      <c r="B2200" s="2">
        <f ca="1"/>
        <v>0.43354246614006708</v>
      </c>
      <c r="O2200" s="2">
        <f ca="1"/>
        <v>0.16471682991960634</v>
      </c>
      <c r="X2200" s="2">
        <f ca="1"/>
        <v>52.129003193941628</v>
      </c>
      <c r="AG2200" s="2">
        <f ca="1"/>
        <v>0.58664071459044576</v>
      </c>
      <c r="AH2200" s="2" t="str">
        <f ca="1"/>
        <v>Bad</v>
      </c>
    </row>
    <row r="2201" spans="2:34" x14ac:dyDescent="0.2">
      <c r="B2201" s="2">
        <f ca="1"/>
        <v>0.17594365567136405</v>
      </c>
      <c r="O2201" s="2">
        <f ca="1"/>
        <v>0.3682474658463783</v>
      </c>
      <c r="X2201" s="2">
        <f ca="1"/>
        <v>35.255853326945001</v>
      </c>
      <c r="AG2201" s="2">
        <f ca="1"/>
        <v>0.55789362277798049</v>
      </c>
      <c r="AH2201" s="2" t="str">
        <f ca="1"/>
        <v>Bad</v>
      </c>
    </row>
    <row r="2202" spans="2:34" x14ac:dyDescent="0.2">
      <c r="B2202" s="2">
        <f ca="1"/>
        <v>0.85783740327132851</v>
      </c>
      <c r="O2202" s="2">
        <f ca="1"/>
        <v>-0.16316152713799276</v>
      </c>
      <c r="X2202" s="2">
        <f ca="1"/>
        <v>43.844921484760029</v>
      </c>
      <c r="AG2202" s="2">
        <f ca="1"/>
        <v>0.19947485515182506</v>
      </c>
      <c r="AH2202" s="2" t="str">
        <f ca="1"/>
        <v>OK</v>
      </c>
    </row>
    <row r="2203" spans="2:34" x14ac:dyDescent="0.2">
      <c r="B2203" s="2">
        <f ca="1"/>
        <v>0.11869394388678267</v>
      </c>
      <c r="O2203" s="2">
        <f ca="1"/>
        <v>0.79935521414944177</v>
      </c>
      <c r="X2203" s="2">
        <f ca="1"/>
        <v>29.723016027553747</v>
      </c>
      <c r="AG2203" s="2">
        <f ca="1"/>
        <v>0.73597262424861509</v>
      </c>
      <c r="AH2203" s="2" t="str">
        <f ca="1"/>
        <v>Bad</v>
      </c>
    </row>
    <row r="2204" spans="2:34" x14ac:dyDescent="0.2">
      <c r="B2204" s="2">
        <f ca="1"/>
        <v>0.94204839266723983</v>
      </c>
      <c r="O2204" s="2">
        <f ca="1"/>
        <v>0.26980642438897828</v>
      </c>
      <c r="X2204" s="2">
        <f ca="1"/>
        <v>54.185180497349236</v>
      </c>
      <c r="AG2204" s="2">
        <f ca="1"/>
        <v>0.99187192784954892</v>
      </c>
      <c r="AH2204" s="2" t="str">
        <f ca="1"/>
        <v>Bad</v>
      </c>
    </row>
    <row r="2205" spans="2:34" x14ac:dyDescent="0.2">
      <c r="B2205" s="2">
        <f ca="1"/>
        <v>0.63844573050821563</v>
      </c>
      <c r="O2205" s="2">
        <f ca="1"/>
        <v>-0.37395887429601432</v>
      </c>
      <c r="X2205" s="2">
        <f ca="1"/>
        <v>84.535274873502416</v>
      </c>
      <c r="AG2205" s="2">
        <f ca="1"/>
        <v>0.68973651652912027</v>
      </c>
      <c r="AH2205" s="2" t="str">
        <f ca="1"/>
        <v>Bad</v>
      </c>
    </row>
    <row r="2206" spans="2:34" x14ac:dyDescent="0.2">
      <c r="B2206" s="2">
        <f ca="1"/>
        <v>0.91093997601399557</v>
      </c>
      <c r="O2206" s="2">
        <f ca="1"/>
        <v>1.8271580623447068</v>
      </c>
      <c r="X2206" s="2">
        <f ca="1"/>
        <v>95.600233133075676</v>
      </c>
      <c r="AG2206" s="2">
        <f ca="1"/>
        <v>0.56007849504328244</v>
      </c>
      <c r="AH2206" s="2" t="str">
        <f ca="1"/>
        <v>Bad</v>
      </c>
    </row>
    <row r="2207" spans="2:34" x14ac:dyDescent="0.2">
      <c r="B2207" s="2">
        <f ca="1"/>
        <v>0.83849228335827153</v>
      </c>
      <c r="O2207" s="2">
        <f ca="1"/>
        <v>-1.8740691592347332</v>
      </c>
      <c r="X2207" s="2">
        <f ca="1"/>
        <v>40.260233313830938</v>
      </c>
      <c r="AG2207" s="2">
        <f ca="1"/>
        <v>0.50831084764484502</v>
      </c>
      <c r="AH2207" s="2" t="str">
        <f ca="1"/>
        <v>Bad</v>
      </c>
    </row>
    <row r="2208" spans="2:34" x14ac:dyDescent="0.2">
      <c r="B2208" s="2">
        <f ca="1"/>
        <v>0.70989952708694415</v>
      </c>
      <c r="O2208" s="2">
        <f ca="1"/>
        <v>0.30962337753866304</v>
      </c>
      <c r="X2208" s="2">
        <f ca="1"/>
        <v>50.365072802498076</v>
      </c>
      <c r="AG2208" s="2">
        <f ca="1"/>
        <v>0.46885832439350805</v>
      </c>
      <c r="AH2208" s="2" t="str">
        <f ca="1"/>
        <v>Bad</v>
      </c>
    </row>
    <row r="2209" spans="2:34" x14ac:dyDescent="0.2">
      <c r="B2209" s="2">
        <f ca="1"/>
        <v>0.33283425827457958</v>
      </c>
      <c r="O2209" s="2">
        <f ca="1"/>
        <v>-1.1407345527596455</v>
      </c>
      <c r="X2209" s="2">
        <f ca="1"/>
        <v>53.821645764455965</v>
      </c>
      <c r="AG2209" s="2">
        <f ca="1"/>
        <v>0.36110258610238488</v>
      </c>
      <c r="AH2209" s="2" t="str">
        <f ca="1"/>
        <v>OK</v>
      </c>
    </row>
    <row r="2210" spans="2:34" x14ac:dyDescent="0.2">
      <c r="B2210" s="2">
        <f ca="1"/>
        <v>0.27980251995459504</v>
      </c>
      <c r="O2210" s="2">
        <f ca="1"/>
        <v>1.132461990799402</v>
      </c>
      <c r="X2210" s="2">
        <f ca="1"/>
        <v>58.665941962747567</v>
      </c>
      <c r="AG2210" s="2">
        <f ca="1"/>
        <v>0.97317274193832759</v>
      </c>
      <c r="AH2210" s="2" t="str">
        <f ca="1"/>
        <v>Bad</v>
      </c>
    </row>
    <row r="2211" spans="2:34" x14ac:dyDescent="0.2">
      <c r="B2211" s="2">
        <f ca="1"/>
        <v>0.9196970696559208</v>
      </c>
      <c r="O2211" s="2">
        <f ca="1"/>
        <v>-1.1267307422334085</v>
      </c>
      <c r="X2211" s="2">
        <f ca="1"/>
        <v>62.002075538642465</v>
      </c>
      <c r="AG2211" s="2">
        <f ca="1"/>
        <v>0.20191522330912393</v>
      </c>
      <c r="AH2211" s="2" t="str">
        <f ca="1"/>
        <v>OK</v>
      </c>
    </row>
    <row r="2212" spans="2:34" x14ac:dyDescent="0.2">
      <c r="B2212" s="2">
        <f ca="1"/>
        <v>0.29613093223048437</v>
      </c>
      <c r="O2212" s="2">
        <f ca="1"/>
        <v>8.4471213360128999E-2</v>
      </c>
      <c r="X2212" s="2">
        <f ca="1"/>
        <v>40.776726423204089</v>
      </c>
      <c r="AG2212" s="2">
        <f ca="1"/>
        <v>0.13735852641707558</v>
      </c>
      <c r="AH2212" s="2" t="str">
        <f ca="1"/>
        <v>OK</v>
      </c>
    </row>
    <row r="2213" spans="2:34" x14ac:dyDescent="0.2">
      <c r="B2213" s="2">
        <f ca="1"/>
        <v>0.99680981544833513</v>
      </c>
      <c r="O2213" s="2">
        <f ca="1"/>
        <v>-0.70783226197040838</v>
      </c>
      <c r="X2213" s="2">
        <f ca="1"/>
        <v>48.783290496864012</v>
      </c>
      <c r="AG2213" s="2">
        <f ca="1"/>
        <v>0.50795672611977238</v>
      </c>
      <c r="AH2213" s="2" t="str">
        <f ca="1"/>
        <v>Bad</v>
      </c>
    </row>
    <row r="2214" spans="2:34" x14ac:dyDescent="0.2">
      <c r="B2214" s="2">
        <f ca="1"/>
        <v>0.59050779084234706</v>
      </c>
      <c r="O2214" s="2">
        <f ca="1"/>
        <v>0.39158473663806048</v>
      </c>
      <c r="X2214" s="2">
        <f ca="1"/>
        <v>46.863559873689049</v>
      </c>
      <c r="AG2214" s="2">
        <f ca="1"/>
        <v>0.62789566520525342</v>
      </c>
      <c r="AH2214" s="2" t="str">
        <f ca="1"/>
        <v>Bad</v>
      </c>
    </row>
    <row r="2215" spans="2:34" x14ac:dyDescent="0.2">
      <c r="B2215" s="2">
        <f ca="1"/>
        <v>2.0201293454757518E-2</v>
      </c>
      <c r="O2215" s="2">
        <f ca="1"/>
        <v>1.5095532725934921</v>
      </c>
      <c r="X2215" s="2">
        <f ca="1"/>
        <v>29.863365789134107</v>
      </c>
      <c r="AG2215" s="2">
        <f ca="1"/>
        <v>0.24228076212347904</v>
      </c>
      <c r="AH2215" s="2" t="str">
        <f ca="1"/>
        <v>OK</v>
      </c>
    </row>
    <row r="2216" spans="2:34" x14ac:dyDescent="0.2">
      <c r="B2216" s="2">
        <f ca="1"/>
        <v>0.36534615892883648</v>
      </c>
      <c r="O2216" s="2">
        <f ca="1"/>
        <v>-0.55078878635778861</v>
      </c>
      <c r="X2216" s="2">
        <f ca="1"/>
        <v>57.208190276067732</v>
      </c>
      <c r="AG2216" s="2">
        <f ca="1"/>
        <v>0.69915067744143977</v>
      </c>
      <c r="AH2216" s="2" t="str">
        <f ca="1"/>
        <v>Bad</v>
      </c>
    </row>
    <row r="2217" spans="2:34" x14ac:dyDescent="0.2">
      <c r="B2217" s="2">
        <f ca="1"/>
        <v>0.70768971141474579</v>
      </c>
      <c r="O2217" s="2">
        <f ca="1"/>
        <v>0.36195374580178047</v>
      </c>
      <c r="X2217" s="2">
        <f ca="1"/>
        <v>63.435089349215197</v>
      </c>
      <c r="AG2217" s="2">
        <f ca="1"/>
        <v>0.3851171458905478</v>
      </c>
      <c r="AH2217" s="2" t="str">
        <f ca="1"/>
        <v>OK</v>
      </c>
    </row>
    <row r="2218" spans="2:34" x14ac:dyDescent="0.2">
      <c r="B2218" s="2">
        <f ca="1"/>
        <v>0.75057800326637714</v>
      </c>
      <c r="O2218" s="2">
        <f ca="1"/>
        <v>1.4597158522739551</v>
      </c>
      <c r="X2218" s="2">
        <f ca="1"/>
        <v>19.305905125781706</v>
      </c>
      <c r="AG2218" s="2">
        <f ca="1"/>
        <v>7.9529288443127566E-2</v>
      </c>
      <c r="AH2218" s="2" t="str">
        <f ca="1"/>
        <v>OK</v>
      </c>
    </row>
    <row r="2219" spans="2:34" x14ac:dyDescent="0.2">
      <c r="B2219" s="2">
        <f ca="1"/>
        <v>0.42641873991876067</v>
      </c>
      <c r="O2219" s="2">
        <f ca="1"/>
        <v>1.0102485765509703</v>
      </c>
      <c r="X2219" s="2">
        <f ca="1"/>
        <v>34.827099197914542</v>
      </c>
      <c r="AG2219" s="2">
        <f ca="1"/>
        <v>0.51011362330085941</v>
      </c>
      <c r="AH2219" s="2" t="str">
        <f ca="1"/>
        <v>Bad</v>
      </c>
    </row>
    <row r="2220" spans="2:34" x14ac:dyDescent="0.2">
      <c r="B2220" s="2">
        <f ca="1"/>
        <v>0.42104958085783362</v>
      </c>
      <c r="O2220" s="2">
        <f ca="1"/>
        <v>-0.22135460148864136</v>
      </c>
      <c r="X2220" s="2">
        <f ca="1"/>
        <v>25.256048159115224</v>
      </c>
      <c r="AG2220" s="2">
        <f ca="1"/>
        <v>0.6242122211815111</v>
      </c>
      <c r="AH2220" s="2" t="str">
        <f ca="1"/>
        <v>Bad</v>
      </c>
    </row>
    <row r="2221" spans="2:34" x14ac:dyDescent="0.2">
      <c r="B2221" s="2">
        <f ca="1"/>
        <v>0.93513612342106711</v>
      </c>
      <c r="O2221" s="2">
        <f ca="1"/>
        <v>-2.6422739391966341</v>
      </c>
      <c r="X2221" s="2">
        <f ca="1"/>
        <v>46.262039641390288</v>
      </c>
      <c r="AG2221" s="2">
        <f ca="1"/>
        <v>0.13915333413901609</v>
      </c>
      <c r="AH2221" s="2" t="str">
        <f ca="1"/>
        <v>OK</v>
      </c>
    </row>
    <row r="2222" spans="2:34" x14ac:dyDescent="0.2">
      <c r="B2222" s="2">
        <f ca="1"/>
        <v>0.81103446013642477</v>
      </c>
      <c r="O2222" s="2">
        <f ca="1"/>
        <v>-0.17313981184699295</v>
      </c>
      <c r="X2222" s="2">
        <f ca="1"/>
        <v>47.353397619429806</v>
      </c>
      <c r="AG2222" s="2">
        <f ca="1"/>
        <v>0.53491936167642873</v>
      </c>
      <c r="AH2222" s="2" t="str">
        <f ca="1"/>
        <v>Bad</v>
      </c>
    </row>
    <row r="2223" spans="2:34" x14ac:dyDescent="0.2">
      <c r="B2223" s="2">
        <f ca="1"/>
        <v>0.75035875433236265</v>
      </c>
      <c r="O2223" s="2">
        <f ca="1"/>
        <v>0.72246018757652775</v>
      </c>
      <c r="X2223" s="2">
        <f ca="1"/>
        <v>41.013672677427436</v>
      </c>
      <c r="AG2223" s="2">
        <f ca="1"/>
        <v>3.3807134725354127E-2</v>
      </c>
      <c r="AH2223" s="2" t="str">
        <f ca="1"/>
        <v>Good</v>
      </c>
    </row>
    <row r="2224" spans="2:34" x14ac:dyDescent="0.2">
      <c r="B2224" s="2">
        <f ca="1"/>
        <v>0.98834755141446107</v>
      </c>
      <c r="O2224" s="2">
        <f ca="1"/>
        <v>0.46884839155640501</v>
      </c>
      <c r="X2224" s="2">
        <f ca="1"/>
        <v>76.61003632812043</v>
      </c>
      <c r="AG2224" s="2">
        <f ca="1"/>
        <v>3.5169357442565996E-2</v>
      </c>
      <c r="AH2224" s="2" t="str">
        <f ca="1"/>
        <v>Good</v>
      </c>
    </row>
    <row r="2225" spans="2:34" x14ac:dyDescent="0.2">
      <c r="B2225" s="2">
        <f ca="1"/>
        <v>0.20031121498707405</v>
      </c>
      <c r="O2225" s="2">
        <f ca="1"/>
        <v>0.87740431063345803</v>
      </c>
      <c r="X2225" s="2">
        <f ca="1"/>
        <v>15.75377363922807</v>
      </c>
      <c r="AG2225" s="2">
        <f ca="1"/>
        <v>0.58101873434930762</v>
      </c>
      <c r="AH2225" s="2" t="str">
        <f ca="1"/>
        <v>Bad</v>
      </c>
    </row>
    <row r="2226" spans="2:34" x14ac:dyDescent="0.2">
      <c r="B2226" s="2">
        <f ca="1"/>
        <v>0.88717684350467452</v>
      </c>
      <c r="O2226" s="2">
        <f ca="1"/>
        <v>-0.52116025654744735</v>
      </c>
      <c r="X2226" s="2">
        <f ca="1"/>
        <v>20.836237354352892</v>
      </c>
      <c r="AG2226" s="2">
        <f ca="1"/>
        <v>0.64377533398776077</v>
      </c>
      <c r="AH2226" s="2" t="str">
        <f ca="1"/>
        <v>Bad</v>
      </c>
    </row>
    <row r="2227" spans="2:34" x14ac:dyDescent="0.2">
      <c r="B2227" s="2">
        <f ca="1"/>
        <v>0.19653159868430703</v>
      </c>
      <c r="O2227" s="2">
        <f ca="1"/>
        <v>-0.27884677038016281</v>
      </c>
      <c r="X2227" s="2">
        <f ca="1"/>
        <v>56.814037531788266</v>
      </c>
      <c r="AG2227" s="2">
        <f ca="1"/>
        <v>0.65142257222156852</v>
      </c>
      <c r="AH2227" s="2" t="str">
        <f ca="1"/>
        <v>Bad</v>
      </c>
    </row>
    <row r="2228" spans="2:34" x14ac:dyDescent="0.2">
      <c r="B2228" s="2">
        <f ca="1"/>
        <v>0.76747391808743193</v>
      </c>
      <c r="O2228" s="2">
        <f ca="1"/>
        <v>0.44605044172231273</v>
      </c>
      <c r="X2228" s="2">
        <f ca="1"/>
        <v>56.744104428366768</v>
      </c>
      <c r="AG2228" s="2">
        <f ca="1"/>
        <v>0.69648269962082465</v>
      </c>
      <c r="AH2228" s="2" t="str">
        <f ca="1"/>
        <v>Bad</v>
      </c>
    </row>
    <row r="2229" spans="2:34" x14ac:dyDescent="0.2">
      <c r="B2229" s="2">
        <f ca="1"/>
        <v>0.94036902768646535</v>
      </c>
      <c r="O2229" s="2">
        <f ca="1"/>
        <v>-1.2291502811511017</v>
      </c>
      <c r="X2229" s="2">
        <f ca="1"/>
        <v>74.066063443048392</v>
      </c>
      <c r="AG2229" s="2">
        <f ca="1"/>
        <v>0.39683154241992225</v>
      </c>
      <c r="AH2229" s="2" t="str">
        <f ca="1"/>
        <v>OK</v>
      </c>
    </row>
    <row r="2230" spans="2:34" x14ac:dyDescent="0.2">
      <c r="B2230" s="2">
        <f ca="1"/>
        <v>0.34401926571724251</v>
      </c>
      <c r="O2230" s="2">
        <f ca="1"/>
        <v>0.79380592587527588</v>
      </c>
      <c r="X2230" s="2">
        <f ca="1"/>
        <v>38.534363258224801</v>
      </c>
      <c r="AG2230" s="2">
        <f ca="1"/>
        <v>0.38702974702606951</v>
      </c>
      <c r="AH2230" s="2" t="str">
        <f ca="1"/>
        <v>OK</v>
      </c>
    </row>
    <row r="2231" spans="2:34" x14ac:dyDescent="0.2">
      <c r="B2231" s="2">
        <f ca="1"/>
        <v>0.23079979256416561</v>
      </c>
      <c r="O2231" s="2">
        <f ca="1"/>
        <v>0.22974023243638395</v>
      </c>
      <c r="X2231" s="2">
        <f ca="1"/>
        <v>46.504310592261689</v>
      </c>
      <c r="AG2231" s="2">
        <f ca="1"/>
        <v>0.870506227352291</v>
      </c>
      <c r="AH2231" s="2" t="str">
        <f ca="1"/>
        <v>Bad</v>
      </c>
    </row>
    <row r="2232" spans="2:34" x14ac:dyDescent="0.2">
      <c r="B2232" s="2">
        <f ca="1"/>
        <v>0.85829189161804931</v>
      </c>
      <c r="O2232" s="2">
        <f ca="1"/>
        <v>-0.41975456473205786</v>
      </c>
      <c r="X2232" s="2">
        <f ca="1"/>
        <v>55.989591514311869</v>
      </c>
      <c r="AG2232" s="2">
        <f ca="1"/>
        <v>0.93828670787734469</v>
      </c>
      <c r="AH2232" s="2" t="str">
        <f ca="1"/>
        <v>Bad</v>
      </c>
    </row>
    <row r="2233" spans="2:34" x14ac:dyDescent="0.2">
      <c r="B2233" s="2">
        <f ca="1"/>
        <v>0.87629692263441061</v>
      </c>
      <c r="O2233" s="2">
        <f ca="1"/>
        <v>1.0113312540870467</v>
      </c>
      <c r="X2233" s="2">
        <f ca="1"/>
        <v>28.159543664006286</v>
      </c>
      <c r="AG2233" s="2">
        <f ca="1"/>
        <v>0.91899795103314097</v>
      </c>
      <c r="AH2233" s="2" t="str">
        <f ca="1"/>
        <v>Bad</v>
      </c>
    </row>
    <row r="2234" spans="2:34" x14ac:dyDescent="0.2">
      <c r="B2234" s="2">
        <f ca="1"/>
        <v>0.75735387146760313</v>
      </c>
      <c r="O2234" s="2">
        <f ca="1"/>
        <v>-5.7149443552012152E-2</v>
      </c>
      <c r="X2234" s="2">
        <f ca="1"/>
        <v>38.043583953032353</v>
      </c>
      <c r="AG2234" s="2">
        <f ca="1"/>
        <v>0.39432429069105268</v>
      </c>
      <c r="AH2234" s="2" t="str">
        <f ca="1"/>
        <v>OK</v>
      </c>
    </row>
    <row r="2235" spans="2:34" x14ac:dyDescent="0.2">
      <c r="B2235" s="2">
        <f ca="1"/>
        <v>0.35204230962866578</v>
      </c>
      <c r="O2235" s="2">
        <f ca="1"/>
        <v>-1.3470660053842474</v>
      </c>
      <c r="X2235" s="2">
        <f ca="1"/>
        <v>24.060867650406642</v>
      </c>
      <c r="AG2235" s="2">
        <f ca="1"/>
        <v>4.2525805868801614E-2</v>
      </c>
      <c r="AH2235" s="2" t="str">
        <f ca="1"/>
        <v>Good</v>
      </c>
    </row>
    <row r="2236" spans="2:34" x14ac:dyDescent="0.2">
      <c r="B2236" s="2">
        <f ca="1"/>
        <v>0.22096140663561892</v>
      </c>
      <c r="O2236" s="2">
        <f ca="1"/>
        <v>-3.2442099747206181E-3</v>
      </c>
      <c r="X2236" s="2">
        <f ca="1"/>
        <v>34.559417005724022</v>
      </c>
      <c r="AG2236" s="2">
        <f ca="1"/>
        <v>0.69862783133093376</v>
      </c>
      <c r="AH2236" s="2" t="str">
        <f ca="1"/>
        <v>Bad</v>
      </c>
    </row>
    <row r="2237" spans="2:34" x14ac:dyDescent="0.2">
      <c r="B2237" s="2">
        <f ca="1"/>
        <v>0.84640920145840215</v>
      </c>
      <c r="O2237" s="2">
        <f ca="1"/>
        <v>2.7223488969115462E-3</v>
      </c>
      <c r="X2237" s="2">
        <f ca="1"/>
        <v>57.931227298879719</v>
      </c>
      <c r="AG2237" s="2">
        <f ca="1"/>
        <v>0.4553670096685114</v>
      </c>
      <c r="AH2237" s="2" t="str">
        <f ca="1"/>
        <v>Bad</v>
      </c>
    </row>
    <row r="2238" spans="2:34" x14ac:dyDescent="0.2">
      <c r="B2238" s="2">
        <f ca="1"/>
        <v>0.49821187049052185</v>
      </c>
      <c r="O2238" s="2">
        <f ca="1"/>
        <v>1.8521679786982375</v>
      </c>
      <c r="X2238" s="2">
        <f ca="1"/>
        <v>43.99885090272776</v>
      </c>
      <c r="AG2238" s="2">
        <f ca="1"/>
        <v>0.29664254366445997</v>
      </c>
      <c r="AH2238" s="2" t="str">
        <f ca="1"/>
        <v>OK</v>
      </c>
    </row>
    <row r="2239" spans="2:34" x14ac:dyDescent="0.2">
      <c r="B2239" s="2">
        <f ca="1"/>
        <v>0.30686277701866449</v>
      </c>
      <c r="O2239" s="2">
        <f ca="1"/>
        <v>1.3500888567336016</v>
      </c>
      <c r="X2239" s="2">
        <f ca="1"/>
        <v>44.622189579083482</v>
      </c>
      <c r="AG2239" s="2">
        <f ca="1"/>
        <v>0.84428148245516632</v>
      </c>
      <c r="AH2239" s="2" t="str">
        <f ca="1"/>
        <v>Bad</v>
      </c>
    </row>
    <row r="2240" spans="2:34" x14ac:dyDescent="0.2">
      <c r="B2240" s="2">
        <f ca="1"/>
        <v>0.30068880554558697</v>
      </c>
      <c r="O2240" s="2">
        <f ca="1"/>
        <v>-1.9265228786587346E-2</v>
      </c>
      <c r="X2240" s="2">
        <f ca="1"/>
        <v>33.651706720599549</v>
      </c>
      <c r="AG2240" s="2">
        <f ca="1"/>
        <v>0.75273256785506826</v>
      </c>
      <c r="AH2240" s="2" t="str">
        <f ca="1"/>
        <v>Bad</v>
      </c>
    </row>
    <row r="2241" spans="2:34" x14ac:dyDescent="0.2">
      <c r="B2241" s="2">
        <f ca="1"/>
        <v>0.72889311554081981</v>
      </c>
      <c r="O2241" s="2">
        <f ca="1"/>
        <v>-0.41852885921944427</v>
      </c>
      <c r="X2241" s="2">
        <f ca="1"/>
        <v>52.040247952895314</v>
      </c>
      <c r="AG2241" s="2">
        <f ca="1"/>
        <v>0.59830786665369806</v>
      </c>
      <c r="AH2241" s="2" t="str">
        <f ca="1"/>
        <v>Bad</v>
      </c>
    </row>
    <row r="2242" spans="2:34" x14ac:dyDescent="0.2">
      <c r="B2242" s="2">
        <f ca="1"/>
        <v>0.58225046947779568</v>
      </c>
      <c r="O2242" s="2">
        <f ca="1"/>
        <v>-1.5528731265009394</v>
      </c>
      <c r="X2242" s="2">
        <f ca="1"/>
        <v>53.520711312818634</v>
      </c>
      <c r="AG2242" s="2">
        <f ca="1"/>
        <v>0.55993957170368169</v>
      </c>
      <c r="AH2242" s="2" t="str">
        <f ca="1"/>
        <v>Bad</v>
      </c>
    </row>
    <row r="2243" spans="2:34" x14ac:dyDescent="0.2">
      <c r="B2243" s="2">
        <f ca="1"/>
        <v>0.48717671116370642</v>
      </c>
      <c r="O2243" s="2">
        <f ca="1"/>
        <v>0.84740955655713479</v>
      </c>
      <c r="X2243" s="2">
        <f ca="1"/>
        <v>69.439244463278612</v>
      </c>
      <c r="AG2243" s="2">
        <f ca="1"/>
        <v>0.39324196035015135</v>
      </c>
      <c r="AH2243" s="2" t="str">
        <f ca="1"/>
        <v>OK</v>
      </c>
    </row>
    <row r="2244" spans="2:34" x14ac:dyDescent="0.2">
      <c r="B2244" s="2">
        <f ca="1"/>
        <v>0.92880629815025095</v>
      </c>
      <c r="O2244" s="2">
        <f ca="1"/>
        <v>0.47103486604832751</v>
      </c>
      <c r="X2244" s="2">
        <f ca="1"/>
        <v>60.978686764288312</v>
      </c>
      <c r="AG2244" s="2">
        <f ca="1"/>
        <v>0.74033685231546298</v>
      </c>
      <c r="AH2244" s="2" t="str">
        <f ca="1"/>
        <v>Bad</v>
      </c>
    </row>
    <row r="2245" spans="2:34" x14ac:dyDescent="0.2">
      <c r="B2245" s="2">
        <f ca="1"/>
        <v>0.71170401270014994</v>
      </c>
      <c r="O2245" s="2">
        <f ca="1"/>
        <v>-0.15600358170173101</v>
      </c>
      <c r="X2245" s="2">
        <f ca="1"/>
        <v>76.291960317277642</v>
      </c>
      <c r="AG2245" s="2">
        <f ca="1"/>
        <v>0.5239528452970097</v>
      </c>
      <c r="AH2245" s="2" t="str">
        <f ca="1"/>
        <v>Bad</v>
      </c>
    </row>
    <row r="2246" spans="2:34" x14ac:dyDescent="0.2">
      <c r="B2246" s="2">
        <f ca="1"/>
        <v>0.33358003917080814</v>
      </c>
      <c r="O2246" s="2">
        <f ca="1"/>
        <v>0.14002663315142633</v>
      </c>
      <c r="X2246" s="2">
        <f ca="1"/>
        <v>18.583063450930673</v>
      </c>
      <c r="AG2246" s="2">
        <f ca="1"/>
        <v>0.96893060647205131</v>
      </c>
      <c r="AH2246" s="2" t="str">
        <f ca="1"/>
        <v>Bad</v>
      </c>
    </row>
    <row r="2247" spans="2:34" x14ac:dyDescent="0.2">
      <c r="B2247" s="2">
        <f ca="1"/>
        <v>0.35885579498634601</v>
      </c>
      <c r="O2247" s="2">
        <f ca="1"/>
        <v>1.0197153877262231</v>
      </c>
      <c r="X2247" s="2">
        <f ca="1"/>
        <v>55.586753726795088</v>
      </c>
      <c r="AG2247" s="2">
        <f ca="1"/>
        <v>0.1311327705292078</v>
      </c>
      <c r="AH2247" s="2" t="str">
        <f ca="1"/>
        <v>OK</v>
      </c>
    </row>
    <row r="2248" spans="2:34" x14ac:dyDescent="0.2">
      <c r="B2248" s="2">
        <f ca="1"/>
        <v>0.11760561150074533</v>
      </c>
      <c r="O2248" s="2">
        <f ca="1"/>
        <v>-0.58377386274355936</v>
      </c>
      <c r="X2248" s="2">
        <f ca="1"/>
        <v>55.394812593086513</v>
      </c>
      <c r="AG2248" s="2">
        <f ca="1"/>
        <v>0.74543872826316937</v>
      </c>
      <c r="AH2248" s="2" t="str">
        <f ca="1"/>
        <v>Bad</v>
      </c>
    </row>
    <row r="2249" spans="2:34" x14ac:dyDescent="0.2">
      <c r="B2249" s="2">
        <f ca="1"/>
        <v>0.44956265736801271</v>
      </c>
      <c r="O2249" s="2">
        <f ca="1"/>
        <v>0.82429688593014816</v>
      </c>
      <c r="X2249" s="2">
        <f ca="1"/>
        <v>74.051875369592906</v>
      </c>
      <c r="AG2249" s="2">
        <f ca="1"/>
        <v>0.3753084859264082</v>
      </c>
      <c r="AH2249" s="2" t="str">
        <f ca="1"/>
        <v>OK</v>
      </c>
    </row>
    <row r="2250" spans="2:34" x14ac:dyDescent="0.2">
      <c r="B2250" s="2">
        <f ca="1"/>
        <v>0.55352484623299647</v>
      </c>
      <c r="O2250" s="2">
        <f ca="1"/>
        <v>-1.7431908350947987</v>
      </c>
      <c r="X2250" s="2">
        <f ca="1"/>
        <v>34.567732937176103</v>
      </c>
      <c r="AG2250" s="2">
        <f ca="1"/>
        <v>5.0509064427235462E-3</v>
      </c>
      <c r="AH2250" s="2" t="str">
        <f ca="1"/>
        <v>Good</v>
      </c>
    </row>
    <row r="2251" spans="2:34" x14ac:dyDescent="0.2">
      <c r="B2251" s="2">
        <f ca="1"/>
        <v>0.83579453065616804</v>
      </c>
      <c r="O2251" s="2">
        <f ca="1"/>
        <v>0.27422331510392728</v>
      </c>
      <c r="X2251" s="2">
        <f ca="1"/>
        <v>58.58374014735783</v>
      </c>
      <c r="AG2251" s="2">
        <f ca="1"/>
        <v>0.27768497446818219</v>
      </c>
      <c r="AH2251" s="2" t="str">
        <f ca="1"/>
        <v>OK</v>
      </c>
    </row>
    <row r="2252" spans="2:34" x14ac:dyDescent="0.2">
      <c r="B2252" s="2">
        <f ca="1"/>
        <v>0.17080901727134745</v>
      </c>
      <c r="O2252" s="2">
        <f ca="1"/>
        <v>-0.807153928205534</v>
      </c>
      <c r="X2252" s="2">
        <f ca="1"/>
        <v>76.915195808164299</v>
      </c>
      <c r="AG2252" s="2">
        <f ca="1"/>
        <v>0.41478458511452865</v>
      </c>
      <c r="AH2252" s="2" t="str">
        <f ca="1"/>
        <v>Bad</v>
      </c>
    </row>
    <row r="2253" spans="2:34" x14ac:dyDescent="0.2">
      <c r="B2253" s="2">
        <f ca="1"/>
        <v>0.30913519124955058</v>
      </c>
      <c r="O2253" s="2">
        <f ca="1"/>
        <v>-0.41781099560716684</v>
      </c>
      <c r="X2253" s="2">
        <f ca="1"/>
        <v>41.561460294133816</v>
      </c>
      <c r="AG2253" s="2">
        <f ca="1"/>
        <v>0.3071868020997055</v>
      </c>
      <c r="AH2253" s="2" t="str">
        <f ca="1"/>
        <v>OK</v>
      </c>
    </row>
    <row r="2254" spans="2:34" x14ac:dyDescent="0.2">
      <c r="B2254" s="2">
        <f ca="1"/>
        <v>1.8304616857981459E-2</v>
      </c>
      <c r="O2254" s="2">
        <f ca="1"/>
        <v>0.23278864612320702</v>
      </c>
      <c r="X2254" s="2">
        <f ca="1"/>
        <v>48.446611450343369</v>
      </c>
      <c r="AG2254" s="2">
        <f ca="1"/>
        <v>0.90565040542568109</v>
      </c>
      <c r="AH2254" s="2" t="str">
        <f ca="1"/>
        <v>Bad</v>
      </c>
    </row>
    <row r="2255" spans="2:34" x14ac:dyDescent="0.2">
      <c r="B2255" s="2">
        <f ca="1"/>
        <v>0.36580341407251615</v>
      </c>
      <c r="O2255" s="2">
        <f ca="1"/>
        <v>3.3026802518190533E-2</v>
      </c>
      <c r="X2255" s="2">
        <f ca="1"/>
        <v>37.852474904600669</v>
      </c>
      <c r="AG2255" s="2">
        <f ca="1"/>
        <v>0.74628279910422468</v>
      </c>
      <c r="AH2255" s="2" t="str">
        <f ca="1"/>
        <v>Bad</v>
      </c>
    </row>
    <row r="2256" spans="2:34" x14ac:dyDescent="0.2">
      <c r="B2256" s="2">
        <f ca="1"/>
        <v>0.29723477737151893</v>
      </c>
      <c r="O2256" s="2">
        <f ca="1"/>
        <v>-1.0497775217487884</v>
      </c>
      <c r="X2256" s="2">
        <f ca="1"/>
        <v>35.459074547122874</v>
      </c>
      <c r="AG2256" s="2">
        <f ca="1"/>
        <v>0.77438856806678658</v>
      </c>
      <c r="AH2256" s="2" t="str">
        <f ca="1"/>
        <v>Bad</v>
      </c>
    </row>
    <row r="2257" spans="2:34" x14ac:dyDescent="0.2">
      <c r="B2257" s="2">
        <f ca="1"/>
        <v>1.7011675522442538E-2</v>
      </c>
      <c r="O2257" s="2">
        <f ca="1"/>
        <v>0.69121202905714263</v>
      </c>
      <c r="X2257" s="2">
        <f ca="1"/>
        <v>23.585765249226721</v>
      </c>
      <c r="AG2257" s="2">
        <f ca="1"/>
        <v>0.70239246519970622</v>
      </c>
      <c r="AH2257" s="2" t="str">
        <f ca="1"/>
        <v>Bad</v>
      </c>
    </row>
    <row r="2258" spans="2:34" x14ac:dyDescent="0.2">
      <c r="B2258" s="2">
        <f ca="1"/>
        <v>6.0285153183646356E-2</v>
      </c>
      <c r="O2258" s="2">
        <f ca="1"/>
        <v>0.62711901728383102</v>
      </c>
      <c r="X2258" s="2">
        <f ca="1"/>
        <v>35.110277556643908</v>
      </c>
      <c r="AG2258" s="2">
        <f ca="1"/>
        <v>0.61906577727383305</v>
      </c>
      <c r="AH2258" s="2" t="str">
        <f ca="1"/>
        <v>Bad</v>
      </c>
    </row>
    <row r="2259" spans="2:34" x14ac:dyDescent="0.2">
      <c r="B2259" s="2">
        <f ca="1"/>
        <v>0.13446774866321842</v>
      </c>
      <c r="O2259" s="2">
        <f ca="1"/>
        <v>0.85273496814490579</v>
      </c>
      <c r="X2259" s="2">
        <f ca="1"/>
        <v>72.195328911198004</v>
      </c>
      <c r="AG2259" s="2">
        <f ca="1"/>
        <v>0.46659955310180457</v>
      </c>
      <c r="AH2259" s="2" t="str">
        <f ca="1"/>
        <v>Bad</v>
      </c>
    </row>
    <row r="2260" spans="2:34" x14ac:dyDescent="0.2">
      <c r="B2260" s="2">
        <f ca="1"/>
        <v>0.92603807884305644</v>
      </c>
      <c r="O2260" s="2">
        <f ca="1"/>
        <v>-0.4862575675945261</v>
      </c>
      <c r="X2260" s="2">
        <f ca="1"/>
        <v>24.009638208460323</v>
      </c>
      <c r="AG2260" s="2">
        <f ca="1"/>
        <v>6.7678900075845094E-2</v>
      </c>
      <c r="AH2260" s="2" t="str">
        <f ca="1"/>
        <v>OK</v>
      </c>
    </row>
    <row r="2261" spans="2:34" x14ac:dyDescent="0.2">
      <c r="B2261" s="2">
        <f ca="1"/>
        <v>0.30547581273282343</v>
      </c>
      <c r="O2261" s="2">
        <f ca="1"/>
        <v>-0.95379686087021764</v>
      </c>
      <c r="X2261" s="2">
        <f ca="1"/>
        <v>41.853443371299335</v>
      </c>
      <c r="AG2261" s="2">
        <f ca="1"/>
        <v>0.22577012354549031</v>
      </c>
      <c r="AH2261" s="2" t="str">
        <f ca="1"/>
        <v>OK</v>
      </c>
    </row>
    <row r="2262" spans="2:34" x14ac:dyDescent="0.2">
      <c r="B2262" s="2">
        <f ca="1"/>
        <v>0.71345380167271366</v>
      </c>
      <c r="O2262" s="2">
        <f ca="1"/>
        <v>-1.3785110949480568</v>
      </c>
      <c r="X2262" s="2">
        <f ca="1"/>
        <v>74.718803327232024</v>
      </c>
      <c r="AG2262" s="2">
        <f ca="1"/>
        <v>0.15297130129212477</v>
      </c>
      <c r="AH2262" s="2" t="str">
        <f ca="1"/>
        <v>OK</v>
      </c>
    </row>
    <row r="2263" spans="2:34" x14ac:dyDescent="0.2">
      <c r="B2263" s="2">
        <f ca="1"/>
        <v>0.24543925896594332</v>
      </c>
      <c r="O2263" s="2">
        <f ca="1"/>
        <v>0.93915310165983401</v>
      </c>
      <c r="X2263" s="2">
        <f ca="1"/>
        <v>54.009063892387502</v>
      </c>
      <c r="AG2263" s="2">
        <f ca="1"/>
        <v>0.47329394079931508</v>
      </c>
      <c r="AH2263" s="2" t="str">
        <f ca="1"/>
        <v>Bad</v>
      </c>
    </row>
    <row r="2264" spans="2:34" x14ac:dyDescent="0.2">
      <c r="B2264" s="2">
        <f ca="1"/>
        <v>0.30646956622257582</v>
      </c>
      <c r="O2264" s="2">
        <f ca="1"/>
        <v>4.3434765754043432E-2</v>
      </c>
      <c r="X2264" s="2">
        <f ca="1"/>
        <v>40.760554734311555</v>
      </c>
      <c r="AG2264" s="2">
        <f ca="1"/>
        <v>0.34493637064333305</v>
      </c>
      <c r="AH2264" s="2" t="str">
        <f ca="1"/>
        <v>OK</v>
      </c>
    </row>
    <row r="2265" spans="2:34" x14ac:dyDescent="0.2">
      <c r="B2265" s="2">
        <f ca="1"/>
        <v>0.62944937948661095</v>
      </c>
      <c r="O2265" s="2">
        <f ca="1"/>
        <v>1.4310247227044173</v>
      </c>
      <c r="X2265" s="2">
        <f ca="1"/>
        <v>45.595688575337562</v>
      </c>
      <c r="AG2265" s="2">
        <f ca="1"/>
        <v>0.6161849176763079</v>
      </c>
      <c r="AH2265" s="2" t="str">
        <f ca="1"/>
        <v>Bad</v>
      </c>
    </row>
    <row r="2266" spans="2:34" x14ac:dyDescent="0.2">
      <c r="B2266" s="2">
        <f ca="1"/>
        <v>0.62970271604596162</v>
      </c>
      <c r="O2266" s="2">
        <f ca="1"/>
        <v>-0.49053323240734087</v>
      </c>
      <c r="X2266" s="2">
        <f ca="1"/>
        <v>37.184571205711975</v>
      </c>
      <c r="AG2266" s="2">
        <f ca="1"/>
        <v>0.65202448392957435</v>
      </c>
      <c r="AH2266" s="2" t="str">
        <f ca="1"/>
        <v>Bad</v>
      </c>
    </row>
    <row r="2267" spans="2:34" x14ac:dyDescent="0.2">
      <c r="B2267" s="2">
        <f ca="1"/>
        <v>0.84117771058211366</v>
      </c>
      <c r="O2267" s="2">
        <f ca="1"/>
        <v>0.41970267463515704</v>
      </c>
      <c r="X2267" s="2">
        <f ca="1"/>
        <v>43.44923339023871</v>
      </c>
      <c r="AG2267" s="2">
        <f ca="1"/>
        <v>0.37098039643734881</v>
      </c>
      <c r="AH2267" s="2" t="str">
        <f ca="1"/>
        <v>OK</v>
      </c>
    </row>
    <row r="2268" spans="2:34" x14ac:dyDescent="0.2">
      <c r="B2268" s="2">
        <f ca="1"/>
        <v>7.8027935445461383E-2</v>
      </c>
      <c r="O2268" s="2">
        <f ca="1"/>
        <v>0.47617141239440791</v>
      </c>
      <c r="X2268" s="2">
        <f ca="1"/>
        <v>26.476046154058434</v>
      </c>
      <c r="AG2268" s="2">
        <f ca="1"/>
        <v>0.77678627325782856</v>
      </c>
      <c r="AH2268" s="2" t="str">
        <f ca="1"/>
        <v>Bad</v>
      </c>
    </row>
    <row r="2269" spans="2:34" x14ac:dyDescent="0.2">
      <c r="B2269" s="2">
        <f ca="1"/>
        <v>0.49882127539266974</v>
      </c>
      <c r="O2269" s="2">
        <f ca="1"/>
        <v>-1.1498779342175187</v>
      </c>
      <c r="X2269" s="2">
        <f ca="1"/>
        <v>44.107661061509269</v>
      </c>
      <c r="AG2269" s="2">
        <f ca="1"/>
        <v>0.89851381894261473</v>
      </c>
      <c r="AH2269" s="2" t="str">
        <f ca="1"/>
        <v>Bad</v>
      </c>
    </row>
    <row r="2270" spans="2:34" x14ac:dyDescent="0.2">
      <c r="B2270" s="2">
        <f ca="1"/>
        <v>0.5932981586559456</v>
      </c>
      <c r="O2270" s="2">
        <f ca="1"/>
        <v>-0.10484298277306273</v>
      </c>
      <c r="X2270" s="2">
        <f ca="1"/>
        <v>84.872938560211594</v>
      </c>
      <c r="AG2270" s="2">
        <f ca="1"/>
        <v>1.5054207113378126E-2</v>
      </c>
      <c r="AH2270" s="2" t="str">
        <f ca="1"/>
        <v>Good</v>
      </c>
    </row>
    <row r="2271" spans="2:34" x14ac:dyDescent="0.2">
      <c r="B2271" s="2">
        <f ca="1"/>
        <v>0.77239998487120198</v>
      </c>
      <c r="O2271" s="2">
        <f ca="1"/>
        <v>1.1228292476944837</v>
      </c>
      <c r="X2271" s="2">
        <f ca="1"/>
        <v>44.469911644493948</v>
      </c>
      <c r="AG2271" s="2">
        <f ca="1"/>
        <v>0.60643272491266398</v>
      </c>
      <c r="AH2271" s="2" t="str">
        <f ca="1"/>
        <v>Bad</v>
      </c>
    </row>
    <row r="2272" spans="2:34" x14ac:dyDescent="0.2">
      <c r="B2272" s="2">
        <f ca="1"/>
        <v>0.48870745325090459</v>
      </c>
      <c r="O2272" s="2">
        <f ca="1"/>
        <v>-0.44816898653215081</v>
      </c>
      <c r="X2272" s="2">
        <f ca="1"/>
        <v>34.674037515416359</v>
      </c>
      <c r="AG2272" s="2">
        <f ca="1"/>
        <v>0.91129135313958232</v>
      </c>
      <c r="AH2272" s="2" t="str">
        <f ca="1"/>
        <v>Bad</v>
      </c>
    </row>
    <row r="2273" spans="2:34" x14ac:dyDescent="0.2">
      <c r="B2273" s="2">
        <f ca="1"/>
        <v>0.65212175965461094</v>
      </c>
      <c r="O2273" s="2">
        <f ca="1"/>
        <v>0.24040402772940964</v>
      </c>
      <c r="X2273" s="2">
        <f ca="1"/>
        <v>53.267304690639705</v>
      </c>
      <c r="AG2273" s="2">
        <f ca="1"/>
        <v>0.10189161293710636</v>
      </c>
      <c r="AH2273" s="2" t="str">
        <f ca="1"/>
        <v>OK</v>
      </c>
    </row>
    <row r="2274" spans="2:34" x14ac:dyDescent="0.2">
      <c r="B2274" s="2">
        <f ca="1"/>
        <v>0.8854594033994676</v>
      </c>
      <c r="O2274" s="2">
        <f ca="1"/>
        <v>0.95153196412911489</v>
      </c>
      <c r="X2274" s="2">
        <f ca="1"/>
        <v>71.270185373038245</v>
      </c>
      <c r="AG2274" s="2">
        <f ca="1"/>
        <v>0.8588852274009664</v>
      </c>
      <c r="AH2274" s="2" t="str">
        <f ca="1"/>
        <v>Bad</v>
      </c>
    </row>
    <row r="2275" spans="2:34" x14ac:dyDescent="0.2">
      <c r="B2275" s="2">
        <f ca="1"/>
        <v>0.57121538764004076</v>
      </c>
      <c r="O2275" s="2">
        <f ca="1"/>
        <v>0.41580912421266686</v>
      </c>
      <c r="X2275" s="2">
        <f ca="1"/>
        <v>48.746480779880187</v>
      </c>
      <c r="AG2275" s="2">
        <f ca="1"/>
        <v>0.15872225820909813</v>
      </c>
      <c r="AH2275" s="2" t="str">
        <f ca="1"/>
        <v>OK</v>
      </c>
    </row>
    <row r="2276" spans="2:34" x14ac:dyDescent="0.2">
      <c r="B2276" s="2">
        <f ca="1"/>
        <v>0.99655380263183546</v>
      </c>
      <c r="O2276" s="2">
        <f ca="1"/>
        <v>2.6672335514464738</v>
      </c>
      <c r="X2276" s="2">
        <f ca="1"/>
        <v>51.75423213589626</v>
      </c>
      <c r="AG2276" s="2">
        <f ca="1"/>
        <v>0.30589497197420679</v>
      </c>
      <c r="AH2276" s="2" t="str">
        <f ca="1"/>
        <v>OK</v>
      </c>
    </row>
    <row r="2277" spans="2:34" x14ac:dyDescent="0.2">
      <c r="B2277" s="2">
        <f ca="1"/>
        <v>0.65375542231797024</v>
      </c>
      <c r="O2277" s="2">
        <f ca="1"/>
        <v>0.25733722194897185</v>
      </c>
      <c r="X2277" s="2">
        <f ca="1"/>
        <v>54.6894289142815</v>
      </c>
      <c r="AG2277" s="2">
        <f ca="1"/>
        <v>0.32497208783035747</v>
      </c>
      <c r="AH2277" s="2" t="str">
        <f ca="1"/>
        <v>OK</v>
      </c>
    </row>
    <row r="2278" spans="2:34" x14ac:dyDescent="0.2">
      <c r="B2278" s="2">
        <f ca="1"/>
        <v>3.2651592793299766E-2</v>
      </c>
      <c r="O2278" s="2">
        <f ca="1"/>
        <v>-0.48349551306556682</v>
      </c>
      <c r="X2278" s="2">
        <f ca="1"/>
        <v>51.888791505856659</v>
      </c>
      <c r="AG2278" s="2">
        <f ca="1"/>
        <v>0.18513993792186079</v>
      </c>
      <c r="AH2278" s="2" t="str">
        <f ca="1"/>
        <v>OK</v>
      </c>
    </row>
    <row r="2279" spans="2:34" x14ac:dyDescent="0.2">
      <c r="B2279" s="2">
        <f ca="1"/>
        <v>0.98063494251881744</v>
      </c>
      <c r="O2279" s="2">
        <f ca="1"/>
        <v>-0.33547855761146089</v>
      </c>
      <c r="X2279" s="2">
        <f ca="1"/>
        <v>62.716825882152001</v>
      </c>
      <c r="AG2279" s="2">
        <f ca="1"/>
        <v>0.90557510727807933</v>
      </c>
      <c r="AH2279" s="2" t="str">
        <f ca="1"/>
        <v>Bad</v>
      </c>
    </row>
    <row r="2280" spans="2:34" x14ac:dyDescent="0.2">
      <c r="B2280" s="2">
        <f ca="1"/>
        <v>0.72021351943896428</v>
      </c>
      <c r="O2280" s="2">
        <f ca="1"/>
        <v>0.47794923696574204</v>
      </c>
      <c r="X2280" s="2">
        <f ca="1"/>
        <v>42.573824592727476</v>
      </c>
      <c r="AG2280" s="2">
        <f ca="1"/>
        <v>0.2744465564206453</v>
      </c>
      <c r="AH2280" s="2" t="str">
        <f ca="1"/>
        <v>OK</v>
      </c>
    </row>
    <row r="2281" spans="2:34" x14ac:dyDescent="0.2">
      <c r="B2281" s="2">
        <f ca="1"/>
        <v>0.2843353892494529</v>
      </c>
      <c r="O2281" s="2">
        <f ca="1"/>
        <v>-0.49122994587756402</v>
      </c>
      <c r="X2281" s="2">
        <f ca="1"/>
        <v>40.449051280668598</v>
      </c>
      <c r="AG2281" s="2">
        <f ca="1"/>
        <v>0.23122644388876501</v>
      </c>
      <c r="AH2281" s="2" t="str">
        <f ca="1"/>
        <v>OK</v>
      </c>
    </row>
    <row r="2282" spans="2:34" x14ac:dyDescent="0.2">
      <c r="B2282" s="2">
        <f ca="1"/>
        <v>0.52716627859965692</v>
      </c>
      <c r="O2282" s="2">
        <f ca="1"/>
        <v>-0.7129667397136572</v>
      </c>
      <c r="X2282" s="2">
        <f ca="1"/>
        <v>36.071662874486172</v>
      </c>
      <c r="AG2282" s="2">
        <f ca="1"/>
        <v>0.17275787784687169</v>
      </c>
      <c r="AH2282" s="2" t="str">
        <f ca="1"/>
        <v>OK</v>
      </c>
    </row>
    <row r="2283" spans="2:34" x14ac:dyDescent="0.2">
      <c r="B2283" s="2">
        <f ca="1"/>
        <v>0.81173275047092419</v>
      </c>
      <c r="O2283" s="2">
        <f ca="1"/>
        <v>0.69279397484947614</v>
      </c>
      <c r="X2283" s="2">
        <f ca="1"/>
        <v>50.845883872415662</v>
      </c>
      <c r="AG2283" s="2">
        <f ca="1"/>
        <v>0.17181278979934067</v>
      </c>
      <c r="AH2283" s="2" t="str">
        <f ca="1"/>
        <v>OK</v>
      </c>
    </row>
    <row r="2284" spans="2:34" x14ac:dyDescent="0.2">
      <c r="B2284" s="2">
        <f ca="1"/>
        <v>0.20719893754891228</v>
      </c>
      <c r="O2284" s="2">
        <f ca="1"/>
        <v>0.81665759673547333</v>
      </c>
      <c r="X2284" s="2">
        <f ca="1"/>
        <v>39.695270321015592</v>
      </c>
      <c r="AG2284" s="2">
        <f ca="1"/>
        <v>0.3427585124801098</v>
      </c>
      <c r="AH2284" s="2" t="str">
        <f ca="1"/>
        <v>OK</v>
      </c>
    </row>
    <row r="2285" spans="2:34" x14ac:dyDescent="0.2">
      <c r="B2285" s="2">
        <f ca="1"/>
        <v>0.76536952579797557</v>
      </c>
      <c r="O2285" s="2">
        <f ca="1"/>
        <v>-1.9634691239189384</v>
      </c>
      <c r="X2285" s="2">
        <f ca="1"/>
        <v>41.963816980460145</v>
      </c>
      <c r="AG2285" s="2">
        <f ca="1"/>
        <v>0.5478680829301541</v>
      </c>
      <c r="AH2285" s="2" t="str">
        <f ca="1"/>
        <v>Bad</v>
      </c>
    </row>
    <row r="2286" spans="2:34" x14ac:dyDescent="0.2">
      <c r="B2286" s="2">
        <f ca="1"/>
        <v>0.38755298888630119</v>
      </c>
      <c r="O2286" s="2">
        <f ca="1"/>
        <v>2.5003931714531831</v>
      </c>
      <c r="X2286" s="2">
        <f ca="1"/>
        <v>75.056714928178792</v>
      </c>
      <c r="AG2286" s="2">
        <f ca="1"/>
        <v>0.62592058147203877</v>
      </c>
      <c r="AH2286" s="2" t="str">
        <f ca="1"/>
        <v>Bad</v>
      </c>
    </row>
    <row r="2287" spans="2:34" x14ac:dyDescent="0.2">
      <c r="B2287" s="2">
        <f ca="1"/>
        <v>0.30225871295276541</v>
      </c>
      <c r="O2287" s="2">
        <f ca="1"/>
        <v>-7.843892937965373E-2</v>
      </c>
      <c r="X2287" s="2">
        <f ca="1"/>
        <v>37.760780597181721</v>
      </c>
      <c r="AG2287" s="2">
        <f ca="1"/>
        <v>4.1146554137676983E-2</v>
      </c>
      <c r="AH2287" s="2" t="str">
        <f ca="1"/>
        <v>Good</v>
      </c>
    </row>
    <row r="2288" spans="2:34" x14ac:dyDescent="0.2">
      <c r="B2288" s="2">
        <f ca="1"/>
        <v>0.90711160441610716</v>
      </c>
      <c r="O2288" s="2">
        <f ca="1"/>
        <v>-0.49451451899786575</v>
      </c>
      <c r="X2288" s="2">
        <f ca="1"/>
        <v>67.244381713149295</v>
      </c>
      <c r="AG2288" s="2">
        <f ca="1"/>
        <v>0.54064194294693069</v>
      </c>
      <c r="AH2288" s="2" t="str">
        <f ca="1"/>
        <v>Bad</v>
      </c>
    </row>
    <row r="2289" spans="2:34" x14ac:dyDescent="0.2">
      <c r="B2289" s="2">
        <f ca="1"/>
        <v>0.1237029366654625</v>
      </c>
      <c r="O2289" s="2">
        <f ca="1"/>
        <v>-0.72429353873821467</v>
      </c>
      <c r="X2289" s="2">
        <f ca="1"/>
        <v>60.52313757428913</v>
      </c>
      <c r="AG2289" s="2">
        <f ca="1"/>
        <v>0.5560695381269265</v>
      </c>
      <c r="AH2289" s="2" t="str">
        <f ca="1"/>
        <v>Bad</v>
      </c>
    </row>
    <row r="2290" spans="2:34" x14ac:dyDescent="0.2">
      <c r="B2290" s="2">
        <f ca="1"/>
        <v>0.23899932156607018</v>
      </c>
      <c r="O2290" s="2">
        <f ca="1"/>
        <v>0.27511735335532411</v>
      </c>
      <c r="X2290" s="2">
        <f ca="1"/>
        <v>43.906855414966408</v>
      </c>
      <c r="AG2290" s="2">
        <f ca="1"/>
        <v>0.1780695212380945</v>
      </c>
      <c r="AH2290" s="2" t="str">
        <f ca="1"/>
        <v>OK</v>
      </c>
    </row>
    <row r="2291" spans="2:34" x14ac:dyDescent="0.2">
      <c r="B2291" s="2">
        <f ca="1"/>
        <v>0.42802985527518334</v>
      </c>
      <c r="O2291" s="2">
        <f ca="1"/>
        <v>-5.3514340516416126E-2</v>
      </c>
      <c r="X2291" s="2">
        <f ca="1"/>
        <v>65.561915702763358</v>
      </c>
      <c r="AG2291" s="2">
        <f ca="1"/>
        <v>0.55034065688208389</v>
      </c>
      <c r="AH2291" s="2" t="str">
        <f ca="1"/>
        <v>Bad</v>
      </c>
    </row>
    <row r="2292" spans="2:34" x14ac:dyDescent="0.2">
      <c r="B2292" s="2">
        <f ca="1"/>
        <v>0.69825530343923115</v>
      </c>
      <c r="O2292" s="2">
        <f ca="1"/>
        <v>1.1956264718780998</v>
      </c>
      <c r="X2292" s="2">
        <f ca="1"/>
        <v>71.739212791529468</v>
      </c>
      <c r="AG2292" s="2">
        <f ca="1"/>
        <v>0.46433489617301715</v>
      </c>
      <c r="AH2292" s="2" t="str">
        <f ca="1"/>
        <v>Bad</v>
      </c>
    </row>
    <row r="2293" spans="2:34" x14ac:dyDescent="0.2">
      <c r="B2293" s="2">
        <f ca="1"/>
        <v>0.82199510216820726</v>
      </c>
      <c r="O2293" s="2">
        <f ca="1"/>
        <v>5.0142934965900707E-2</v>
      </c>
      <c r="X2293" s="2">
        <f ca="1"/>
        <v>61.519400930877168</v>
      </c>
      <c r="AG2293" s="2">
        <f ca="1"/>
        <v>0.30405245017674032</v>
      </c>
      <c r="AH2293" s="2" t="str">
        <f ca="1"/>
        <v>OK</v>
      </c>
    </row>
    <row r="2294" spans="2:34" x14ac:dyDescent="0.2">
      <c r="B2294" s="2">
        <f ca="1"/>
        <v>0.82277299075674426</v>
      </c>
      <c r="O2294" s="2">
        <f ca="1"/>
        <v>-0.12095891109884428</v>
      </c>
      <c r="X2294" s="2">
        <f ca="1"/>
        <v>46.649922075781532</v>
      </c>
      <c r="AG2294" s="2">
        <f ca="1"/>
        <v>0.6166456413084993</v>
      </c>
      <c r="AH2294" s="2" t="str">
        <f ca="1"/>
        <v>Bad</v>
      </c>
    </row>
    <row r="2295" spans="2:34" x14ac:dyDescent="0.2">
      <c r="B2295" s="2">
        <f ca="1"/>
        <v>1.0664467001628264E-2</v>
      </c>
      <c r="O2295" s="2">
        <f ca="1"/>
        <v>0.55887655733867259</v>
      </c>
      <c r="X2295" s="2">
        <f ca="1"/>
        <v>33.331566591117621</v>
      </c>
      <c r="AG2295" s="2">
        <f ca="1"/>
        <v>0.12053985927913002</v>
      </c>
      <c r="AH2295" s="2" t="str">
        <f ca="1"/>
        <v>OK</v>
      </c>
    </row>
    <row r="2296" spans="2:34" x14ac:dyDescent="0.2">
      <c r="B2296" s="2">
        <f ca="1"/>
        <v>0.48204462740477116</v>
      </c>
      <c r="O2296" s="2">
        <f ca="1"/>
        <v>0.21292229574421317</v>
      </c>
      <c r="X2296" s="2">
        <f ca="1"/>
        <v>64.386287048720106</v>
      </c>
      <c r="AG2296" s="2">
        <f ca="1"/>
        <v>0.7998451574011185</v>
      </c>
      <c r="AH2296" s="2" t="str">
        <f ca="1"/>
        <v>Bad</v>
      </c>
    </row>
    <row r="2297" spans="2:34" x14ac:dyDescent="0.2">
      <c r="B2297" s="2">
        <f ca="1"/>
        <v>0.35758284001751894</v>
      </c>
      <c r="O2297" s="2">
        <f ca="1"/>
        <v>-1.2883456882477256</v>
      </c>
      <c r="X2297" s="2">
        <f ca="1"/>
        <v>101.14316305373812</v>
      </c>
      <c r="AG2297" s="2">
        <f ca="1"/>
        <v>0.50546454756110126</v>
      </c>
      <c r="AH2297" s="2" t="str">
        <f ca="1"/>
        <v>Bad</v>
      </c>
    </row>
    <row r="2298" spans="2:34" x14ac:dyDescent="0.2">
      <c r="B2298" s="2">
        <f ca="1"/>
        <v>0.25331933129186712</v>
      </c>
      <c r="O2298" s="2">
        <f ca="1"/>
        <v>-0.60481895055353396</v>
      </c>
      <c r="X2298" s="2">
        <f ca="1"/>
        <v>41.812866343400884</v>
      </c>
      <c r="AG2298" s="2">
        <f ca="1"/>
        <v>0.95006446399591682</v>
      </c>
      <c r="AH2298" s="2" t="str">
        <f ca="1"/>
        <v>Bad</v>
      </c>
    </row>
    <row r="2299" spans="2:34" x14ac:dyDescent="0.2">
      <c r="B2299" s="2">
        <f ca="1"/>
        <v>0.58119430251610416</v>
      </c>
      <c r="O2299" s="2">
        <f ca="1"/>
        <v>0.55098884024479478</v>
      </c>
      <c r="X2299" s="2">
        <f ca="1"/>
        <v>56.622420496700215</v>
      </c>
      <c r="AG2299" s="2">
        <f ca="1"/>
        <v>2.379979630095308E-2</v>
      </c>
      <c r="AH2299" s="2" t="str">
        <f ca="1"/>
        <v>Good</v>
      </c>
    </row>
    <row r="2300" spans="2:34" x14ac:dyDescent="0.2">
      <c r="B2300" s="2">
        <f ca="1"/>
        <v>0.99975746755299477</v>
      </c>
      <c r="O2300" s="2">
        <f ca="1"/>
        <v>0.75307680652217424</v>
      </c>
      <c r="X2300" s="2">
        <f ca="1"/>
        <v>34.713296581033767</v>
      </c>
      <c r="AG2300" s="2">
        <f ca="1"/>
        <v>0.91250140920520462</v>
      </c>
      <c r="AH2300" s="2" t="str">
        <f ca="1"/>
        <v>Bad</v>
      </c>
    </row>
    <row r="2301" spans="2:34" x14ac:dyDescent="0.2">
      <c r="B2301" s="2">
        <f ca="1"/>
        <v>0.69040224501826541</v>
      </c>
      <c r="O2301" s="2">
        <f ca="1"/>
        <v>1.0406548268560527</v>
      </c>
      <c r="X2301" s="2">
        <f ca="1"/>
        <v>36.2699204366047</v>
      </c>
      <c r="AG2301" s="2">
        <f ca="1"/>
        <v>0.50279426158653617</v>
      </c>
      <c r="AH2301" s="2" t="str">
        <f ca="1"/>
        <v>Bad</v>
      </c>
    </row>
    <row r="2302" spans="2:34" x14ac:dyDescent="0.2">
      <c r="B2302" s="2">
        <f ca="1"/>
        <v>0.52075746445250348</v>
      </c>
      <c r="O2302" s="2">
        <f ca="1"/>
        <v>3.0964507974276523E-2</v>
      </c>
      <c r="X2302" s="2">
        <f ca="1"/>
        <v>58.735115048991922</v>
      </c>
      <c r="AG2302" s="2">
        <f ca="1"/>
        <v>0.46423578817232225</v>
      </c>
      <c r="AH2302" s="2" t="str">
        <f ca="1"/>
        <v>Bad</v>
      </c>
    </row>
    <row r="2303" spans="2:34" x14ac:dyDescent="0.2">
      <c r="B2303" s="2">
        <f ca="1"/>
        <v>0.6770146547943876</v>
      </c>
      <c r="O2303" s="2">
        <f ca="1"/>
        <v>1.2193795774840992</v>
      </c>
      <c r="X2303" s="2">
        <f ca="1"/>
        <v>38.609739157435058</v>
      </c>
      <c r="AG2303" s="2">
        <f ca="1"/>
        <v>0.90983617813428874</v>
      </c>
      <c r="AH2303" s="2" t="str">
        <f ca="1"/>
        <v>Bad</v>
      </c>
    </row>
    <row r="2304" spans="2:34" x14ac:dyDescent="0.2">
      <c r="B2304" s="2">
        <f ca="1"/>
        <v>0.46745414945777508</v>
      </c>
      <c r="O2304" s="2">
        <f ca="1"/>
        <v>-1.3779699558969181</v>
      </c>
      <c r="X2304" s="2">
        <f ca="1"/>
        <v>58.704924413458528</v>
      </c>
      <c r="AG2304" s="2">
        <f ca="1"/>
        <v>0.50427379786173265</v>
      </c>
      <c r="AH2304" s="2" t="str">
        <f ca="1"/>
        <v>Bad</v>
      </c>
    </row>
    <row r="2305" spans="2:34" x14ac:dyDescent="0.2">
      <c r="B2305" s="2">
        <f ca="1"/>
        <v>0.34795287015264065</v>
      </c>
      <c r="O2305" s="2">
        <f ca="1"/>
        <v>-0.77419054583415481</v>
      </c>
      <c r="X2305" s="2">
        <f ca="1"/>
        <v>27.632724546748957</v>
      </c>
      <c r="AG2305" s="2">
        <f ca="1"/>
        <v>4.1979462143638901E-2</v>
      </c>
      <c r="AH2305" s="2" t="str">
        <f ca="1"/>
        <v>Good</v>
      </c>
    </row>
    <row r="2306" spans="2:34" x14ac:dyDescent="0.2">
      <c r="B2306" s="2">
        <f ca="1"/>
        <v>0.24541630937979608</v>
      </c>
      <c r="O2306" s="2">
        <f ca="1"/>
        <v>1.1775399929758923</v>
      </c>
      <c r="X2306" s="2">
        <f ca="1"/>
        <v>42.712642327306838</v>
      </c>
      <c r="AG2306" s="2">
        <f ca="1"/>
        <v>0.55799444321765046</v>
      </c>
      <c r="AH2306" s="2" t="str">
        <f ca="1"/>
        <v>Bad</v>
      </c>
    </row>
    <row r="2307" spans="2:34" x14ac:dyDescent="0.2">
      <c r="B2307" s="2">
        <f ca="1"/>
        <v>0.72175317895600455</v>
      </c>
      <c r="O2307" s="2">
        <f ca="1"/>
        <v>0.49101098867770243</v>
      </c>
      <c r="X2307" s="2">
        <f ca="1"/>
        <v>43.292390203459867</v>
      </c>
      <c r="AG2307" s="2">
        <f ca="1"/>
        <v>0.77908815154230937</v>
      </c>
      <c r="AH2307" s="2" t="str">
        <f ca="1"/>
        <v>Bad</v>
      </c>
    </row>
    <row r="2308" spans="2:34" x14ac:dyDescent="0.2">
      <c r="B2308" s="2">
        <f ca="1"/>
        <v>0.82427869474514792</v>
      </c>
      <c r="O2308" s="2">
        <f ca="1"/>
        <v>-1.6645697188000423</v>
      </c>
      <c r="X2308" s="2">
        <f ca="1"/>
        <v>36.727966510422625</v>
      </c>
      <c r="AG2308" s="2">
        <f ca="1"/>
        <v>2.7025187212826873E-2</v>
      </c>
      <c r="AH2308" s="2" t="str">
        <f ca="1"/>
        <v>Good</v>
      </c>
    </row>
    <row r="2309" spans="2:34" x14ac:dyDescent="0.2">
      <c r="B2309" s="2">
        <f ca="1"/>
        <v>0.86243006447352721</v>
      </c>
      <c r="O2309" s="2">
        <f ca="1"/>
        <v>-0.32269482186125442</v>
      </c>
      <c r="X2309" s="2">
        <f ca="1"/>
        <v>59.491146403406965</v>
      </c>
      <c r="AG2309" s="2">
        <f ca="1"/>
        <v>5.637385673532691E-2</v>
      </c>
      <c r="AH2309" s="2" t="str">
        <f ca="1"/>
        <v>OK</v>
      </c>
    </row>
    <row r="2310" spans="2:34" x14ac:dyDescent="0.2">
      <c r="B2310" s="2">
        <f ca="1"/>
        <v>0.78448731283372841</v>
      </c>
      <c r="O2310" s="2">
        <f ca="1"/>
        <v>0.19349940580659916</v>
      </c>
      <c r="X2310" s="2">
        <f ca="1"/>
        <v>44.087396515886155</v>
      </c>
      <c r="AG2310" s="2">
        <f ca="1"/>
        <v>0.36856073280959478</v>
      </c>
      <c r="AH2310" s="2" t="str">
        <f ca="1"/>
        <v>OK</v>
      </c>
    </row>
    <row r="2311" spans="2:34" x14ac:dyDescent="0.2">
      <c r="B2311" s="2">
        <f ca="1"/>
        <v>0.12841397474345206</v>
      </c>
      <c r="O2311" s="2">
        <f ca="1"/>
        <v>-0.37107509584787202</v>
      </c>
      <c r="X2311" s="2">
        <f ca="1"/>
        <v>42.964682243394343</v>
      </c>
      <c r="AG2311" s="2">
        <f ca="1"/>
        <v>0.25648329459826513</v>
      </c>
      <c r="AH2311" s="2" t="str">
        <f ca="1"/>
        <v>OK</v>
      </c>
    </row>
    <row r="2312" spans="2:34" x14ac:dyDescent="0.2">
      <c r="B2312" s="2">
        <f ca="1"/>
        <v>0.61897916271815401</v>
      </c>
      <c r="O2312" s="2">
        <f ca="1"/>
        <v>1.198044214808385</v>
      </c>
      <c r="X2312" s="2">
        <f ca="1"/>
        <v>48.921665347087227</v>
      </c>
      <c r="AG2312" s="2">
        <f ca="1"/>
        <v>0.537802562812004</v>
      </c>
      <c r="AH2312" s="2" t="str">
        <f ca="1"/>
        <v>Bad</v>
      </c>
    </row>
    <row r="2313" spans="2:34" x14ac:dyDescent="0.2">
      <c r="B2313" s="2">
        <f ca="1"/>
        <v>0.38180757870140081</v>
      </c>
      <c r="O2313" s="2">
        <f ca="1"/>
        <v>-0.77864609114534289</v>
      </c>
      <c r="X2313" s="2">
        <f ca="1"/>
        <v>39.579271891876282</v>
      </c>
      <c r="AG2313" s="2">
        <f ca="1"/>
        <v>0.67079055027936074</v>
      </c>
      <c r="AH2313" s="2" t="str">
        <f ca="1"/>
        <v>Bad</v>
      </c>
    </row>
    <row r="2314" spans="2:34" x14ac:dyDescent="0.2">
      <c r="B2314" s="2">
        <f ca="1"/>
        <v>0.48746302575476097</v>
      </c>
      <c r="O2314" s="2">
        <f ca="1"/>
        <v>6.8819339601494139E-2</v>
      </c>
      <c r="X2314" s="2">
        <f ca="1"/>
        <v>35.017225758854742</v>
      </c>
      <c r="AG2314" s="2">
        <f ca="1"/>
        <v>0.92292754708993341</v>
      </c>
      <c r="AH2314" s="2" t="str">
        <f ca="1"/>
        <v>Bad</v>
      </c>
    </row>
    <row r="2315" spans="2:34" x14ac:dyDescent="0.2">
      <c r="B2315" s="2">
        <f ca="1"/>
        <v>0.96174526960777595</v>
      </c>
      <c r="O2315" s="2">
        <f ca="1"/>
        <v>-0.23365949733593394</v>
      </c>
      <c r="X2315" s="2">
        <f ca="1"/>
        <v>77.640876464137975</v>
      </c>
      <c r="AG2315" s="2">
        <f ca="1"/>
        <v>0.56176891366945192</v>
      </c>
      <c r="AH2315" s="2" t="str">
        <f ca="1"/>
        <v>Bad</v>
      </c>
    </row>
    <row r="2316" spans="2:34" x14ac:dyDescent="0.2">
      <c r="B2316" s="2">
        <f ca="1"/>
        <v>0.72338742786085164</v>
      </c>
      <c r="O2316" s="2">
        <f ca="1"/>
        <v>4.3936660702538086E-2</v>
      </c>
      <c r="X2316" s="2">
        <f ca="1"/>
        <v>44.469369847708428</v>
      </c>
      <c r="AG2316" s="2">
        <f ca="1"/>
        <v>0.89056624941074913</v>
      </c>
      <c r="AH2316" s="2" t="str">
        <f ca="1"/>
        <v>Bad</v>
      </c>
    </row>
    <row r="2317" spans="2:34" x14ac:dyDescent="0.2">
      <c r="B2317" s="2">
        <f ca="1"/>
        <v>0.89274992971737022</v>
      </c>
      <c r="O2317" s="2">
        <f ca="1"/>
        <v>-0.37938929553166656</v>
      </c>
      <c r="X2317" s="2">
        <f ca="1"/>
        <v>65.584028487499751</v>
      </c>
      <c r="AG2317" s="2">
        <f ca="1"/>
        <v>0.44880435136241847</v>
      </c>
      <c r="AH2317" s="2" t="str">
        <f ca="1"/>
        <v>Bad</v>
      </c>
    </row>
    <row r="2318" spans="2:34" x14ac:dyDescent="0.2">
      <c r="B2318" s="2">
        <f ca="1"/>
        <v>0.96514605402455489</v>
      </c>
      <c r="O2318" s="2">
        <f ca="1"/>
        <v>0.99787942862798729</v>
      </c>
      <c r="X2318" s="2">
        <f ca="1"/>
        <v>51.627834056447739</v>
      </c>
      <c r="AG2318" s="2">
        <f ca="1"/>
        <v>0.49103848667301375</v>
      </c>
      <c r="AH2318" s="2" t="str">
        <f ca="1"/>
        <v>Bad</v>
      </c>
    </row>
    <row r="2319" spans="2:34" x14ac:dyDescent="0.2">
      <c r="B2319" s="2">
        <f ca="1"/>
        <v>0.23716894636079178</v>
      </c>
      <c r="O2319" s="2">
        <f ca="1"/>
        <v>-0.47054988379622015</v>
      </c>
      <c r="X2319" s="2">
        <f ca="1"/>
        <v>56.58996744834981</v>
      </c>
      <c r="AG2319" s="2">
        <f ca="1"/>
        <v>0.59769573660756148</v>
      </c>
      <c r="AH2319" s="2" t="str">
        <f ca="1"/>
        <v>Bad</v>
      </c>
    </row>
    <row r="2320" spans="2:34" x14ac:dyDescent="0.2">
      <c r="B2320" s="2">
        <f ca="1"/>
        <v>0.96463945588613598</v>
      </c>
      <c r="O2320" s="2">
        <f ca="1"/>
        <v>0.10608560639877032</v>
      </c>
      <c r="X2320" s="2">
        <f ca="1"/>
        <v>49.430351468092198</v>
      </c>
      <c r="AG2320" s="2">
        <f ca="1"/>
        <v>0.49285814208742362</v>
      </c>
      <c r="AH2320" s="2" t="str">
        <f ca="1"/>
        <v>Bad</v>
      </c>
    </row>
    <row r="2321" spans="2:34" x14ac:dyDescent="0.2">
      <c r="B2321" s="2">
        <f ca="1"/>
        <v>0.25247784036769327</v>
      </c>
      <c r="O2321" s="2">
        <f ca="1"/>
        <v>-0.77272685851576084</v>
      </c>
      <c r="X2321" s="2">
        <f ca="1"/>
        <v>77.565317224202659</v>
      </c>
      <c r="AG2321" s="2">
        <f ca="1"/>
        <v>0.92460230686617773</v>
      </c>
      <c r="AH2321" s="2" t="str">
        <f ca="1"/>
        <v>Bad</v>
      </c>
    </row>
    <row r="2322" spans="2:34" x14ac:dyDescent="0.2">
      <c r="B2322" s="2">
        <f ca="1"/>
        <v>0.34968113090237352</v>
      </c>
      <c r="O2322" s="2">
        <f ca="1"/>
        <v>6.9370526807261329E-2</v>
      </c>
      <c r="X2322" s="2">
        <f ca="1"/>
        <v>36.030764296967163</v>
      </c>
      <c r="AG2322" s="2">
        <f ca="1"/>
        <v>0.76848620645177612</v>
      </c>
      <c r="AH2322" s="2" t="str">
        <f ca="1"/>
        <v>Bad</v>
      </c>
    </row>
    <row r="2323" spans="2:34" x14ac:dyDescent="0.2">
      <c r="B2323" s="2">
        <f ca="1"/>
        <v>0.97800565872826795</v>
      </c>
      <c r="O2323" s="2">
        <f ca="1"/>
        <v>0.35889517914415869</v>
      </c>
      <c r="X2323" s="2">
        <f ca="1"/>
        <v>56.407146004567153</v>
      </c>
      <c r="AG2323" s="2">
        <f ca="1"/>
        <v>0.1931460360769246</v>
      </c>
      <c r="AH2323" s="2" t="str">
        <f ca="1"/>
        <v>OK</v>
      </c>
    </row>
    <row r="2324" spans="2:34" x14ac:dyDescent="0.2">
      <c r="B2324" s="2">
        <f ca="1"/>
        <v>0.7112402964340474</v>
      </c>
      <c r="O2324" s="2">
        <f ca="1"/>
        <v>-0.85020237869132587</v>
      </c>
      <c r="X2324" s="2">
        <f ca="1"/>
        <v>44.072547134861594</v>
      </c>
      <c r="AG2324" s="2">
        <f ca="1"/>
        <v>3.0563201471536239E-2</v>
      </c>
      <c r="AH2324" s="2" t="str">
        <f ca="1"/>
        <v>Good</v>
      </c>
    </row>
    <row r="2325" spans="2:34" x14ac:dyDescent="0.2">
      <c r="B2325" s="2">
        <f ca="1"/>
        <v>0.39128577410990362</v>
      </c>
      <c r="O2325" s="2">
        <f ca="1"/>
        <v>0.39621721451851488</v>
      </c>
      <c r="X2325" s="2">
        <f ca="1"/>
        <v>79.44128847037905</v>
      </c>
      <c r="AG2325" s="2">
        <f ca="1"/>
        <v>0.49548728416706922</v>
      </c>
      <c r="AH2325" s="2" t="str">
        <f ca="1"/>
        <v>Bad</v>
      </c>
    </row>
    <row r="2326" spans="2:34" x14ac:dyDescent="0.2">
      <c r="B2326" s="2">
        <f ca="1"/>
        <v>0.6582248247808753</v>
      </c>
      <c r="O2326" s="2">
        <f ca="1"/>
        <v>0.41828694349041967</v>
      </c>
      <c r="X2326" s="2">
        <f ca="1"/>
        <v>42.971919449036882</v>
      </c>
      <c r="AG2326" s="2">
        <f ca="1"/>
        <v>0.33558659026127713</v>
      </c>
      <c r="AH2326" s="2" t="str">
        <f ca="1"/>
        <v>OK</v>
      </c>
    </row>
    <row r="2327" spans="2:34" x14ac:dyDescent="0.2">
      <c r="B2327" s="2">
        <f ca="1"/>
        <v>0.68573580529358669</v>
      </c>
      <c r="O2327" s="2">
        <f ca="1"/>
        <v>-0.78221978019505978</v>
      </c>
      <c r="X2327" s="2">
        <f ca="1"/>
        <v>38.461558492115834</v>
      </c>
      <c r="AG2327" s="2">
        <f ca="1"/>
        <v>0.39422424403220457</v>
      </c>
      <c r="AH2327" s="2" t="str">
        <f ca="1"/>
        <v>OK</v>
      </c>
    </row>
    <row r="2328" spans="2:34" x14ac:dyDescent="0.2">
      <c r="B2328" s="2">
        <f ca="1"/>
        <v>0.38000307393898036</v>
      </c>
      <c r="O2328" s="2">
        <f ca="1"/>
        <v>-0.40206618410465284</v>
      </c>
      <c r="X2328" s="2">
        <f ca="1"/>
        <v>35.081462727405977</v>
      </c>
      <c r="AG2328" s="2">
        <f ca="1"/>
        <v>0.42762890653063113</v>
      </c>
      <c r="AH2328" s="2" t="str">
        <f ca="1"/>
        <v>Bad</v>
      </c>
    </row>
    <row r="2329" spans="2:34" x14ac:dyDescent="0.2">
      <c r="B2329" s="2">
        <f ca="1"/>
        <v>8.7419891432904961E-4</v>
      </c>
      <c r="O2329" s="2">
        <f ca="1"/>
        <v>-0.4750714905360669</v>
      </c>
      <c r="X2329" s="2">
        <f ca="1"/>
        <v>13.288293198846866</v>
      </c>
      <c r="AG2329" s="2">
        <f ca="1"/>
        <v>0.64243091101472283</v>
      </c>
      <c r="AH2329" s="2" t="str">
        <f ca="1"/>
        <v>Bad</v>
      </c>
    </row>
    <row r="2330" spans="2:34" x14ac:dyDescent="0.2">
      <c r="B2330" s="2">
        <f ca="1"/>
        <v>0.66974127393935934</v>
      </c>
      <c r="O2330" s="2">
        <f ca="1"/>
        <v>0.12047842514884682</v>
      </c>
      <c r="X2330" s="2">
        <f ca="1"/>
        <v>90.362880359283764</v>
      </c>
      <c r="AG2330" s="2">
        <f ca="1"/>
        <v>0.54205687382162071</v>
      </c>
      <c r="AH2330" s="2" t="str">
        <f ca="1"/>
        <v>Bad</v>
      </c>
    </row>
    <row r="2331" spans="2:34" x14ac:dyDescent="0.2">
      <c r="B2331" s="2">
        <f ca="1"/>
        <v>0.14907571231969974</v>
      </c>
      <c r="O2331" s="2">
        <f ca="1"/>
        <v>-1.3805127988012842</v>
      </c>
      <c r="X2331" s="2">
        <f ca="1"/>
        <v>89.913038775614382</v>
      </c>
      <c r="AG2331" s="2">
        <f ca="1"/>
        <v>0.2699586366397646</v>
      </c>
      <c r="AH2331" s="2" t="str">
        <f ca="1"/>
        <v>OK</v>
      </c>
    </row>
    <row r="2332" spans="2:34" x14ac:dyDescent="0.2">
      <c r="B2332" s="2">
        <f ca="1"/>
        <v>0.75307197838942908</v>
      </c>
      <c r="O2332" s="2">
        <f ca="1"/>
        <v>0.72105577376269991</v>
      </c>
      <c r="X2332" s="2">
        <f ca="1"/>
        <v>34.357385727505033</v>
      </c>
      <c r="AG2332" s="2">
        <f ca="1"/>
        <v>6.6562002179597179E-2</v>
      </c>
      <c r="AH2332" s="2" t="str">
        <f ca="1"/>
        <v>OK</v>
      </c>
    </row>
    <row r="2333" spans="2:34" x14ac:dyDescent="0.2">
      <c r="B2333" s="2">
        <f ca="1"/>
        <v>3.1785722397827954E-2</v>
      </c>
      <c r="O2333" s="2">
        <f ca="1"/>
        <v>0.13728673583158388</v>
      </c>
      <c r="X2333" s="2">
        <f ca="1"/>
        <v>65.451536577049183</v>
      </c>
      <c r="AG2333" s="2">
        <f ca="1"/>
        <v>0.17613568485506925</v>
      </c>
      <c r="AH2333" s="2" t="str">
        <f ca="1"/>
        <v>OK</v>
      </c>
    </row>
    <row r="2334" spans="2:34" x14ac:dyDescent="0.2">
      <c r="B2334" s="2">
        <f ca="1"/>
        <v>0.77353031031161068</v>
      </c>
      <c r="O2334" s="2">
        <f ca="1"/>
        <v>-1.230906167865494</v>
      </c>
      <c r="X2334" s="2">
        <f ca="1"/>
        <v>56.705154370781592</v>
      </c>
      <c r="AG2334" s="2">
        <f ca="1"/>
        <v>0.73684497719002606</v>
      </c>
      <c r="AH2334" s="2" t="str">
        <f ca="1"/>
        <v>Bad</v>
      </c>
    </row>
    <row r="2335" spans="2:34" x14ac:dyDescent="0.2">
      <c r="B2335" s="2">
        <f ca="1"/>
        <v>0.3282962130998559</v>
      </c>
      <c r="O2335" s="2">
        <f ca="1"/>
        <v>1.1200073502260541</v>
      </c>
      <c r="X2335" s="2">
        <f ca="1"/>
        <v>72.247059816230887</v>
      </c>
      <c r="AG2335" s="2">
        <f ca="1"/>
        <v>0.83937720287445683</v>
      </c>
      <c r="AH2335" s="2" t="str">
        <f ca="1"/>
        <v>Bad</v>
      </c>
    </row>
    <row r="2336" spans="2:34" x14ac:dyDescent="0.2">
      <c r="B2336" s="2">
        <f ca="1"/>
        <v>0.5645561374053063</v>
      </c>
      <c r="O2336" s="2">
        <f ca="1"/>
        <v>1.0308148027332242</v>
      </c>
      <c r="X2336" s="2">
        <f ca="1"/>
        <v>34.039242685843</v>
      </c>
      <c r="AG2336" s="2">
        <f ca="1"/>
        <v>0.3013779296763055</v>
      </c>
      <c r="AH2336" s="2" t="str">
        <f ca="1"/>
        <v>OK</v>
      </c>
    </row>
    <row r="2337" spans="2:34" x14ac:dyDescent="0.2">
      <c r="B2337" s="2">
        <f ca="1"/>
        <v>0.71642705668859308</v>
      </c>
      <c r="O2337" s="2">
        <f ca="1"/>
        <v>0.7385338054245697</v>
      </c>
      <c r="X2337" s="2">
        <f ca="1"/>
        <v>69.433453242137261</v>
      </c>
      <c r="AG2337" s="2">
        <f ca="1"/>
        <v>0.13972526957601161</v>
      </c>
      <c r="AH2337" s="2" t="str">
        <f ca="1"/>
        <v>OK</v>
      </c>
    </row>
    <row r="2338" spans="2:34" x14ac:dyDescent="0.2">
      <c r="B2338" s="2">
        <f ca="1"/>
        <v>0.18352373043415504</v>
      </c>
      <c r="O2338" s="2">
        <f ca="1"/>
        <v>-0.1010213871087771</v>
      </c>
      <c r="X2338" s="2">
        <f ca="1"/>
        <v>48.982032744164982</v>
      </c>
      <c r="AG2338" s="2">
        <f ca="1"/>
        <v>0.20471713858710583</v>
      </c>
      <c r="AH2338" s="2" t="str">
        <f ca="1"/>
        <v>OK</v>
      </c>
    </row>
    <row r="2339" spans="2:34" x14ac:dyDescent="0.2">
      <c r="B2339" s="2">
        <f ca="1"/>
        <v>0.97071168967472055</v>
      </c>
      <c r="O2339" s="2">
        <f ca="1"/>
        <v>-0.88895509128824479</v>
      </c>
      <c r="X2339" s="2">
        <f ca="1"/>
        <v>52.810055272261998</v>
      </c>
      <c r="AG2339" s="2">
        <f ca="1"/>
        <v>0.29900456472048509</v>
      </c>
      <c r="AH2339" s="2" t="str">
        <f ca="1"/>
        <v>OK</v>
      </c>
    </row>
    <row r="2340" spans="2:34" x14ac:dyDescent="0.2">
      <c r="B2340" s="2">
        <f ca="1"/>
        <v>0.22686200483245078</v>
      </c>
      <c r="O2340" s="2">
        <f ca="1"/>
        <v>1.7964745104072799</v>
      </c>
      <c r="X2340" s="2">
        <f ca="1"/>
        <v>60.476740922716552</v>
      </c>
      <c r="AG2340" s="2">
        <f ca="1"/>
        <v>0.58528765971843333</v>
      </c>
      <c r="AH2340" s="2" t="str">
        <f ca="1"/>
        <v>Bad</v>
      </c>
    </row>
    <row r="2341" spans="2:34" x14ac:dyDescent="0.2">
      <c r="B2341" s="2">
        <f ca="1"/>
        <v>0.46260713097207229</v>
      </c>
      <c r="O2341" s="2">
        <f ca="1"/>
        <v>-0.65329656494337218</v>
      </c>
      <c r="X2341" s="2">
        <f ca="1"/>
        <v>38.743859391700411</v>
      </c>
      <c r="AG2341" s="2">
        <f ca="1"/>
        <v>0.91138624988319128</v>
      </c>
      <c r="AH2341" s="2" t="str">
        <f ca="1"/>
        <v>Bad</v>
      </c>
    </row>
    <row r="2342" spans="2:34" x14ac:dyDescent="0.2">
      <c r="B2342" s="2">
        <f ca="1"/>
        <v>0.82588705955721609</v>
      </c>
      <c r="O2342" s="2">
        <f ca="1"/>
        <v>1.063341321818249</v>
      </c>
      <c r="X2342" s="2">
        <f ca="1"/>
        <v>56.02198927154484</v>
      </c>
      <c r="AG2342" s="2">
        <f ca="1"/>
        <v>0.25183526768859976</v>
      </c>
      <c r="AH2342" s="2" t="str">
        <f ca="1"/>
        <v>OK</v>
      </c>
    </row>
    <row r="2343" spans="2:34" x14ac:dyDescent="0.2">
      <c r="B2343" s="2">
        <f ca="1"/>
        <v>0.38136913778162196</v>
      </c>
      <c r="O2343" s="2">
        <f ca="1"/>
        <v>1.0613175589331691</v>
      </c>
      <c r="X2343" s="2">
        <f ca="1"/>
        <v>68.000494400357866</v>
      </c>
      <c r="AG2343" s="2">
        <f ca="1"/>
        <v>0.67195650221846348</v>
      </c>
      <c r="AH2343" s="2" t="str">
        <f ca="1"/>
        <v>Bad</v>
      </c>
    </row>
    <row r="2344" spans="2:34" x14ac:dyDescent="0.2">
      <c r="B2344" s="2">
        <f ca="1"/>
        <v>0.76145341277441259</v>
      </c>
      <c r="O2344" s="2">
        <f ca="1"/>
        <v>0.52501311353778768</v>
      </c>
      <c r="X2344" s="2">
        <f ca="1"/>
        <v>34.567622599418712</v>
      </c>
      <c r="AG2344" s="2">
        <f ca="1"/>
        <v>0.26106966723964931</v>
      </c>
      <c r="AH2344" s="2" t="str">
        <f ca="1"/>
        <v>OK</v>
      </c>
    </row>
    <row r="2345" spans="2:34" x14ac:dyDescent="0.2">
      <c r="B2345" s="2">
        <f ca="1"/>
        <v>0.8223222224826614</v>
      </c>
      <c r="O2345" s="2">
        <f ca="1"/>
        <v>0.27506868700288933</v>
      </c>
      <c r="X2345" s="2">
        <f ca="1"/>
        <v>53.371104433138548</v>
      </c>
      <c r="AG2345" s="2">
        <f ca="1"/>
        <v>0.32715828489544507</v>
      </c>
      <c r="AH2345" s="2" t="str">
        <f ca="1"/>
        <v>OK</v>
      </c>
    </row>
    <row r="2346" spans="2:34" x14ac:dyDescent="0.2">
      <c r="B2346" s="2">
        <f ca="1"/>
        <v>0.31747604179091371</v>
      </c>
      <c r="O2346" s="2">
        <f ca="1"/>
        <v>-1.3107587225172106</v>
      </c>
      <c r="X2346" s="2">
        <f ca="1"/>
        <v>50.831698715679387</v>
      </c>
      <c r="AG2346" s="2">
        <f ca="1"/>
        <v>0.54734163036797479</v>
      </c>
      <c r="AH2346" s="2" t="str">
        <f ca="1"/>
        <v>Bad</v>
      </c>
    </row>
    <row r="2347" spans="2:34" x14ac:dyDescent="0.2">
      <c r="B2347" s="2">
        <f ca="1"/>
        <v>0.65530612577770841</v>
      </c>
      <c r="O2347" s="2">
        <f ca="1"/>
        <v>-0.66642996085932515</v>
      </c>
      <c r="X2347" s="2">
        <f ca="1"/>
        <v>44.085355462194393</v>
      </c>
      <c r="AG2347" s="2">
        <f ca="1"/>
        <v>0.52805639043900632</v>
      </c>
      <c r="AH2347" s="2" t="str">
        <f ca="1"/>
        <v>Bad</v>
      </c>
    </row>
    <row r="2348" spans="2:34" x14ac:dyDescent="0.2">
      <c r="B2348" s="2">
        <f ca="1"/>
        <v>0.56569139180677896</v>
      </c>
      <c r="O2348" s="2">
        <f ca="1"/>
        <v>-0.90885703192451084</v>
      </c>
      <c r="X2348" s="2">
        <f ca="1"/>
        <v>49.908039049871171</v>
      </c>
      <c r="AG2348" s="2">
        <f ca="1"/>
        <v>0.58456578614436494</v>
      </c>
      <c r="AH2348" s="2" t="str">
        <f ca="1"/>
        <v>Bad</v>
      </c>
    </row>
    <row r="2349" spans="2:34" x14ac:dyDescent="0.2">
      <c r="B2349" s="2">
        <f ca="1"/>
        <v>0.36557854608922025</v>
      </c>
      <c r="O2349" s="2">
        <f ca="1"/>
        <v>-1.4341759233505211</v>
      </c>
      <c r="X2349" s="2">
        <f ca="1"/>
        <v>36.857923132590415</v>
      </c>
      <c r="AG2349" s="2">
        <f ca="1"/>
        <v>0.26615210413221302</v>
      </c>
      <c r="AH2349" s="2" t="str">
        <f ca="1"/>
        <v>OK</v>
      </c>
    </row>
    <row r="2350" spans="2:34" x14ac:dyDescent="0.2">
      <c r="B2350" s="2">
        <f ca="1"/>
        <v>0.20847924734482648</v>
      </c>
      <c r="O2350" s="2">
        <f ca="1"/>
        <v>3.155624385623788</v>
      </c>
      <c r="X2350" s="2">
        <f ca="1"/>
        <v>17.867231075760724</v>
      </c>
      <c r="AG2350" s="2">
        <f ca="1"/>
        <v>0.37110775327034107</v>
      </c>
      <c r="AH2350" s="2" t="str">
        <f ca="1"/>
        <v>OK</v>
      </c>
    </row>
    <row r="2351" spans="2:34" x14ac:dyDescent="0.2">
      <c r="B2351" s="2">
        <f ca="1"/>
        <v>0.84956966757473951</v>
      </c>
      <c r="O2351" s="2">
        <f ca="1"/>
        <v>1.0861953998253993</v>
      </c>
      <c r="X2351" s="2">
        <f ca="1"/>
        <v>48.61468412677268</v>
      </c>
      <c r="AG2351" s="2">
        <f ca="1"/>
        <v>0.39095239472588061</v>
      </c>
      <c r="AH2351" s="2" t="str">
        <f ca="1"/>
        <v>OK</v>
      </c>
    </row>
    <row r="2352" spans="2:34" x14ac:dyDescent="0.2">
      <c r="B2352" s="2">
        <f ca="1"/>
        <v>0.93256511161970712</v>
      </c>
      <c r="O2352" s="2">
        <f ca="1"/>
        <v>-1.3586066207555993</v>
      </c>
      <c r="X2352" s="2">
        <f ca="1"/>
        <v>40.832053781654594</v>
      </c>
      <c r="AG2352" s="2">
        <f ca="1"/>
        <v>6.7612464705858466E-2</v>
      </c>
      <c r="AH2352" s="2" t="str">
        <f ca="1"/>
        <v>OK</v>
      </c>
    </row>
    <row r="2353" spans="2:34" x14ac:dyDescent="0.2">
      <c r="B2353" s="2">
        <f ca="1"/>
        <v>0.21246889725076779</v>
      </c>
      <c r="O2353" s="2">
        <f ca="1"/>
        <v>0.48238001195115754</v>
      </c>
      <c r="X2353" s="2">
        <f ca="1"/>
        <v>46.670144589772384</v>
      </c>
      <c r="AG2353" s="2">
        <f ca="1"/>
        <v>0.56939473331609181</v>
      </c>
      <c r="AH2353" s="2" t="str">
        <f ca="1"/>
        <v>Bad</v>
      </c>
    </row>
    <row r="2354" spans="2:34" x14ac:dyDescent="0.2">
      <c r="B2354" s="2">
        <f ca="1"/>
        <v>6.4820001713254083E-2</v>
      </c>
      <c r="O2354" s="2">
        <f ca="1"/>
        <v>-0.27306280474608285</v>
      </c>
      <c r="X2354" s="2">
        <f ca="1"/>
        <v>66.154018061652764</v>
      </c>
      <c r="AG2354" s="2">
        <f ca="1"/>
        <v>0.4539647701741103</v>
      </c>
      <c r="AH2354" s="2" t="str">
        <f ca="1"/>
        <v>Bad</v>
      </c>
    </row>
    <row r="2355" spans="2:34" x14ac:dyDescent="0.2">
      <c r="B2355" s="2">
        <f ca="1"/>
        <v>1.5842777243354478E-2</v>
      </c>
      <c r="O2355" s="2">
        <f ca="1"/>
        <v>0.23136750683446614</v>
      </c>
      <c r="X2355" s="2">
        <f ca="1"/>
        <v>35.928033583119266</v>
      </c>
      <c r="AG2355" s="2">
        <f ca="1"/>
        <v>0.39256514872339054</v>
      </c>
      <c r="AH2355" s="2" t="str">
        <f ca="1"/>
        <v>OK</v>
      </c>
    </row>
    <row r="2356" spans="2:34" x14ac:dyDescent="0.2">
      <c r="B2356" s="2">
        <f ca="1"/>
        <v>0.5275956986322079</v>
      </c>
      <c r="O2356" s="2">
        <f ca="1"/>
        <v>0.71593122596648895</v>
      </c>
      <c r="X2356" s="2">
        <f ca="1"/>
        <v>45.469803804583428</v>
      </c>
      <c r="AG2356" s="2">
        <f ca="1"/>
        <v>0.80741140432199576</v>
      </c>
      <c r="AH2356" s="2" t="str">
        <f ca="1"/>
        <v>Bad</v>
      </c>
    </row>
    <row r="2357" spans="2:34" x14ac:dyDescent="0.2">
      <c r="B2357" s="2">
        <f ca="1"/>
        <v>0.2434076938165568</v>
      </c>
      <c r="O2357" s="2">
        <f ca="1"/>
        <v>-1.1543760286869782</v>
      </c>
      <c r="X2357" s="2">
        <f ca="1"/>
        <v>81.635165258530378</v>
      </c>
      <c r="AG2357" s="2">
        <f ca="1"/>
        <v>0.80009934145600026</v>
      </c>
      <c r="AH2357" s="2" t="str">
        <f ca="1"/>
        <v>Bad</v>
      </c>
    </row>
    <row r="2358" spans="2:34" x14ac:dyDescent="0.2">
      <c r="B2358" s="2">
        <f ca="1"/>
        <v>0.34034037435572695</v>
      </c>
      <c r="O2358" s="2">
        <f ca="1"/>
        <v>1.2989910461110985</v>
      </c>
      <c r="X2358" s="2">
        <f ca="1"/>
        <v>39.162027490987846</v>
      </c>
      <c r="AG2358" s="2">
        <f ca="1"/>
        <v>0.80227935334254785</v>
      </c>
      <c r="AH2358" s="2" t="str">
        <f ca="1"/>
        <v>Bad</v>
      </c>
    </row>
    <row r="2359" spans="2:34" x14ac:dyDescent="0.2">
      <c r="B2359" s="2">
        <f ca="1"/>
        <v>0.38564358137073351</v>
      </c>
      <c r="O2359" s="2">
        <f ca="1"/>
        <v>-0.88445854768685994</v>
      </c>
      <c r="X2359" s="2">
        <f ca="1"/>
        <v>41.320480969649822</v>
      </c>
      <c r="AG2359" s="2">
        <f ca="1"/>
        <v>0.81538110872312464</v>
      </c>
      <c r="AH2359" s="2" t="str">
        <f ca="1"/>
        <v>Bad</v>
      </c>
    </row>
    <row r="2360" spans="2:34" x14ac:dyDescent="0.2">
      <c r="B2360" s="2">
        <f ca="1"/>
        <v>0.82175009379434005</v>
      </c>
      <c r="O2360" s="2">
        <f ca="1"/>
        <v>0.22105223016702377</v>
      </c>
      <c r="X2360" s="2">
        <f ca="1"/>
        <v>70.010858177366998</v>
      </c>
      <c r="AG2360" s="2">
        <f ca="1"/>
        <v>0.50735617689191082</v>
      </c>
      <c r="AH2360" s="2" t="str">
        <f ca="1"/>
        <v>Bad</v>
      </c>
    </row>
    <row r="2361" spans="2:34" x14ac:dyDescent="0.2">
      <c r="B2361" s="2">
        <f ca="1"/>
        <v>0.84486618154881699</v>
      </c>
      <c r="O2361" s="2">
        <f ca="1"/>
        <v>-0.32942377345826945</v>
      </c>
      <c r="X2361" s="2">
        <f ca="1"/>
        <v>55.383569625347384</v>
      </c>
      <c r="AG2361" s="2">
        <f ca="1"/>
        <v>0.42587500314168669</v>
      </c>
      <c r="AH2361" s="2" t="str">
        <f ca="1"/>
        <v>Bad</v>
      </c>
    </row>
    <row r="2362" spans="2:34" x14ac:dyDescent="0.2">
      <c r="B2362" s="2">
        <f ca="1"/>
        <v>0.81558657382762823</v>
      </c>
      <c r="O2362" s="2">
        <f ca="1"/>
        <v>-1.9412930888024396</v>
      </c>
      <c r="X2362" s="2">
        <f ca="1"/>
        <v>40.134309896104853</v>
      </c>
      <c r="AG2362" s="2">
        <f ca="1"/>
        <v>0.28289262689300276</v>
      </c>
      <c r="AH2362" s="2" t="str">
        <f ca="1"/>
        <v>OK</v>
      </c>
    </row>
    <row r="2363" spans="2:34" x14ac:dyDescent="0.2">
      <c r="B2363" s="2">
        <f ca="1"/>
        <v>0.32432302450461981</v>
      </c>
      <c r="O2363" s="2">
        <f ca="1"/>
        <v>0.42665006307036446</v>
      </c>
      <c r="X2363" s="2">
        <f ca="1"/>
        <v>65.126959158422892</v>
      </c>
      <c r="AG2363" s="2">
        <f ca="1"/>
        <v>7.8498203677053624E-2</v>
      </c>
      <c r="AH2363" s="2" t="str">
        <f ca="1"/>
        <v>OK</v>
      </c>
    </row>
    <row r="2364" spans="2:34" x14ac:dyDescent="0.2">
      <c r="B2364" s="2">
        <f ca="1"/>
        <v>0.34267776783924297</v>
      </c>
      <c r="O2364" s="2">
        <f ca="1"/>
        <v>2.0445695302013789</v>
      </c>
      <c r="X2364" s="2">
        <f ca="1"/>
        <v>40.430282312565225</v>
      </c>
      <c r="AG2364" s="2">
        <f ca="1"/>
        <v>9.6271415892887013E-2</v>
      </c>
      <c r="AH2364" s="2" t="str">
        <f ca="1"/>
        <v>OK</v>
      </c>
    </row>
    <row r="2365" spans="2:34" x14ac:dyDescent="0.2">
      <c r="B2365" s="2">
        <f ca="1"/>
        <v>0.20265394606787557</v>
      </c>
      <c r="O2365" s="2">
        <f ca="1"/>
        <v>-0.93287535040658487</v>
      </c>
      <c r="X2365" s="2">
        <f ca="1"/>
        <v>43.277043968212929</v>
      </c>
      <c r="AG2365" s="2">
        <f ca="1"/>
        <v>0.75497486323966401</v>
      </c>
      <c r="AH2365" s="2" t="str">
        <f ca="1"/>
        <v>Bad</v>
      </c>
    </row>
    <row r="2366" spans="2:34" x14ac:dyDescent="0.2">
      <c r="B2366" s="2">
        <f ca="1"/>
        <v>0.72630838780593421</v>
      </c>
      <c r="O2366" s="2">
        <f ca="1"/>
        <v>-1.8320988311510102</v>
      </c>
      <c r="X2366" s="2">
        <f ca="1"/>
        <v>67.043770672337232</v>
      </c>
      <c r="AG2366" s="2">
        <f ca="1"/>
        <v>0.34857012990017466</v>
      </c>
      <c r="AH2366" s="2" t="str">
        <f ca="1"/>
        <v>OK</v>
      </c>
    </row>
    <row r="2367" spans="2:34" x14ac:dyDescent="0.2">
      <c r="B2367" s="2">
        <f ca="1"/>
        <v>0.17136260566861372</v>
      </c>
      <c r="O2367" s="2">
        <f ca="1"/>
        <v>-0.77824414286709398</v>
      </c>
      <c r="X2367" s="2">
        <f ca="1"/>
        <v>37.40823451457149</v>
      </c>
      <c r="AG2367" s="2">
        <f ca="1"/>
        <v>0.4624309045609567</v>
      </c>
      <c r="AH2367" s="2" t="str">
        <f ca="1"/>
        <v>Bad</v>
      </c>
    </row>
    <row r="2368" spans="2:34" x14ac:dyDescent="0.2">
      <c r="B2368" s="2">
        <f ca="1"/>
        <v>0.44995078765111574</v>
      </c>
      <c r="O2368" s="2">
        <f ca="1"/>
        <v>-0.44357720925855521</v>
      </c>
      <c r="X2368" s="2">
        <f ca="1"/>
        <v>64.019767771741328</v>
      </c>
      <c r="AG2368" s="2">
        <f ca="1"/>
        <v>0.40076381352359913</v>
      </c>
      <c r="AH2368" s="2" t="str">
        <f ca="1"/>
        <v>Bad</v>
      </c>
    </row>
    <row r="2369" spans="2:34" x14ac:dyDescent="0.2">
      <c r="B2369" s="2">
        <f ca="1"/>
        <v>0.98021978684011146</v>
      </c>
      <c r="O2369" s="2">
        <f ca="1"/>
        <v>0.39560924653821472</v>
      </c>
      <c r="X2369" s="2">
        <f ca="1"/>
        <v>43.955663255523412</v>
      </c>
      <c r="AG2369" s="2">
        <f ca="1"/>
        <v>0.79310437365884434</v>
      </c>
      <c r="AH2369" s="2" t="str">
        <f ca="1"/>
        <v>Bad</v>
      </c>
    </row>
    <row r="2370" spans="2:34" x14ac:dyDescent="0.2">
      <c r="B2370" s="2">
        <f ca="1"/>
        <v>0.49904899933315128</v>
      </c>
      <c r="O2370" s="2">
        <f ca="1"/>
        <v>0.5313178583010485</v>
      </c>
      <c r="X2370" s="2">
        <f ca="1"/>
        <v>36.77188479501303</v>
      </c>
      <c r="AG2370" s="2">
        <f ca="1"/>
        <v>0.3240547387792394</v>
      </c>
      <c r="AH2370" s="2" t="str">
        <f ca="1"/>
        <v>OK</v>
      </c>
    </row>
    <row r="2371" spans="2:34" x14ac:dyDescent="0.2">
      <c r="B2371" s="2">
        <f ca="1"/>
        <v>6.4840968497545282E-2</v>
      </c>
      <c r="O2371" s="2">
        <f ca="1"/>
        <v>-0.48297823065389639</v>
      </c>
      <c r="X2371" s="2">
        <f ca="1"/>
        <v>63.59936500001298</v>
      </c>
      <c r="AG2371" s="2">
        <f ca="1"/>
        <v>0.52365762150504924</v>
      </c>
      <c r="AH2371" s="2" t="str">
        <f ca="1"/>
        <v>Bad</v>
      </c>
    </row>
    <row r="2372" spans="2:34" x14ac:dyDescent="0.2">
      <c r="B2372" s="2">
        <f ca="1"/>
        <v>0.20423052522211749</v>
      </c>
      <c r="O2372" s="2">
        <f ca="1"/>
        <v>-1.0698356546592216</v>
      </c>
      <c r="X2372" s="2">
        <f ca="1"/>
        <v>35.09037235630452</v>
      </c>
      <c r="AG2372" s="2">
        <f ca="1"/>
        <v>0.93923493441235162</v>
      </c>
      <c r="AH2372" s="2" t="str">
        <f ca="1"/>
        <v>Bad</v>
      </c>
    </row>
    <row r="2373" spans="2:34" x14ac:dyDescent="0.2">
      <c r="B2373" s="2">
        <f ca="1"/>
        <v>0.21976147591039941</v>
      </c>
      <c r="O2373" s="2">
        <f ca="1"/>
        <v>-1.2246360117007622</v>
      </c>
      <c r="X2373" s="2">
        <f ca="1"/>
        <v>56.044518566110241</v>
      </c>
      <c r="AG2373" s="2">
        <f ca="1"/>
        <v>0.5559905720113667</v>
      </c>
      <c r="AH2373" s="2" t="str">
        <f ca="1"/>
        <v>Bad</v>
      </c>
    </row>
    <row r="2374" spans="2:34" x14ac:dyDescent="0.2">
      <c r="B2374" s="2">
        <f ca="1"/>
        <v>0.14441191667907471</v>
      </c>
      <c r="O2374" s="2">
        <f ca="1"/>
        <v>-0.43518798237048495</v>
      </c>
      <c r="X2374" s="2">
        <f ca="1"/>
        <v>34.642669353206436</v>
      </c>
      <c r="AG2374" s="2">
        <f ca="1"/>
        <v>0.82866478681014799</v>
      </c>
      <c r="AH2374" s="2" t="str">
        <f ca="1"/>
        <v>Bad</v>
      </c>
    </row>
    <row r="2375" spans="2:34" x14ac:dyDescent="0.2">
      <c r="B2375" s="2">
        <f ca="1"/>
        <v>0.40748575217885974</v>
      </c>
      <c r="O2375" s="2">
        <f ca="1"/>
        <v>-1.6033335854971005</v>
      </c>
      <c r="X2375" s="2">
        <f ca="1"/>
        <v>62.924262656919922</v>
      </c>
      <c r="AG2375" s="2">
        <f ca="1"/>
        <v>0.89560725705856492</v>
      </c>
      <c r="AH2375" s="2" t="str">
        <f ca="1"/>
        <v>Bad</v>
      </c>
    </row>
    <row r="2376" spans="2:34" x14ac:dyDescent="0.2">
      <c r="B2376" s="2">
        <f ca="1"/>
        <v>0.99125815108599413</v>
      </c>
      <c r="O2376" s="2">
        <f ca="1"/>
        <v>-0.33937441198818386</v>
      </c>
      <c r="X2376" s="2">
        <f ca="1"/>
        <v>74.37561596629466</v>
      </c>
      <c r="AG2376" s="2">
        <f ca="1"/>
        <v>0.29849089183510835</v>
      </c>
      <c r="AH2376" s="2" t="str">
        <f ca="1"/>
        <v>OK</v>
      </c>
    </row>
    <row r="2377" spans="2:34" x14ac:dyDescent="0.2">
      <c r="B2377" s="2">
        <f ca="1"/>
        <v>0.42169821599113555</v>
      </c>
      <c r="O2377" s="2">
        <f ca="1"/>
        <v>7.8083547995181878E-3</v>
      </c>
      <c r="X2377" s="2">
        <f ca="1"/>
        <v>54.666161882724921</v>
      </c>
      <c r="AG2377" s="2">
        <f ca="1"/>
        <v>0.11659886922262053</v>
      </c>
      <c r="AH2377" s="2" t="str">
        <f ca="1"/>
        <v>OK</v>
      </c>
    </row>
    <row r="2378" spans="2:34" x14ac:dyDescent="0.2">
      <c r="B2378" s="2">
        <f ca="1"/>
        <v>0.49700224053482778</v>
      </c>
      <c r="O2378" s="2">
        <f ca="1"/>
        <v>0.62746332844137631</v>
      </c>
      <c r="X2378" s="2">
        <f ca="1"/>
        <v>31.946609293556879</v>
      </c>
      <c r="AG2378" s="2">
        <f ca="1"/>
        <v>0.63205125733880618</v>
      </c>
      <c r="AH2378" s="2" t="str">
        <f ca="1"/>
        <v>Bad</v>
      </c>
    </row>
    <row r="2379" spans="2:34" x14ac:dyDescent="0.2">
      <c r="B2379" s="2">
        <f ca="1"/>
        <v>0.22063751100435591</v>
      </c>
      <c r="O2379" s="2">
        <f ca="1"/>
        <v>0.91133995196563466</v>
      </c>
      <c r="X2379" s="2">
        <f ca="1"/>
        <v>52.65152007696944</v>
      </c>
      <c r="AG2379" s="2">
        <f ca="1"/>
        <v>0.32381947614942863</v>
      </c>
      <c r="AH2379" s="2" t="str">
        <f ca="1"/>
        <v>OK</v>
      </c>
    </row>
    <row r="2380" spans="2:34" x14ac:dyDescent="0.2">
      <c r="B2380" s="2">
        <f ca="1"/>
        <v>0.1339124521372228</v>
      </c>
      <c r="O2380" s="2">
        <f ca="1"/>
        <v>0.81491428516628095</v>
      </c>
      <c r="X2380" s="2">
        <f ca="1"/>
        <v>37.201975976163411</v>
      </c>
      <c r="AG2380" s="2">
        <f ca="1"/>
        <v>0.93248312457353122</v>
      </c>
      <c r="AH2380" s="2" t="str">
        <f ca="1"/>
        <v>Bad</v>
      </c>
    </row>
    <row r="2381" spans="2:34" x14ac:dyDescent="0.2">
      <c r="B2381" s="2">
        <f ca="1"/>
        <v>0.3340137663220244</v>
      </c>
      <c r="O2381" s="2">
        <f ca="1"/>
        <v>-6.0984667800209206E-3</v>
      </c>
      <c r="X2381" s="2">
        <f ca="1"/>
        <v>64.191550584548679</v>
      </c>
      <c r="AG2381" s="2">
        <f ca="1"/>
        <v>0.7872706731750545</v>
      </c>
      <c r="AH2381" s="2" t="str">
        <f ca="1"/>
        <v>Bad</v>
      </c>
    </row>
    <row r="2382" spans="2:34" x14ac:dyDescent="0.2">
      <c r="B2382" s="2">
        <f ca="1"/>
        <v>0.64637137235280373</v>
      </c>
      <c r="O2382" s="2">
        <f ca="1"/>
        <v>0.35345271598393618</v>
      </c>
      <c r="X2382" s="2">
        <f ca="1"/>
        <v>24.436667921349844</v>
      </c>
      <c r="AG2382" s="2">
        <f ca="1"/>
        <v>0.75708644933596481</v>
      </c>
      <c r="AH2382" s="2" t="str">
        <f ca="1"/>
        <v>Bad</v>
      </c>
    </row>
    <row r="2383" spans="2:34" x14ac:dyDescent="0.2">
      <c r="B2383" s="2">
        <f ca="1"/>
        <v>0.44068202521740507</v>
      </c>
      <c r="O2383" s="2">
        <f ca="1"/>
        <v>-0.63617693517282248</v>
      </c>
      <c r="X2383" s="2">
        <f ca="1"/>
        <v>45.348222040319314</v>
      </c>
      <c r="AG2383" s="2">
        <f ca="1"/>
        <v>0.98766348815646565</v>
      </c>
      <c r="AH2383" s="2" t="str">
        <f ca="1"/>
        <v>Bad</v>
      </c>
    </row>
    <row r="2384" spans="2:34" x14ac:dyDescent="0.2">
      <c r="B2384" s="2">
        <f ca="1"/>
        <v>0.97416909797207674</v>
      </c>
      <c r="O2384" s="2">
        <f ca="1"/>
        <v>3.9435412289659119E-2</v>
      </c>
      <c r="X2384" s="2">
        <f ca="1"/>
        <v>65.719266803549928</v>
      </c>
      <c r="AG2384" s="2">
        <f ca="1"/>
        <v>9.7099776109332625E-2</v>
      </c>
      <c r="AH2384" s="2" t="str">
        <f ca="1"/>
        <v>OK</v>
      </c>
    </row>
    <row r="2385" spans="2:34" x14ac:dyDescent="0.2">
      <c r="B2385" s="2">
        <f ca="1"/>
        <v>0.13750353976261454</v>
      </c>
      <c r="O2385" s="2">
        <f ca="1"/>
        <v>-0.98284989654264698</v>
      </c>
      <c r="X2385" s="2">
        <f ca="1"/>
        <v>43.339772442744426</v>
      </c>
      <c r="AG2385" s="2">
        <f ca="1"/>
        <v>0.86015292596819348</v>
      </c>
      <c r="AH2385" s="2" t="str">
        <f ca="1"/>
        <v>Bad</v>
      </c>
    </row>
    <row r="2386" spans="2:34" x14ac:dyDescent="0.2">
      <c r="B2386" s="2">
        <f ca="1"/>
        <v>0.90883094639561435</v>
      </c>
      <c r="O2386" s="2">
        <f ca="1"/>
        <v>0.54580291284791005</v>
      </c>
      <c r="X2386" s="2">
        <f ca="1"/>
        <v>37.622780267888963</v>
      </c>
      <c r="AG2386" s="2">
        <f ca="1"/>
        <v>0.41894824610778669</v>
      </c>
      <c r="AH2386" s="2" t="str">
        <f ca="1"/>
        <v>Bad</v>
      </c>
    </row>
    <row r="2387" spans="2:34" x14ac:dyDescent="0.2">
      <c r="B2387" s="2">
        <f ca="1"/>
        <v>0.93414212650859652</v>
      </c>
      <c r="O2387" s="2">
        <f ca="1"/>
        <v>-0.10648962049038035</v>
      </c>
      <c r="X2387" s="2">
        <f ca="1"/>
        <v>58.915494091715459</v>
      </c>
      <c r="AG2387" s="2">
        <f ca="1"/>
        <v>0.81320077715402439</v>
      </c>
      <c r="AH2387" s="2" t="str">
        <f ca="1"/>
        <v>Bad</v>
      </c>
    </row>
    <row r="2388" spans="2:34" x14ac:dyDescent="0.2">
      <c r="B2388" s="2">
        <f ca="1"/>
        <v>0.56811169155247732</v>
      </c>
      <c r="O2388" s="2">
        <f ca="1"/>
        <v>-0.69104118686638261</v>
      </c>
      <c r="X2388" s="2">
        <f ca="1"/>
        <v>57.836973645865335</v>
      </c>
      <c r="AG2388" s="2">
        <f ca="1"/>
        <v>0.89723596285527729</v>
      </c>
      <c r="AH2388" s="2" t="str">
        <f ca="1"/>
        <v>Bad</v>
      </c>
    </row>
    <row r="2389" spans="2:34" x14ac:dyDescent="0.2">
      <c r="B2389" s="2">
        <f ca="1"/>
        <v>0.22423199165097074</v>
      </c>
      <c r="O2389" s="2">
        <f ca="1"/>
        <v>-1.6126722326537233</v>
      </c>
      <c r="X2389" s="2">
        <f ca="1"/>
        <v>54.789035859431394</v>
      </c>
      <c r="AG2389" s="2">
        <f ca="1"/>
        <v>0.53866571352785786</v>
      </c>
      <c r="AH2389" s="2" t="str">
        <f ca="1"/>
        <v>Bad</v>
      </c>
    </row>
    <row r="2390" spans="2:34" x14ac:dyDescent="0.2">
      <c r="B2390" s="2">
        <f ca="1"/>
        <v>0.77932630492482891</v>
      </c>
      <c r="O2390" s="2">
        <f ca="1"/>
        <v>-0.20094719645334702</v>
      </c>
      <c r="X2390" s="2">
        <f ca="1"/>
        <v>33.834287172027551</v>
      </c>
      <c r="AG2390" s="2">
        <f ca="1"/>
        <v>0.11187061151122202</v>
      </c>
      <c r="AH2390" s="2" t="str">
        <f ca="1"/>
        <v>OK</v>
      </c>
    </row>
    <row r="2391" spans="2:34" x14ac:dyDescent="0.2">
      <c r="B2391" s="2">
        <f ca="1"/>
        <v>0.10658616936148957</v>
      </c>
      <c r="O2391" s="2">
        <f ca="1"/>
        <v>-0.47890187232527792</v>
      </c>
      <c r="X2391" s="2">
        <f ca="1"/>
        <v>68.132555165180491</v>
      </c>
      <c r="AG2391" s="2">
        <f ca="1"/>
        <v>0.23819657729999522</v>
      </c>
      <c r="AH2391" s="2" t="str">
        <f ca="1"/>
        <v>OK</v>
      </c>
    </row>
    <row r="2392" spans="2:34" x14ac:dyDescent="0.2">
      <c r="B2392" s="2">
        <f ca="1"/>
        <v>0.96960534753919814</v>
      </c>
      <c r="O2392" s="2">
        <f ca="1"/>
        <v>-0.75034095314729088</v>
      </c>
      <c r="X2392" s="2">
        <f ca="1"/>
        <v>38.096373730773131</v>
      </c>
      <c r="AG2392" s="2">
        <f ca="1"/>
        <v>0.91426032385563971</v>
      </c>
      <c r="AH2392" s="2" t="str">
        <f ca="1"/>
        <v>Bad</v>
      </c>
    </row>
    <row r="2393" spans="2:34" x14ac:dyDescent="0.2">
      <c r="B2393" s="2">
        <f ca="1"/>
        <v>0.49210038176226645</v>
      </c>
      <c r="O2393" s="2">
        <f ca="1"/>
        <v>2.076741803641319</v>
      </c>
      <c r="X2393" s="2">
        <f ca="1"/>
        <v>20.270636255559783</v>
      </c>
      <c r="AG2393" s="2">
        <f ca="1"/>
        <v>0.86445308996314996</v>
      </c>
      <c r="AH2393" s="2" t="str">
        <f ca="1"/>
        <v>Bad</v>
      </c>
    </row>
    <row r="2394" spans="2:34" x14ac:dyDescent="0.2">
      <c r="B2394" s="2">
        <f ca="1"/>
        <v>0.50919993076313386</v>
      </c>
      <c r="O2394" s="2">
        <f ca="1"/>
        <v>-0.98743101949241763</v>
      </c>
      <c r="X2394" s="2">
        <f ca="1"/>
        <v>85.584266113915788</v>
      </c>
      <c r="AG2394" s="2">
        <f ca="1"/>
        <v>0.15082474810494739</v>
      </c>
      <c r="AH2394" s="2" t="str">
        <f ca="1"/>
        <v>OK</v>
      </c>
    </row>
    <row r="2395" spans="2:34" x14ac:dyDescent="0.2">
      <c r="B2395" s="2">
        <f ca="1"/>
        <v>0.78267247126624051</v>
      </c>
      <c r="O2395" s="2">
        <f ca="1"/>
        <v>-0.10916449502996252</v>
      </c>
      <c r="X2395" s="2">
        <f ca="1"/>
        <v>44.77597019686543</v>
      </c>
      <c r="AG2395" s="2">
        <f ca="1"/>
        <v>0.77153348254634535</v>
      </c>
      <c r="AH2395" s="2" t="str">
        <f ca="1"/>
        <v>Bad</v>
      </c>
    </row>
    <row r="2396" spans="2:34" x14ac:dyDescent="0.2">
      <c r="B2396" s="2">
        <f ca="1"/>
        <v>0.2602267682027728</v>
      </c>
      <c r="O2396" s="2">
        <f ca="1"/>
        <v>-1.2052141291949119</v>
      </c>
      <c r="X2396" s="2">
        <f ca="1"/>
        <v>43.684791765627253</v>
      </c>
      <c r="AG2396" s="2">
        <f ca="1"/>
        <v>0.55915938916696906</v>
      </c>
      <c r="AH2396" s="2" t="str">
        <f ca="1"/>
        <v>Bad</v>
      </c>
    </row>
    <row r="2397" spans="2:34" x14ac:dyDescent="0.2">
      <c r="B2397" s="2">
        <f ca="1"/>
        <v>0.34245474608624371</v>
      </c>
      <c r="O2397" s="2">
        <f ca="1"/>
        <v>-8.7778541948379446E-2</v>
      </c>
      <c r="X2397" s="2">
        <f ca="1"/>
        <v>55.430701612777256</v>
      </c>
      <c r="AG2397" s="2">
        <f ca="1"/>
        <v>0.66845322903140225</v>
      </c>
      <c r="AH2397" s="2" t="str">
        <f ca="1"/>
        <v>Bad</v>
      </c>
    </row>
    <row r="2398" spans="2:34" x14ac:dyDescent="0.2">
      <c r="B2398" s="2">
        <f ca="1"/>
        <v>0.95363374655709077</v>
      </c>
      <c r="O2398" s="2">
        <f ca="1"/>
        <v>-0.43734854055270361</v>
      </c>
      <c r="X2398" s="2">
        <f ca="1"/>
        <v>57.419757877025063</v>
      </c>
      <c r="AG2398" s="2">
        <f ca="1"/>
        <v>0.93192180846732864</v>
      </c>
      <c r="AH2398" s="2" t="str">
        <f ca="1"/>
        <v>Bad</v>
      </c>
    </row>
    <row r="2399" spans="2:34" x14ac:dyDescent="0.2">
      <c r="B2399" s="2">
        <f ca="1"/>
        <v>0.30050327129655807</v>
      </c>
      <c r="O2399" s="2">
        <f ca="1"/>
        <v>-1.3709422093238399</v>
      </c>
      <c r="X2399" s="2">
        <f ca="1"/>
        <v>25.36243898826875</v>
      </c>
      <c r="AG2399" s="2">
        <f ca="1"/>
        <v>0.61897820281127536</v>
      </c>
      <c r="AH2399" s="2" t="str">
        <f ca="1"/>
        <v>Bad</v>
      </c>
    </row>
    <row r="2400" spans="2:34" x14ac:dyDescent="0.2">
      <c r="B2400" s="2">
        <f ca="1"/>
        <v>0.38049522681475367</v>
      </c>
      <c r="O2400" s="2">
        <f ca="1"/>
        <v>0.4801162291014085</v>
      </c>
      <c r="X2400" s="2">
        <f ca="1"/>
        <v>56.817866685007772</v>
      </c>
      <c r="AG2400" s="2">
        <f ca="1"/>
        <v>0.74122097002867382</v>
      </c>
      <c r="AH2400" s="2" t="str">
        <f ca="1"/>
        <v>Bad</v>
      </c>
    </row>
    <row r="2401" spans="2:34" x14ac:dyDescent="0.2">
      <c r="B2401" s="2">
        <f ca="1"/>
        <v>0.87943695274418654</v>
      </c>
      <c r="O2401" s="2">
        <f ca="1"/>
        <v>-1.4362487008124476</v>
      </c>
      <c r="X2401" s="2">
        <f ca="1"/>
        <v>35.400351218787108</v>
      </c>
      <c r="AG2401" s="2">
        <f ca="1"/>
        <v>0.10240616825724769</v>
      </c>
      <c r="AH2401" s="2" t="str">
        <f ca="1"/>
        <v>OK</v>
      </c>
    </row>
    <row r="2402" spans="2:34" x14ac:dyDescent="0.2">
      <c r="B2402" s="2">
        <f ca="1"/>
        <v>0.80411202846628038</v>
      </c>
      <c r="O2402" s="2">
        <f ca="1"/>
        <v>-0.51441091174467235</v>
      </c>
      <c r="X2402" s="2">
        <f ca="1"/>
        <v>29.760622874601385</v>
      </c>
      <c r="AG2402" s="2">
        <f ca="1"/>
        <v>0.32455410487593972</v>
      </c>
      <c r="AH2402" s="2" t="str">
        <f ca="1"/>
        <v>OK</v>
      </c>
    </row>
    <row r="2403" spans="2:34" x14ac:dyDescent="0.2">
      <c r="B2403" s="2">
        <f ca="1"/>
        <v>7.2158031399005562E-2</v>
      </c>
      <c r="O2403" s="2">
        <f ca="1"/>
        <v>-0.83072181035213188</v>
      </c>
      <c r="X2403" s="2">
        <f ca="1"/>
        <v>30.524891806586201</v>
      </c>
      <c r="AG2403" s="2">
        <f ca="1"/>
        <v>0.30575886616690706</v>
      </c>
      <c r="AH2403" s="2" t="str">
        <f ca="1"/>
        <v>OK</v>
      </c>
    </row>
    <row r="2404" spans="2:34" x14ac:dyDescent="0.2">
      <c r="B2404" s="2">
        <f ca="1"/>
        <v>0.25629960999477741</v>
      </c>
      <c r="O2404" s="2">
        <f ca="1"/>
        <v>0.83025146112130743</v>
      </c>
      <c r="X2404" s="2">
        <f ca="1"/>
        <v>43.784381533997419</v>
      </c>
      <c r="AG2404" s="2">
        <f ca="1"/>
        <v>7.8991505279688123E-2</v>
      </c>
      <c r="AH2404" s="2" t="str">
        <f ca="1"/>
        <v>OK</v>
      </c>
    </row>
    <row r="2405" spans="2:34" x14ac:dyDescent="0.2">
      <c r="B2405" s="2">
        <f ca="1"/>
        <v>0.13978855268112489</v>
      </c>
      <c r="O2405" s="2">
        <f ca="1"/>
        <v>1.1700988770362044</v>
      </c>
      <c r="X2405" s="2">
        <f ca="1"/>
        <v>64.525310450617823</v>
      </c>
      <c r="AG2405" s="2">
        <f ca="1"/>
        <v>0.15845987887282598</v>
      </c>
      <c r="AH2405" s="2" t="str">
        <f ca="1"/>
        <v>OK</v>
      </c>
    </row>
    <row r="2406" spans="2:34" x14ac:dyDescent="0.2">
      <c r="B2406" s="2">
        <f ca="1"/>
        <v>0.99879826992574561</v>
      </c>
      <c r="O2406" s="2">
        <f ca="1"/>
        <v>0.8207309289934549</v>
      </c>
      <c r="X2406" s="2">
        <f ca="1"/>
        <v>24.827198171646483</v>
      </c>
      <c r="AG2406" s="2">
        <f ca="1"/>
        <v>0.4456557538993049</v>
      </c>
      <c r="AH2406" s="2" t="str">
        <f ca="1"/>
        <v>Bad</v>
      </c>
    </row>
    <row r="2407" spans="2:34" x14ac:dyDescent="0.2">
      <c r="B2407" s="2">
        <f ca="1"/>
        <v>0.44129448080065714</v>
      </c>
      <c r="O2407" s="2">
        <f ca="1"/>
        <v>-0.5780619358088408</v>
      </c>
      <c r="X2407" s="2">
        <f ca="1"/>
        <v>33.320740058110438</v>
      </c>
      <c r="AG2407" s="2">
        <f ca="1"/>
        <v>0.42785032349024821</v>
      </c>
      <c r="AH2407" s="2" t="str">
        <f ca="1"/>
        <v>Bad</v>
      </c>
    </row>
    <row r="2408" spans="2:34" x14ac:dyDescent="0.2">
      <c r="B2408" s="2">
        <f ca="1"/>
        <v>0.15777228124317122</v>
      </c>
      <c r="O2408" s="2">
        <f ca="1"/>
        <v>-0.516373022733285</v>
      </c>
      <c r="X2408" s="2">
        <f ca="1"/>
        <v>25.493207724450002</v>
      </c>
      <c r="AG2408" s="2">
        <f ca="1"/>
        <v>0.12931745790484372</v>
      </c>
      <c r="AH2408" s="2" t="str">
        <f ca="1"/>
        <v>OK</v>
      </c>
    </row>
    <row r="2409" spans="2:34" x14ac:dyDescent="0.2">
      <c r="B2409" s="2">
        <f ca="1"/>
        <v>0.26294186365624106</v>
      </c>
      <c r="O2409" s="2">
        <f ca="1"/>
        <v>0.53724102692255726</v>
      </c>
      <c r="X2409" s="2">
        <f ca="1"/>
        <v>35.564606950994865</v>
      </c>
      <c r="AG2409" s="2">
        <f ca="1"/>
        <v>0.67735992550690072</v>
      </c>
      <c r="AH2409" s="2" t="str">
        <f ca="1"/>
        <v>Bad</v>
      </c>
    </row>
    <row r="2410" spans="2:34" x14ac:dyDescent="0.2">
      <c r="B2410" s="2">
        <f ca="1"/>
        <v>0.57313886758704147</v>
      </c>
      <c r="O2410" s="2">
        <f ca="1"/>
        <v>-0.19721310834434702</v>
      </c>
      <c r="X2410" s="2">
        <f ca="1"/>
        <v>65.627506884714123</v>
      </c>
      <c r="AG2410" s="2">
        <f ca="1"/>
        <v>2.5029445244902249E-2</v>
      </c>
      <c r="AH2410" s="2" t="str">
        <f ca="1"/>
        <v>Good</v>
      </c>
    </row>
    <row r="2411" spans="2:34" x14ac:dyDescent="0.2">
      <c r="B2411" s="2">
        <f ca="1"/>
        <v>0.10298447292119395</v>
      </c>
      <c r="O2411" s="2">
        <f ca="1"/>
        <v>-0.56681657775566907</v>
      </c>
      <c r="X2411" s="2">
        <f ca="1"/>
        <v>74.213669879070935</v>
      </c>
      <c r="AG2411" s="2">
        <f ca="1"/>
        <v>0.76820055036705814</v>
      </c>
      <c r="AH2411" s="2" t="str">
        <f ca="1"/>
        <v>Bad</v>
      </c>
    </row>
    <row r="2412" spans="2:34" x14ac:dyDescent="0.2">
      <c r="B2412" s="2">
        <f ca="1"/>
        <v>7.3553129543799445E-2</v>
      </c>
      <c r="O2412" s="2">
        <f ca="1"/>
        <v>-0.77030616993305723</v>
      </c>
      <c r="X2412" s="2">
        <f ca="1"/>
        <v>71.989962626364672</v>
      </c>
      <c r="AG2412" s="2">
        <f ca="1"/>
        <v>0.41791616031140522</v>
      </c>
      <c r="AH2412" s="2" t="str">
        <f ca="1"/>
        <v>Bad</v>
      </c>
    </row>
    <row r="2413" spans="2:34" x14ac:dyDescent="0.2">
      <c r="B2413" s="2">
        <f ca="1"/>
        <v>0.47971110307298259</v>
      </c>
      <c r="O2413" s="2">
        <f ca="1"/>
        <v>-0.3324083335596314</v>
      </c>
      <c r="X2413" s="2">
        <f ca="1"/>
        <v>39.429564121995632</v>
      </c>
      <c r="AG2413" s="2">
        <f ca="1"/>
        <v>0.90315482884180187</v>
      </c>
      <c r="AH2413" s="2" t="str">
        <f ca="1"/>
        <v>Bad</v>
      </c>
    </row>
    <row r="2414" spans="2:34" x14ac:dyDescent="0.2">
      <c r="B2414" s="2">
        <f ca="1"/>
        <v>0.34862197382308113</v>
      </c>
      <c r="O2414" s="2">
        <f ca="1"/>
        <v>-0.43814800408101556</v>
      </c>
      <c r="X2414" s="2">
        <f ca="1"/>
        <v>39.203228939656952</v>
      </c>
      <c r="AG2414" s="2">
        <f ca="1"/>
        <v>0.19930236330674966</v>
      </c>
      <c r="AH2414" s="2" t="str">
        <f ca="1"/>
        <v>OK</v>
      </c>
    </row>
    <row r="2415" spans="2:34" x14ac:dyDescent="0.2">
      <c r="B2415" s="2">
        <f ca="1"/>
        <v>0.51942759027084962</v>
      </c>
      <c r="O2415" s="2">
        <f ca="1"/>
        <v>1.1306724153880672</v>
      </c>
      <c r="X2415" s="2">
        <f ca="1"/>
        <v>44.844756089431314</v>
      </c>
      <c r="AG2415" s="2">
        <f ca="1"/>
        <v>0.35144899601307755</v>
      </c>
      <c r="AH2415" s="2" t="str">
        <f ca="1"/>
        <v>OK</v>
      </c>
    </row>
    <row r="2416" spans="2:34" x14ac:dyDescent="0.2">
      <c r="B2416" s="2">
        <f ca="1"/>
        <v>0.85254584952892642</v>
      </c>
      <c r="O2416" s="2">
        <f ca="1"/>
        <v>0.83076261875565371</v>
      </c>
      <c r="X2416" s="2">
        <f ca="1"/>
        <v>50.515172602579518</v>
      </c>
      <c r="AG2416" s="2">
        <f ca="1"/>
        <v>0.14697671325567607</v>
      </c>
      <c r="AH2416" s="2" t="str">
        <f ca="1"/>
        <v>OK</v>
      </c>
    </row>
    <row r="2417" spans="2:34" x14ac:dyDescent="0.2">
      <c r="B2417" s="2">
        <f ca="1"/>
        <v>0.57011666490607604</v>
      </c>
      <c r="O2417" s="2">
        <f ca="1"/>
        <v>0.37799714347865854</v>
      </c>
      <c r="X2417" s="2">
        <f ca="1"/>
        <v>56.081672528664186</v>
      </c>
      <c r="AG2417" s="2">
        <f ca="1"/>
        <v>0.62359014839874938</v>
      </c>
      <c r="AH2417" s="2" t="str">
        <f ca="1"/>
        <v>Bad</v>
      </c>
    </row>
    <row r="2418" spans="2:34" x14ac:dyDescent="0.2">
      <c r="B2418" s="2">
        <f ca="1"/>
        <v>0.68067841852302746</v>
      </c>
      <c r="O2418" s="2">
        <f ca="1"/>
        <v>-2.4094488741296662</v>
      </c>
      <c r="X2418" s="2">
        <f ca="1"/>
        <v>69.717487025844136</v>
      </c>
      <c r="AG2418" s="2">
        <f ca="1"/>
        <v>0.27772822791016449</v>
      </c>
      <c r="AH2418" s="2" t="str">
        <f ca="1"/>
        <v>OK</v>
      </c>
    </row>
    <row r="2419" spans="2:34" x14ac:dyDescent="0.2">
      <c r="B2419" s="2">
        <f ca="1"/>
        <v>0.49262729937355187</v>
      </c>
      <c r="O2419" s="2">
        <f ca="1"/>
        <v>-0.24135104694398865</v>
      </c>
      <c r="X2419" s="2">
        <f ca="1"/>
        <v>40.55030612930252</v>
      </c>
      <c r="AG2419" s="2">
        <f ca="1"/>
        <v>0.26175961963016658</v>
      </c>
      <c r="AH2419" s="2" t="str">
        <f ca="1"/>
        <v>OK</v>
      </c>
    </row>
    <row r="2420" spans="2:34" x14ac:dyDescent="0.2">
      <c r="B2420" s="2">
        <f ca="1"/>
        <v>0.36486141571568242</v>
      </c>
      <c r="O2420" s="2">
        <f ca="1"/>
        <v>-0.45782177601676172</v>
      </c>
      <c r="X2420" s="2">
        <f ca="1"/>
        <v>53.216092510714276</v>
      </c>
      <c r="AG2420" s="2">
        <f ca="1"/>
        <v>0.74132540877473918</v>
      </c>
      <c r="AH2420" s="2" t="str">
        <f ca="1"/>
        <v>Bad</v>
      </c>
    </row>
    <row r="2421" spans="2:34" x14ac:dyDescent="0.2">
      <c r="B2421" s="2">
        <f ca="1"/>
        <v>9.0458696947996353E-2</v>
      </c>
      <c r="O2421" s="2">
        <f ca="1"/>
        <v>-0.29283267000741642</v>
      </c>
      <c r="X2421" s="2">
        <f ca="1"/>
        <v>54.623829823667059</v>
      </c>
      <c r="AG2421" s="2">
        <f ca="1"/>
        <v>0.74204009864942488</v>
      </c>
      <c r="AH2421" s="2" t="str">
        <f ca="1"/>
        <v>Bad</v>
      </c>
    </row>
    <row r="2422" spans="2:34" x14ac:dyDescent="0.2">
      <c r="B2422" s="2">
        <f ca="1"/>
        <v>0.13195249361107542</v>
      </c>
      <c r="O2422" s="2">
        <f ca="1"/>
        <v>-0.92651504285574826</v>
      </c>
      <c r="X2422" s="2">
        <f ca="1"/>
        <v>48.226520595176225</v>
      </c>
      <c r="AG2422" s="2">
        <f ca="1"/>
        <v>0.13260128572042285</v>
      </c>
      <c r="AH2422" s="2" t="str">
        <f ca="1"/>
        <v>OK</v>
      </c>
    </row>
    <row r="2423" spans="2:34" x14ac:dyDescent="0.2">
      <c r="B2423" s="2">
        <f ca="1"/>
        <v>0.18049743908940208</v>
      </c>
      <c r="O2423" s="2">
        <f ca="1"/>
        <v>-0.16981751537292747</v>
      </c>
      <c r="X2423" s="2">
        <f ca="1"/>
        <v>51.690817493566229</v>
      </c>
      <c r="AG2423" s="2">
        <f ca="1"/>
        <v>0.98511361980885725</v>
      </c>
      <c r="AH2423" s="2" t="str">
        <f ca="1"/>
        <v>Bad</v>
      </c>
    </row>
    <row r="2424" spans="2:34" x14ac:dyDescent="0.2">
      <c r="B2424" s="2">
        <f ca="1"/>
        <v>0.25555793479715772</v>
      </c>
      <c r="O2424" s="2">
        <f ca="1"/>
        <v>4.1620035099150979E-2</v>
      </c>
      <c r="X2424" s="2">
        <f ca="1"/>
        <v>94.000762961189793</v>
      </c>
      <c r="AG2424" s="2">
        <f ca="1"/>
        <v>0.22376702013223304</v>
      </c>
      <c r="AH2424" s="2" t="str">
        <f ca="1"/>
        <v>OK</v>
      </c>
    </row>
    <row r="2425" spans="2:34" x14ac:dyDescent="0.2">
      <c r="B2425" s="2">
        <f ca="1"/>
        <v>0.72576412667772727</v>
      </c>
      <c r="O2425" s="2">
        <f ca="1"/>
        <v>2.3121411954521354</v>
      </c>
      <c r="X2425" s="2">
        <f ca="1"/>
        <v>68.324124147948311</v>
      </c>
      <c r="AG2425" s="2">
        <f ca="1"/>
        <v>0.47684135489906643</v>
      </c>
      <c r="AH2425" s="2" t="str">
        <f ca="1"/>
        <v>Bad</v>
      </c>
    </row>
    <row r="2426" spans="2:34" x14ac:dyDescent="0.2">
      <c r="B2426" s="2">
        <f ca="1"/>
        <v>0.73412725458183226</v>
      </c>
      <c r="O2426" s="2">
        <f ca="1"/>
        <v>-1.1483240040550454E-2</v>
      </c>
      <c r="X2426" s="2">
        <f ca="1"/>
        <v>45.150734192769548</v>
      </c>
      <c r="AG2426" s="2">
        <f ca="1"/>
        <v>0.91310123635541629</v>
      </c>
      <c r="AH2426" s="2" t="str">
        <f ca="1"/>
        <v>Bad</v>
      </c>
    </row>
    <row r="2427" spans="2:34" x14ac:dyDescent="0.2">
      <c r="B2427" s="2">
        <f ca="1"/>
        <v>0.33907722043064825</v>
      </c>
      <c r="O2427" s="2">
        <f ca="1"/>
        <v>-0.34523568450541769</v>
      </c>
      <c r="X2427" s="2">
        <f ca="1"/>
        <v>74.217164329165684</v>
      </c>
      <c r="AG2427" s="2">
        <f ca="1"/>
        <v>0.45653623679640387</v>
      </c>
      <c r="AH2427" s="2" t="str">
        <f ca="1"/>
        <v>Bad</v>
      </c>
    </row>
    <row r="2428" spans="2:34" x14ac:dyDescent="0.2">
      <c r="B2428" s="2">
        <f ca="1"/>
        <v>0.53258140968923895</v>
      </c>
      <c r="O2428" s="2">
        <f ca="1"/>
        <v>0.63540977115836716</v>
      </c>
      <c r="X2428" s="2">
        <f ca="1"/>
        <v>38.697029142374923</v>
      </c>
      <c r="AG2428" s="2">
        <f ca="1"/>
        <v>0.76690438066043876</v>
      </c>
      <c r="AH2428" s="2" t="str">
        <f ca="1"/>
        <v>Bad</v>
      </c>
    </row>
    <row r="2429" spans="2:34" x14ac:dyDescent="0.2">
      <c r="B2429" s="2">
        <f ca="1"/>
        <v>0.64267162103310671</v>
      </c>
      <c r="O2429" s="2">
        <f ca="1"/>
        <v>-1.7715030687700368</v>
      </c>
      <c r="X2429" s="2">
        <f ca="1"/>
        <v>56.216231434139708</v>
      </c>
      <c r="AG2429" s="2">
        <f ca="1"/>
        <v>0.23001965176862349</v>
      </c>
      <c r="AH2429" s="2" t="str">
        <f ca="1"/>
        <v>OK</v>
      </c>
    </row>
    <row r="2430" spans="2:34" x14ac:dyDescent="0.2">
      <c r="B2430" s="2">
        <f ca="1"/>
        <v>0.38100940211149514</v>
      </c>
      <c r="O2430" s="2">
        <f ca="1"/>
        <v>-0.24313067273051422</v>
      </c>
      <c r="X2430" s="2">
        <f ca="1"/>
        <v>67.735608376197391</v>
      </c>
      <c r="AG2430" s="2">
        <f ca="1"/>
        <v>0.29874142121357572</v>
      </c>
      <c r="AH2430" s="2" t="str">
        <f ca="1"/>
        <v>OK</v>
      </c>
    </row>
    <row r="2431" spans="2:34" x14ac:dyDescent="0.2">
      <c r="B2431" s="2">
        <f ca="1"/>
        <v>0.65768879489633969</v>
      </c>
      <c r="O2431" s="2">
        <f ca="1"/>
        <v>0.1291143549576502</v>
      </c>
      <c r="X2431" s="2">
        <f ca="1"/>
        <v>39.845745924632048</v>
      </c>
      <c r="AG2431" s="2">
        <f ca="1"/>
        <v>0.77163152235877974</v>
      </c>
      <c r="AH2431" s="2" t="str">
        <f ca="1"/>
        <v>Bad</v>
      </c>
    </row>
    <row r="2432" spans="2:34" x14ac:dyDescent="0.2">
      <c r="B2432" s="2">
        <f ca="1"/>
        <v>0.95891103004412348</v>
      </c>
      <c r="O2432" s="2">
        <f ca="1"/>
        <v>-0.42037301873499083</v>
      </c>
      <c r="X2432" s="2">
        <f ca="1"/>
        <v>64.219956823089476</v>
      </c>
      <c r="AG2432" s="2">
        <f ca="1"/>
        <v>0.72974475109247106</v>
      </c>
      <c r="AH2432" s="2" t="str">
        <f ca="1"/>
        <v>Bad</v>
      </c>
    </row>
    <row r="2433" spans="2:34" x14ac:dyDescent="0.2">
      <c r="B2433" s="2">
        <f ca="1"/>
        <v>3.1800754687287158E-2</v>
      </c>
      <c r="O2433" s="2">
        <f ca="1"/>
        <v>0.55643559047974411</v>
      </c>
      <c r="X2433" s="2">
        <f ca="1"/>
        <v>34.447471369279931</v>
      </c>
      <c r="AG2433" s="2">
        <f ca="1"/>
        <v>0.36565376375640435</v>
      </c>
      <c r="AH2433" s="2" t="str">
        <f ca="1"/>
        <v>OK</v>
      </c>
    </row>
    <row r="2434" spans="2:34" x14ac:dyDescent="0.2">
      <c r="B2434" s="2">
        <f ca="1"/>
        <v>0.72039593947575953</v>
      </c>
      <c r="O2434" s="2">
        <f ca="1"/>
        <v>0.21163124312928078</v>
      </c>
      <c r="X2434" s="2">
        <f ca="1"/>
        <v>43.659639370521774</v>
      </c>
      <c r="AG2434" s="2">
        <f ca="1"/>
        <v>0.9236532960709436</v>
      </c>
      <c r="AH2434" s="2" t="str">
        <f ca="1"/>
        <v>Bad</v>
      </c>
    </row>
    <row r="2435" spans="2:34" x14ac:dyDescent="0.2">
      <c r="B2435" s="2">
        <f ca="1"/>
        <v>0.22085486359745032</v>
      </c>
      <c r="O2435" s="2">
        <f ca="1"/>
        <v>3.1036551283098412</v>
      </c>
      <c r="X2435" s="2">
        <f ca="1"/>
        <v>39.527423228805034</v>
      </c>
      <c r="AG2435" s="2">
        <f ca="1"/>
        <v>0.92077814250164147</v>
      </c>
      <c r="AH2435" s="2" t="str">
        <f ca="1"/>
        <v>Bad</v>
      </c>
    </row>
    <row r="2436" spans="2:34" x14ac:dyDescent="0.2">
      <c r="B2436" s="2">
        <f ca="1"/>
        <v>0.56804292528753675</v>
      </c>
      <c r="O2436" s="2">
        <f ca="1"/>
        <v>-0.65912605193675522</v>
      </c>
      <c r="X2436" s="2">
        <f ca="1"/>
        <v>30.193244505723111</v>
      </c>
      <c r="AG2436" s="2">
        <f ca="1"/>
        <v>0.78106091661390176</v>
      </c>
      <c r="AH2436" s="2" t="str">
        <f ca="1"/>
        <v>Bad</v>
      </c>
    </row>
    <row r="2437" spans="2:34" x14ac:dyDescent="0.2">
      <c r="B2437" s="2">
        <f ca="1"/>
        <v>5.4360307998251312E-2</v>
      </c>
      <c r="O2437" s="2">
        <f ca="1"/>
        <v>2.4032467891185201</v>
      </c>
      <c r="X2437" s="2">
        <f ca="1"/>
        <v>26.551947296660256</v>
      </c>
      <c r="AG2437" s="2">
        <f ca="1"/>
        <v>0.58161727244877448</v>
      </c>
      <c r="AH2437" s="2" t="str">
        <f ca="1"/>
        <v>Bad</v>
      </c>
    </row>
    <row r="2438" spans="2:34" x14ac:dyDescent="0.2">
      <c r="B2438" s="2">
        <f ca="1"/>
        <v>0.10355471455590992</v>
      </c>
      <c r="O2438" s="2">
        <f ca="1"/>
        <v>1.4288120469261161</v>
      </c>
      <c r="X2438" s="2">
        <f ca="1"/>
        <v>66.573743024489559</v>
      </c>
      <c r="AG2438" s="2">
        <f ca="1"/>
        <v>0.35076354866886117</v>
      </c>
      <c r="AH2438" s="2" t="str">
        <f ca="1"/>
        <v>OK</v>
      </c>
    </row>
    <row r="2439" spans="2:34" x14ac:dyDescent="0.2">
      <c r="B2439" s="2">
        <f ca="1"/>
        <v>0.60421317819704035</v>
      </c>
      <c r="O2439" s="2">
        <f ca="1"/>
        <v>1.0284451574916946</v>
      </c>
      <c r="X2439" s="2">
        <f ca="1"/>
        <v>39.946733757904035</v>
      </c>
      <c r="AG2439" s="2">
        <f ca="1"/>
        <v>0.70283500252537756</v>
      </c>
      <c r="AH2439" s="2" t="str">
        <f ca="1"/>
        <v>Bad</v>
      </c>
    </row>
    <row r="2440" spans="2:34" x14ac:dyDescent="0.2">
      <c r="B2440" s="2">
        <f ca="1"/>
        <v>3.4293367683545073E-2</v>
      </c>
      <c r="O2440" s="2">
        <f ca="1"/>
        <v>1.7270935343318481</v>
      </c>
      <c r="X2440" s="2">
        <f ca="1"/>
        <v>34.606398530461114</v>
      </c>
      <c r="AG2440" s="2">
        <f ca="1"/>
        <v>0.97955230885974554</v>
      </c>
      <c r="AH2440" s="2" t="str">
        <f ca="1"/>
        <v>Bad</v>
      </c>
    </row>
    <row r="2441" spans="2:34" x14ac:dyDescent="0.2">
      <c r="B2441" s="2">
        <f ca="1"/>
        <v>0.29578794067220859</v>
      </c>
      <c r="O2441" s="2">
        <f ca="1"/>
        <v>-1.7650843391993654</v>
      </c>
      <c r="X2441" s="2">
        <f ca="1"/>
        <v>54.34700643467756</v>
      </c>
      <c r="AG2441" s="2">
        <f ca="1"/>
        <v>0.82652257871327994</v>
      </c>
      <c r="AH2441" s="2" t="str">
        <f ca="1"/>
        <v>Bad</v>
      </c>
    </row>
    <row r="2442" spans="2:34" x14ac:dyDescent="0.2">
      <c r="B2442" s="2">
        <f ca="1"/>
        <v>0.26961044758460972</v>
      </c>
      <c r="O2442" s="2">
        <f ca="1"/>
        <v>-1.870866122069801E-2</v>
      </c>
      <c r="X2442" s="2">
        <f ca="1"/>
        <v>76.235344774724624</v>
      </c>
      <c r="AG2442" s="2">
        <f ca="1"/>
        <v>3.1088908881584443E-2</v>
      </c>
      <c r="AH2442" s="2" t="str">
        <f ca="1"/>
        <v>Good</v>
      </c>
    </row>
    <row r="2443" spans="2:34" x14ac:dyDescent="0.2">
      <c r="B2443" s="2">
        <f ca="1"/>
        <v>0.60876475020796006</v>
      </c>
      <c r="O2443" s="2">
        <f ca="1"/>
        <v>-0.16634375322839093</v>
      </c>
      <c r="X2443" s="2">
        <f ca="1"/>
        <v>42.931940499316561</v>
      </c>
      <c r="AG2443" s="2">
        <f ca="1"/>
        <v>1.7546522248253815E-2</v>
      </c>
      <c r="AH2443" s="2" t="str">
        <f ca="1"/>
        <v>Good</v>
      </c>
    </row>
    <row r="2444" spans="2:34" x14ac:dyDescent="0.2">
      <c r="B2444" s="2">
        <f ca="1"/>
        <v>0.20549350042945003</v>
      </c>
      <c r="O2444" s="2">
        <f ca="1"/>
        <v>-0.71579406020230096</v>
      </c>
      <c r="X2444" s="2">
        <f ca="1"/>
        <v>67.234791572332142</v>
      </c>
      <c r="AG2444" s="2">
        <f ca="1"/>
        <v>0.51205104608754293</v>
      </c>
      <c r="AH2444" s="2" t="str">
        <f ca="1"/>
        <v>Bad</v>
      </c>
    </row>
    <row r="2445" spans="2:34" x14ac:dyDescent="0.2">
      <c r="B2445" s="2">
        <f ca="1"/>
        <v>0.23021930751616226</v>
      </c>
      <c r="O2445" s="2">
        <f ca="1"/>
        <v>0.48584715132618611</v>
      </c>
      <c r="X2445" s="2">
        <f ca="1"/>
        <v>46.874158460331181</v>
      </c>
      <c r="AG2445" s="2">
        <f ca="1"/>
        <v>3.1036870963406793E-2</v>
      </c>
      <c r="AH2445" s="2" t="str">
        <f ca="1"/>
        <v>Good</v>
      </c>
    </row>
    <row r="2446" spans="2:34" x14ac:dyDescent="0.2">
      <c r="B2446" s="2">
        <f ca="1"/>
        <v>0.9049243513259988</v>
      </c>
      <c r="O2446" s="2">
        <f ca="1"/>
        <v>0.47519206612221498</v>
      </c>
      <c r="X2446" s="2">
        <f ca="1"/>
        <v>67.037277266107822</v>
      </c>
      <c r="AG2446" s="2">
        <f ca="1"/>
        <v>0.44935525866729087</v>
      </c>
      <c r="AH2446" s="2" t="str">
        <f ca="1"/>
        <v>Bad</v>
      </c>
    </row>
    <row r="2447" spans="2:34" x14ac:dyDescent="0.2">
      <c r="B2447" s="2">
        <f ca="1"/>
        <v>0.58103303690328367</v>
      </c>
      <c r="O2447" s="2">
        <f ca="1"/>
        <v>-0.22751029224771968</v>
      </c>
      <c r="X2447" s="2">
        <f ca="1"/>
        <v>36.994001549121926</v>
      </c>
      <c r="AG2447" s="2">
        <f ca="1"/>
        <v>0.86526176395553156</v>
      </c>
      <c r="AH2447" s="2" t="str">
        <f ca="1"/>
        <v>Bad</v>
      </c>
    </row>
    <row r="2448" spans="2:34" x14ac:dyDescent="0.2">
      <c r="B2448" s="2">
        <f ca="1"/>
        <v>0.17822003524493479</v>
      </c>
      <c r="O2448" s="2">
        <f ca="1"/>
        <v>2.1064230581575307</v>
      </c>
      <c r="X2448" s="2">
        <f ca="1"/>
        <v>45.779908369295711</v>
      </c>
      <c r="AG2448" s="2">
        <f ca="1"/>
        <v>5.7128377786631823E-2</v>
      </c>
      <c r="AH2448" s="2" t="str">
        <f ca="1"/>
        <v>OK</v>
      </c>
    </row>
    <row r="2449" spans="2:34" x14ac:dyDescent="0.2">
      <c r="B2449" s="2">
        <f ca="1"/>
        <v>0.83413052480771821</v>
      </c>
      <c r="O2449" s="2">
        <f ca="1"/>
        <v>-0.15183216567469665</v>
      </c>
      <c r="X2449" s="2">
        <f ca="1"/>
        <v>48.642607457135924</v>
      </c>
      <c r="AG2449" s="2">
        <f ca="1"/>
        <v>0.65047804333140791</v>
      </c>
      <c r="AH2449" s="2" t="str">
        <f ca="1"/>
        <v>Bad</v>
      </c>
    </row>
    <row r="2450" spans="2:34" x14ac:dyDescent="0.2">
      <c r="B2450" s="2">
        <f ca="1"/>
        <v>0.80633908258829368</v>
      </c>
      <c r="O2450" s="2">
        <f ca="1"/>
        <v>-0.42429478882697963</v>
      </c>
      <c r="X2450" s="2">
        <f ca="1"/>
        <v>56.183650751640506</v>
      </c>
      <c r="AG2450" s="2">
        <f ca="1"/>
        <v>0.30413297341816015</v>
      </c>
      <c r="AH2450" s="2" t="str">
        <f ca="1"/>
        <v>OK</v>
      </c>
    </row>
    <row r="2451" spans="2:34" x14ac:dyDescent="0.2">
      <c r="B2451" s="2">
        <f ca="1"/>
        <v>0.31849134114861744</v>
      </c>
      <c r="O2451" s="2">
        <f ca="1"/>
        <v>-0.65868707698138451</v>
      </c>
      <c r="X2451" s="2">
        <f ca="1"/>
        <v>42.394232876648061</v>
      </c>
      <c r="AG2451" s="2">
        <f ca="1"/>
        <v>0.80354613353824655</v>
      </c>
      <c r="AH2451" s="2" t="str">
        <f ca="1"/>
        <v>Bad</v>
      </c>
    </row>
    <row r="2452" spans="2:34" x14ac:dyDescent="0.2">
      <c r="B2452" s="2">
        <f ca="1"/>
        <v>3.2445738188724427E-4</v>
      </c>
      <c r="O2452" s="2">
        <f ca="1"/>
        <v>-1.3126077625017822</v>
      </c>
      <c r="X2452" s="2">
        <f ca="1"/>
        <v>33.382811004596881</v>
      </c>
      <c r="AG2452" s="2">
        <f ca="1"/>
        <v>0.26614261636699643</v>
      </c>
      <c r="AH2452" s="2" t="str">
        <f ca="1"/>
        <v>OK</v>
      </c>
    </row>
    <row r="2453" spans="2:34" x14ac:dyDescent="0.2">
      <c r="B2453" s="2">
        <f ca="1"/>
        <v>0.21336469024088056</v>
      </c>
      <c r="O2453" s="2">
        <f ca="1"/>
        <v>2.2904450334581465</v>
      </c>
      <c r="X2453" s="2">
        <f ca="1"/>
        <v>28.270538112231698</v>
      </c>
      <c r="AG2453" s="2">
        <f ca="1"/>
        <v>0.56048350181910389</v>
      </c>
      <c r="AH2453" s="2" t="str">
        <f ca="1"/>
        <v>Bad</v>
      </c>
    </row>
    <row r="2454" spans="2:34" x14ac:dyDescent="0.2">
      <c r="B2454" s="2">
        <f ca="1"/>
        <v>0.7701219608004688</v>
      </c>
      <c r="O2454" s="2">
        <f ca="1"/>
        <v>0.41247877857949605</v>
      </c>
      <c r="X2454" s="2">
        <f ca="1"/>
        <v>36.290236631938669</v>
      </c>
      <c r="AG2454" s="2">
        <f ca="1"/>
        <v>0.50638950465744048</v>
      </c>
      <c r="AH2454" s="2" t="str">
        <f ca="1"/>
        <v>Bad</v>
      </c>
    </row>
    <row r="2455" spans="2:34" x14ac:dyDescent="0.2">
      <c r="B2455" s="2">
        <f ca="1"/>
        <v>0.41717104412227246</v>
      </c>
      <c r="O2455" s="2">
        <f ca="1"/>
        <v>0.83665403725933052</v>
      </c>
      <c r="X2455" s="2">
        <f ca="1"/>
        <v>78.738901559603164</v>
      </c>
      <c r="AG2455" s="2">
        <f ca="1"/>
        <v>0.75741477021008641</v>
      </c>
      <c r="AH2455" s="2" t="str">
        <f ca="1"/>
        <v>Bad</v>
      </c>
    </row>
    <row r="2456" spans="2:34" x14ac:dyDescent="0.2">
      <c r="B2456" s="2">
        <f ca="1"/>
        <v>0.46608836212749116</v>
      </c>
      <c r="O2456" s="2">
        <f ca="1"/>
        <v>0.83238842892146037</v>
      </c>
      <c r="X2456" s="2">
        <f ca="1"/>
        <v>41.631504316342941</v>
      </c>
      <c r="AG2456" s="2">
        <f ca="1"/>
        <v>0.94732998865884599</v>
      </c>
      <c r="AH2456" s="2" t="str">
        <f ca="1"/>
        <v>Bad</v>
      </c>
    </row>
    <row r="2457" spans="2:34" x14ac:dyDescent="0.2">
      <c r="B2457" s="2">
        <f ca="1"/>
        <v>0.91402252981215115</v>
      </c>
      <c r="O2457" s="2">
        <f ca="1"/>
        <v>-0.78237379987547029</v>
      </c>
      <c r="X2457" s="2">
        <f ca="1"/>
        <v>17.29250714359344</v>
      </c>
      <c r="AG2457" s="2">
        <f ca="1"/>
        <v>0.70763536527134208</v>
      </c>
      <c r="AH2457" s="2" t="str">
        <f ca="1"/>
        <v>Bad</v>
      </c>
    </row>
    <row r="2458" spans="2:34" x14ac:dyDescent="0.2">
      <c r="B2458" s="2">
        <f ca="1"/>
        <v>0.77283320324738658</v>
      </c>
      <c r="O2458" s="2">
        <f ca="1"/>
        <v>-0.64577185053309538</v>
      </c>
      <c r="X2458" s="2">
        <f ca="1"/>
        <v>26.015327222667231</v>
      </c>
      <c r="AG2458" s="2">
        <f ca="1"/>
        <v>0.55060564795327571</v>
      </c>
      <c r="AH2458" s="2" t="str">
        <f ca="1"/>
        <v>Bad</v>
      </c>
    </row>
    <row r="2459" spans="2:34" x14ac:dyDescent="0.2">
      <c r="B2459" s="2">
        <f ca="1"/>
        <v>0.96274184535991125</v>
      </c>
      <c r="O2459" s="2">
        <f ca="1"/>
        <v>1.1600824934049707</v>
      </c>
      <c r="X2459" s="2">
        <f ca="1"/>
        <v>52.97508320508576</v>
      </c>
      <c r="AG2459" s="2">
        <f ca="1"/>
        <v>0.95287670727125251</v>
      </c>
      <c r="AH2459" s="2" t="str">
        <f ca="1"/>
        <v>Bad</v>
      </c>
    </row>
    <row r="2460" spans="2:34" x14ac:dyDescent="0.2">
      <c r="B2460" s="2">
        <f ca="1"/>
        <v>0.39808883550175689</v>
      </c>
      <c r="O2460" s="2">
        <f ca="1"/>
        <v>0.16818508022508755</v>
      </c>
      <c r="X2460" s="2">
        <f ca="1"/>
        <v>44.837213134067696</v>
      </c>
      <c r="AG2460" s="2">
        <f ca="1"/>
        <v>0.60935284677572787</v>
      </c>
      <c r="AH2460" s="2" t="str">
        <f ca="1"/>
        <v>Bad</v>
      </c>
    </row>
    <row r="2461" spans="2:34" x14ac:dyDescent="0.2">
      <c r="B2461" s="2">
        <f ca="1"/>
        <v>0.66097293055295325</v>
      </c>
      <c r="O2461" s="2">
        <f ca="1"/>
        <v>-1.8136840849748441</v>
      </c>
      <c r="X2461" s="2">
        <f ca="1"/>
        <v>48.693001904153135</v>
      </c>
      <c r="AG2461" s="2">
        <f ca="1"/>
        <v>0.32849044475782518</v>
      </c>
      <c r="AH2461" s="2" t="str">
        <f ca="1"/>
        <v>OK</v>
      </c>
    </row>
    <row r="2462" spans="2:34" x14ac:dyDescent="0.2">
      <c r="B2462" s="2">
        <f ca="1"/>
        <v>0.13841348623886818</v>
      </c>
      <c r="O2462" s="2">
        <f ca="1"/>
        <v>-0.39716431251278583</v>
      </c>
      <c r="X2462" s="2">
        <f ca="1"/>
        <v>73.178359253240671</v>
      </c>
      <c r="AG2462" s="2">
        <f ca="1"/>
        <v>0.78162275470009779</v>
      </c>
      <c r="AH2462" s="2" t="str">
        <f ca="1"/>
        <v>Bad</v>
      </c>
    </row>
    <row r="2463" spans="2:34" x14ac:dyDescent="0.2">
      <c r="B2463" s="2">
        <f ca="1"/>
        <v>0.7926882492559193</v>
      </c>
      <c r="O2463" s="2">
        <f ca="1"/>
        <v>0.99266406378964089</v>
      </c>
      <c r="X2463" s="2">
        <f ca="1"/>
        <v>52.53486016017591</v>
      </c>
      <c r="AG2463" s="2">
        <f ca="1"/>
        <v>0.56883513014477272</v>
      </c>
      <c r="AH2463" s="2" t="str">
        <f ca="1"/>
        <v>Bad</v>
      </c>
    </row>
    <row r="2464" spans="2:34" x14ac:dyDescent="0.2">
      <c r="B2464" s="2">
        <f ca="1"/>
        <v>0.30167681432450211</v>
      </c>
      <c r="O2464" s="2">
        <f ca="1"/>
        <v>-1.1642413123160094</v>
      </c>
      <c r="X2464" s="2">
        <f ca="1"/>
        <v>40.053277512927693</v>
      </c>
      <c r="AG2464" s="2">
        <f ca="1"/>
        <v>0.9228576823266661</v>
      </c>
      <c r="AH2464" s="2" t="str">
        <f ca="1"/>
        <v>Bad</v>
      </c>
    </row>
    <row r="2465" spans="2:34" x14ac:dyDescent="0.2">
      <c r="B2465" s="2">
        <f ca="1"/>
        <v>0.42245967082344982</v>
      </c>
      <c r="O2465" s="2">
        <f ca="1"/>
        <v>2.0837234101345268</v>
      </c>
      <c r="X2465" s="2">
        <f ca="1"/>
        <v>36.816836565513277</v>
      </c>
      <c r="AG2465" s="2">
        <f ca="1"/>
        <v>0.35020767398103114</v>
      </c>
      <c r="AH2465" s="2" t="str">
        <f ca="1"/>
        <v>OK</v>
      </c>
    </row>
    <row r="2466" spans="2:34" x14ac:dyDescent="0.2">
      <c r="B2466" s="2">
        <f ca="1"/>
        <v>0.86333366513099907</v>
      </c>
      <c r="O2466" s="2">
        <f ca="1"/>
        <v>1.0262390211840644</v>
      </c>
      <c r="X2466" s="2">
        <f ca="1"/>
        <v>35.615853874006056</v>
      </c>
      <c r="AG2466" s="2">
        <f ca="1"/>
        <v>0.81486610518884217</v>
      </c>
      <c r="AH2466" s="2" t="str">
        <f ca="1"/>
        <v>Bad</v>
      </c>
    </row>
    <row r="2467" spans="2:34" x14ac:dyDescent="0.2">
      <c r="B2467" s="2">
        <f ca="1"/>
        <v>0.4334070180781131</v>
      </c>
      <c r="O2467" s="2">
        <f ca="1"/>
        <v>-0.59432953374883246</v>
      </c>
      <c r="X2467" s="2">
        <f ca="1"/>
        <v>68.730500312224535</v>
      </c>
      <c r="AG2467" s="2">
        <f ca="1"/>
        <v>0.8694564578878512</v>
      </c>
      <c r="AH2467" s="2" t="str">
        <f ca="1"/>
        <v>Bad</v>
      </c>
    </row>
    <row r="2468" spans="2:34" x14ac:dyDescent="0.2">
      <c r="B2468" s="2">
        <f ca="1"/>
        <v>7.2511109815888597E-2</v>
      </c>
      <c r="O2468" s="2">
        <f ca="1"/>
        <v>-0.4751438359671179</v>
      </c>
      <c r="X2468" s="2">
        <f ca="1"/>
        <v>36.485070411650916</v>
      </c>
      <c r="AG2468" s="2">
        <f ca="1"/>
        <v>0.93779779720930478</v>
      </c>
      <c r="AH2468" s="2" t="str">
        <f ca="1"/>
        <v>Bad</v>
      </c>
    </row>
    <row r="2469" spans="2:34" x14ac:dyDescent="0.2">
      <c r="B2469" s="2">
        <f ca="1"/>
        <v>0.25881607455050282</v>
      </c>
      <c r="O2469" s="2">
        <f ca="1"/>
        <v>1.4658632144697277</v>
      </c>
      <c r="X2469" s="2">
        <f ca="1"/>
        <v>35.939364618143571</v>
      </c>
      <c r="AG2469" s="2">
        <f ca="1"/>
        <v>0.47180203545029964</v>
      </c>
      <c r="AH2469" s="2" t="str">
        <f ca="1"/>
        <v>Bad</v>
      </c>
    </row>
    <row r="2470" spans="2:34" x14ac:dyDescent="0.2">
      <c r="B2470" s="2">
        <f ca="1"/>
        <v>0.62696134926780966</v>
      </c>
      <c r="O2470" s="2">
        <f ca="1"/>
        <v>0.86191415256433435</v>
      </c>
      <c r="X2470" s="2">
        <f ca="1"/>
        <v>49.019168248647517</v>
      </c>
      <c r="AG2470" s="2">
        <f ca="1"/>
        <v>8.6923255050623149E-2</v>
      </c>
      <c r="AH2470" s="2" t="str">
        <f ca="1"/>
        <v>OK</v>
      </c>
    </row>
    <row r="2471" spans="2:34" x14ac:dyDescent="0.2">
      <c r="B2471" s="2">
        <f ca="1"/>
        <v>0.53494261220209927</v>
      </c>
      <c r="O2471" s="2">
        <f ca="1"/>
        <v>-2.2893037707233628</v>
      </c>
      <c r="X2471" s="2">
        <f ca="1"/>
        <v>47.254212298630414</v>
      </c>
      <c r="AG2471" s="2">
        <f ca="1"/>
        <v>0.64751131296072528</v>
      </c>
      <c r="AH2471" s="2" t="str">
        <f ca="1"/>
        <v>Bad</v>
      </c>
    </row>
    <row r="2472" spans="2:34" x14ac:dyDescent="0.2">
      <c r="B2472" s="2">
        <f ca="1"/>
        <v>0.65570403645693331</v>
      </c>
      <c r="O2472" s="2">
        <f ca="1"/>
        <v>0.68570208882336325</v>
      </c>
      <c r="X2472" s="2">
        <f ca="1"/>
        <v>43.826359653842303</v>
      </c>
      <c r="AG2472" s="2">
        <f ca="1"/>
        <v>0.64545182558506231</v>
      </c>
      <c r="AH2472" s="2" t="str">
        <f ca="1"/>
        <v>Bad</v>
      </c>
    </row>
    <row r="2473" spans="2:34" x14ac:dyDescent="0.2">
      <c r="B2473" s="2">
        <f ca="1"/>
        <v>0.59700094898858302</v>
      </c>
      <c r="O2473" s="2">
        <f ca="1"/>
        <v>-0.56901991500541693</v>
      </c>
      <c r="X2473" s="2">
        <f ca="1"/>
        <v>54.181236201491416</v>
      </c>
      <c r="AG2473" s="2">
        <f ca="1"/>
        <v>0.732762245224575</v>
      </c>
      <c r="AH2473" s="2" t="str">
        <f ca="1"/>
        <v>Bad</v>
      </c>
    </row>
    <row r="2474" spans="2:34" x14ac:dyDescent="0.2">
      <c r="B2474" s="2">
        <f ca="1"/>
        <v>0.53855911574643267</v>
      </c>
      <c r="O2474" s="2">
        <f ca="1"/>
        <v>-0.90620972307991698</v>
      </c>
      <c r="X2474" s="2">
        <f ca="1"/>
        <v>66.528700907297122</v>
      </c>
      <c r="AG2474" s="2">
        <f ca="1"/>
        <v>0.7262345187301249</v>
      </c>
      <c r="AH2474" s="2" t="str">
        <f ca="1"/>
        <v>Bad</v>
      </c>
    </row>
    <row r="2475" spans="2:34" x14ac:dyDescent="0.2">
      <c r="B2475" s="2">
        <f ca="1"/>
        <v>0.99924701053528775</v>
      </c>
      <c r="O2475" s="2">
        <f ca="1"/>
        <v>1.0081807743774966</v>
      </c>
      <c r="X2475" s="2">
        <f ca="1"/>
        <v>54.996181934761609</v>
      </c>
      <c r="AG2475" s="2">
        <f ca="1"/>
        <v>0.17472128253488095</v>
      </c>
      <c r="AH2475" s="2" t="str">
        <f ca="1"/>
        <v>OK</v>
      </c>
    </row>
    <row r="2476" spans="2:34" x14ac:dyDescent="0.2">
      <c r="B2476" s="2">
        <f ca="1"/>
        <v>0.44977448363390304</v>
      </c>
      <c r="O2476" s="2">
        <f ca="1"/>
        <v>1.310185688204448</v>
      </c>
      <c r="X2476" s="2">
        <f ca="1"/>
        <v>40.384558284690684</v>
      </c>
      <c r="AG2476" s="2">
        <f ca="1"/>
        <v>0.44344070686814607</v>
      </c>
      <c r="AH2476" s="2" t="str">
        <f ca="1"/>
        <v>Bad</v>
      </c>
    </row>
    <row r="2477" spans="2:34" x14ac:dyDescent="0.2">
      <c r="B2477" s="2">
        <f ca="1"/>
        <v>0.66069215125127334</v>
      </c>
      <c r="O2477" s="2">
        <f ca="1"/>
        <v>0.58368137176919799</v>
      </c>
      <c r="X2477" s="2">
        <f ca="1"/>
        <v>73.972655446449636</v>
      </c>
      <c r="AG2477" s="2">
        <f ca="1"/>
        <v>0.46733026709445413</v>
      </c>
      <c r="AH2477" s="2" t="str">
        <f ca="1"/>
        <v>Bad</v>
      </c>
    </row>
    <row r="2478" spans="2:34" x14ac:dyDescent="0.2">
      <c r="B2478" s="2">
        <f ca="1"/>
        <v>0.44436017393782667</v>
      </c>
      <c r="O2478" s="2">
        <f ca="1"/>
        <v>1.2010941887971047</v>
      </c>
      <c r="X2478" s="2">
        <f ca="1"/>
        <v>48.266024951473348</v>
      </c>
      <c r="AG2478" s="2">
        <f ca="1"/>
        <v>0.19936387181506898</v>
      </c>
      <c r="AH2478" s="2" t="str">
        <f ca="1"/>
        <v>OK</v>
      </c>
    </row>
    <row r="2479" spans="2:34" x14ac:dyDescent="0.2">
      <c r="B2479" s="2">
        <f ca="1"/>
        <v>0.54043814811612823</v>
      </c>
      <c r="O2479" s="2">
        <f ca="1"/>
        <v>0.33952308073302134</v>
      </c>
      <c r="X2479" s="2">
        <f ca="1"/>
        <v>32.320456871757742</v>
      </c>
      <c r="AG2479" s="2">
        <f ca="1"/>
        <v>0.72376262905103639</v>
      </c>
      <c r="AH2479" s="2" t="str">
        <f ca="1"/>
        <v>Bad</v>
      </c>
    </row>
    <row r="2480" spans="2:34" x14ac:dyDescent="0.2">
      <c r="B2480" s="2">
        <f ca="1"/>
        <v>0.40086131984077511</v>
      </c>
      <c r="O2480" s="2">
        <f ca="1"/>
        <v>-2.2884966564469231E-2</v>
      </c>
      <c r="X2480" s="2">
        <f ca="1"/>
        <v>51.30684176913762</v>
      </c>
      <c r="AG2480" s="2">
        <f ca="1"/>
        <v>0.8198897431771428</v>
      </c>
      <c r="AH2480" s="2" t="str">
        <f ca="1"/>
        <v>Bad</v>
      </c>
    </row>
    <row r="2481" spans="2:34" x14ac:dyDescent="0.2">
      <c r="B2481" s="2">
        <f ca="1"/>
        <v>0.30270539156814302</v>
      </c>
      <c r="O2481" s="2">
        <f ca="1"/>
        <v>0.57455950589653337</v>
      </c>
      <c r="X2481" s="2">
        <f ca="1"/>
        <v>31.368828421335778</v>
      </c>
      <c r="AG2481" s="2">
        <f ca="1"/>
        <v>1.4024957238190083E-3</v>
      </c>
      <c r="AH2481" s="2" t="str">
        <f ca="1"/>
        <v>Good</v>
      </c>
    </row>
    <row r="2482" spans="2:34" x14ac:dyDescent="0.2">
      <c r="B2482" s="2">
        <f ca="1"/>
        <v>0.7726566759286162</v>
      </c>
      <c r="O2482" s="2">
        <f ca="1"/>
        <v>0.2807350598627591</v>
      </c>
      <c r="X2482" s="2">
        <f ca="1"/>
        <v>62.58824518893757</v>
      </c>
      <c r="AG2482" s="2">
        <f ca="1"/>
        <v>0.65028330932010725</v>
      </c>
      <c r="AH2482" s="2" t="str">
        <f ca="1"/>
        <v>Bad</v>
      </c>
    </row>
    <row r="2483" spans="2:34" x14ac:dyDescent="0.2">
      <c r="B2483" s="2">
        <f ca="1"/>
        <v>0.14895245770149734</v>
      </c>
      <c r="O2483" s="2">
        <f ca="1"/>
        <v>1.1087431965349563</v>
      </c>
      <c r="X2483" s="2">
        <f ca="1"/>
        <v>38.050753209016641</v>
      </c>
      <c r="AG2483" s="2">
        <f ca="1"/>
        <v>0.84024689609944359</v>
      </c>
      <c r="AH2483" s="2" t="str">
        <f ca="1"/>
        <v>Bad</v>
      </c>
    </row>
    <row r="2484" spans="2:34" x14ac:dyDescent="0.2">
      <c r="B2484" s="2">
        <f ca="1"/>
        <v>0.2694474317465676</v>
      </c>
      <c r="O2484" s="2">
        <f ca="1"/>
        <v>0.52542952444874769</v>
      </c>
      <c r="X2484" s="2">
        <f ca="1"/>
        <v>58.473934318246286</v>
      </c>
      <c r="AG2484" s="2">
        <f ca="1"/>
        <v>0.66169413551808431</v>
      </c>
      <c r="AH2484" s="2" t="str">
        <f ca="1"/>
        <v>Bad</v>
      </c>
    </row>
    <row r="2485" spans="2:34" x14ac:dyDescent="0.2">
      <c r="B2485" s="2">
        <f ca="1"/>
        <v>0.98838585737610196</v>
      </c>
      <c r="O2485" s="2">
        <f ca="1"/>
        <v>4.0031908173528731E-2</v>
      </c>
      <c r="X2485" s="2">
        <f ca="1"/>
        <v>52.514515512306986</v>
      </c>
      <c r="AG2485" s="2">
        <f ca="1"/>
        <v>0.16885073896162495</v>
      </c>
      <c r="AH2485" s="2" t="str">
        <f ca="1"/>
        <v>OK</v>
      </c>
    </row>
    <row r="2486" spans="2:34" x14ac:dyDescent="0.2">
      <c r="B2486" s="2">
        <f ca="1"/>
        <v>0.13555852264608115</v>
      </c>
      <c r="O2486" s="2">
        <f ca="1"/>
        <v>-0.97263370466950705</v>
      </c>
      <c r="X2486" s="2">
        <f ca="1"/>
        <v>37.387325783466537</v>
      </c>
      <c r="AG2486" s="2">
        <f ca="1"/>
        <v>0.85559630618530136</v>
      </c>
      <c r="AH2486" s="2" t="str">
        <f ca="1"/>
        <v>Bad</v>
      </c>
    </row>
    <row r="2487" spans="2:34" x14ac:dyDescent="0.2">
      <c r="B2487" s="2">
        <f ca="1"/>
        <v>0.94227695986317506</v>
      </c>
      <c r="O2487" s="2">
        <f ca="1"/>
        <v>0.22833943195988657</v>
      </c>
      <c r="X2487" s="2">
        <f ca="1"/>
        <v>56.316778944617838</v>
      </c>
      <c r="AG2487" s="2">
        <f ca="1"/>
        <v>0.29639846059345221</v>
      </c>
      <c r="AH2487" s="2" t="str">
        <f ca="1"/>
        <v>OK</v>
      </c>
    </row>
    <row r="2488" spans="2:34" x14ac:dyDescent="0.2">
      <c r="B2488" s="2">
        <f ca="1"/>
        <v>0.55039437530847857</v>
      </c>
      <c r="O2488" s="2">
        <f ca="1"/>
        <v>1.0615307803463954</v>
      </c>
      <c r="X2488" s="2">
        <f ca="1"/>
        <v>30.970460469423337</v>
      </c>
      <c r="AG2488" s="2">
        <f ca="1"/>
        <v>0.5390418579514431</v>
      </c>
      <c r="AH2488" s="2" t="str">
        <f ca="1"/>
        <v>Bad</v>
      </c>
    </row>
    <row r="2489" spans="2:34" x14ac:dyDescent="0.2">
      <c r="B2489" s="2">
        <f ca="1"/>
        <v>0.40543305314174249</v>
      </c>
      <c r="O2489" s="2">
        <f ca="1"/>
        <v>0.34390289742095048</v>
      </c>
      <c r="X2489" s="2">
        <f ca="1"/>
        <v>48.317086631178192</v>
      </c>
      <c r="AG2489" s="2">
        <f ca="1"/>
        <v>0.92514706395133484</v>
      </c>
      <c r="AH2489" s="2" t="str">
        <f ca="1"/>
        <v>Bad</v>
      </c>
    </row>
    <row r="2490" spans="2:34" x14ac:dyDescent="0.2">
      <c r="B2490" s="2">
        <f ca="1"/>
        <v>0.27341319314652157</v>
      </c>
      <c r="O2490" s="2">
        <f ca="1"/>
        <v>-0.96533036427444929</v>
      </c>
      <c r="X2490" s="2">
        <f ca="1"/>
        <v>36.406301886294195</v>
      </c>
      <c r="AG2490" s="2">
        <f ca="1"/>
        <v>0.1057565067445374</v>
      </c>
      <c r="AH2490" s="2" t="str">
        <f ca="1"/>
        <v>OK</v>
      </c>
    </row>
    <row r="2491" spans="2:34" x14ac:dyDescent="0.2">
      <c r="B2491" s="2">
        <f ca="1"/>
        <v>0.53805298242298005</v>
      </c>
      <c r="O2491" s="2">
        <f ca="1"/>
        <v>-1.2985160440385588</v>
      </c>
      <c r="X2491" s="2">
        <f ca="1"/>
        <v>84.811588523861005</v>
      </c>
      <c r="AG2491" s="2">
        <f ca="1"/>
        <v>0.57148192040184398</v>
      </c>
      <c r="AH2491" s="2" t="str">
        <f ca="1"/>
        <v>Bad</v>
      </c>
    </row>
    <row r="2492" spans="2:34" x14ac:dyDescent="0.2">
      <c r="B2492" s="2">
        <f ca="1"/>
        <v>0.18502928180516176</v>
      </c>
      <c r="O2492" s="2">
        <f ca="1"/>
        <v>-0.55094081467822553</v>
      </c>
      <c r="X2492" s="2">
        <f ca="1"/>
        <v>51.755064733468579</v>
      </c>
      <c r="AG2492" s="2">
        <f ca="1"/>
        <v>0.6039457626502891</v>
      </c>
      <c r="AH2492" s="2" t="str">
        <f ca="1"/>
        <v>Bad</v>
      </c>
    </row>
    <row r="2493" spans="2:34" x14ac:dyDescent="0.2">
      <c r="B2493" s="2">
        <f ca="1"/>
        <v>0.5346936438262011</v>
      </c>
      <c r="O2493" s="2">
        <f ca="1"/>
        <v>3.2921885400399651</v>
      </c>
      <c r="X2493" s="2">
        <f ca="1"/>
        <v>43.36649098597529</v>
      </c>
      <c r="AG2493" s="2">
        <f ca="1"/>
        <v>0.96778084071372716</v>
      </c>
      <c r="AH2493" s="2" t="str">
        <f ca="1"/>
        <v>Bad</v>
      </c>
    </row>
    <row r="2494" spans="2:34" x14ac:dyDescent="0.2">
      <c r="B2494" s="2">
        <f ca="1"/>
        <v>4.3378698168155205E-2</v>
      </c>
      <c r="O2494" s="2">
        <f ca="1"/>
        <v>1.162838567528617</v>
      </c>
      <c r="X2494" s="2">
        <f ca="1"/>
        <v>36.35572323990025</v>
      </c>
      <c r="AG2494" s="2">
        <f ca="1"/>
        <v>0.86734445657021864</v>
      </c>
      <c r="AH2494" s="2" t="str">
        <f ca="1"/>
        <v>Bad</v>
      </c>
    </row>
    <row r="2495" spans="2:34" x14ac:dyDescent="0.2">
      <c r="B2495" s="2">
        <f ca="1"/>
        <v>0.61547696427172327</v>
      </c>
      <c r="O2495" s="2">
        <f ca="1"/>
        <v>-1.4251843444106591</v>
      </c>
      <c r="X2495" s="2">
        <f ca="1"/>
        <v>47.87514986218379</v>
      </c>
      <c r="AG2495" s="2">
        <f ca="1"/>
        <v>0.67517115320741472</v>
      </c>
      <c r="AH2495" s="2" t="str">
        <f ca="1"/>
        <v>Bad</v>
      </c>
    </row>
    <row r="2496" spans="2:34" x14ac:dyDescent="0.2">
      <c r="B2496" s="2">
        <f ca="1"/>
        <v>0.75242441147572547</v>
      </c>
      <c r="O2496" s="2">
        <f ca="1"/>
        <v>-0.78281661580585005</v>
      </c>
      <c r="X2496" s="2">
        <f ca="1"/>
        <v>67.033335100374657</v>
      </c>
      <c r="AG2496" s="2">
        <f ca="1"/>
        <v>0.72093469597148618</v>
      </c>
      <c r="AH2496" s="2" t="str">
        <f ca="1"/>
        <v>Bad</v>
      </c>
    </row>
    <row r="2497" spans="2:34" x14ac:dyDescent="0.2">
      <c r="B2497" s="2">
        <f ca="1"/>
        <v>0.6573439383553572</v>
      </c>
      <c r="O2497" s="2">
        <f ca="1"/>
        <v>1.3800426053021024</v>
      </c>
      <c r="X2497" s="2">
        <f ca="1"/>
        <v>49.56179610710447</v>
      </c>
      <c r="AG2497" s="2">
        <f ca="1"/>
        <v>0.40369980642829728</v>
      </c>
      <c r="AH2497" s="2" t="str">
        <f ca="1"/>
        <v>Bad</v>
      </c>
    </row>
    <row r="2498" spans="2:34" x14ac:dyDescent="0.2">
      <c r="B2498" s="2">
        <f ca="1"/>
        <v>8.0037451590414976E-2</v>
      </c>
      <c r="O2498" s="2">
        <f ca="1"/>
        <v>-1.300288272488491</v>
      </c>
      <c r="X2498" s="2">
        <f ca="1"/>
        <v>29.1867907379469</v>
      </c>
      <c r="AG2498" s="2">
        <f ca="1"/>
        <v>0.34000370127553281</v>
      </c>
      <c r="AH2498" s="2" t="str">
        <f ca="1"/>
        <v>OK</v>
      </c>
    </row>
    <row r="2499" spans="2:34" x14ac:dyDescent="0.2">
      <c r="B2499" s="2">
        <f ca="1"/>
        <v>0.89787351591827647</v>
      </c>
      <c r="O2499" s="2">
        <f ca="1"/>
        <v>-0.92771710434771837</v>
      </c>
      <c r="X2499" s="2">
        <f ca="1"/>
        <v>70.047033346042838</v>
      </c>
      <c r="AG2499" s="2">
        <f ca="1"/>
        <v>0.23963981891820341</v>
      </c>
      <c r="AH2499" s="2" t="str">
        <f ca="1"/>
        <v>OK</v>
      </c>
    </row>
    <row r="2500" spans="2:34" x14ac:dyDescent="0.2">
      <c r="B2500" s="2">
        <f ca="1"/>
        <v>0.60609322535409893</v>
      </c>
      <c r="O2500" s="2">
        <f ca="1"/>
        <v>0.75641412885432524</v>
      </c>
      <c r="X2500" s="2">
        <f ca="1"/>
        <v>33.744148100900404</v>
      </c>
      <c r="AG2500" s="2">
        <f ca="1"/>
        <v>0.11858332180251852</v>
      </c>
      <c r="AH2500" s="2" t="str">
        <f ca="1"/>
        <v>OK</v>
      </c>
    </row>
    <row r="2501" spans="2:34" x14ac:dyDescent="0.2">
      <c r="B2501" s="2">
        <f ca="1"/>
        <v>7.5425780640838713E-2</v>
      </c>
      <c r="O2501" s="2">
        <f ca="1"/>
        <v>0.31729692430340645</v>
      </c>
      <c r="X2501" s="2">
        <f ca="1"/>
        <v>45.026602012015701</v>
      </c>
      <c r="AG2501" s="2">
        <f ca="1"/>
        <v>0.38178864139881141</v>
      </c>
      <c r="AH2501" s="2" t="str">
        <f ca="1"/>
        <v>OK</v>
      </c>
    </row>
    <row r="2502" spans="2:34" x14ac:dyDescent="0.2">
      <c r="B2502" s="2">
        <f ca="1"/>
        <v>8.6115176844604235E-2</v>
      </c>
      <c r="O2502" s="2">
        <f ca="1"/>
        <v>0.55420486508754652</v>
      </c>
      <c r="X2502" s="2">
        <f ca="1"/>
        <v>32.408651722958467</v>
      </c>
      <c r="AG2502" s="2">
        <f ca="1"/>
        <v>0.66649796969241026</v>
      </c>
      <c r="AH2502" s="2" t="str">
        <f ca="1"/>
        <v>Bad</v>
      </c>
    </row>
    <row r="2503" spans="2:34" x14ac:dyDescent="0.2">
      <c r="B2503" s="2">
        <f ca="1"/>
        <v>0.20486076480427906</v>
      </c>
      <c r="O2503" s="2">
        <f ca="1"/>
        <v>-0.93184805318269948</v>
      </c>
      <c r="X2503" s="2">
        <f ca="1"/>
        <v>52.749897625232393</v>
      </c>
      <c r="AG2503" s="2">
        <f ca="1"/>
        <v>0.23244925507609948</v>
      </c>
      <c r="AH2503" s="2" t="str">
        <f ca="1"/>
        <v>OK</v>
      </c>
    </row>
    <row r="2504" spans="2:34" x14ac:dyDescent="0.2">
      <c r="B2504" s="2">
        <f ca="1"/>
        <v>0.11182159552250948</v>
      </c>
      <c r="O2504" s="2">
        <f ca="1"/>
        <v>-0.50372161097098223</v>
      </c>
      <c r="X2504" s="2">
        <f ca="1"/>
        <v>55.53403399983538</v>
      </c>
      <c r="AG2504" s="2">
        <f ca="1"/>
        <v>0.2927890239579265</v>
      </c>
      <c r="AH2504" s="2" t="str">
        <f ca="1"/>
        <v>OK</v>
      </c>
    </row>
    <row r="2505" spans="2:34" x14ac:dyDescent="0.2">
      <c r="B2505" s="2">
        <f ca="1"/>
        <v>0.62519684205547876</v>
      </c>
      <c r="O2505" s="2">
        <f ca="1"/>
        <v>-1.3341052328744794</v>
      </c>
      <c r="X2505" s="2">
        <f ca="1"/>
        <v>42.470004619614478</v>
      </c>
      <c r="AG2505" s="2">
        <f ca="1"/>
        <v>0.71739401404435044</v>
      </c>
      <c r="AH2505" s="2" t="str">
        <f ca="1"/>
        <v>Bad</v>
      </c>
    </row>
    <row r="2506" spans="2:34" x14ac:dyDescent="0.2">
      <c r="B2506" s="2">
        <f ca="1"/>
        <v>0.62315779920013403</v>
      </c>
      <c r="O2506" s="2">
        <f ca="1"/>
        <v>0.28200440432085122</v>
      </c>
      <c r="X2506" s="2">
        <f ca="1"/>
        <v>71.831365926297664</v>
      </c>
      <c r="AG2506" s="2">
        <f ca="1"/>
        <v>0.64263570860624464</v>
      </c>
      <c r="AH2506" s="2" t="str">
        <f ca="1"/>
        <v>Bad</v>
      </c>
    </row>
    <row r="2507" spans="2:34" x14ac:dyDescent="0.2">
      <c r="B2507" s="2">
        <f ca="1"/>
        <v>0.31223033003027711</v>
      </c>
      <c r="O2507" s="2">
        <f ca="1"/>
        <v>-0.89100944606574284</v>
      </c>
      <c r="X2507" s="2">
        <f ca="1"/>
        <v>42.089720854043982</v>
      </c>
      <c r="AG2507" s="2">
        <f ca="1"/>
        <v>0.2787470464705204</v>
      </c>
      <c r="AH2507" s="2" t="str">
        <f ca="1"/>
        <v>OK</v>
      </c>
    </row>
    <row r="2508" spans="2:34" x14ac:dyDescent="0.2">
      <c r="B2508" s="2">
        <f ca="1"/>
        <v>0.26298097191563463</v>
      </c>
      <c r="O2508" s="2">
        <f ca="1"/>
        <v>-9.3377564159290993E-2</v>
      </c>
      <c r="X2508" s="2">
        <f ca="1"/>
        <v>31.908656337122927</v>
      </c>
      <c r="AG2508" s="2">
        <f ca="1"/>
        <v>8.1612192878178558E-2</v>
      </c>
      <c r="AH2508" s="2" t="str">
        <f ca="1"/>
        <v>OK</v>
      </c>
    </row>
    <row r="2509" spans="2:34" x14ac:dyDescent="0.2">
      <c r="B2509" s="2">
        <f ca="1"/>
        <v>0.10409573414711715</v>
      </c>
      <c r="O2509" s="2">
        <f ca="1"/>
        <v>0.11338540505063614</v>
      </c>
      <c r="X2509" s="2">
        <f ca="1"/>
        <v>46.464160622629308</v>
      </c>
      <c r="AG2509" s="2">
        <f ca="1"/>
        <v>0.80516968101444286</v>
      </c>
      <c r="AH2509" s="2" t="str">
        <f ca="1"/>
        <v>Bad</v>
      </c>
    </row>
    <row r="2510" spans="2:34" x14ac:dyDescent="0.2">
      <c r="B2510" s="2">
        <f ca="1"/>
        <v>0.70118465083766912</v>
      </c>
      <c r="O2510" s="2">
        <f ca="1"/>
        <v>1.4678223779010822</v>
      </c>
      <c r="X2510" s="2">
        <f ca="1"/>
        <v>26.172804066690418</v>
      </c>
      <c r="AG2510" s="2">
        <f ca="1"/>
        <v>0.90018864093323314</v>
      </c>
      <c r="AH2510" s="2" t="str">
        <f ca="1"/>
        <v>Bad</v>
      </c>
    </row>
    <row r="2511" spans="2:34" x14ac:dyDescent="0.2">
      <c r="B2511" s="2">
        <f ca="1"/>
        <v>0.17867232502771646</v>
      </c>
      <c r="O2511" s="2">
        <f ca="1"/>
        <v>0.3890146062408365</v>
      </c>
      <c r="X2511" s="2">
        <f ca="1"/>
        <v>46.441886878029607</v>
      </c>
      <c r="AG2511" s="2">
        <f ca="1"/>
        <v>0.59821779707091305</v>
      </c>
      <c r="AH2511" s="2" t="str">
        <f ca="1"/>
        <v>Bad</v>
      </c>
    </row>
    <row r="2512" spans="2:34" x14ac:dyDescent="0.2">
      <c r="B2512" s="2">
        <f ca="1"/>
        <v>0.80020010098528815</v>
      </c>
      <c r="O2512" s="2">
        <f ca="1"/>
        <v>0.68740942157693496</v>
      </c>
      <c r="X2512" s="2">
        <f ca="1"/>
        <v>53.802213450877574</v>
      </c>
      <c r="AG2512" s="2">
        <f ca="1"/>
        <v>0.48831447800334837</v>
      </c>
      <c r="AH2512" s="2" t="str">
        <f ca="1"/>
        <v>Bad</v>
      </c>
    </row>
    <row r="2513" spans="2:34" x14ac:dyDescent="0.2">
      <c r="B2513" s="2">
        <f ca="1"/>
        <v>0.81130346915079099</v>
      </c>
      <c r="O2513" s="2">
        <f ca="1"/>
        <v>-1.2558205899288191</v>
      </c>
      <c r="X2513" s="2">
        <f ca="1"/>
        <v>52.818622827508207</v>
      </c>
      <c r="AG2513" s="2">
        <f ca="1"/>
        <v>0.51821062959986341</v>
      </c>
      <c r="AH2513" s="2" t="str">
        <f ca="1"/>
        <v>Bad</v>
      </c>
    </row>
    <row r="2514" spans="2:34" x14ac:dyDescent="0.2">
      <c r="B2514" s="2">
        <f ca="1"/>
        <v>0.13105650562131554</v>
      </c>
      <c r="O2514" s="2">
        <f ca="1"/>
        <v>0.84491184406479047</v>
      </c>
      <c r="X2514" s="2">
        <f ca="1"/>
        <v>62.186545780473885</v>
      </c>
      <c r="AG2514" s="2">
        <f ca="1"/>
        <v>0.26548307118604719</v>
      </c>
      <c r="AH2514" s="2" t="str">
        <f ca="1"/>
        <v>OK</v>
      </c>
    </row>
    <row r="2515" spans="2:34" x14ac:dyDescent="0.2">
      <c r="B2515" s="2">
        <f ca="1"/>
        <v>0.2176642852844497</v>
      </c>
      <c r="O2515" s="2">
        <f ca="1"/>
        <v>0.45959127294283658</v>
      </c>
      <c r="X2515" s="2">
        <f ca="1"/>
        <v>53.329246995192776</v>
      </c>
      <c r="AG2515" s="2">
        <f ca="1"/>
        <v>5.6505529482235195E-2</v>
      </c>
      <c r="AH2515" s="2" t="str">
        <f ca="1"/>
        <v>OK</v>
      </c>
    </row>
    <row r="2516" spans="2:34" x14ac:dyDescent="0.2">
      <c r="B2516" s="2">
        <f ca="1"/>
        <v>0.15787192876695322</v>
      </c>
      <c r="O2516" s="2">
        <f ca="1"/>
        <v>-8.1046846056238922E-2</v>
      </c>
      <c r="X2516" s="2">
        <f ca="1"/>
        <v>39.078750029530212</v>
      </c>
      <c r="AG2516" s="2">
        <f ca="1"/>
        <v>0.24875398611493282</v>
      </c>
      <c r="AH2516" s="2" t="str">
        <f ca="1"/>
        <v>OK</v>
      </c>
    </row>
    <row r="2517" spans="2:34" x14ac:dyDescent="0.2">
      <c r="B2517" s="2">
        <f ca="1"/>
        <v>7.9598672386050451E-2</v>
      </c>
      <c r="O2517" s="2">
        <f ca="1"/>
        <v>-9.4856322174857122E-2</v>
      </c>
      <c r="X2517" s="2">
        <f ca="1"/>
        <v>50.738740291973834</v>
      </c>
      <c r="AG2517" s="2">
        <f ca="1"/>
        <v>0.21702839634474058</v>
      </c>
      <c r="AH2517" s="2" t="str">
        <f ca="1"/>
        <v>OK</v>
      </c>
    </row>
    <row r="2518" spans="2:34" x14ac:dyDescent="0.2">
      <c r="B2518" s="2">
        <f ca="1"/>
        <v>0.7099479145758596</v>
      </c>
      <c r="O2518" s="2">
        <f ca="1"/>
        <v>-1.3810009787530801</v>
      </c>
      <c r="X2518" s="2">
        <f ca="1"/>
        <v>54.372625469837892</v>
      </c>
      <c r="AG2518" s="2">
        <f ca="1"/>
        <v>0.56976651327478334</v>
      </c>
      <c r="AH2518" s="2" t="str">
        <f ca="1"/>
        <v>Bad</v>
      </c>
    </row>
    <row r="2519" spans="2:34" x14ac:dyDescent="0.2">
      <c r="B2519" s="2">
        <f ca="1"/>
        <v>0.78756605406607849</v>
      </c>
      <c r="O2519" s="2">
        <f ca="1"/>
        <v>7.8496153402515881E-2</v>
      </c>
      <c r="X2519" s="2">
        <f ca="1"/>
        <v>24.940225776343404</v>
      </c>
      <c r="AG2519" s="2">
        <f ca="1"/>
        <v>0.85284178747714123</v>
      </c>
      <c r="AH2519" s="2" t="str">
        <f ca="1"/>
        <v>Bad</v>
      </c>
    </row>
    <row r="2520" spans="2:34" x14ac:dyDescent="0.2">
      <c r="B2520" s="2">
        <f ca="1"/>
        <v>0.27048936877910568</v>
      </c>
      <c r="O2520" s="2">
        <f ca="1"/>
        <v>-1.5385610431241357</v>
      </c>
      <c r="X2520" s="2">
        <f ca="1"/>
        <v>50.734982485039588</v>
      </c>
      <c r="AG2520" s="2">
        <f ca="1"/>
        <v>1.4551809198108057E-2</v>
      </c>
      <c r="AH2520" s="2" t="str">
        <f ca="1"/>
        <v>Good</v>
      </c>
    </row>
    <row r="2521" spans="2:34" x14ac:dyDescent="0.2">
      <c r="B2521" s="2">
        <f ca="1"/>
        <v>0.76075127385457986</v>
      </c>
      <c r="O2521" s="2">
        <f ca="1"/>
        <v>2.7347876755904044</v>
      </c>
      <c r="X2521" s="2">
        <f ca="1"/>
        <v>69.923594800577462</v>
      </c>
      <c r="AG2521" s="2">
        <f ca="1"/>
        <v>0.69675863143724825</v>
      </c>
      <c r="AH2521" s="2" t="str">
        <f ca="1"/>
        <v>Bad</v>
      </c>
    </row>
    <row r="2522" spans="2:34" x14ac:dyDescent="0.2">
      <c r="B2522" s="2">
        <f ca="1"/>
        <v>0.72339931950545622</v>
      </c>
      <c r="O2522" s="2">
        <f ca="1"/>
        <v>0.19230629808194633</v>
      </c>
      <c r="X2522" s="2">
        <f ca="1"/>
        <v>38.202104906015549</v>
      </c>
      <c r="AG2522" s="2">
        <f ca="1"/>
        <v>0.15570779859613793</v>
      </c>
      <c r="AH2522" s="2" t="str">
        <f ca="1"/>
        <v>OK</v>
      </c>
    </row>
    <row r="2523" spans="2:34" x14ac:dyDescent="0.2">
      <c r="B2523" s="2">
        <f ca="1"/>
        <v>0.61968065464343636</v>
      </c>
      <c r="O2523" s="2">
        <f ca="1"/>
        <v>1.2902272006280051</v>
      </c>
      <c r="X2523" s="2">
        <f ca="1"/>
        <v>42.203208428010058</v>
      </c>
      <c r="AG2523" s="2">
        <f ca="1"/>
        <v>0.41069562447749264</v>
      </c>
      <c r="AH2523" s="2" t="str">
        <f ca="1"/>
        <v>Bad</v>
      </c>
    </row>
    <row r="2524" spans="2:34" x14ac:dyDescent="0.2">
      <c r="B2524" s="2">
        <f ca="1"/>
        <v>0.24402731938573297</v>
      </c>
      <c r="O2524" s="2">
        <f ca="1"/>
        <v>-1.4872040646378084</v>
      </c>
      <c r="X2524" s="2">
        <f ca="1"/>
        <v>55.195014935355886</v>
      </c>
      <c r="AG2524" s="2">
        <f ca="1"/>
        <v>0.90446157568356012</v>
      </c>
      <c r="AH2524" s="2" t="str">
        <f ca="1"/>
        <v>Bad</v>
      </c>
    </row>
    <row r="2525" spans="2:34" x14ac:dyDescent="0.2">
      <c r="B2525" s="2">
        <f ca="1"/>
        <v>0.13668937112563007</v>
      </c>
      <c r="O2525" s="2">
        <f ca="1"/>
        <v>-1.5483571772981639</v>
      </c>
      <c r="X2525" s="2">
        <f ca="1"/>
        <v>52.682939299531569</v>
      </c>
      <c r="AG2525" s="2">
        <f ca="1"/>
        <v>0.27210155133845437</v>
      </c>
      <c r="AH2525" s="2" t="str">
        <f ca="1"/>
        <v>OK</v>
      </c>
    </row>
    <row r="2526" spans="2:34" x14ac:dyDescent="0.2">
      <c r="B2526" s="2">
        <f ca="1"/>
        <v>0.27665581113248838</v>
      </c>
      <c r="O2526" s="2">
        <f ca="1"/>
        <v>0.47219712131438829</v>
      </c>
      <c r="X2526" s="2">
        <f ca="1"/>
        <v>42.372800473742494</v>
      </c>
      <c r="AG2526" s="2">
        <f ca="1"/>
        <v>0.75812600125985874</v>
      </c>
      <c r="AH2526" s="2" t="str">
        <f ca="1"/>
        <v>Bad</v>
      </c>
    </row>
    <row r="2527" spans="2:34" x14ac:dyDescent="0.2">
      <c r="B2527" s="2">
        <f ca="1"/>
        <v>0.50404597265113038</v>
      </c>
      <c r="O2527" s="2">
        <f ca="1"/>
        <v>0.22481777463051247</v>
      </c>
      <c r="X2527" s="2">
        <f ca="1"/>
        <v>53.035494396054538</v>
      </c>
      <c r="AG2527" s="2">
        <f ca="1"/>
        <v>0.37721055488858579</v>
      </c>
      <c r="AH2527" s="2" t="str">
        <f ca="1"/>
        <v>OK</v>
      </c>
    </row>
    <row r="2528" spans="2:34" x14ac:dyDescent="0.2">
      <c r="B2528" s="2">
        <f ca="1"/>
        <v>0.92407517549562423</v>
      </c>
      <c r="O2528" s="2">
        <f ca="1"/>
        <v>1.5883620412993624</v>
      </c>
      <c r="X2528" s="2">
        <f ca="1"/>
        <v>23.993411204685209</v>
      </c>
      <c r="AG2528" s="2">
        <f ca="1"/>
        <v>9.6601330839529709E-3</v>
      </c>
      <c r="AH2528" s="2" t="str">
        <f ca="1"/>
        <v>Good</v>
      </c>
    </row>
    <row r="2529" spans="2:34" x14ac:dyDescent="0.2">
      <c r="B2529" s="2">
        <f ca="1"/>
        <v>0.90642656818284006</v>
      </c>
      <c r="O2529" s="2">
        <f ca="1"/>
        <v>2.0966107808660039</v>
      </c>
      <c r="X2529" s="2">
        <f ca="1"/>
        <v>26.003601419376224</v>
      </c>
      <c r="AG2529" s="2">
        <f ca="1"/>
        <v>0.20703861240322285</v>
      </c>
      <c r="AH2529" s="2" t="str">
        <f ca="1"/>
        <v>OK</v>
      </c>
    </row>
    <row r="2530" spans="2:34" x14ac:dyDescent="0.2">
      <c r="B2530" s="2">
        <f ca="1"/>
        <v>0.46187029709209093</v>
      </c>
      <c r="O2530" s="2">
        <f ca="1"/>
        <v>1.095593072017558</v>
      </c>
      <c r="X2530" s="2">
        <f ca="1"/>
        <v>60.99401529296734</v>
      </c>
      <c r="AG2530" s="2">
        <f ca="1"/>
        <v>0.19802969227474732</v>
      </c>
      <c r="AH2530" s="2" t="str">
        <f ca="1"/>
        <v>OK</v>
      </c>
    </row>
    <row r="2531" spans="2:34" x14ac:dyDescent="0.2">
      <c r="B2531" s="2">
        <f ca="1"/>
        <v>4.8687045445886312E-2</v>
      </c>
      <c r="O2531" s="2">
        <f ca="1"/>
        <v>0.73964662262305481</v>
      </c>
      <c r="X2531" s="2">
        <f ca="1"/>
        <v>54.121843617710191</v>
      </c>
      <c r="AG2531" s="2">
        <f ca="1"/>
        <v>0.74724238436830959</v>
      </c>
      <c r="AH2531" s="2" t="str">
        <f ca="1"/>
        <v>Bad</v>
      </c>
    </row>
    <row r="2532" spans="2:34" x14ac:dyDescent="0.2">
      <c r="B2532" s="2">
        <f ca="1"/>
        <v>0.57966264276645685</v>
      </c>
      <c r="O2532" s="2">
        <f ca="1"/>
        <v>-1.0432526796273514</v>
      </c>
      <c r="X2532" s="2">
        <f ca="1"/>
        <v>33.353425369888654</v>
      </c>
      <c r="AG2532" s="2">
        <f ca="1"/>
        <v>0.59037012627160346</v>
      </c>
      <c r="AH2532" s="2" t="str">
        <f ca="1"/>
        <v>Bad</v>
      </c>
    </row>
    <row r="2533" spans="2:34" x14ac:dyDescent="0.2">
      <c r="B2533" s="2">
        <f ca="1"/>
        <v>0.81073123972532568</v>
      </c>
      <c r="O2533" s="2">
        <f ca="1"/>
        <v>-1.5502361306874652</v>
      </c>
      <c r="X2533" s="2">
        <f ca="1"/>
        <v>24.019465909383328</v>
      </c>
      <c r="AG2533" s="2">
        <f ca="1"/>
        <v>0.60333649095845332</v>
      </c>
      <c r="AH2533" s="2" t="str">
        <f ca="1"/>
        <v>Bad</v>
      </c>
    </row>
    <row r="2534" spans="2:34" x14ac:dyDescent="0.2">
      <c r="B2534" s="2">
        <f ca="1"/>
        <v>0.79104542263471123</v>
      </c>
      <c r="O2534" s="2">
        <f ca="1"/>
        <v>0.6732119892917513</v>
      </c>
      <c r="X2534" s="2">
        <f ca="1"/>
        <v>45.676107339751397</v>
      </c>
      <c r="AG2534" s="2">
        <f ca="1"/>
        <v>0.74892783168386301</v>
      </c>
      <c r="AH2534" s="2" t="str">
        <f ca="1"/>
        <v>Bad</v>
      </c>
    </row>
    <row r="2535" spans="2:34" x14ac:dyDescent="0.2">
      <c r="B2535" s="2">
        <f ca="1"/>
        <v>0.30715023219667659</v>
      </c>
      <c r="O2535" s="2">
        <f ca="1"/>
        <v>-1.2365680405254691</v>
      </c>
      <c r="X2535" s="2">
        <f ca="1"/>
        <v>72.070069193091911</v>
      </c>
      <c r="AG2535" s="2">
        <f ca="1"/>
        <v>0.68542536185833436</v>
      </c>
      <c r="AH2535" s="2" t="str">
        <f ca="1"/>
        <v>Bad</v>
      </c>
    </row>
    <row r="2536" spans="2:34" x14ac:dyDescent="0.2">
      <c r="B2536" s="2">
        <f ca="1"/>
        <v>0.6788841937136294</v>
      </c>
      <c r="O2536" s="2">
        <f ca="1"/>
        <v>1.2147905154884404</v>
      </c>
      <c r="X2536" s="2">
        <f ca="1"/>
        <v>51.239509524209197</v>
      </c>
      <c r="AG2536" s="2">
        <f ca="1"/>
        <v>0.23398247383587534</v>
      </c>
      <c r="AH2536" s="2" t="str">
        <f ca="1"/>
        <v>OK</v>
      </c>
    </row>
    <row r="2537" spans="2:34" x14ac:dyDescent="0.2">
      <c r="B2537" s="2">
        <f ca="1"/>
        <v>0.47999663727184094</v>
      </c>
      <c r="O2537" s="2">
        <f ca="1"/>
        <v>-0.62125287906390381</v>
      </c>
      <c r="X2537" s="2">
        <f ca="1"/>
        <v>55.530775564758855</v>
      </c>
      <c r="AG2537" s="2">
        <f ca="1"/>
        <v>0.47769887738952832</v>
      </c>
      <c r="AH2537" s="2" t="str">
        <f ca="1"/>
        <v>Bad</v>
      </c>
    </row>
    <row r="2538" spans="2:34" x14ac:dyDescent="0.2">
      <c r="B2538" s="2">
        <f ca="1"/>
        <v>0.50478747799395207</v>
      </c>
      <c r="O2538" s="2">
        <f ca="1"/>
        <v>1.4800319081551854</v>
      </c>
      <c r="X2538" s="2">
        <f ca="1"/>
        <v>45.610506361572519</v>
      </c>
      <c r="AG2538" s="2">
        <f ca="1"/>
        <v>0.21695973016312919</v>
      </c>
      <c r="AH2538" s="2" t="str">
        <f ca="1"/>
        <v>OK</v>
      </c>
    </row>
    <row r="2539" spans="2:34" x14ac:dyDescent="0.2">
      <c r="B2539" s="2">
        <f ca="1"/>
        <v>0.9498468782226781</v>
      </c>
      <c r="O2539" s="2">
        <f ca="1"/>
        <v>-1.2295502317915119</v>
      </c>
      <c r="X2539" s="2">
        <f ca="1"/>
        <v>34.963437571423917</v>
      </c>
      <c r="AG2539" s="2">
        <f ca="1"/>
        <v>0.2273074977952414</v>
      </c>
      <c r="AH2539" s="2" t="str">
        <f ca="1"/>
        <v>OK</v>
      </c>
    </row>
    <row r="2540" spans="2:34" x14ac:dyDescent="0.2">
      <c r="B2540" s="2">
        <f ca="1"/>
        <v>0.63140336748447967</v>
      </c>
      <c r="O2540" s="2">
        <f ca="1"/>
        <v>-0.27701275157301131</v>
      </c>
      <c r="X2540" s="2">
        <f ca="1"/>
        <v>56.466732691100503</v>
      </c>
      <c r="AG2540" s="2">
        <f ca="1"/>
        <v>0.16268734273304086</v>
      </c>
      <c r="AH2540" s="2" t="str">
        <f ca="1"/>
        <v>OK</v>
      </c>
    </row>
    <row r="2541" spans="2:34" x14ac:dyDescent="0.2">
      <c r="B2541" s="2">
        <f ca="1"/>
        <v>0.31797661420461942</v>
      </c>
      <c r="O2541" s="2">
        <f ca="1"/>
        <v>-1.3966139474713337</v>
      </c>
      <c r="X2541" s="2">
        <f ca="1"/>
        <v>42.631532455430339</v>
      </c>
      <c r="AG2541" s="2">
        <f ca="1"/>
        <v>9.5624113562162716E-2</v>
      </c>
      <c r="AH2541" s="2" t="str">
        <f ca="1"/>
        <v>OK</v>
      </c>
    </row>
    <row r="2542" spans="2:34" x14ac:dyDescent="0.2">
      <c r="B2542" s="2">
        <f ca="1"/>
        <v>0.83757865035905121</v>
      </c>
      <c r="O2542" s="2">
        <f ca="1"/>
        <v>-0.13569203739909741</v>
      </c>
      <c r="X2542" s="2">
        <f ca="1"/>
        <v>27.410097148728127</v>
      </c>
      <c r="AG2542" s="2">
        <f ca="1"/>
        <v>1.4775249576930438E-2</v>
      </c>
      <c r="AH2542" s="2" t="str">
        <f ca="1"/>
        <v>Good</v>
      </c>
    </row>
    <row r="2543" spans="2:34" x14ac:dyDescent="0.2">
      <c r="B2543" s="2">
        <f ca="1"/>
        <v>0.20660501895929406</v>
      </c>
      <c r="O2543" s="2">
        <f ca="1"/>
        <v>1.2499496194051158</v>
      </c>
      <c r="X2543" s="2">
        <f ca="1"/>
        <v>38.281807426654652</v>
      </c>
      <c r="AG2543" s="2">
        <f ca="1"/>
        <v>0.15551123601147099</v>
      </c>
      <c r="AH2543" s="2" t="str">
        <f ca="1"/>
        <v>OK</v>
      </c>
    </row>
    <row r="2544" spans="2:34" x14ac:dyDescent="0.2">
      <c r="B2544" s="2">
        <f ca="1"/>
        <v>0.1909904833259628</v>
      </c>
      <c r="O2544" s="2">
        <f ca="1"/>
        <v>0.36183799912306286</v>
      </c>
      <c r="X2544" s="2">
        <f ca="1"/>
        <v>44.724421805614043</v>
      </c>
      <c r="AG2544" s="2">
        <f ca="1"/>
        <v>2.4260827918660466E-2</v>
      </c>
      <c r="AH2544" s="2" t="str">
        <f ca="1"/>
        <v>Good</v>
      </c>
    </row>
    <row r="2545" spans="2:34" x14ac:dyDescent="0.2">
      <c r="B2545" s="2">
        <f ca="1"/>
        <v>0.43869300673625466</v>
      </c>
      <c r="O2545" s="2">
        <f ca="1"/>
        <v>0.15312698367603125</v>
      </c>
      <c r="X2545" s="2">
        <f ca="1"/>
        <v>58.751218081841387</v>
      </c>
      <c r="AG2545" s="2">
        <f ca="1"/>
        <v>0.48087108026096193</v>
      </c>
      <c r="AH2545" s="2" t="str">
        <f ca="1"/>
        <v>Bad</v>
      </c>
    </row>
    <row r="2546" spans="2:34" x14ac:dyDescent="0.2">
      <c r="B2546" s="2">
        <f ca="1"/>
        <v>0.98171856118371825</v>
      </c>
      <c r="O2546" s="2">
        <f ca="1"/>
        <v>-0.50609176328502448</v>
      </c>
      <c r="X2546" s="2">
        <f ca="1"/>
        <v>29.956838732689025</v>
      </c>
      <c r="AG2546" s="2">
        <f ca="1"/>
        <v>0.27048960484362006</v>
      </c>
      <c r="AH2546" s="2" t="str">
        <f ca="1"/>
        <v>OK</v>
      </c>
    </row>
    <row r="2547" spans="2:34" x14ac:dyDescent="0.2">
      <c r="B2547" s="2">
        <f ca="1"/>
        <v>0.35223700829869431</v>
      </c>
      <c r="O2547" s="2">
        <f ca="1"/>
        <v>-0.61760938553580336</v>
      </c>
      <c r="X2547" s="2">
        <f ca="1"/>
        <v>57.648027151006332</v>
      </c>
      <c r="AG2547" s="2">
        <f ca="1"/>
        <v>0.8399360234587756</v>
      </c>
      <c r="AH2547" s="2" t="str">
        <f ca="1"/>
        <v>Bad</v>
      </c>
    </row>
    <row r="2548" spans="2:34" x14ac:dyDescent="0.2">
      <c r="B2548" s="2">
        <f ca="1"/>
        <v>0.3523270048815903</v>
      </c>
      <c r="O2548" s="2">
        <f ca="1"/>
        <v>1.005973697688437</v>
      </c>
      <c r="X2548" s="2">
        <f ca="1"/>
        <v>85.281310281489539</v>
      </c>
      <c r="AG2548" s="2">
        <f ca="1"/>
        <v>0.22724767220294906</v>
      </c>
      <c r="AH2548" s="2" t="str">
        <f ca="1"/>
        <v>OK</v>
      </c>
    </row>
    <row r="2549" spans="2:34" x14ac:dyDescent="0.2">
      <c r="B2549" s="2">
        <f ca="1"/>
        <v>0.29996830297166732</v>
      </c>
      <c r="O2549" s="2">
        <f ca="1"/>
        <v>-0.25967105730500933</v>
      </c>
      <c r="X2549" s="2">
        <f ca="1"/>
        <v>42.903733212065248</v>
      </c>
      <c r="AG2549" s="2">
        <f ca="1"/>
        <v>0.8094633238560025</v>
      </c>
      <c r="AH2549" s="2" t="str">
        <f ca="1"/>
        <v>Bad</v>
      </c>
    </row>
    <row r="2550" spans="2:34" x14ac:dyDescent="0.2">
      <c r="B2550" s="2">
        <f ca="1"/>
        <v>0.362596936001093</v>
      </c>
      <c r="O2550" s="2">
        <f ca="1"/>
        <v>0.26165154510904204</v>
      </c>
      <c r="X2550" s="2">
        <f ca="1"/>
        <v>34.162845797981781</v>
      </c>
      <c r="AG2550" s="2">
        <f ca="1"/>
        <v>0.98486626543537792</v>
      </c>
      <c r="AH2550" s="2" t="str">
        <f ca="1"/>
        <v>Bad</v>
      </c>
    </row>
    <row r="2551" spans="2:34" x14ac:dyDescent="0.2">
      <c r="B2551" s="2">
        <f ca="1"/>
        <v>0.93567004529599052</v>
      </c>
      <c r="O2551" s="2">
        <f ca="1"/>
        <v>-2.1069597256892365</v>
      </c>
      <c r="X2551" s="2">
        <f ca="1"/>
        <v>35.064235597451308</v>
      </c>
      <c r="AG2551" s="2">
        <f ca="1"/>
        <v>0.31241079138056449</v>
      </c>
      <c r="AH2551" s="2" t="str">
        <f ca="1"/>
        <v>OK</v>
      </c>
    </row>
    <row r="2552" spans="2:34" x14ac:dyDescent="0.2">
      <c r="B2552" s="2">
        <f ca="1"/>
        <v>0.91549755103911434</v>
      </c>
      <c r="O2552" s="2">
        <f ca="1"/>
        <v>-1.4869304688738216</v>
      </c>
      <c r="X2552" s="2">
        <f ca="1"/>
        <v>43.576485916400031</v>
      </c>
      <c r="AG2552" s="2">
        <f ca="1"/>
        <v>0.73737029043212843</v>
      </c>
      <c r="AH2552" s="2" t="str">
        <f ca="1"/>
        <v>Bad</v>
      </c>
    </row>
    <row r="2553" spans="2:34" x14ac:dyDescent="0.2">
      <c r="B2553" s="2">
        <f ca="1"/>
        <v>0.2045088007908753</v>
      </c>
      <c r="O2553" s="2">
        <f ca="1"/>
        <v>0.31050749330634198</v>
      </c>
      <c r="X2553" s="2">
        <f ca="1"/>
        <v>40.320917295643156</v>
      </c>
      <c r="AG2553" s="2">
        <f ca="1"/>
        <v>0.73404003493189984</v>
      </c>
      <c r="AH2553" s="2" t="str">
        <f ca="1"/>
        <v>Bad</v>
      </c>
    </row>
    <row r="2554" spans="2:34" x14ac:dyDescent="0.2">
      <c r="B2554" s="2">
        <f ca="1"/>
        <v>0.68408720600771478</v>
      </c>
      <c r="O2554" s="2">
        <f ca="1"/>
        <v>-0.13734101850589178</v>
      </c>
      <c r="X2554" s="2">
        <f ca="1"/>
        <v>30.692170926497646</v>
      </c>
      <c r="AG2554" s="2">
        <f ca="1"/>
        <v>0.11268008608784719</v>
      </c>
      <c r="AH2554" s="2" t="str">
        <f ca="1"/>
        <v>OK</v>
      </c>
    </row>
    <row r="2555" spans="2:34" x14ac:dyDescent="0.2">
      <c r="B2555" s="2">
        <f ca="1"/>
        <v>0.61207198246740968</v>
      </c>
      <c r="O2555" s="2">
        <f ca="1"/>
        <v>8.571907193087365E-2</v>
      </c>
      <c r="X2555" s="2">
        <f ca="1"/>
        <v>51.65314157179224</v>
      </c>
      <c r="AG2555" s="2">
        <f ca="1"/>
        <v>0.89092729640835655</v>
      </c>
      <c r="AH2555" s="2" t="str">
        <f ca="1"/>
        <v>Bad</v>
      </c>
    </row>
    <row r="2556" spans="2:34" x14ac:dyDescent="0.2">
      <c r="B2556" s="2">
        <f ca="1"/>
        <v>0.63892011116903835</v>
      </c>
      <c r="O2556" s="2">
        <f ca="1"/>
        <v>0.98357324341990038</v>
      </c>
      <c r="X2556" s="2">
        <f ca="1"/>
        <v>41.971655491851081</v>
      </c>
      <c r="AG2556" s="2">
        <f ca="1"/>
        <v>0.55533835318498737</v>
      </c>
      <c r="AH2556" s="2" t="str">
        <f ca="1"/>
        <v>Bad</v>
      </c>
    </row>
    <row r="2557" spans="2:34" x14ac:dyDescent="0.2">
      <c r="B2557" s="2">
        <f ca="1"/>
        <v>0.63664680475052293</v>
      </c>
      <c r="O2557" s="2">
        <f ca="1"/>
        <v>0.1635308389922312</v>
      </c>
      <c r="X2557" s="2">
        <f ca="1"/>
        <v>82.095173916888768</v>
      </c>
      <c r="AG2557" s="2">
        <f ca="1"/>
        <v>0.42882766339057898</v>
      </c>
      <c r="AH2557" s="2" t="str">
        <f ca="1"/>
        <v>Bad</v>
      </c>
    </row>
    <row r="2558" spans="2:34" x14ac:dyDescent="0.2">
      <c r="B2558" s="2">
        <f ca="1"/>
        <v>0.39749446463601124</v>
      </c>
      <c r="O2558" s="2">
        <f ca="1"/>
        <v>0.67804769027391787</v>
      </c>
      <c r="X2558" s="2">
        <f ca="1"/>
        <v>61.406215191934955</v>
      </c>
      <c r="AG2558" s="2">
        <f ca="1"/>
        <v>0.55782426421845188</v>
      </c>
      <c r="AH2558" s="2" t="str">
        <f ca="1"/>
        <v>Bad</v>
      </c>
    </row>
    <row r="2559" spans="2:34" x14ac:dyDescent="0.2">
      <c r="B2559" s="2">
        <f ca="1"/>
        <v>6.5034100012463902E-2</v>
      </c>
      <c r="O2559" s="2">
        <f ca="1"/>
        <v>-0.17292619706976745</v>
      </c>
      <c r="X2559" s="2">
        <f ca="1"/>
        <v>59.39120352712731</v>
      </c>
      <c r="AG2559" s="2">
        <f ca="1"/>
        <v>8.862115960828687E-2</v>
      </c>
      <c r="AH2559" s="2" t="str">
        <f ca="1"/>
        <v>OK</v>
      </c>
    </row>
    <row r="2560" spans="2:34" x14ac:dyDescent="0.2">
      <c r="B2560" s="2">
        <f ca="1"/>
        <v>0.31603366906503405</v>
      </c>
      <c r="O2560" s="2">
        <f ca="1"/>
        <v>1.0125520344945107</v>
      </c>
      <c r="X2560" s="2">
        <f ca="1"/>
        <v>38.587660426412725</v>
      </c>
      <c r="AG2560" s="2">
        <f ca="1"/>
        <v>0.34635141718205609</v>
      </c>
      <c r="AH2560" s="2" t="str">
        <f ca="1"/>
        <v>OK</v>
      </c>
    </row>
    <row r="2561" spans="2:34" x14ac:dyDescent="0.2">
      <c r="B2561" s="2">
        <f ca="1"/>
        <v>0.82142275180669833</v>
      </c>
      <c r="O2561" s="2">
        <f ca="1"/>
        <v>-1.5308365950557297</v>
      </c>
      <c r="X2561" s="2">
        <f ca="1"/>
        <v>40.477126825487801</v>
      </c>
      <c r="AG2561" s="2">
        <f ca="1"/>
        <v>0.38864905293990026</v>
      </c>
      <c r="AH2561" s="2" t="str">
        <f ca="1"/>
        <v>OK</v>
      </c>
    </row>
    <row r="2562" spans="2:34" x14ac:dyDescent="0.2">
      <c r="B2562" s="2">
        <f ca="1"/>
        <v>0.37113719886818686</v>
      </c>
      <c r="O2562" s="2">
        <f ca="1"/>
        <v>-0.52396007459374283</v>
      </c>
      <c r="X2562" s="2">
        <f ca="1"/>
        <v>49.24072284905948</v>
      </c>
      <c r="AG2562" s="2">
        <f ca="1"/>
        <v>0.73295008692324792</v>
      </c>
      <c r="AH2562" s="2" t="str">
        <f ca="1"/>
        <v>Bad</v>
      </c>
    </row>
    <row r="2563" spans="2:34" x14ac:dyDescent="0.2">
      <c r="B2563" s="2">
        <f ca="1"/>
        <v>0.88257113089980077</v>
      </c>
      <c r="O2563" s="2">
        <f ca="1"/>
        <v>4.9989084110149178E-2</v>
      </c>
      <c r="X2563" s="2">
        <f ca="1"/>
        <v>46.905307180618365</v>
      </c>
      <c r="AG2563" s="2">
        <f ca="1"/>
        <v>0.13543019522367228</v>
      </c>
      <c r="AH2563" s="2" t="str">
        <f ca="1"/>
        <v>OK</v>
      </c>
    </row>
    <row r="2564" spans="2:34" x14ac:dyDescent="0.2">
      <c r="B2564" s="2">
        <f ca="1"/>
        <v>0.3512018879474974</v>
      </c>
      <c r="O2564" s="2">
        <f ca="1"/>
        <v>0.63391836570322124</v>
      </c>
      <c r="X2564" s="2">
        <f ca="1"/>
        <v>87.155045743143589</v>
      </c>
      <c r="AG2564" s="2">
        <f ca="1"/>
        <v>0.74565569277103894</v>
      </c>
      <c r="AH2564" s="2" t="str">
        <f ca="1"/>
        <v>Bad</v>
      </c>
    </row>
    <row r="2565" spans="2:34" x14ac:dyDescent="0.2">
      <c r="B2565" s="2">
        <f ca="1"/>
        <v>0.9306318553530657</v>
      </c>
      <c r="O2565" s="2">
        <f ca="1"/>
        <v>-0.83542439134213342</v>
      </c>
      <c r="X2565" s="2">
        <f ca="1"/>
        <v>31.064438494857413</v>
      </c>
      <c r="AG2565" s="2">
        <f ca="1"/>
        <v>0.65152738706745428</v>
      </c>
      <c r="AH2565" s="2" t="str">
        <f ca="1"/>
        <v>Bad</v>
      </c>
    </row>
    <row r="2566" spans="2:34" x14ac:dyDescent="0.2">
      <c r="B2566" s="2">
        <f ca="1"/>
        <v>0.76954298136177468</v>
      </c>
      <c r="O2566" s="2">
        <f ca="1"/>
        <v>-0.22640096553884129</v>
      </c>
      <c r="X2566" s="2">
        <f ca="1"/>
        <v>69.589119737396629</v>
      </c>
      <c r="AG2566" s="2">
        <f ca="1"/>
        <v>0.97833705642368973</v>
      </c>
      <c r="AH2566" s="2" t="str">
        <f ca="1"/>
        <v>Bad</v>
      </c>
    </row>
    <row r="2567" spans="2:34" x14ac:dyDescent="0.2">
      <c r="B2567" s="2">
        <f ca="1"/>
        <v>0.22516152083537788</v>
      </c>
      <c r="O2567" s="2">
        <f ca="1"/>
        <v>-0.13204994256278957</v>
      </c>
      <c r="X2567" s="2">
        <f ca="1"/>
        <v>26.771435242074148</v>
      </c>
      <c r="AG2567" s="2">
        <f ca="1"/>
        <v>8.1132025268690899E-2</v>
      </c>
      <c r="AH2567" s="2" t="str">
        <f ca="1"/>
        <v>OK</v>
      </c>
    </row>
    <row r="2568" spans="2:34" x14ac:dyDescent="0.2">
      <c r="B2568" s="2">
        <f ca="1"/>
        <v>0.14185413786041767</v>
      </c>
      <c r="O2568" s="2">
        <f ca="1"/>
        <v>0.46984367426497292</v>
      </c>
      <c r="X2568" s="2">
        <f ca="1"/>
        <v>68.84233982998613</v>
      </c>
      <c r="AG2568" s="2">
        <f ca="1"/>
        <v>0.92129747095552306</v>
      </c>
      <c r="AH2568" s="2" t="str">
        <f ca="1"/>
        <v>Bad</v>
      </c>
    </row>
    <row r="2569" spans="2:34" x14ac:dyDescent="0.2">
      <c r="B2569" s="2">
        <f ca="1"/>
        <v>0.73548409979666207</v>
      </c>
      <c r="O2569" s="2">
        <f ca="1"/>
        <v>0.65714106861771748</v>
      </c>
      <c r="X2569" s="2">
        <f ca="1"/>
        <v>35.814359540701915</v>
      </c>
      <c r="AG2569" s="2">
        <f ca="1"/>
        <v>0.18121464573005963</v>
      </c>
      <c r="AH2569" s="2" t="str">
        <f ca="1"/>
        <v>OK</v>
      </c>
    </row>
    <row r="2570" spans="2:34" x14ac:dyDescent="0.2">
      <c r="B2570" s="2">
        <f ca="1"/>
        <v>0.60811430290701995</v>
      </c>
      <c r="O2570" s="2">
        <f ca="1"/>
        <v>-0.36438795980301231</v>
      </c>
      <c r="X2570" s="2">
        <f ca="1"/>
        <v>59.250740404397568</v>
      </c>
      <c r="AG2570" s="2">
        <f ca="1"/>
        <v>0.68593716058445175</v>
      </c>
      <c r="AH2570" s="2" t="str">
        <f ca="1"/>
        <v>Bad</v>
      </c>
    </row>
    <row r="2571" spans="2:34" x14ac:dyDescent="0.2">
      <c r="B2571" s="2">
        <f ca="1"/>
        <v>5.6339581517359738E-2</v>
      </c>
      <c r="O2571" s="2">
        <f ca="1"/>
        <v>1.2046393187710354</v>
      </c>
      <c r="X2571" s="2">
        <f ca="1"/>
        <v>80.720222747614145</v>
      </c>
      <c r="AG2571" s="2">
        <f ca="1"/>
        <v>9.5131111885748965E-5</v>
      </c>
      <c r="AH2571" s="2" t="str">
        <f ca="1"/>
        <v>Good</v>
      </c>
    </row>
    <row r="2572" spans="2:34" x14ac:dyDescent="0.2">
      <c r="B2572" s="2">
        <f ca="1"/>
        <v>0.57749363581194424</v>
      </c>
      <c r="O2572" s="2">
        <f ca="1"/>
        <v>-1.2764650609842001</v>
      </c>
      <c r="X2572" s="2">
        <f ca="1"/>
        <v>27.521166858937839</v>
      </c>
      <c r="AG2572" s="2">
        <f ca="1"/>
        <v>0.85592891545967897</v>
      </c>
      <c r="AH2572" s="2" t="str">
        <f ca="1"/>
        <v>Bad</v>
      </c>
    </row>
    <row r="2573" spans="2:34" x14ac:dyDescent="0.2">
      <c r="B2573" s="2">
        <f ca="1"/>
        <v>0.25832126822724355</v>
      </c>
      <c r="O2573" s="2">
        <f ca="1"/>
        <v>1.5796775860926107</v>
      </c>
      <c r="X2573" s="2">
        <f ca="1"/>
        <v>34.071261610683862</v>
      </c>
      <c r="AG2573" s="2">
        <f ca="1"/>
        <v>0.59961983779206007</v>
      </c>
      <c r="AH2573" s="2" t="str">
        <f ca="1"/>
        <v>Bad</v>
      </c>
    </row>
    <row r="2574" spans="2:34" x14ac:dyDescent="0.2">
      <c r="B2574" s="2">
        <f ca="1"/>
        <v>0.96464896718450555</v>
      </c>
      <c r="O2574" s="2">
        <f ca="1"/>
        <v>0.21140282495260396</v>
      </c>
      <c r="X2574" s="2">
        <f ca="1"/>
        <v>43.89971465551497</v>
      </c>
      <c r="AG2574" s="2">
        <f ca="1"/>
        <v>0.64378805458065935</v>
      </c>
      <c r="AH2574" s="2" t="str">
        <f ca="1"/>
        <v>Bad</v>
      </c>
    </row>
    <row r="2575" spans="2:34" x14ac:dyDescent="0.2">
      <c r="B2575" s="2">
        <f ca="1"/>
        <v>0.86879389358283787</v>
      </c>
      <c r="O2575" s="2">
        <f ca="1"/>
        <v>-0.63652100788950561</v>
      </c>
      <c r="X2575" s="2">
        <f ca="1"/>
        <v>31.104238221532732</v>
      </c>
      <c r="AG2575" s="2">
        <f ca="1"/>
        <v>0.17636216075866806</v>
      </c>
      <c r="AH2575" s="2" t="str">
        <f ca="1"/>
        <v>OK</v>
      </c>
    </row>
    <row r="2576" spans="2:34" x14ac:dyDescent="0.2">
      <c r="B2576" s="2">
        <f ca="1"/>
        <v>2.1852955698872467E-2</v>
      </c>
      <c r="O2576" s="2">
        <f ca="1"/>
        <v>-0.64042741222065491</v>
      </c>
      <c r="X2576" s="2">
        <f ca="1"/>
        <v>50.406706239705073</v>
      </c>
      <c r="AG2576" s="2">
        <f ca="1"/>
        <v>0.46471588345840975</v>
      </c>
      <c r="AH2576" s="2" t="str">
        <f ca="1"/>
        <v>Bad</v>
      </c>
    </row>
    <row r="2577" spans="2:34" x14ac:dyDescent="0.2">
      <c r="B2577" s="2">
        <f ca="1"/>
        <v>0.45498942389232067</v>
      </c>
      <c r="O2577" s="2">
        <f ca="1"/>
        <v>-0.75859315990810772</v>
      </c>
      <c r="X2577" s="2">
        <f ca="1"/>
        <v>72.913335757402493</v>
      </c>
      <c r="AG2577" s="2">
        <f ca="1"/>
        <v>0.58095554393138538</v>
      </c>
      <c r="AH2577" s="2" t="str">
        <f ca="1"/>
        <v>Bad</v>
      </c>
    </row>
    <row r="2578" spans="2:34" x14ac:dyDescent="0.2">
      <c r="B2578" s="2">
        <f ca="1"/>
        <v>0.10131322623731176</v>
      </c>
      <c r="O2578" s="2">
        <f ca="1"/>
        <v>-0.89714191762405704</v>
      </c>
      <c r="X2578" s="2">
        <f ca="1"/>
        <v>41.629054870616258</v>
      </c>
      <c r="AG2578" s="2">
        <f ca="1"/>
        <v>0.64756033790468615</v>
      </c>
      <c r="AH2578" s="2" t="str">
        <f ca="1"/>
        <v>Bad</v>
      </c>
    </row>
    <row r="2579" spans="2:34" x14ac:dyDescent="0.2">
      <c r="B2579" s="2">
        <f ca="1"/>
        <v>0.8736841066039529</v>
      </c>
      <c r="O2579" s="2">
        <f ca="1"/>
        <v>0.31640574158052159</v>
      </c>
      <c r="X2579" s="2">
        <f ca="1"/>
        <v>34.328100564993839</v>
      </c>
      <c r="AG2579" s="2">
        <f ca="1"/>
        <v>0.97319865808262884</v>
      </c>
      <c r="AH2579" s="2" t="str">
        <f ca="1"/>
        <v>Bad</v>
      </c>
    </row>
    <row r="2580" spans="2:34" x14ac:dyDescent="0.2">
      <c r="B2580" s="2">
        <f ca="1"/>
        <v>0.5303593620636855</v>
      </c>
      <c r="O2580" s="2">
        <f ca="1"/>
        <v>1.1065685987198945</v>
      </c>
      <c r="X2580" s="2">
        <f ca="1"/>
        <v>88.528432024402377</v>
      </c>
      <c r="AG2580" s="2">
        <f ca="1"/>
        <v>0.69735494811438103</v>
      </c>
      <c r="AH2580" s="2" t="str">
        <f ca="1"/>
        <v>Bad</v>
      </c>
    </row>
    <row r="2581" spans="2:34" x14ac:dyDescent="0.2">
      <c r="B2581" s="2">
        <f ca="1"/>
        <v>7.1485829404601242E-2</v>
      </c>
      <c r="O2581" s="2">
        <f ca="1"/>
        <v>-2.0312819794451786</v>
      </c>
      <c r="X2581" s="2">
        <f ca="1"/>
        <v>62.323082472498747</v>
      </c>
      <c r="AG2581" s="2">
        <f ca="1"/>
        <v>0.93571276971634609</v>
      </c>
      <c r="AH2581" s="2" t="str">
        <f ca="1"/>
        <v>Bad</v>
      </c>
    </row>
    <row r="2582" spans="2:34" x14ac:dyDescent="0.2">
      <c r="B2582" s="2">
        <f ca="1"/>
        <v>0.73469747175847044</v>
      </c>
      <c r="O2582" s="2">
        <f ca="1"/>
        <v>1.5507772247500469</v>
      </c>
      <c r="X2582" s="2">
        <f ca="1"/>
        <v>54.708273301446425</v>
      </c>
      <c r="AG2582" s="2">
        <f ca="1"/>
        <v>0.50966480159091043</v>
      </c>
      <c r="AH2582" s="2" t="str">
        <f ca="1"/>
        <v>Bad</v>
      </c>
    </row>
    <row r="2583" spans="2:34" x14ac:dyDescent="0.2">
      <c r="B2583" s="2">
        <f ca="1"/>
        <v>0.83811408716094626</v>
      </c>
      <c r="O2583" s="2">
        <f ca="1"/>
        <v>0.37558939855698076</v>
      </c>
      <c r="X2583" s="2">
        <f ca="1"/>
        <v>71.384132302596782</v>
      </c>
      <c r="AG2583" s="2">
        <f ca="1"/>
        <v>0.60328832616650319</v>
      </c>
      <c r="AH2583" s="2" t="str">
        <f ca="1"/>
        <v>Bad</v>
      </c>
    </row>
    <row r="2584" spans="2:34" x14ac:dyDescent="0.2">
      <c r="B2584" s="2">
        <f ca="1"/>
        <v>0.99206448355267063</v>
      </c>
      <c r="O2584" s="2">
        <f ca="1"/>
        <v>-0.530328285319138</v>
      </c>
      <c r="X2584" s="2">
        <f ca="1"/>
        <v>16.2036615428662</v>
      </c>
      <c r="AG2584" s="2">
        <f ca="1"/>
        <v>0.52694820974828893</v>
      </c>
      <c r="AH2584" s="2" t="str">
        <f ca="1"/>
        <v>Bad</v>
      </c>
    </row>
    <row r="2585" spans="2:34" x14ac:dyDescent="0.2">
      <c r="B2585" s="2">
        <f ca="1"/>
        <v>1.5554209821187825E-2</v>
      </c>
      <c r="O2585" s="2">
        <f ca="1"/>
        <v>0.33851553979232935</v>
      </c>
      <c r="X2585" s="2">
        <f ca="1"/>
        <v>37.407157528037516</v>
      </c>
      <c r="AG2585" s="2">
        <f ca="1"/>
        <v>0.21253217322740636</v>
      </c>
      <c r="AH2585" s="2" t="str">
        <f ca="1"/>
        <v>OK</v>
      </c>
    </row>
    <row r="2586" spans="2:34" x14ac:dyDescent="0.2">
      <c r="B2586" s="2">
        <f ca="1"/>
        <v>0.44002857720241417</v>
      </c>
      <c r="O2586" s="2">
        <f ca="1"/>
        <v>1.2845411958825852</v>
      </c>
      <c r="X2586" s="2">
        <f ca="1"/>
        <v>55.736861987291576</v>
      </c>
      <c r="AG2586" s="2">
        <f ca="1"/>
        <v>4.5691046961862103E-2</v>
      </c>
      <c r="AH2586" s="2" t="str">
        <f ca="1"/>
        <v>Good</v>
      </c>
    </row>
    <row r="2587" spans="2:34" x14ac:dyDescent="0.2">
      <c r="B2587" s="2">
        <f ca="1"/>
        <v>0.65402108184876306</v>
      </c>
      <c r="O2587" s="2">
        <f ca="1"/>
        <v>1.4461196510929595</v>
      </c>
      <c r="X2587" s="2">
        <f ca="1"/>
        <v>38.478502733790044</v>
      </c>
      <c r="AG2587" s="2">
        <f ca="1"/>
        <v>0.72875638871663972</v>
      </c>
      <c r="AH2587" s="2" t="str">
        <f ca="1"/>
        <v>Bad</v>
      </c>
    </row>
    <row r="2588" spans="2:34" x14ac:dyDescent="0.2">
      <c r="B2588" s="2">
        <f ca="1"/>
        <v>0.34291843531576105</v>
      </c>
      <c r="O2588" s="2">
        <f ca="1"/>
        <v>-6.1078217585626079E-2</v>
      </c>
      <c r="X2588" s="2">
        <f ca="1"/>
        <v>44.342913338881509</v>
      </c>
      <c r="AG2588" s="2">
        <f ca="1"/>
        <v>0.22015354543111809</v>
      </c>
      <c r="AH2588" s="2" t="str">
        <f ca="1"/>
        <v>OK</v>
      </c>
    </row>
    <row r="2589" spans="2:34" x14ac:dyDescent="0.2">
      <c r="B2589" s="2">
        <f ca="1"/>
        <v>8.1032800730935328E-2</v>
      </c>
      <c r="O2589" s="2">
        <f ca="1"/>
        <v>-0.886593905161978</v>
      </c>
      <c r="X2589" s="2">
        <f ca="1"/>
        <v>82.520449520166338</v>
      </c>
      <c r="AG2589" s="2">
        <f ca="1"/>
        <v>0.16577040296046164</v>
      </c>
      <c r="AH2589" s="2" t="str">
        <f ca="1"/>
        <v>OK</v>
      </c>
    </row>
    <row r="2590" spans="2:34" x14ac:dyDescent="0.2">
      <c r="B2590" s="2">
        <f ca="1"/>
        <v>0.37200688949511651</v>
      </c>
      <c r="O2590" s="2">
        <f ca="1"/>
        <v>0.33296221990688502</v>
      </c>
      <c r="X2590" s="2">
        <f ca="1"/>
        <v>55.612556424206261</v>
      </c>
      <c r="AG2590" s="2">
        <f ca="1"/>
        <v>0.7772806875835534</v>
      </c>
      <c r="AH2590" s="2" t="str">
        <f ca="1"/>
        <v>Bad</v>
      </c>
    </row>
    <row r="2591" spans="2:34" x14ac:dyDescent="0.2">
      <c r="B2591" s="2">
        <f ca="1"/>
        <v>0.47887795202691441</v>
      </c>
      <c r="O2591" s="2">
        <f ca="1"/>
        <v>0.72062205942981084</v>
      </c>
      <c r="X2591" s="2">
        <f ca="1"/>
        <v>42.261885033806728</v>
      </c>
      <c r="AG2591" s="2">
        <f ca="1"/>
        <v>0.57107329800339146</v>
      </c>
      <c r="AH2591" s="2" t="str">
        <f ca="1"/>
        <v>Bad</v>
      </c>
    </row>
    <row r="2592" spans="2:34" x14ac:dyDescent="0.2">
      <c r="B2592" s="2">
        <f ca="1"/>
        <v>0.91791355659835783</v>
      </c>
      <c r="O2592" s="2">
        <f ca="1"/>
        <v>-1.6518198812822522</v>
      </c>
      <c r="X2592" s="2">
        <f ca="1"/>
        <v>65.75386424579105</v>
      </c>
      <c r="AG2592" s="2">
        <f ca="1"/>
        <v>0.52453740764020118</v>
      </c>
      <c r="AH2592" s="2" t="str">
        <f ca="1"/>
        <v>Bad</v>
      </c>
    </row>
    <row r="2593" spans="2:34" x14ac:dyDescent="0.2">
      <c r="B2593" s="2">
        <f ca="1"/>
        <v>0.40561206717866738</v>
      </c>
      <c r="O2593" s="2">
        <f ca="1"/>
        <v>-1.2649732319374667</v>
      </c>
      <c r="X2593" s="2">
        <f ca="1"/>
        <v>40.673151543967933</v>
      </c>
      <c r="AG2593" s="2">
        <f ca="1"/>
        <v>0.20820853797441852</v>
      </c>
      <c r="AH2593" s="2" t="str">
        <f ca="1"/>
        <v>OK</v>
      </c>
    </row>
    <row r="2594" spans="2:34" x14ac:dyDescent="0.2">
      <c r="B2594" s="2">
        <f ca="1"/>
        <v>0.41251420450529896</v>
      </c>
      <c r="O2594" s="2">
        <f ca="1"/>
        <v>1.4414074582783811</v>
      </c>
      <c r="X2594" s="2">
        <f ca="1"/>
        <v>49.116451402927169</v>
      </c>
      <c r="AG2594" s="2">
        <f ca="1"/>
        <v>0.86739197992048012</v>
      </c>
      <c r="AH2594" s="2" t="str">
        <f ca="1"/>
        <v>Bad</v>
      </c>
    </row>
    <row r="2595" spans="2:34" x14ac:dyDescent="0.2">
      <c r="B2595" s="2">
        <f ca="1"/>
        <v>0.92379717008375484</v>
      </c>
      <c r="O2595" s="2">
        <f ca="1"/>
        <v>2.7312167028660794</v>
      </c>
      <c r="X2595" s="2">
        <f ca="1"/>
        <v>28.627333165868542</v>
      </c>
      <c r="AG2595" s="2">
        <f ca="1"/>
        <v>0.98596001705466363</v>
      </c>
      <c r="AH2595" s="2" t="str">
        <f ca="1"/>
        <v>Bad</v>
      </c>
    </row>
    <row r="2596" spans="2:34" x14ac:dyDescent="0.2">
      <c r="B2596" s="2">
        <f ca="1"/>
        <v>0.43542341301410081</v>
      </c>
      <c r="O2596" s="2">
        <f ca="1"/>
        <v>-0.97020431319706013</v>
      </c>
      <c r="X2596" s="2">
        <f ca="1"/>
        <v>36.115808034679866</v>
      </c>
      <c r="AG2596" s="2">
        <f ca="1"/>
        <v>0.10699190377099477</v>
      </c>
      <c r="AH2596" s="2" t="str">
        <f ca="1"/>
        <v>OK</v>
      </c>
    </row>
    <row r="2597" spans="2:34" x14ac:dyDescent="0.2">
      <c r="B2597" s="2">
        <f ca="1"/>
        <v>1.2279515742575242E-2</v>
      </c>
      <c r="O2597" s="2">
        <f ca="1"/>
        <v>0.28565710494244623</v>
      </c>
      <c r="X2597" s="2">
        <f ca="1"/>
        <v>55.552395957200396</v>
      </c>
      <c r="AG2597" s="2">
        <f ca="1"/>
        <v>3.5799664223209904E-2</v>
      </c>
      <c r="AH2597" s="2" t="str">
        <f ca="1"/>
        <v>Good</v>
      </c>
    </row>
    <row r="2598" spans="2:34" x14ac:dyDescent="0.2">
      <c r="B2598" s="2">
        <f ca="1"/>
        <v>0.72037199791628259</v>
      </c>
      <c r="O2598" s="2">
        <f ca="1"/>
        <v>0.34352876693881712</v>
      </c>
      <c r="X2598" s="2">
        <f ca="1"/>
        <v>57.088261255011062</v>
      </c>
      <c r="AG2598" s="2">
        <f ca="1"/>
        <v>0.49698141332017576</v>
      </c>
      <c r="AH2598" s="2" t="str">
        <f ca="1"/>
        <v>Bad</v>
      </c>
    </row>
    <row r="2599" spans="2:34" x14ac:dyDescent="0.2">
      <c r="B2599" s="2">
        <f ca="1"/>
        <v>0.45396797956436208</v>
      </c>
      <c r="O2599" s="2">
        <f ca="1"/>
        <v>-0.64255481708046713</v>
      </c>
      <c r="X2599" s="2">
        <f ca="1"/>
        <v>27.82203855398248</v>
      </c>
      <c r="AG2599" s="2">
        <f ca="1"/>
        <v>0.81476194229272458</v>
      </c>
      <c r="AH2599" s="2" t="str">
        <f ca="1"/>
        <v>Bad</v>
      </c>
    </row>
    <row r="2600" spans="2:34" x14ac:dyDescent="0.2">
      <c r="B2600" s="2">
        <f ca="1"/>
        <v>0.67580960586928174</v>
      </c>
      <c r="O2600" s="2">
        <f ca="1"/>
        <v>1.8666727997939994</v>
      </c>
      <c r="X2600" s="2">
        <f ca="1"/>
        <v>53.346561394371754</v>
      </c>
      <c r="AG2600" s="2">
        <f ca="1"/>
        <v>0.75058594155304847</v>
      </c>
      <c r="AH2600" s="2" t="str">
        <f ca="1"/>
        <v>Bad</v>
      </c>
    </row>
    <row r="2601" spans="2:34" x14ac:dyDescent="0.2">
      <c r="B2601" s="2">
        <f ca="1"/>
        <v>0.87232127116023839</v>
      </c>
      <c r="O2601" s="2">
        <f ca="1"/>
        <v>-0.48359914671119025</v>
      </c>
      <c r="X2601" s="2">
        <f ca="1"/>
        <v>43.395182279045919</v>
      </c>
      <c r="AG2601" s="2">
        <f ca="1"/>
        <v>0.58216402355182173</v>
      </c>
      <c r="AH2601" s="2" t="str">
        <f ca="1"/>
        <v>Bad</v>
      </c>
    </row>
    <row r="2602" spans="2:34" x14ac:dyDescent="0.2">
      <c r="B2602" s="2">
        <f ca="1"/>
        <v>0.97907187235962478</v>
      </c>
      <c r="O2602" s="2">
        <f ca="1"/>
        <v>-0.66067441405922367</v>
      </c>
      <c r="X2602" s="2">
        <f ca="1"/>
        <v>54.56663643914402</v>
      </c>
      <c r="AG2602" s="2">
        <f ca="1"/>
        <v>0.21433490763253027</v>
      </c>
      <c r="AH2602" s="2" t="str">
        <f ca="1"/>
        <v>OK</v>
      </c>
    </row>
    <row r="2603" spans="2:34" x14ac:dyDescent="0.2">
      <c r="B2603" s="2">
        <f ca="1"/>
        <v>0.73925551529943045</v>
      </c>
      <c r="O2603" s="2">
        <f ca="1"/>
        <v>-1.2553568543337497</v>
      </c>
      <c r="X2603" s="2">
        <f ca="1"/>
        <v>55.914793202007104</v>
      </c>
      <c r="AG2603" s="2">
        <f ca="1"/>
        <v>0.32419545072099232</v>
      </c>
      <c r="AH2603" s="2" t="str">
        <f ca="1"/>
        <v>OK</v>
      </c>
    </row>
    <row r="2604" spans="2:34" x14ac:dyDescent="0.2">
      <c r="B2604" s="2">
        <f ca="1"/>
        <v>0.23887005573046394</v>
      </c>
      <c r="O2604" s="2">
        <f ca="1"/>
        <v>0.38699477078539751</v>
      </c>
      <c r="X2604" s="2">
        <f ca="1"/>
        <v>38.43408226224912</v>
      </c>
      <c r="AG2604" s="2">
        <f ca="1"/>
        <v>0.23243790666789899</v>
      </c>
      <c r="AH2604" s="2" t="str">
        <f ca="1"/>
        <v>OK</v>
      </c>
    </row>
    <row r="2605" spans="2:34" x14ac:dyDescent="0.2">
      <c r="B2605" s="2">
        <f ca="1"/>
        <v>0.45367110561499957</v>
      </c>
      <c r="O2605" s="2">
        <f ca="1"/>
        <v>0.7450861813020363</v>
      </c>
      <c r="X2605" s="2">
        <f ca="1"/>
        <v>47.835148830184558</v>
      </c>
      <c r="AG2605" s="2">
        <f ca="1"/>
        <v>0.11944173467568509</v>
      </c>
      <c r="AH2605" s="2" t="str">
        <f ca="1"/>
        <v>OK</v>
      </c>
    </row>
    <row r="2606" spans="2:34" x14ac:dyDescent="0.2">
      <c r="B2606" s="2">
        <f ca="1"/>
        <v>0.60521880500374836</v>
      </c>
      <c r="O2606" s="2">
        <f ca="1"/>
        <v>0.25877559533147698</v>
      </c>
      <c r="X2606" s="2">
        <f ca="1"/>
        <v>56.268952309180861</v>
      </c>
      <c r="AG2606" s="2">
        <f ca="1"/>
        <v>0.80743290893674846</v>
      </c>
      <c r="AH2606" s="2" t="str">
        <f ca="1"/>
        <v>Bad</v>
      </c>
    </row>
    <row r="2607" spans="2:34" x14ac:dyDescent="0.2">
      <c r="B2607" s="2">
        <f ca="1"/>
        <v>6.9624300808007966E-2</v>
      </c>
      <c r="O2607" s="2">
        <f ca="1"/>
        <v>0.60184073463999721</v>
      </c>
      <c r="X2607" s="2">
        <f ca="1"/>
        <v>75.518927102657955</v>
      </c>
      <c r="AG2607" s="2">
        <f ca="1"/>
        <v>0.20759295642840292</v>
      </c>
      <c r="AH2607" s="2" t="str">
        <f ca="1"/>
        <v>OK</v>
      </c>
    </row>
    <row r="2608" spans="2:34" x14ac:dyDescent="0.2">
      <c r="B2608" s="2">
        <f ca="1"/>
        <v>0.51527975922223734</v>
      </c>
      <c r="O2608" s="2">
        <f ca="1"/>
        <v>1.1406966956778064</v>
      </c>
      <c r="X2608" s="2">
        <f ca="1"/>
        <v>25.371235186109935</v>
      </c>
      <c r="AG2608" s="2">
        <f ca="1"/>
        <v>0.23987352834040254</v>
      </c>
      <c r="AH2608" s="2" t="str">
        <f ca="1"/>
        <v>OK</v>
      </c>
    </row>
    <row r="2609" spans="2:34" x14ac:dyDescent="0.2">
      <c r="B2609" s="2">
        <f ca="1"/>
        <v>0.81052189002675101</v>
      </c>
      <c r="O2609" s="2">
        <f ca="1"/>
        <v>2.26810080282947</v>
      </c>
      <c r="X2609" s="2">
        <f ca="1"/>
        <v>45.828831623385646</v>
      </c>
      <c r="AG2609" s="2">
        <f ca="1"/>
        <v>0.33293076806537525</v>
      </c>
      <c r="AH2609" s="2" t="str">
        <f ca="1"/>
        <v>OK</v>
      </c>
    </row>
    <row r="2610" spans="2:34" x14ac:dyDescent="0.2">
      <c r="B2610" s="2">
        <f ca="1"/>
        <v>0.50409599505155911</v>
      </c>
      <c r="O2610" s="2">
        <f ca="1"/>
        <v>-1.1883985877346643</v>
      </c>
      <c r="X2610" s="2">
        <f ca="1"/>
        <v>48.350902989995632</v>
      </c>
      <c r="AG2610" s="2">
        <f ca="1"/>
        <v>0.13765508801263149</v>
      </c>
      <c r="AH2610" s="2" t="str">
        <f ca="1"/>
        <v>OK</v>
      </c>
    </row>
    <row r="2611" spans="2:34" x14ac:dyDescent="0.2">
      <c r="B2611" s="2">
        <f ca="1"/>
        <v>0.45920552208108334</v>
      </c>
      <c r="O2611" s="2">
        <f ca="1"/>
        <v>0.9118435091499062</v>
      </c>
      <c r="X2611" s="2">
        <f ca="1"/>
        <v>35.922663228230711</v>
      </c>
      <c r="AG2611" s="2">
        <f ca="1"/>
        <v>0.61682435182388717</v>
      </c>
      <c r="AH2611" s="2" t="str">
        <f ca="1"/>
        <v>Bad</v>
      </c>
    </row>
    <row r="2612" spans="2:34" x14ac:dyDescent="0.2">
      <c r="B2612" s="2">
        <f ca="1"/>
        <v>4.9229971380336579E-2</v>
      </c>
      <c r="O2612" s="2">
        <f ca="1"/>
        <v>-0.50664075735104241</v>
      </c>
      <c r="X2612" s="2">
        <f ca="1"/>
        <v>41.996746124330357</v>
      </c>
      <c r="AG2612" s="2">
        <f ca="1"/>
        <v>0.79705710425908527</v>
      </c>
      <c r="AH2612" s="2" t="str">
        <f ca="1"/>
        <v>Bad</v>
      </c>
    </row>
    <row r="2613" spans="2:34" x14ac:dyDescent="0.2">
      <c r="B2613" s="2">
        <f ca="1"/>
        <v>0.62859389411132827</v>
      </c>
      <c r="O2613" s="2">
        <f ca="1"/>
        <v>0.44800090459962427</v>
      </c>
      <c r="X2613" s="2">
        <f ca="1"/>
        <v>55.104083082027614</v>
      </c>
      <c r="AG2613" s="2">
        <f ca="1"/>
        <v>7.1779226968470056E-2</v>
      </c>
      <c r="AH2613" s="2" t="str">
        <f ca="1"/>
        <v>OK</v>
      </c>
    </row>
    <row r="2614" spans="2:34" x14ac:dyDescent="0.2">
      <c r="B2614" s="2">
        <f ca="1"/>
        <v>0.67789817356560089</v>
      </c>
      <c r="O2614" s="2">
        <f ca="1"/>
        <v>1.3785019392263707</v>
      </c>
      <c r="X2614" s="2">
        <f ca="1"/>
        <v>84.051709188370651</v>
      </c>
      <c r="AG2614" s="2">
        <f ca="1"/>
        <v>0.74392395108745468</v>
      </c>
      <c r="AH2614" s="2" t="str">
        <f ca="1"/>
        <v>Bad</v>
      </c>
    </row>
    <row r="2615" spans="2:34" x14ac:dyDescent="0.2">
      <c r="B2615" s="2">
        <f ca="1"/>
        <v>0.69129662357284216</v>
      </c>
      <c r="O2615" s="2">
        <f ca="1"/>
        <v>-2.6863195472054305E-2</v>
      </c>
      <c r="X2615" s="2">
        <f ca="1"/>
        <v>61.998824337632712</v>
      </c>
      <c r="AG2615" s="2">
        <f ca="1"/>
        <v>0.27872405669563904</v>
      </c>
      <c r="AH2615" s="2" t="str">
        <f ca="1"/>
        <v>OK</v>
      </c>
    </row>
    <row r="2616" spans="2:34" x14ac:dyDescent="0.2">
      <c r="B2616" s="2">
        <f ca="1"/>
        <v>0.11397060039153306</v>
      </c>
      <c r="O2616" s="2">
        <f ca="1"/>
        <v>-0.4200595560611815</v>
      </c>
      <c r="X2616" s="2">
        <f ca="1"/>
        <v>65.845902944736281</v>
      </c>
      <c r="AG2616" s="2">
        <f ca="1"/>
        <v>0.12286653972977768</v>
      </c>
      <c r="AH2616" s="2" t="str">
        <f ca="1"/>
        <v>OK</v>
      </c>
    </row>
    <row r="2617" spans="2:34" x14ac:dyDescent="0.2">
      <c r="B2617" s="2">
        <f ca="1"/>
        <v>4.4975876373242407E-2</v>
      </c>
      <c r="O2617" s="2">
        <f ca="1"/>
        <v>-0.87513701063742244</v>
      </c>
      <c r="X2617" s="2">
        <f ca="1"/>
        <v>74.671311762761093</v>
      </c>
      <c r="AG2617" s="2">
        <f ca="1"/>
        <v>0.47110225529424032</v>
      </c>
      <c r="AH2617" s="2" t="str">
        <f ca="1"/>
        <v>Bad</v>
      </c>
    </row>
    <row r="2618" spans="2:34" x14ac:dyDescent="0.2">
      <c r="B2618" s="2">
        <f ca="1"/>
        <v>0.26724691297680159</v>
      </c>
      <c r="O2618" s="2">
        <f ca="1"/>
        <v>-1.0240629721607093</v>
      </c>
      <c r="X2618" s="2">
        <f ca="1"/>
        <v>37.550511712832275</v>
      </c>
      <c r="AG2618" s="2">
        <f ca="1"/>
        <v>0.4301300787529625</v>
      </c>
      <c r="AH2618" s="2" t="str">
        <f ca="1"/>
        <v>Bad</v>
      </c>
    </row>
    <row r="2619" spans="2:34" x14ac:dyDescent="0.2">
      <c r="B2619" s="2">
        <f ca="1"/>
        <v>0.22854119136318918</v>
      </c>
      <c r="O2619" s="2">
        <f ca="1"/>
        <v>-0.2784350308241923</v>
      </c>
      <c r="X2619" s="2">
        <f ca="1"/>
        <v>61.059206236902895</v>
      </c>
      <c r="AG2619" s="2">
        <f ca="1"/>
        <v>0.10060392598031487</v>
      </c>
      <c r="AH2619" s="2" t="str">
        <f ca="1"/>
        <v>OK</v>
      </c>
    </row>
    <row r="2620" spans="2:34" x14ac:dyDescent="0.2">
      <c r="B2620" s="2">
        <f ca="1"/>
        <v>0.32172708545349615</v>
      </c>
      <c r="O2620" s="2">
        <f ca="1"/>
        <v>-0.20563377427460011</v>
      </c>
      <c r="X2620" s="2">
        <f ca="1"/>
        <v>60.074989032123838</v>
      </c>
      <c r="AG2620" s="2">
        <f ca="1"/>
        <v>0.36313387645341955</v>
      </c>
      <c r="AH2620" s="2" t="str">
        <f ca="1"/>
        <v>OK</v>
      </c>
    </row>
    <row r="2621" spans="2:34" x14ac:dyDescent="0.2">
      <c r="B2621" s="2">
        <f ca="1"/>
        <v>9.2513342364819229E-2</v>
      </c>
      <c r="O2621" s="2">
        <f ca="1"/>
        <v>-0.72497971265827033</v>
      </c>
      <c r="X2621" s="2">
        <f ca="1"/>
        <v>20.006852663368306</v>
      </c>
      <c r="AG2621" s="2">
        <f ca="1"/>
        <v>0.87310095934548793</v>
      </c>
      <c r="AH2621" s="2" t="str">
        <f ca="1"/>
        <v>Bad</v>
      </c>
    </row>
    <row r="2622" spans="2:34" x14ac:dyDescent="0.2">
      <c r="B2622" s="2">
        <f ca="1"/>
        <v>0.75625046992984712</v>
      </c>
      <c r="O2622" s="2">
        <f ca="1"/>
        <v>-1.0942582021196992</v>
      </c>
      <c r="X2622" s="2">
        <f ca="1"/>
        <v>25.506841163745904</v>
      </c>
      <c r="AG2622" s="2">
        <f ca="1"/>
        <v>0.53245854252185754</v>
      </c>
      <c r="AH2622" s="2" t="str">
        <f ca="1"/>
        <v>Bad</v>
      </c>
    </row>
    <row r="2623" spans="2:34" x14ac:dyDescent="0.2">
      <c r="B2623" s="2">
        <f ca="1"/>
        <v>0.26021815866622777</v>
      </c>
      <c r="O2623" s="2">
        <f ca="1"/>
        <v>0.51316555150433596</v>
      </c>
      <c r="X2623" s="2">
        <f ca="1"/>
        <v>106.31179850501915</v>
      </c>
      <c r="AG2623" s="2">
        <f ca="1"/>
        <v>0.99172108774891621</v>
      </c>
      <c r="AH2623" s="2" t="str">
        <f ca="1"/>
        <v>Bad</v>
      </c>
    </row>
    <row r="2624" spans="2:34" x14ac:dyDescent="0.2">
      <c r="B2624" s="2">
        <f ca="1"/>
        <v>0.48172707792464031</v>
      </c>
      <c r="O2624" s="2">
        <f ca="1"/>
        <v>0.11913030359918861</v>
      </c>
      <c r="X2624" s="2">
        <f ca="1"/>
        <v>68.749310851175025</v>
      </c>
      <c r="AG2624" s="2">
        <f ca="1"/>
        <v>0.92706669506832218</v>
      </c>
      <c r="AH2624" s="2" t="str">
        <f ca="1"/>
        <v>Bad</v>
      </c>
    </row>
    <row r="2625" spans="2:34" x14ac:dyDescent="0.2">
      <c r="B2625" s="2">
        <f ca="1"/>
        <v>0.42450230616547113</v>
      </c>
      <c r="O2625" s="2">
        <f ca="1"/>
        <v>-0.31099913243506933</v>
      </c>
      <c r="X2625" s="2">
        <f ca="1"/>
        <v>41.131131505724838</v>
      </c>
      <c r="AG2625" s="2">
        <f ca="1"/>
        <v>0.74801037426739025</v>
      </c>
      <c r="AH2625" s="2" t="str">
        <f ca="1"/>
        <v>Bad</v>
      </c>
    </row>
    <row r="2626" spans="2:34" x14ac:dyDescent="0.2">
      <c r="B2626" s="2">
        <f ca="1"/>
        <v>0.69874670428568808</v>
      </c>
      <c r="O2626" s="2">
        <f ca="1"/>
        <v>0.8056073230955676</v>
      </c>
      <c r="X2626" s="2">
        <f ca="1"/>
        <v>43.474754637753783</v>
      </c>
      <c r="AG2626" s="2">
        <f ca="1"/>
        <v>0.64848138824264545</v>
      </c>
      <c r="AH2626" s="2" t="str">
        <f ca="1"/>
        <v>Bad</v>
      </c>
    </row>
    <row r="2627" spans="2:34" x14ac:dyDescent="0.2">
      <c r="B2627" s="2">
        <f ca="1"/>
        <v>0.91402125317531913</v>
      </c>
      <c r="O2627" s="2">
        <f ca="1"/>
        <v>-0.13535124899629725</v>
      </c>
      <c r="X2627" s="2">
        <f ca="1"/>
        <v>59.268602902800247</v>
      </c>
      <c r="AG2627" s="2">
        <f ca="1"/>
        <v>0.63495798171051443</v>
      </c>
      <c r="AH2627" s="2" t="str">
        <f ca="1"/>
        <v>Bad</v>
      </c>
    </row>
    <row r="2628" spans="2:34" x14ac:dyDescent="0.2">
      <c r="B2628" s="2">
        <f ca="1"/>
        <v>0.93310000444880159</v>
      </c>
      <c r="O2628" s="2">
        <f ca="1"/>
        <v>0.32038884155107084</v>
      </c>
      <c r="X2628" s="2">
        <f ca="1"/>
        <v>62.327392324466963</v>
      </c>
      <c r="AG2628" s="2">
        <f ca="1"/>
        <v>5.8467114908968831E-3</v>
      </c>
      <c r="AH2628" s="2" t="str">
        <f ca="1"/>
        <v>Good</v>
      </c>
    </row>
    <row r="2629" spans="2:34" x14ac:dyDescent="0.2">
      <c r="B2629" s="2">
        <f ca="1"/>
        <v>0.99156278413697496</v>
      </c>
      <c r="O2629" s="2">
        <f ca="1"/>
        <v>-0.76878298804163614</v>
      </c>
      <c r="X2629" s="2">
        <f ca="1"/>
        <v>36.676823440580321</v>
      </c>
      <c r="AG2629" s="2">
        <f ca="1"/>
        <v>0.1982853348781628</v>
      </c>
      <c r="AH2629" s="2" t="str">
        <f ca="1"/>
        <v>OK</v>
      </c>
    </row>
    <row r="2630" spans="2:34" x14ac:dyDescent="0.2">
      <c r="B2630" s="2">
        <f ca="1"/>
        <v>0.78272555256822485</v>
      </c>
      <c r="O2630" s="2">
        <f ca="1"/>
        <v>1.5635557827743118</v>
      </c>
      <c r="X2630" s="2">
        <f ca="1"/>
        <v>64.371357879067247</v>
      </c>
      <c r="AG2630" s="2">
        <f ca="1"/>
        <v>0.64109754337485181</v>
      </c>
      <c r="AH2630" s="2" t="str">
        <f ca="1"/>
        <v>Bad</v>
      </c>
    </row>
    <row r="2631" spans="2:34" x14ac:dyDescent="0.2">
      <c r="B2631" s="2">
        <f ca="1"/>
        <v>0.65104695725659534</v>
      </c>
      <c r="O2631" s="2">
        <f ca="1"/>
        <v>-1.334564466615513</v>
      </c>
      <c r="X2631" s="2">
        <f ca="1"/>
        <v>42.600668281915766</v>
      </c>
      <c r="AG2631" s="2">
        <f ca="1"/>
        <v>6.9507454608994212E-2</v>
      </c>
      <c r="AH2631" s="2" t="str">
        <f ca="1"/>
        <v>OK</v>
      </c>
    </row>
    <row r="2632" spans="2:34" x14ac:dyDescent="0.2">
      <c r="B2632" s="2">
        <f ca="1"/>
        <v>0.49175204840816988</v>
      </c>
      <c r="O2632" s="2">
        <f ca="1"/>
        <v>-1.4466129989762004</v>
      </c>
      <c r="X2632" s="2">
        <f ca="1"/>
        <v>40.566408506615261</v>
      </c>
      <c r="AG2632" s="2">
        <f ca="1"/>
        <v>0.95767552300312597</v>
      </c>
      <c r="AH2632" s="2" t="str">
        <f ca="1"/>
        <v>Bad</v>
      </c>
    </row>
    <row r="2633" spans="2:34" x14ac:dyDescent="0.2">
      <c r="B2633" s="2">
        <f ca="1"/>
        <v>0.33083159151233388</v>
      </c>
      <c r="O2633" s="2">
        <f ca="1"/>
        <v>1.7322418059768807</v>
      </c>
      <c r="X2633" s="2">
        <f ca="1"/>
        <v>71.12322564456035</v>
      </c>
      <c r="AG2633" s="2">
        <f ca="1"/>
        <v>7.5482857855912133E-2</v>
      </c>
      <c r="AH2633" s="2" t="str">
        <f ca="1"/>
        <v>OK</v>
      </c>
    </row>
    <row r="2634" spans="2:34" x14ac:dyDescent="0.2">
      <c r="B2634" s="2">
        <f ca="1"/>
        <v>0.28778108240504618</v>
      </c>
      <c r="O2634" s="2">
        <f ca="1"/>
        <v>-0.70052986933287642</v>
      </c>
      <c r="X2634" s="2">
        <f ca="1"/>
        <v>42.822827955990448</v>
      </c>
      <c r="AG2634" s="2">
        <f ca="1"/>
        <v>0.46805540701300297</v>
      </c>
      <c r="AH2634" s="2" t="str">
        <f ca="1"/>
        <v>Bad</v>
      </c>
    </row>
    <row r="2635" spans="2:34" x14ac:dyDescent="0.2">
      <c r="B2635" s="2">
        <f ca="1"/>
        <v>0.6493392773201403</v>
      </c>
      <c r="O2635" s="2">
        <f ca="1"/>
        <v>1.7580656537535631</v>
      </c>
      <c r="X2635" s="2">
        <f ca="1"/>
        <v>56.722686884874733</v>
      </c>
      <c r="AG2635" s="2">
        <f ca="1"/>
        <v>0.24532285469782922</v>
      </c>
      <c r="AH2635" s="2" t="str">
        <f ca="1"/>
        <v>OK</v>
      </c>
    </row>
    <row r="2636" spans="2:34" x14ac:dyDescent="0.2">
      <c r="B2636" s="2">
        <f ca="1"/>
        <v>0.64606288144644131</v>
      </c>
      <c r="O2636" s="2">
        <f ca="1"/>
        <v>-0.89853997414527331</v>
      </c>
      <c r="X2636" s="2">
        <f ca="1"/>
        <v>62.366240416885937</v>
      </c>
      <c r="AG2636" s="2">
        <f ca="1"/>
        <v>0.99066532834363841</v>
      </c>
      <c r="AH2636" s="2" t="str">
        <f ca="1"/>
        <v>Bad</v>
      </c>
    </row>
    <row r="2637" spans="2:34" x14ac:dyDescent="0.2">
      <c r="B2637" s="2">
        <f ca="1"/>
        <v>0.66303358968487491</v>
      </c>
      <c r="O2637" s="2">
        <f ca="1"/>
        <v>1.1227293026498741</v>
      </c>
      <c r="X2637" s="2">
        <f ca="1"/>
        <v>41.866983197833562</v>
      </c>
      <c r="AG2637" s="2">
        <f ca="1"/>
        <v>0.33703846650400182</v>
      </c>
      <c r="AH2637" s="2" t="str">
        <f ca="1"/>
        <v>OK</v>
      </c>
    </row>
    <row r="2638" spans="2:34" x14ac:dyDescent="0.2">
      <c r="B2638" s="2">
        <f ca="1"/>
        <v>0.59652592998201603</v>
      </c>
      <c r="O2638" s="2">
        <f ca="1"/>
        <v>1.2342779319571704</v>
      </c>
      <c r="X2638" s="2">
        <f ca="1"/>
        <v>36.572101271258276</v>
      </c>
      <c r="AG2638" s="2">
        <f ca="1"/>
        <v>0.35757974921334501</v>
      </c>
      <c r="AH2638" s="2" t="str">
        <f ca="1"/>
        <v>OK</v>
      </c>
    </row>
    <row r="2639" spans="2:34" x14ac:dyDescent="0.2">
      <c r="B2639" s="2">
        <f ca="1"/>
        <v>0.58048948294021852</v>
      </c>
      <c r="O2639" s="2">
        <f ca="1"/>
        <v>1.267558412789803</v>
      </c>
      <c r="X2639" s="2">
        <f ca="1"/>
        <v>23.51980994567645</v>
      </c>
      <c r="AG2639" s="2">
        <f ca="1"/>
        <v>8.5486253727342643E-3</v>
      </c>
      <c r="AH2639" s="2" t="str">
        <f ca="1"/>
        <v>Good</v>
      </c>
    </row>
    <row r="2640" spans="2:34" x14ac:dyDescent="0.2">
      <c r="B2640" s="2">
        <f ca="1"/>
        <v>0.70685629947829143</v>
      </c>
      <c r="O2640" s="2">
        <f ca="1"/>
        <v>8.7395692006707784E-2</v>
      </c>
      <c r="X2640" s="2">
        <f ca="1"/>
        <v>70.675753356996182</v>
      </c>
      <c r="AG2640" s="2">
        <f ca="1"/>
        <v>0.4438347086376957</v>
      </c>
      <c r="AH2640" s="2" t="str">
        <f ca="1"/>
        <v>Bad</v>
      </c>
    </row>
    <row r="2641" spans="2:34" x14ac:dyDescent="0.2">
      <c r="B2641" s="2">
        <f ca="1"/>
        <v>0.71639707306424927</v>
      </c>
      <c r="O2641" s="2">
        <f ca="1"/>
        <v>-0.5334877785111749</v>
      </c>
      <c r="X2641" s="2">
        <f ca="1"/>
        <v>37.098650722480293</v>
      </c>
      <c r="AG2641" s="2">
        <f ca="1"/>
        <v>5.3436858455643055E-2</v>
      </c>
      <c r="AH2641" s="2" t="str">
        <f ca="1"/>
        <v>OK</v>
      </c>
    </row>
    <row r="2642" spans="2:34" x14ac:dyDescent="0.2">
      <c r="B2642" s="2">
        <f ca="1"/>
        <v>0.78900259799567851</v>
      </c>
      <c r="O2642" s="2">
        <f ca="1"/>
        <v>-1.1697895062250203</v>
      </c>
      <c r="X2642" s="2">
        <f ca="1"/>
        <v>44.466067929086719</v>
      </c>
      <c r="AG2642" s="2">
        <f ca="1"/>
        <v>0.51678709269197665</v>
      </c>
      <c r="AH2642" s="2" t="str">
        <f ca="1"/>
        <v>Bad</v>
      </c>
    </row>
    <row r="2643" spans="2:34" x14ac:dyDescent="0.2">
      <c r="B2643" s="2">
        <f ca="1"/>
        <v>0.74830548509877359</v>
      </c>
      <c r="O2643" s="2">
        <f ca="1"/>
        <v>1.399805365113721</v>
      </c>
      <c r="X2643" s="2">
        <f ca="1"/>
        <v>52.651094144213531</v>
      </c>
      <c r="AG2643" s="2">
        <f ca="1"/>
        <v>0.77703579605579387</v>
      </c>
      <c r="AH2643" s="2" t="str">
        <f ca="1"/>
        <v>Bad</v>
      </c>
    </row>
    <row r="2644" spans="2:34" x14ac:dyDescent="0.2">
      <c r="B2644" s="2">
        <f ca="1"/>
        <v>0.76162133015418587</v>
      </c>
      <c r="O2644" s="2">
        <f ca="1"/>
        <v>2.6046081120797528</v>
      </c>
      <c r="X2644" s="2">
        <f ca="1"/>
        <v>36.799481090808264</v>
      </c>
      <c r="AG2644" s="2">
        <f ca="1"/>
        <v>0.88881615331986019</v>
      </c>
      <c r="AH2644" s="2" t="str">
        <f ca="1"/>
        <v>Bad</v>
      </c>
    </row>
    <row r="2645" spans="2:34" x14ac:dyDescent="0.2">
      <c r="B2645" s="2">
        <f ca="1"/>
        <v>0.78471459267747212</v>
      </c>
      <c r="O2645" s="2">
        <f ca="1"/>
        <v>0.99930555349207406</v>
      </c>
      <c r="X2645" s="2">
        <f ca="1"/>
        <v>50.125659671182873</v>
      </c>
      <c r="AG2645" s="2">
        <f ca="1"/>
        <v>0.76871369326766192</v>
      </c>
      <c r="AH2645" s="2" t="str">
        <f ca="1"/>
        <v>Bad</v>
      </c>
    </row>
    <row r="2646" spans="2:34" x14ac:dyDescent="0.2">
      <c r="B2646" s="2">
        <f ca="1"/>
        <v>0.13359957577123649</v>
      </c>
      <c r="O2646" s="2">
        <f ca="1"/>
        <v>-0.23877771192370761</v>
      </c>
      <c r="X2646" s="2">
        <f ca="1"/>
        <v>43.838351263718991</v>
      </c>
      <c r="AG2646" s="2">
        <f ca="1"/>
        <v>8.7498632938739496E-2</v>
      </c>
      <c r="AH2646" s="2" t="str">
        <f ca="1"/>
        <v>OK</v>
      </c>
    </row>
    <row r="2647" spans="2:34" x14ac:dyDescent="0.2">
      <c r="B2647" s="2">
        <f ca="1"/>
        <v>0.33137564394170504</v>
      </c>
      <c r="O2647" s="2">
        <f ca="1"/>
        <v>0.35327120587862593</v>
      </c>
      <c r="X2647" s="2">
        <f ca="1"/>
        <v>58.533540511235536</v>
      </c>
      <c r="AG2647" s="2">
        <f ca="1"/>
        <v>0.13902658211858476</v>
      </c>
      <c r="AH2647" s="2" t="str">
        <f ca="1"/>
        <v>OK</v>
      </c>
    </row>
    <row r="2648" spans="2:34" x14ac:dyDescent="0.2">
      <c r="B2648" s="2">
        <f ca="1"/>
        <v>0.39407672245142189</v>
      </c>
      <c r="O2648" s="2">
        <f ca="1"/>
        <v>0.50541403868725066</v>
      </c>
      <c r="X2648" s="2">
        <f ca="1"/>
        <v>36.719239675154377</v>
      </c>
      <c r="AG2648" s="2">
        <f ca="1"/>
        <v>0.67593721382314742</v>
      </c>
      <c r="AH2648" s="2" t="str">
        <f ca="1"/>
        <v>Bad</v>
      </c>
    </row>
    <row r="2649" spans="2:34" x14ac:dyDescent="0.2">
      <c r="B2649" s="2">
        <f ca="1"/>
        <v>0.36372949653108533</v>
      </c>
      <c r="O2649" s="2">
        <f ca="1"/>
        <v>-1.3839062121886485</v>
      </c>
      <c r="X2649" s="2">
        <f ca="1"/>
        <v>51.910820780207629</v>
      </c>
      <c r="AG2649" s="2">
        <f ca="1"/>
        <v>0.6183502714687299</v>
      </c>
      <c r="AH2649" s="2" t="str">
        <f ca="1"/>
        <v>Bad</v>
      </c>
    </row>
    <row r="2650" spans="2:34" x14ac:dyDescent="0.2">
      <c r="B2650" s="2">
        <f ca="1"/>
        <v>0.12979078580558912</v>
      </c>
      <c r="O2650" s="2">
        <f ca="1"/>
        <v>0.26010260484815473</v>
      </c>
      <c r="X2650" s="2">
        <f ca="1"/>
        <v>38.350698840762774</v>
      </c>
      <c r="AG2650" s="2">
        <f ca="1"/>
        <v>0.25140154193793229</v>
      </c>
      <c r="AH2650" s="2" t="str">
        <f ca="1"/>
        <v>OK</v>
      </c>
    </row>
    <row r="2651" spans="2:34" x14ac:dyDescent="0.2">
      <c r="B2651" s="2">
        <f ca="1"/>
        <v>0.4522352979718478</v>
      </c>
      <c r="O2651" s="2">
        <f ca="1"/>
        <v>1.3716557707708223</v>
      </c>
      <c r="X2651" s="2">
        <f ca="1"/>
        <v>38.381479524801883</v>
      </c>
      <c r="AG2651" s="2">
        <f ca="1"/>
        <v>0.73376497838783084</v>
      </c>
      <c r="AH2651" s="2" t="str">
        <f ca="1"/>
        <v>Bad</v>
      </c>
    </row>
    <row r="2652" spans="2:34" x14ac:dyDescent="0.2">
      <c r="B2652" s="2">
        <f ca="1"/>
        <v>0.30132296508631873</v>
      </c>
      <c r="O2652" s="2">
        <f ca="1"/>
        <v>0.25666998069654512</v>
      </c>
      <c r="X2652" s="2">
        <f ca="1"/>
        <v>32.139042154798283</v>
      </c>
      <c r="AG2652" s="2">
        <f ca="1"/>
        <v>0.71050227665166199</v>
      </c>
      <c r="AH2652" s="2" t="str">
        <f ca="1"/>
        <v>Bad</v>
      </c>
    </row>
    <row r="2653" spans="2:34" x14ac:dyDescent="0.2">
      <c r="B2653" s="2">
        <f ca="1"/>
        <v>0.19838838089624944</v>
      </c>
      <c r="O2653" s="2">
        <f ca="1"/>
        <v>0.67003105048046474</v>
      </c>
      <c r="X2653" s="2">
        <f ca="1"/>
        <v>66.136903776706205</v>
      </c>
      <c r="AG2653" s="2">
        <f ca="1"/>
        <v>0.45093488931210546</v>
      </c>
      <c r="AH2653" s="2" t="str">
        <f ca="1"/>
        <v>Bad</v>
      </c>
    </row>
    <row r="2654" spans="2:34" x14ac:dyDescent="0.2">
      <c r="B2654" s="2">
        <f ca="1"/>
        <v>1.2233798082623704E-3</v>
      </c>
      <c r="O2654" s="2">
        <f ca="1"/>
        <v>7.751100307258528E-2</v>
      </c>
      <c r="X2654" s="2">
        <f ca="1"/>
        <v>70.183887597463567</v>
      </c>
      <c r="AG2654" s="2">
        <f ca="1"/>
        <v>0.11490510782380703</v>
      </c>
      <c r="AH2654" s="2" t="str">
        <f ca="1"/>
        <v>OK</v>
      </c>
    </row>
    <row r="2655" spans="2:34" x14ac:dyDescent="0.2">
      <c r="B2655" s="2">
        <f ca="1"/>
        <v>0.48546894430670706</v>
      </c>
      <c r="O2655" s="2">
        <f ca="1"/>
        <v>-0.4455924824960617</v>
      </c>
      <c r="X2655" s="2">
        <f ca="1"/>
        <v>43.548092709877949</v>
      </c>
      <c r="AG2655" s="2">
        <f ca="1"/>
        <v>0.88072130750061817</v>
      </c>
      <c r="AH2655" s="2" t="str">
        <f ca="1"/>
        <v>Bad</v>
      </c>
    </row>
    <row r="2656" spans="2:34" x14ac:dyDescent="0.2">
      <c r="B2656" s="2">
        <f ca="1"/>
        <v>0.54353168511502403</v>
      </c>
      <c r="O2656" s="2">
        <f ca="1"/>
        <v>-2.0636419129874506</v>
      </c>
      <c r="X2656" s="2">
        <f ca="1"/>
        <v>60.609779114865148</v>
      </c>
      <c r="AG2656" s="2">
        <f ca="1"/>
        <v>8.8127478783473379E-2</v>
      </c>
      <c r="AH2656" s="2" t="str">
        <f ca="1"/>
        <v>OK</v>
      </c>
    </row>
    <row r="2657" spans="2:34" x14ac:dyDescent="0.2">
      <c r="B2657" s="2">
        <f ca="1"/>
        <v>0.85925324078562393</v>
      </c>
      <c r="O2657" s="2">
        <f ca="1"/>
        <v>-0.17225638960946985</v>
      </c>
      <c r="X2657" s="2">
        <f ca="1"/>
        <v>34.266371072807871</v>
      </c>
      <c r="AG2657" s="2">
        <f ca="1"/>
        <v>0.58416840911042711</v>
      </c>
      <c r="AH2657" s="2" t="str">
        <f ca="1"/>
        <v>Bad</v>
      </c>
    </row>
    <row r="2658" spans="2:34" x14ac:dyDescent="0.2">
      <c r="B2658" s="2">
        <f ca="1"/>
        <v>0.54080673107135602</v>
      </c>
      <c r="O2658" s="2">
        <f ca="1"/>
        <v>0.97155095439586658</v>
      </c>
      <c r="X2658" s="2">
        <f ca="1"/>
        <v>66.238952635137153</v>
      </c>
      <c r="AG2658" s="2">
        <f ca="1"/>
        <v>0.84517130588873268</v>
      </c>
      <c r="AH2658" s="2" t="str">
        <f ca="1"/>
        <v>Bad</v>
      </c>
    </row>
    <row r="2659" spans="2:34" x14ac:dyDescent="0.2">
      <c r="B2659" s="2">
        <f ca="1"/>
        <v>0.40048188723103562</v>
      </c>
      <c r="O2659" s="2">
        <f ca="1"/>
        <v>-0.77339814045151956</v>
      </c>
      <c r="X2659" s="2">
        <f ca="1"/>
        <v>32.8558813346636</v>
      </c>
      <c r="AG2659" s="2">
        <f ca="1"/>
        <v>0.15438026728304455</v>
      </c>
      <c r="AH2659" s="2" t="str">
        <f ca="1"/>
        <v>OK</v>
      </c>
    </row>
    <row r="2660" spans="2:34" x14ac:dyDescent="0.2">
      <c r="B2660" s="2">
        <f ca="1"/>
        <v>0.37131361186667289</v>
      </c>
      <c r="O2660" s="2">
        <f ca="1"/>
        <v>-1.6750975640663854</v>
      </c>
      <c r="X2660" s="2">
        <f ca="1"/>
        <v>41.457155993979562</v>
      </c>
      <c r="AG2660" s="2">
        <f ca="1"/>
        <v>0.89142760065243509</v>
      </c>
      <c r="AH2660" s="2" t="str">
        <f ca="1"/>
        <v>Bad</v>
      </c>
    </row>
    <row r="2661" spans="2:34" x14ac:dyDescent="0.2">
      <c r="B2661" s="2">
        <f ca="1"/>
        <v>0.11870155664789817</v>
      </c>
      <c r="O2661" s="2">
        <f ca="1"/>
        <v>-0.64324643421865635</v>
      </c>
      <c r="X2661" s="2">
        <f ca="1"/>
        <v>26.902927354789703</v>
      </c>
      <c r="AG2661" s="2">
        <f ca="1"/>
        <v>0.92834462110768246</v>
      </c>
      <c r="AH2661" s="2" t="str">
        <f ca="1"/>
        <v>Bad</v>
      </c>
    </row>
    <row r="2662" spans="2:34" x14ac:dyDescent="0.2">
      <c r="B2662" s="2">
        <f ca="1"/>
        <v>0.24739657119508585</v>
      </c>
      <c r="O2662" s="2">
        <f ca="1"/>
        <v>1.7134999897988916</v>
      </c>
      <c r="X2662" s="2">
        <f ca="1"/>
        <v>27.623206731820765</v>
      </c>
      <c r="AG2662" s="2">
        <f ca="1"/>
        <v>0.46052595987591327</v>
      </c>
      <c r="AH2662" s="2" t="str">
        <f ca="1"/>
        <v>Bad</v>
      </c>
    </row>
    <row r="2663" spans="2:34" x14ac:dyDescent="0.2">
      <c r="B2663" s="2">
        <f ca="1"/>
        <v>0.98320345367268991</v>
      </c>
      <c r="O2663" s="2">
        <f ca="1"/>
        <v>0.94609596730324941</v>
      </c>
      <c r="X2663" s="2">
        <f ca="1"/>
        <v>65.831720173920644</v>
      </c>
      <c r="AG2663" s="2">
        <f ca="1"/>
        <v>0.47173915701244318</v>
      </c>
      <c r="AH2663" s="2" t="str">
        <f ca="1"/>
        <v>Bad</v>
      </c>
    </row>
    <row r="2664" spans="2:34" x14ac:dyDescent="0.2">
      <c r="B2664" s="2">
        <f ca="1"/>
        <v>0.61452734311381585</v>
      </c>
      <c r="O2664" s="2">
        <f ca="1"/>
        <v>0.62401211970057158</v>
      </c>
      <c r="X2664" s="2">
        <f ca="1"/>
        <v>66.03463900929313</v>
      </c>
      <c r="AG2664" s="2">
        <f ca="1"/>
        <v>0.70335499373041954</v>
      </c>
      <c r="AH2664" s="2" t="str">
        <f ca="1"/>
        <v>Bad</v>
      </c>
    </row>
    <row r="2665" spans="2:34" x14ac:dyDescent="0.2">
      <c r="B2665" s="2">
        <f ca="1"/>
        <v>0.85055050384651643</v>
      </c>
      <c r="O2665" s="2">
        <f ca="1"/>
        <v>-0.65037892731199365</v>
      </c>
      <c r="X2665" s="2">
        <f ca="1"/>
        <v>52.59947393132898</v>
      </c>
      <c r="AG2665" s="2">
        <f ca="1"/>
        <v>0.32311089638211388</v>
      </c>
      <c r="AH2665" s="2" t="str">
        <f ca="1"/>
        <v>OK</v>
      </c>
    </row>
    <row r="2666" spans="2:34" x14ac:dyDescent="0.2">
      <c r="B2666" s="2">
        <f ca="1"/>
        <v>0.88683781676089102</v>
      </c>
      <c r="O2666" s="2">
        <f ca="1"/>
        <v>-0.67946146928171092</v>
      </c>
      <c r="X2666" s="2">
        <f ca="1"/>
        <v>41.238149727599549</v>
      </c>
      <c r="AG2666" s="2">
        <f ca="1"/>
        <v>0.97434042313602709</v>
      </c>
      <c r="AH2666" s="2" t="str">
        <f ca="1"/>
        <v>Bad</v>
      </c>
    </row>
    <row r="2667" spans="2:34" x14ac:dyDescent="0.2">
      <c r="B2667" s="2">
        <f ca="1"/>
        <v>0.91885414548519129</v>
      </c>
      <c r="O2667" s="2">
        <f ca="1"/>
        <v>0.13845931533275965</v>
      </c>
      <c r="X2667" s="2">
        <f ca="1"/>
        <v>55.420978094943642</v>
      </c>
      <c r="AG2667" s="2">
        <f ca="1"/>
        <v>0.31715627628330711</v>
      </c>
      <c r="AH2667" s="2" t="str">
        <f ca="1"/>
        <v>OK</v>
      </c>
    </row>
    <row r="2668" spans="2:34" x14ac:dyDescent="0.2">
      <c r="B2668" s="2">
        <f ca="1"/>
        <v>0.54417329375468659</v>
      </c>
      <c r="O2668" s="2">
        <f ca="1"/>
        <v>-0.71862033806729031</v>
      </c>
      <c r="X2668" s="2">
        <f ca="1"/>
        <v>79.455641371993892</v>
      </c>
      <c r="AG2668" s="2">
        <f ca="1"/>
        <v>0.22981601352216918</v>
      </c>
      <c r="AH2668" s="2" t="str">
        <f ca="1"/>
        <v>OK</v>
      </c>
    </row>
    <row r="2669" spans="2:34" x14ac:dyDescent="0.2">
      <c r="B2669" s="2">
        <f ca="1"/>
        <v>0.99023515695898379</v>
      </c>
      <c r="O2669" s="2">
        <f ca="1"/>
        <v>1.8202524411070844</v>
      </c>
      <c r="X2669" s="2">
        <f ca="1"/>
        <v>49.798840133702171</v>
      </c>
      <c r="AG2669" s="2">
        <f ca="1"/>
        <v>0.37865243845375263</v>
      </c>
      <c r="AH2669" s="2" t="str">
        <f ca="1"/>
        <v>OK</v>
      </c>
    </row>
    <row r="2670" spans="2:34" x14ac:dyDescent="0.2">
      <c r="B2670" s="2">
        <f ca="1"/>
        <v>0.12566789628514408</v>
      </c>
      <c r="O2670" s="2">
        <f ca="1"/>
        <v>0.46016288306270969</v>
      </c>
      <c r="X2670" s="2">
        <f ca="1"/>
        <v>68.509792789586214</v>
      </c>
      <c r="AG2670" s="2">
        <f ca="1"/>
        <v>0.61763572627483065</v>
      </c>
      <c r="AH2670" s="2" t="str">
        <f ca="1"/>
        <v>Bad</v>
      </c>
    </row>
    <row r="2671" spans="2:34" x14ac:dyDescent="0.2">
      <c r="B2671" s="2">
        <f ca="1"/>
        <v>0.94402372645079846</v>
      </c>
      <c r="O2671" s="2">
        <f ca="1"/>
        <v>2.649522982204326</v>
      </c>
      <c r="X2671" s="2">
        <f ca="1"/>
        <v>48.579464303994712</v>
      </c>
      <c r="AG2671" s="2">
        <f ca="1"/>
        <v>0.87521703132876216</v>
      </c>
      <c r="AH2671" s="2" t="str">
        <f ca="1"/>
        <v>Bad</v>
      </c>
    </row>
    <row r="2672" spans="2:34" x14ac:dyDescent="0.2">
      <c r="B2672" s="2">
        <f ca="1"/>
        <v>0.84921644955409592</v>
      </c>
      <c r="O2672" s="2">
        <f ca="1"/>
        <v>1.6363431882218555</v>
      </c>
      <c r="X2672" s="2">
        <f ca="1"/>
        <v>37.976530357213058</v>
      </c>
      <c r="AG2672" s="2">
        <f ca="1"/>
        <v>0.99284187013627134</v>
      </c>
      <c r="AH2672" s="2" t="str">
        <f ca="1"/>
        <v>Bad</v>
      </c>
    </row>
    <row r="2673" spans="2:34" x14ac:dyDescent="0.2">
      <c r="B2673" s="2">
        <f ca="1"/>
        <v>0.72290929273317972</v>
      </c>
      <c r="O2673" s="2">
        <f ca="1"/>
        <v>-0.24275035960331673</v>
      </c>
      <c r="X2673" s="2">
        <f ca="1"/>
        <v>36.570189979778483</v>
      </c>
      <c r="AG2673" s="2">
        <f ca="1"/>
        <v>0.45813207532425615</v>
      </c>
      <c r="AH2673" s="2" t="str">
        <f ca="1"/>
        <v>Bad</v>
      </c>
    </row>
    <row r="2674" spans="2:34" x14ac:dyDescent="0.2">
      <c r="B2674" s="2">
        <f ca="1"/>
        <v>4.706558453623888E-3</v>
      </c>
      <c r="O2674" s="2">
        <f ca="1"/>
        <v>0.59323801786173069</v>
      </c>
      <c r="X2674" s="2">
        <f ca="1"/>
        <v>56.203609978305302</v>
      </c>
      <c r="AG2674" s="2">
        <f ca="1"/>
        <v>0.89935347021753609</v>
      </c>
      <c r="AH2674" s="2" t="str">
        <f ca="1"/>
        <v>Bad</v>
      </c>
    </row>
    <row r="2675" spans="2:34" x14ac:dyDescent="0.2">
      <c r="B2675" s="2">
        <f ca="1"/>
        <v>0.67861656324533981</v>
      </c>
      <c r="O2675" s="2">
        <f ca="1"/>
        <v>-0.75836683937115168</v>
      </c>
      <c r="X2675" s="2">
        <f ca="1"/>
        <v>54.193616486452257</v>
      </c>
      <c r="AG2675" s="2">
        <f ca="1"/>
        <v>0.34971722966604668</v>
      </c>
      <c r="AH2675" s="2" t="str">
        <f ca="1"/>
        <v>OK</v>
      </c>
    </row>
    <row r="2676" spans="2:34" x14ac:dyDescent="0.2">
      <c r="B2676" s="2">
        <f ca="1"/>
        <v>6.9298466587687013E-2</v>
      </c>
      <c r="O2676" s="2">
        <f ca="1"/>
        <v>-0.41348832510879358</v>
      </c>
      <c r="X2676" s="2">
        <f ca="1"/>
        <v>33.623562356075709</v>
      </c>
      <c r="AG2676" s="2">
        <f ca="1"/>
        <v>0.53795906853500619</v>
      </c>
      <c r="AH2676" s="2" t="str">
        <f ca="1"/>
        <v>Bad</v>
      </c>
    </row>
    <row r="2677" spans="2:34" x14ac:dyDescent="0.2">
      <c r="B2677" s="2">
        <f ca="1"/>
        <v>0.52058596862734885</v>
      </c>
      <c r="O2677" s="2">
        <f ca="1"/>
        <v>0.56849491272591257</v>
      </c>
      <c r="X2677" s="2">
        <f ca="1"/>
        <v>80.49575737837327</v>
      </c>
      <c r="AG2677" s="2">
        <f ca="1"/>
        <v>0.23210827475957885</v>
      </c>
      <c r="AH2677" s="2" t="str">
        <f ca="1"/>
        <v>OK</v>
      </c>
    </row>
    <row r="2678" spans="2:34" x14ac:dyDescent="0.2">
      <c r="B2678" s="2">
        <f ca="1"/>
        <v>0.18323294936986723</v>
      </c>
      <c r="O2678" s="2">
        <f ca="1"/>
        <v>0.1811393961567308</v>
      </c>
      <c r="X2678" s="2">
        <f ca="1"/>
        <v>50.744713885580069</v>
      </c>
      <c r="AG2678" s="2">
        <f ca="1"/>
        <v>0.2465208238434673</v>
      </c>
      <c r="AH2678" s="2" t="str">
        <f ca="1"/>
        <v>OK</v>
      </c>
    </row>
    <row r="2679" spans="2:34" x14ac:dyDescent="0.2">
      <c r="B2679" s="2">
        <f ca="1"/>
        <v>0.85742089181921521</v>
      </c>
      <c r="O2679" s="2">
        <f ca="1"/>
        <v>-0.62125486909599259</v>
      </c>
      <c r="X2679" s="2">
        <f ca="1"/>
        <v>64.386909429709334</v>
      </c>
      <c r="AG2679" s="2">
        <f ca="1"/>
        <v>0.37720655778124312</v>
      </c>
      <c r="AH2679" s="2" t="str">
        <f ca="1"/>
        <v>OK</v>
      </c>
    </row>
    <row r="2680" spans="2:34" x14ac:dyDescent="0.2">
      <c r="B2680" s="2">
        <f ca="1"/>
        <v>0.28557745397096612</v>
      </c>
      <c r="O2680" s="2">
        <f ca="1"/>
        <v>-1.374401551912487</v>
      </c>
      <c r="X2680" s="2">
        <f ca="1"/>
        <v>49.616180699634668</v>
      </c>
      <c r="AG2680" s="2">
        <f ca="1"/>
        <v>0.32262561828993319</v>
      </c>
      <c r="AH2680" s="2" t="str">
        <f ca="1"/>
        <v>OK</v>
      </c>
    </row>
    <row r="2681" spans="2:34" x14ac:dyDescent="0.2">
      <c r="B2681" s="2">
        <f ca="1"/>
        <v>0.31731755693981878</v>
      </c>
      <c r="O2681" s="2">
        <f ca="1"/>
        <v>1.6300353067133618E-2</v>
      </c>
      <c r="X2681" s="2">
        <f ca="1"/>
        <v>59.774076841280817</v>
      </c>
      <c r="AG2681" s="2">
        <f ca="1"/>
        <v>0.99513725923691698</v>
      </c>
      <c r="AH2681" s="2" t="str">
        <f ca="1"/>
        <v>Bad</v>
      </c>
    </row>
    <row r="2682" spans="2:34" x14ac:dyDescent="0.2">
      <c r="B2682" s="2">
        <f ca="1"/>
        <v>0.31826086820206667</v>
      </c>
      <c r="O2682" s="2">
        <f ca="1"/>
        <v>-0.4576301350914429</v>
      </c>
      <c r="X2682" s="2">
        <f ca="1"/>
        <v>53.855031842130913</v>
      </c>
      <c r="AG2682" s="2">
        <f ca="1"/>
        <v>0.28641619554897368</v>
      </c>
      <c r="AH2682" s="2" t="str">
        <f ca="1"/>
        <v>OK</v>
      </c>
    </row>
    <row r="2683" spans="2:34" x14ac:dyDescent="0.2">
      <c r="B2683" s="2">
        <f ca="1"/>
        <v>0.38402270946552997</v>
      </c>
      <c r="O2683" s="2">
        <f ca="1"/>
        <v>-0.14618731872605328</v>
      </c>
      <c r="X2683" s="2">
        <f ca="1"/>
        <v>47.907802470333571</v>
      </c>
      <c r="AG2683" s="2">
        <f ca="1"/>
        <v>0.93742444160517224</v>
      </c>
      <c r="AH2683" s="2" t="str">
        <f ca="1"/>
        <v>Bad</v>
      </c>
    </row>
    <row r="2684" spans="2:34" x14ac:dyDescent="0.2">
      <c r="B2684" s="2">
        <f ca="1"/>
        <v>0.14254932445016721</v>
      </c>
      <c r="O2684" s="2">
        <f ca="1"/>
        <v>-0.14905734551541902</v>
      </c>
      <c r="X2684" s="2">
        <f ca="1"/>
        <v>71.987687492995406</v>
      </c>
      <c r="AG2684" s="2">
        <f ca="1"/>
        <v>0.91178511253748562</v>
      </c>
      <c r="AH2684" s="2" t="str">
        <f ca="1"/>
        <v>Bad</v>
      </c>
    </row>
    <row r="2685" spans="2:34" x14ac:dyDescent="0.2">
      <c r="B2685" s="2">
        <f ca="1"/>
        <v>0.41221281795291254</v>
      </c>
      <c r="O2685" s="2">
        <f ca="1"/>
        <v>-0.40023358004434939</v>
      </c>
      <c r="X2685" s="2">
        <f ca="1"/>
        <v>38.635290619766593</v>
      </c>
      <c r="AG2685" s="2">
        <f ca="1"/>
        <v>0.24409908335852193</v>
      </c>
      <c r="AH2685" s="2" t="str">
        <f ca="1"/>
        <v>OK</v>
      </c>
    </row>
    <row r="2686" spans="2:34" x14ac:dyDescent="0.2">
      <c r="B2686" s="2">
        <f ca="1"/>
        <v>0.1883180756390741</v>
      </c>
      <c r="O2686" s="2">
        <f ca="1"/>
        <v>-0.64307722825930758</v>
      </c>
      <c r="X2686" s="2">
        <f ca="1"/>
        <v>67.028455231778054</v>
      </c>
      <c r="AG2686" s="2">
        <f ca="1"/>
        <v>0.40197770582195469</v>
      </c>
      <c r="AH2686" s="2" t="str">
        <f ca="1"/>
        <v>Bad</v>
      </c>
    </row>
    <row r="2687" spans="2:34" x14ac:dyDescent="0.2">
      <c r="B2687" s="2">
        <f ca="1"/>
        <v>0.66077371136543817</v>
      </c>
      <c r="O2687" s="2">
        <f ca="1"/>
        <v>0.44058280577154807</v>
      </c>
      <c r="X2687" s="2">
        <f ca="1"/>
        <v>43.335996587796998</v>
      </c>
      <c r="AG2687" s="2">
        <f ca="1"/>
        <v>0.79884975738961184</v>
      </c>
      <c r="AH2687" s="2" t="str">
        <f ca="1"/>
        <v>Bad</v>
      </c>
    </row>
    <row r="2688" spans="2:34" x14ac:dyDescent="0.2">
      <c r="B2688" s="2">
        <f ca="1"/>
        <v>0.8810257193910378</v>
      </c>
      <c r="O2688" s="2">
        <f ca="1"/>
        <v>0.37737799281575385</v>
      </c>
      <c r="X2688" s="2">
        <f ca="1"/>
        <v>69.240782468665728</v>
      </c>
      <c r="AG2688" s="2">
        <f ca="1"/>
        <v>0.27740997971063308</v>
      </c>
      <c r="AH2688" s="2" t="str">
        <f ca="1"/>
        <v>OK</v>
      </c>
    </row>
    <row r="2689" spans="2:34" x14ac:dyDescent="0.2">
      <c r="B2689" s="2">
        <f ca="1"/>
        <v>0.15843981698755472</v>
      </c>
      <c r="O2689" s="2">
        <f ca="1"/>
        <v>-1.1362438916908428E-2</v>
      </c>
      <c r="X2689" s="2">
        <f ca="1"/>
        <v>40.804884662430581</v>
      </c>
      <c r="AG2689" s="2">
        <f ca="1"/>
        <v>0.29383246703540555</v>
      </c>
      <c r="AH2689" s="2" t="str">
        <f ca="1"/>
        <v>OK</v>
      </c>
    </row>
    <row r="2690" spans="2:34" x14ac:dyDescent="0.2">
      <c r="B2690" s="2">
        <f ca="1"/>
        <v>0.39770702986374329</v>
      </c>
      <c r="O2690" s="2">
        <f ca="1"/>
        <v>-0.17874727483943376</v>
      </c>
      <c r="X2690" s="2">
        <f ca="1"/>
        <v>59.401794948590236</v>
      </c>
      <c r="AG2690" s="2">
        <f ca="1"/>
        <v>0.59015111056549974</v>
      </c>
      <c r="AH2690" s="2" t="str">
        <f ca="1"/>
        <v>Bad</v>
      </c>
    </row>
    <row r="2691" spans="2:34" x14ac:dyDescent="0.2">
      <c r="B2691" s="2">
        <f ca="1"/>
        <v>0.83811823703816923</v>
      </c>
      <c r="O2691" s="2">
        <f ca="1"/>
        <v>0.52267669495456737</v>
      </c>
      <c r="X2691" s="2">
        <f ca="1"/>
        <v>53.044929951790969</v>
      </c>
      <c r="AG2691" s="2">
        <f ca="1"/>
        <v>0.51312796051820908</v>
      </c>
      <c r="AH2691" s="2" t="str">
        <f ca="1"/>
        <v>Bad</v>
      </c>
    </row>
    <row r="2692" spans="2:34" x14ac:dyDescent="0.2">
      <c r="B2692" s="2">
        <f ca="1"/>
        <v>0.57326627074692693</v>
      </c>
      <c r="O2692" s="2">
        <f ca="1"/>
        <v>0.38859573253344964</v>
      </c>
      <c r="X2692" s="2">
        <f ca="1"/>
        <v>66.229053854990681</v>
      </c>
      <c r="AG2692" s="2">
        <f ca="1"/>
        <v>0.97514491187135732</v>
      </c>
      <c r="AH2692" s="2" t="str">
        <f ca="1"/>
        <v>Bad</v>
      </c>
    </row>
    <row r="2693" spans="2:34" x14ac:dyDescent="0.2">
      <c r="B2693" s="2">
        <f ca="1"/>
        <v>0.94972728733453526</v>
      </c>
      <c r="O2693" s="2">
        <f ca="1"/>
        <v>-0.64323105655209289</v>
      </c>
      <c r="X2693" s="2">
        <f ca="1"/>
        <v>40.008599479775491</v>
      </c>
      <c r="AG2693" s="2">
        <f ca="1"/>
        <v>0.36370828489896012</v>
      </c>
      <c r="AH2693" s="2" t="str">
        <f ca="1"/>
        <v>OK</v>
      </c>
    </row>
    <row r="2694" spans="2:34" x14ac:dyDescent="0.2">
      <c r="B2694" s="2">
        <f ca="1"/>
        <v>0.10300411424219269</v>
      </c>
      <c r="O2694" s="2">
        <f ca="1"/>
        <v>0.34777222114965689</v>
      </c>
      <c r="X2694" s="2">
        <f ca="1"/>
        <v>49.160417930929867</v>
      </c>
      <c r="AG2694" s="2">
        <f ca="1"/>
        <v>0.82598594977813367</v>
      </c>
      <c r="AH2694" s="2" t="str">
        <f ca="1"/>
        <v>Bad</v>
      </c>
    </row>
    <row r="2695" spans="2:34" x14ac:dyDescent="0.2">
      <c r="B2695" s="2">
        <f ca="1"/>
        <v>0.86839743611617903</v>
      </c>
      <c r="O2695" s="2">
        <f ca="1"/>
        <v>0.55963478106934572</v>
      </c>
      <c r="X2695" s="2">
        <f ca="1"/>
        <v>70.063607174525856</v>
      </c>
      <c r="AG2695" s="2">
        <f ca="1"/>
        <v>0.2399884241255017</v>
      </c>
      <c r="AH2695" s="2" t="str">
        <f ca="1"/>
        <v>OK</v>
      </c>
    </row>
    <row r="2696" spans="2:34" x14ac:dyDescent="0.2">
      <c r="B2696" s="2">
        <f ca="1"/>
        <v>9.8857410383035083E-2</v>
      </c>
      <c r="O2696" s="2">
        <f ca="1"/>
        <v>1.3171629213715808</v>
      </c>
      <c r="X2696" s="2">
        <f ca="1"/>
        <v>42.131192206785244</v>
      </c>
      <c r="AG2696" s="2">
        <f ca="1"/>
        <v>0.16452716236599985</v>
      </c>
      <c r="AH2696" s="2" t="str">
        <f ca="1"/>
        <v>OK</v>
      </c>
    </row>
    <row r="2697" spans="2:34" x14ac:dyDescent="0.2">
      <c r="B2697" s="2">
        <f ca="1"/>
        <v>0.68015745564135721</v>
      </c>
      <c r="O2697" s="2">
        <f ca="1"/>
        <v>0.81791173551184571</v>
      </c>
      <c r="X2697" s="2">
        <f ca="1"/>
        <v>55.809334075348751</v>
      </c>
      <c r="AG2697" s="2">
        <f ca="1"/>
        <v>0.54105096104577788</v>
      </c>
      <c r="AH2697" s="2" t="str">
        <f ca="1"/>
        <v>Bad</v>
      </c>
    </row>
    <row r="2698" spans="2:34" x14ac:dyDescent="0.2">
      <c r="B2698" s="2">
        <f ca="1"/>
        <v>0.44320765411381746</v>
      </c>
      <c r="O2698" s="2">
        <f ca="1"/>
        <v>-0.26111889067663452</v>
      </c>
      <c r="X2698" s="2">
        <f ca="1"/>
        <v>44.800487735227733</v>
      </c>
      <c r="AG2698" s="2">
        <f ca="1"/>
        <v>0.43856001537389311</v>
      </c>
      <c r="AH2698" s="2" t="str">
        <f ca="1"/>
        <v>Bad</v>
      </c>
    </row>
    <row r="2699" spans="2:34" x14ac:dyDescent="0.2">
      <c r="B2699" s="2">
        <f ca="1"/>
        <v>0.49021347073421251</v>
      </c>
      <c r="O2699" s="2">
        <f ca="1"/>
        <v>0.10984863493185136</v>
      </c>
      <c r="X2699" s="2">
        <f ca="1"/>
        <v>71.935335749164096</v>
      </c>
      <c r="AG2699" s="2">
        <f ca="1"/>
        <v>9.3876382423874638E-2</v>
      </c>
      <c r="AH2699" s="2" t="str">
        <f ca="1"/>
        <v>OK</v>
      </c>
    </row>
    <row r="2700" spans="2:34" x14ac:dyDescent="0.2">
      <c r="B2700" s="2">
        <f ca="1"/>
        <v>0.65058961610800559</v>
      </c>
      <c r="O2700" s="2">
        <f ca="1"/>
        <v>2.5461077023486891</v>
      </c>
      <c r="X2700" s="2">
        <f ca="1"/>
        <v>54.0006034563594</v>
      </c>
      <c r="AG2700" s="2">
        <f ca="1"/>
        <v>0.80742640577554803</v>
      </c>
      <c r="AH2700" s="2" t="str">
        <f ca="1"/>
        <v>Bad</v>
      </c>
    </row>
    <row r="2701" spans="2:34" x14ac:dyDescent="0.2">
      <c r="B2701" s="2">
        <f ca="1"/>
        <v>0.13702235208951974</v>
      </c>
      <c r="O2701" s="2">
        <f ca="1"/>
        <v>0.36130703093834177</v>
      </c>
      <c r="X2701" s="2">
        <f ca="1"/>
        <v>53.326798104516051</v>
      </c>
      <c r="AG2701" s="2">
        <f ca="1"/>
        <v>0.7297896397027086</v>
      </c>
      <c r="AH2701" s="2" t="str">
        <f ca="1"/>
        <v>Bad</v>
      </c>
    </row>
    <row r="2702" spans="2:34" x14ac:dyDescent="0.2">
      <c r="B2702" s="2">
        <f ca="1"/>
        <v>0.59716289045396387</v>
      </c>
      <c r="O2702" s="2">
        <f ca="1"/>
        <v>1.3492024787395001</v>
      </c>
      <c r="X2702" s="2">
        <f ca="1"/>
        <v>40.382333465706992</v>
      </c>
      <c r="AG2702" s="2">
        <f ca="1"/>
        <v>0.70983192695462383</v>
      </c>
      <c r="AH2702" s="2" t="str">
        <f ca="1"/>
        <v>Bad</v>
      </c>
    </row>
    <row r="2703" spans="2:34" x14ac:dyDescent="0.2">
      <c r="B2703" s="2">
        <f ca="1"/>
        <v>0.47929565913453498</v>
      </c>
      <c r="O2703" s="2">
        <f ca="1"/>
        <v>-0.91967116129540116</v>
      </c>
      <c r="X2703" s="2">
        <f ca="1"/>
        <v>35.469070352694231</v>
      </c>
      <c r="AG2703" s="2">
        <f ca="1"/>
        <v>0.99361315480136492</v>
      </c>
      <c r="AH2703" s="2" t="str">
        <f ca="1"/>
        <v>Bad</v>
      </c>
    </row>
    <row r="2704" spans="2:34" x14ac:dyDescent="0.2">
      <c r="B2704" s="2">
        <f ca="1"/>
        <v>0.58640294204284804</v>
      </c>
      <c r="O2704" s="2">
        <f ca="1"/>
        <v>-1.9067871533233094</v>
      </c>
      <c r="X2704" s="2">
        <f ca="1"/>
        <v>50.356376043746529</v>
      </c>
      <c r="AG2704" s="2">
        <f ca="1"/>
        <v>6.0004406955918022E-2</v>
      </c>
      <c r="AH2704" s="2" t="str">
        <f ca="1"/>
        <v>OK</v>
      </c>
    </row>
    <row r="2705" spans="2:34" x14ac:dyDescent="0.2">
      <c r="B2705" s="2">
        <f ca="1"/>
        <v>0.89784417859652166</v>
      </c>
      <c r="O2705" s="2">
        <f ca="1"/>
        <v>-0.97089509535862317</v>
      </c>
      <c r="X2705" s="2">
        <f ca="1"/>
        <v>38.216727751155588</v>
      </c>
      <c r="AG2705" s="2">
        <f ca="1"/>
        <v>0.91309309577082898</v>
      </c>
      <c r="AH2705" s="2" t="str">
        <f ca="1"/>
        <v>Bad</v>
      </c>
    </row>
    <row r="2706" spans="2:34" x14ac:dyDescent="0.2">
      <c r="B2706" s="2">
        <f ca="1"/>
        <v>0.26522842911344879</v>
      </c>
      <c r="O2706" s="2">
        <f ca="1"/>
        <v>0.96987737544829933</v>
      </c>
      <c r="X2706" s="2">
        <f ca="1"/>
        <v>53.367905647486879</v>
      </c>
      <c r="AG2706" s="2">
        <f ca="1"/>
        <v>0.87666832086588831</v>
      </c>
      <c r="AH2706" s="2" t="str">
        <f ca="1"/>
        <v>Bad</v>
      </c>
    </row>
    <row r="2707" spans="2:34" x14ac:dyDescent="0.2">
      <c r="B2707" s="2">
        <f ca="1"/>
        <v>0.79791816808107585</v>
      </c>
      <c r="O2707" s="2">
        <f ca="1"/>
        <v>1.2392537445918315</v>
      </c>
      <c r="X2707" s="2">
        <f ca="1"/>
        <v>45.304687110066489</v>
      </c>
      <c r="AG2707" s="2">
        <f ca="1"/>
        <v>5.6515580319420833E-2</v>
      </c>
      <c r="AH2707" s="2" t="str">
        <f ca="1"/>
        <v>OK</v>
      </c>
    </row>
    <row r="2708" spans="2:34" x14ac:dyDescent="0.2">
      <c r="B2708" s="2">
        <f ca="1"/>
        <v>0.11362804113989089</v>
      </c>
      <c r="O2708" s="2">
        <f ca="1"/>
        <v>1.8418300027638841</v>
      </c>
      <c r="X2708" s="2">
        <f ca="1"/>
        <v>59.465761214228806</v>
      </c>
      <c r="AG2708" s="2">
        <f ca="1"/>
        <v>0.88290822500313704</v>
      </c>
      <c r="AH2708" s="2" t="str">
        <f ca="1"/>
        <v>Bad</v>
      </c>
    </row>
    <row r="2709" spans="2:34" x14ac:dyDescent="0.2">
      <c r="B2709" s="2">
        <f ca="1"/>
        <v>0.97734730354149968</v>
      </c>
      <c r="O2709" s="2">
        <f ca="1"/>
        <v>-2.7284570798915708</v>
      </c>
      <c r="X2709" s="2">
        <f ca="1"/>
        <v>62.994685357802602</v>
      </c>
      <c r="AG2709" s="2">
        <f ca="1"/>
        <v>0.14902831119812721</v>
      </c>
      <c r="AH2709" s="2" t="str">
        <f ca="1"/>
        <v>OK</v>
      </c>
    </row>
    <row r="2710" spans="2:34" x14ac:dyDescent="0.2">
      <c r="B2710" s="2">
        <f ca="1"/>
        <v>0.23022760223391736</v>
      </c>
      <c r="O2710" s="2">
        <f ca="1"/>
        <v>-0.68420891984105359</v>
      </c>
      <c r="X2710" s="2">
        <f ca="1"/>
        <v>51.546937757323228</v>
      </c>
      <c r="AG2710" s="2">
        <f ca="1"/>
        <v>0.14434023394957851</v>
      </c>
      <c r="AH2710" s="2" t="str">
        <f ca="1"/>
        <v>OK</v>
      </c>
    </row>
    <row r="2711" spans="2:34" x14ac:dyDescent="0.2">
      <c r="B2711" s="2">
        <f ca="1"/>
        <v>0.9427740074229487</v>
      </c>
      <c r="O2711" s="2">
        <f ca="1"/>
        <v>-0.4212233273936023</v>
      </c>
      <c r="X2711" s="2">
        <f ca="1"/>
        <v>43.057509151301517</v>
      </c>
      <c r="AG2711" s="2">
        <f ca="1"/>
        <v>0.47077651191838688</v>
      </c>
      <c r="AH2711" s="2" t="str">
        <f ca="1"/>
        <v>Bad</v>
      </c>
    </row>
    <row r="2712" spans="2:34" x14ac:dyDescent="0.2">
      <c r="B2712" s="2">
        <f ca="1"/>
        <v>0.75535015481577195</v>
      </c>
      <c r="O2712" s="2">
        <f ca="1"/>
        <v>1.6820763232745731E-2</v>
      </c>
      <c r="X2712" s="2">
        <f ca="1"/>
        <v>58.671530203908731</v>
      </c>
      <c r="AG2712" s="2">
        <f ca="1"/>
        <v>0.8538962071354228</v>
      </c>
      <c r="AH2712" s="2" t="str">
        <f ca="1"/>
        <v>Bad</v>
      </c>
    </row>
    <row r="2713" spans="2:34" x14ac:dyDescent="0.2">
      <c r="B2713" s="2">
        <f ca="1"/>
        <v>0.78792795945118765</v>
      </c>
      <c r="O2713" s="2">
        <f ca="1"/>
        <v>-3.925956072788467</v>
      </c>
      <c r="X2713" s="2">
        <f ca="1"/>
        <v>53.028214239117119</v>
      </c>
      <c r="AG2713" s="2">
        <f ca="1"/>
        <v>0.2324898972867937</v>
      </c>
      <c r="AH2713" s="2" t="str">
        <f ca="1"/>
        <v>OK</v>
      </c>
    </row>
    <row r="2714" spans="2:34" x14ac:dyDescent="0.2">
      <c r="B2714" s="2">
        <f ca="1"/>
        <v>0.52926774895328532</v>
      </c>
      <c r="O2714" s="2">
        <f ca="1"/>
        <v>-2.1786000132746075</v>
      </c>
      <c r="X2714" s="2">
        <f ca="1"/>
        <v>22.572307871219905</v>
      </c>
      <c r="AG2714" s="2">
        <f ca="1"/>
        <v>0.45541753095083681</v>
      </c>
      <c r="AH2714" s="2" t="str">
        <f ca="1"/>
        <v>Bad</v>
      </c>
    </row>
    <row r="2715" spans="2:34" x14ac:dyDescent="0.2">
      <c r="B2715" s="2">
        <f ca="1"/>
        <v>0.39133225181576603</v>
      </c>
      <c r="O2715" s="2">
        <f ca="1"/>
        <v>0.55584621571573378</v>
      </c>
      <c r="X2715" s="2">
        <f ca="1"/>
        <v>33.716189092161358</v>
      </c>
      <c r="AG2715" s="2">
        <f ca="1"/>
        <v>0.85932687016455356</v>
      </c>
      <c r="AH2715" s="2" t="str">
        <f ca="1"/>
        <v>Bad</v>
      </c>
    </row>
    <row r="2716" spans="2:34" x14ac:dyDescent="0.2">
      <c r="B2716" s="2">
        <f ca="1"/>
        <v>0.51454616123860597</v>
      </c>
      <c r="O2716" s="2">
        <f ca="1"/>
        <v>-1.9584958732230442</v>
      </c>
      <c r="X2716" s="2">
        <f ca="1"/>
        <v>54.306756490925963</v>
      </c>
      <c r="AG2716" s="2">
        <f ca="1"/>
        <v>0.28706048855964816</v>
      </c>
      <c r="AH2716" s="2" t="str">
        <f ca="1"/>
        <v>OK</v>
      </c>
    </row>
    <row r="2717" spans="2:34" x14ac:dyDescent="0.2">
      <c r="B2717" s="2">
        <f ca="1"/>
        <v>0.87756693181308765</v>
      </c>
      <c r="O2717" s="2">
        <f ca="1"/>
        <v>-0.34656637010869329</v>
      </c>
      <c r="X2717" s="2">
        <f ca="1"/>
        <v>55.253121818418037</v>
      </c>
      <c r="AG2717" s="2">
        <f ca="1"/>
        <v>0.86861761940373849</v>
      </c>
      <c r="AH2717" s="2" t="str">
        <f ca="1"/>
        <v>Bad</v>
      </c>
    </row>
    <row r="2718" spans="2:34" x14ac:dyDescent="0.2">
      <c r="B2718" s="2">
        <f ca="1"/>
        <v>9.73812869905053E-2</v>
      </c>
      <c r="O2718" s="2">
        <f ca="1"/>
        <v>-0.1740248686726163</v>
      </c>
      <c r="X2718" s="2">
        <f ca="1"/>
        <v>71.383458210820777</v>
      </c>
      <c r="AG2718" s="2">
        <f ca="1"/>
        <v>0.63110159229806517</v>
      </c>
      <c r="AH2718" s="2" t="str">
        <f ca="1"/>
        <v>Bad</v>
      </c>
    </row>
    <row r="2719" spans="2:34" x14ac:dyDescent="0.2">
      <c r="B2719" s="2">
        <f ca="1"/>
        <v>0.23932505385247116</v>
      </c>
      <c r="O2719" s="2">
        <f ca="1"/>
        <v>0.71065335115790473</v>
      </c>
      <c r="X2719" s="2">
        <f ca="1"/>
        <v>50.80239328175962</v>
      </c>
      <c r="AG2719" s="2">
        <f ca="1"/>
        <v>0.13973983761400399</v>
      </c>
      <c r="AH2719" s="2" t="str">
        <f ca="1"/>
        <v>OK</v>
      </c>
    </row>
    <row r="2720" spans="2:34" x14ac:dyDescent="0.2">
      <c r="B2720" s="2">
        <f ca="1"/>
        <v>0.92209412762380838</v>
      </c>
      <c r="O2720" s="2">
        <f ca="1"/>
        <v>1.0165524604384635</v>
      </c>
      <c r="X2720" s="2">
        <f ca="1"/>
        <v>29.965194432824202</v>
      </c>
      <c r="AG2720" s="2">
        <f ca="1"/>
        <v>0.22085774464970287</v>
      </c>
      <c r="AH2720" s="2" t="str">
        <f ca="1"/>
        <v>OK</v>
      </c>
    </row>
    <row r="2721" spans="2:34" x14ac:dyDescent="0.2">
      <c r="B2721" s="2">
        <f ca="1"/>
        <v>1.4961746083562488E-2</v>
      </c>
      <c r="O2721" s="2">
        <f ca="1"/>
        <v>-0.3472880368792054</v>
      </c>
      <c r="X2721" s="2">
        <f ca="1"/>
        <v>29.26814208554239</v>
      </c>
      <c r="AG2721" s="2">
        <f ca="1"/>
        <v>0.3766198955610276</v>
      </c>
      <c r="AH2721" s="2" t="str">
        <f ca="1"/>
        <v>OK</v>
      </c>
    </row>
    <row r="2722" spans="2:34" x14ac:dyDescent="0.2">
      <c r="B2722" s="2">
        <f ca="1"/>
        <v>0.97379112084990171</v>
      </c>
      <c r="O2722" s="2">
        <f ca="1"/>
        <v>1.1414314471301692</v>
      </c>
      <c r="X2722" s="2">
        <f ca="1"/>
        <v>69.408997662335963</v>
      </c>
      <c r="AG2722" s="2">
        <f ca="1"/>
        <v>5.7511335053030965E-2</v>
      </c>
      <c r="AH2722" s="2" t="str">
        <f ca="1"/>
        <v>OK</v>
      </c>
    </row>
    <row r="2723" spans="2:34" x14ac:dyDescent="0.2">
      <c r="B2723" s="2">
        <f ca="1"/>
        <v>0.35906042804480975</v>
      </c>
      <c r="O2723" s="2">
        <f ca="1"/>
        <v>0.14208748205233748</v>
      </c>
      <c r="X2723" s="2">
        <f ca="1"/>
        <v>55.489380082935611</v>
      </c>
      <c r="AG2723" s="2">
        <f ca="1"/>
        <v>0.66652426324198766</v>
      </c>
      <c r="AH2723" s="2" t="str">
        <f ca="1"/>
        <v>Bad</v>
      </c>
    </row>
    <row r="2724" spans="2:34" x14ac:dyDescent="0.2">
      <c r="B2724" s="2">
        <f ca="1"/>
        <v>0.76833577868239766</v>
      </c>
      <c r="O2724" s="2">
        <f ca="1"/>
        <v>0.19054230635031497</v>
      </c>
      <c r="X2724" s="2">
        <f ca="1"/>
        <v>82.053823323345526</v>
      </c>
      <c r="AG2724" s="2">
        <f ca="1"/>
        <v>0.17221917965710509</v>
      </c>
      <c r="AH2724" s="2" t="str">
        <f ca="1"/>
        <v>OK</v>
      </c>
    </row>
    <row r="2725" spans="2:34" x14ac:dyDescent="0.2">
      <c r="B2725" s="2">
        <f ca="1"/>
        <v>7.8622631212396543E-2</v>
      </c>
      <c r="O2725" s="2">
        <f ca="1"/>
        <v>1.9847438798404015E-2</v>
      </c>
      <c r="X2725" s="2">
        <f ca="1"/>
        <v>56.865510563366648</v>
      </c>
      <c r="AG2725" s="2">
        <f ca="1"/>
        <v>0.52086464616735606</v>
      </c>
      <c r="AH2725" s="2" t="str">
        <f ca="1"/>
        <v>Bad</v>
      </c>
    </row>
    <row r="2726" spans="2:34" x14ac:dyDescent="0.2">
      <c r="B2726" s="2">
        <f ca="1"/>
        <v>0.99015687319630952</v>
      </c>
      <c r="O2726" s="2">
        <f ca="1"/>
        <v>1.4573317243826402</v>
      </c>
      <c r="X2726" s="2">
        <f ca="1"/>
        <v>41.751421857728317</v>
      </c>
      <c r="AG2726" s="2">
        <f ca="1"/>
        <v>0.25337187605847666</v>
      </c>
      <c r="AH2726" s="2" t="str">
        <f ca="1"/>
        <v>OK</v>
      </c>
    </row>
    <row r="2727" spans="2:34" x14ac:dyDescent="0.2">
      <c r="B2727" s="2">
        <f ca="1"/>
        <v>0.94637560945714183</v>
      </c>
      <c r="O2727" s="2">
        <f ca="1"/>
        <v>0.10235998196018502</v>
      </c>
      <c r="X2727" s="2">
        <f ca="1"/>
        <v>43.61860642976378</v>
      </c>
      <c r="AG2727" s="2">
        <f ca="1"/>
        <v>0.14370270003166974</v>
      </c>
      <c r="AH2727" s="2" t="str">
        <f ca="1"/>
        <v>OK</v>
      </c>
    </row>
    <row r="2728" spans="2:34" x14ac:dyDescent="0.2">
      <c r="B2728" s="2">
        <f ca="1"/>
        <v>0.63774564305080239</v>
      </c>
      <c r="O2728" s="2">
        <f ca="1"/>
        <v>0.41820810058549951</v>
      </c>
      <c r="X2728" s="2">
        <f ca="1"/>
        <v>65.755036529474381</v>
      </c>
      <c r="AG2728" s="2">
        <f ca="1"/>
        <v>0.53646927444516512</v>
      </c>
      <c r="AH2728" s="2" t="str">
        <f ca="1"/>
        <v>Bad</v>
      </c>
    </row>
    <row r="2729" spans="2:34" x14ac:dyDescent="0.2">
      <c r="B2729" s="2">
        <f ca="1"/>
        <v>0.37668170623851882</v>
      </c>
      <c r="O2729" s="2">
        <f ca="1"/>
        <v>0.73644972576854051</v>
      </c>
      <c r="X2729" s="2">
        <f ca="1"/>
        <v>61.281128952840966</v>
      </c>
      <c r="AG2729" s="2">
        <f ca="1"/>
        <v>0.7503798199669125</v>
      </c>
      <c r="AH2729" s="2" t="str">
        <f ca="1"/>
        <v>Bad</v>
      </c>
    </row>
    <row r="2730" spans="2:34" x14ac:dyDescent="0.2">
      <c r="B2730" s="2">
        <f ca="1"/>
        <v>0.80869534736642046</v>
      </c>
      <c r="O2730" s="2">
        <f ca="1"/>
        <v>-0.13764961304363668</v>
      </c>
      <c r="X2730" s="2">
        <f ca="1"/>
        <v>75.105030935274328</v>
      </c>
      <c r="AG2730" s="2">
        <f ca="1"/>
        <v>0.46037991378719245</v>
      </c>
      <c r="AH2730" s="2" t="str">
        <f ca="1"/>
        <v>Bad</v>
      </c>
    </row>
    <row r="2731" spans="2:34" x14ac:dyDescent="0.2">
      <c r="B2731" s="2">
        <f ca="1"/>
        <v>0.60371088055866973</v>
      </c>
      <c r="O2731" s="2">
        <f ca="1"/>
        <v>0.298174486458057</v>
      </c>
      <c r="X2731" s="2">
        <f ca="1"/>
        <v>34.68486717510288</v>
      </c>
      <c r="AG2731" s="2">
        <f ca="1"/>
        <v>0.99336339459208345</v>
      </c>
      <c r="AH2731" s="2" t="str">
        <f ca="1"/>
        <v>Bad</v>
      </c>
    </row>
    <row r="2732" spans="2:34" x14ac:dyDescent="0.2">
      <c r="B2732" s="2">
        <f ca="1"/>
        <v>0.74276274586072266</v>
      </c>
      <c r="O2732" s="2">
        <f ca="1"/>
        <v>-1.2707809349389485</v>
      </c>
      <c r="X2732" s="2">
        <f ca="1"/>
        <v>44.07533675582517</v>
      </c>
      <c r="AG2732" s="2">
        <f ca="1"/>
        <v>0.85116755755424545</v>
      </c>
      <c r="AH2732" s="2" t="str">
        <f ca="1"/>
        <v>Bad</v>
      </c>
    </row>
    <row r="2733" spans="2:34" x14ac:dyDescent="0.2">
      <c r="B2733" s="2">
        <f ca="1"/>
        <v>0.61858130602210748</v>
      </c>
      <c r="O2733" s="2">
        <f ca="1"/>
        <v>-4.6677925770273847E-3</v>
      </c>
      <c r="X2733" s="2">
        <f ca="1"/>
        <v>42.020218693568111</v>
      </c>
      <c r="AG2733" s="2">
        <f ca="1"/>
        <v>0.67633555022266467</v>
      </c>
      <c r="AH2733" s="2" t="str">
        <f ca="1"/>
        <v>Bad</v>
      </c>
    </row>
    <row r="2734" spans="2:34" x14ac:dyDescent="0.2">
      <c r="B2734" s="2">
        <f ca="1"/>
        <v>0.11018256953780003</v>
      </c>
      <c r="O2734" s="2">
        <f ca="1"/>
        <v>-1.7853311708920687</v>
      </c>
      <c r="X2734" s="2">
        <f ca="1"/>
        <v>75.55547373022722</v>
      </c>
      <c r="AG2734" s="2">
        <f ca="1"/>
        <v>0.2203385289272588</v>
      </c>
      <c r="AH2734" s="2" t="str">
        <f ca="1"/>
        <v>OK</v>
      </c>
    </row>
    <row r="2735" spans="2:34" x14ac:dyDescent="0.2">
      <c r="B2735" s="2">
        <f ca="1"/>
        <v>9.1009187577597794E-2</v>
      </c>
      <c r="O2735" s="2">
        <f ca="1"/>
        <v>-0.17621982300780617</v>
      </c>
      <c r="X2735" s="2">
        <f ca="1"/>
        <v>45.998834273812641</v>
      </c>
      <c r="AG2735" s="2">
        <f ca="1"/>
        <v>0.15543699444037151</v>
      </c>
      <c r="AH2735" s="2" t="str">
        <f ca="1"/>
        <v>OK</v>
      </c>
    </row>
    <row r="2736" spans="2:34" x14ac:dyDescent="0.2">
      <c r="B2736" s="2">
        <f ca="1"/>
        <v>0.60295175882903718</v>
      </c>
      <c r="O2736" s="2">
        <f ca="1"/>
        <v>0.47148921439564634</v>
      </c>
      <c r="X2736" s="2">
        <f ca="1"/>
        <v>45.219573741236985</v>
      </c>
      <c r="AG2736" s="2">
        <f ca="1"/>
        <v>0.40582583240793402</v>
      </c>
      <c r="AH2736" s="2" t="str">
        <f ca="1"/>
        <v>Bad</v>
      </c>
    </row>
    <row r="2737" spans="2:34" x14ac:dyDescent="0.2">
      <c r="B2737" s="2">
        <f ca="1"/>
        <v>0.88559044450361624</v>
      </c>
      <c r="O2737" s="2">
        <f ca="1"/>
        <v>-0.91187850700478501</v>
      </c>
      <c r="X2737" s="2">
        <f ca="1"/>
        <v>61.252733884234267</v>
      </c>
      <c r="AG2737" s="2">
        <f ca="1"/>
        <v>0.20136079066132084</v>
      </c>
      <c r="AH2737" s="2" t="str">
        <f ca="1"/>
        <v>OK</v>
      </c>
    </row>
    <row r="2738" spans="2:34" x14ac:dyDescent="0.2">
      <c r="B2738" s="2">
        <f ca="1"/>
        <v>0.35559143661475923</v>
      </c>
      <c r="O2738" s="2">
        <f ca="1"/>
        <v>-0.11310863388747684</v>
      </c>
      <c r="X2738" s="2">
        <f ca="1"/>
        <v>64.768740724855874</v>
      </c>
      <c r="AG2738" s="2">
        <f ca="1"/>
        <v>0.89745622916737355</v>
      </c>
      <c r="AH2738" s="2" t="str">
        <f ca="1"/>
        <v>Bad</v>
      </c>
    </row>
    <row r="2739" spans="2:34" x14ac:dyDescent="0.2">
      <c r="B2739" s="2">
        <f ca="1"/>
        <v>0.78126597850159007</v>
      </c>
      <c r="O2739" s="2">
        <f ca="1"/>
        <v>-2.2384458102173448</v>
      </c>
      <c r="X2739" s="2">
        <f ca="1"/>
        <v>64.896670139512878</v>
      </c>
      <c r="AG2739" s="2">
        <f ca="1"/>
        <v>2.1468895377908526E-2</v>
      </c>
      <c r="AH2739" s="2" t="str">
        <f ca="1"/>
        <v>Good</v>
      </c>
    </row>
    <row r="2740" spans="2:34" x14ac:dyDescent="0.2">
      <c r="B2740" s="2">
        <f ca="1"/>
        <v>0.50447114281624716</v>
      </c>
      <c r="O2740" s="2">
        <f ca="1"/>
        <v>-0.36970744801251787</v>
      </c>
      <c r="X2740" s="2">
        <f ca="1"/>
        <v>28.911286607743541</v>
      </c>
      <c r="AG2740" s="2">
        <f ca="1"/>
        <v>0.43714466724466816</v>
      </c>
      <c r="AH2740" s="2" t="str">
        <f ca="1"/>
        <v>Bad</v>
      </c>
    </row>
    <row r="2741" spans="2:34" x14ac:dyDescent="0.2">
      <c r="B2741" s="2">
        <f ca="1"/>
        <v>0.94561298325746912</v>
      </c>
      <c r="O2741" s="2">
        <f ca="1"/>
        <v>0.8277799082100834</v>
      </c>
      <c r="X2741" s="2">
        <f ca="1"/>
        <v>76.852142117084895</v>
      </c>
      <c r="AG2741" s="2">
        <f ca="1"/>
        <v>0.70506583312598492</v>
      </c>
      <c r="AH2741" s="2" t="str">
        <f ca="1"/>
        <v>Bad</v>
      </c>
    </row>
    <row r="2742" spans="2:34" x14ac:dyDescent="0.2">
      <c r="B2742" s="2">
        <f ca="1"/>
        <v>0.65158803788869912</v>
      </c>
      <c r="O2742" s="2">
        <f ca="1"/>
        <v>-0.75923250262288489</v>
      </c>
      <c r="X2742" s="2">
        <f ca="1"/>
        <v>33.114015276440661</v>
      </c>
      <c r="AG2742" s="2">
        <f ca="1"/>
        <v>0.92589568815091705</v>
      </c>
      <c r="AH2742" s="2" t="str">
        <f ca="1"/>
        <v>Bad</v>
      </c>
    </row>
    <row r="2743" spans="2:34" x14ac:dyDescent="0.2">
      <c r="B2743" s="2">
        <f ca="1"/>
        <v>0.41881164521861525</v>
      </c>
      <c r="O2743" s="2">
        <f ca="1"/>
        <v>-0.44254673282034845</v>
      </c>
      <c r="X2743" s="2">
        <f ca="1"/>
        <v>81.880920451967029</v>
      </c>
      <c r="AG2743" s="2">
        <f ca="1"/>
        <v>0.19982695822842356</v>
      </c>
      <c r="AH2743" s="2" t="str">
        <f ca="1"/>
        <v>OK</v>
      </c>
    </row>
    <row r="2744" spans="2:34" x14ac:dyDescent="0.2">
      <c r="B2744" s="2">
        <f ca="1"/>
        <v>0.14740012142540393</v>
      </c>
      <c r="O2744" s="2">
        <f ca="1"/>
        <v>0.71095977733953986</v>
      </c>
      <c r="X2744" s="2">
        <f ca="1"/>
        <v>36.275351705487211</v>
      </c>
      <c r="AG2744" s="2">
        <f ca="1"/>
        <v>0.65481299716954222</v>
      </c>
      <c r="AH2744" s="2" t="str">
        <f ca="1"/>
        <v>Bad</v>
      </c>
    </row>
    <row r="2745" spans="2:34" x14ac:dyDescent="0.2">
      <c r="B2745" s="2">
        <f ca="1"/>
        <v>0.10312926967981162</v>
      </c>
      <c r="O2745" s="2">
        <f ca="1"/>
        <v>-1.5090216740246558</v>
      </c>
      <c r="X2745" s="2">
        <f ca="1"/>
        <v>44.619344858396907</v>
      </c>
      <c r="AG2745" s="2">
        <f ca="1"/>
        <v>0.40676925087514815</v>
      </c>
      <c r="AH2745" s="2" t="str">
        <f ca="1"/>
        <v>Bad</v>
      </c>
    </row>
    <row r="2746" spans="2:34" x14ac:dyDescent="0.2">
      <c r="B2746" s="2">
        <f ca="1"/>
        <v>0.46969346011036794</v>
      </c>
      <c r="O2746" s="2">
        <f ca="1"/>
        <v>1.3578307292598344</v>
      </c>
      <c r="X2746" s="2">
        <f ca="1"/>
        <v>38.261390700464631</v>
      </c>
      <c r="AG2746" s="2">
        <f ca="1"/>
        <v>0.28294513189480996</v>
      </c>
      <c r="AH2746" s="2" t="str">
        <f ca="1"/>
        <v>OK</v>
      </c>
    </row>
    <row r="2747" spans="2:34" x14ac:dyDescent="0.2">
      <c r="B2747" s="2">
        <f ca="1"/>
        <v>0.33834327046798252</v>
      </c>
      <c r="O2747" s="2">
        <f ca="1"/>
        <v>-0.49743905495992291</v>
      </c>
      <c r="X2747" s="2">
        <f ca="1"/>
        <v>49.546138919385676</v>
      </c>
      <c r="AG2747" s="2">
        <f ca="1"/>
        <v>0.90574436843235628</v>
      </c>
      <c r="AH2747" s="2" t="str">
        <f ca="1"/>
        <v>Bad</v>
      </c>
    </row>
    <row r="2748" spans="2:34" x14ac:dyDescent="0.2">
      <c r="B2748" s="2">
        <f ca="1"/>
        <v>0.86087919634602739</v>
      </c>
      <c r="O2748" s="2">
        <f ca="1"/>
        <v>0.67275776682062116</v>
      </c>
      <c r="X2748" s="2">
        <f ca="1"/>
        <v>27.995185919985165</v>
      </c>
      <c r="AG2748" s="2">
        <f ca="1"/>
        <v>0.46764185577311257</v>
      </c>
      <c r="AH2748" s="2" t="str">
        <f ca="1"/>
        <v>Bad</v>
      </c>
    </row>
    <row r="2749" spans="2:34" x14ac:dyDescent="0.2">
      <c r="B2749" s="2">
        <f ca="1"/>
        <v>0.84802714476965324</v>
      </c>
      <c r="O2749" s="2">
        <f ca="1"/>
        <v>0.49360253781730162</v>
      </c>
      <c r="X2749" s="2">
        <f ca="1"/>
        <v>68.793745044070548</v>
      </c>
      <c r="AG2749" s="2">
        <f ca="1"/>
        <v>0.85310612534431129</v>
      </c>
      <c r="AH2749" s="2" t="str">
        <f ca="1"/>
        <v>Bad</v>
      </c>
    </row>
    <row r="2750" spans="2:34" x14ac:dyDescent="0.2">
      <c r="B2750" s="2">
        <f ca="1"/>
        <v>0.25103926470661064</v>
      </c>
      <c r="O2750" s="2">
        <f ca="1"/>
        <v>-0.1687533157827352</v>
      </c>
      <c r="X2750" s="2">
        <f ca="1"/>
        <v>49.550208813971409</v>
      </c>
      <c r="AG2750" s="2">
        <f ca="1"/>
        <v>0.71166012482931129</v>
      </c>
      <c r="AH2750" s="2" t="str">
        <f ca="1"/>
        <v>Bad</v>
      </c>
    </row>
    <row r="2751" spans="2:34" x14ac:dyDescent="0.2">
      <c r="B2751" s="2">
        <f ca="1"/>
        <v>0.77478613377679517</v>
      </c>
      <c r="O2751" s="2">
        <f ca="1"/>
        <v>-0.30623996224626976</v>
      </c>
      <c r="X2751" s="2">
        <f ca="1"/>
        <v>88.314355139564441</v>
      </c>
      <c r="AG2751" s="2">
        <f ca="1"/>
        <v>0.63908318250619844</v>
      </c>
      <c r="AH2751" s="2" t="str">
        <f ca="1"/>
        <v>Bad</v>
      </c>
    </row>
    <row r="2752" spans="2:34" x14ac:dyDescent="0.2">
      <c r="B2752" s="2">
        <f ca="1"/>
        <v>0.4036583122644668</v>
      </c>
      <c r="O2752" s="2">
        <f ca="1"/>
        <v>-4.2429151373578146E-2</v>
      </c>
      <c r="X2752" s="2">
        <f ca="1"/>
        <v>36.199675243498092</v>
      </c>
      <c r="AG2752" s="2">
        <f ca="1"/>
        <v>0.44684064091104791</v>
      </c>
      <c r="AH2752" s="2" t="str">
        <f ca="1"/>
        <v>Bad</v>
      </c>
    </row>
    <row r="2753" spans="2:34" x14ac:dyDescent="0.2">
      <c r="B2753" s="2">
        <f ca="1"/>
        <v>0.17763851793738272</v>
      </c>
      <c r="O2753" s="2">
        <f ca="1"/>
        <v>-0.25751337539112912</v>
      </c>
      <c r="X2753" s="2">
        <f ca="1"/>
        <v>73.835728657617793</v>
      </c>
      <c r="AG2753" s="2">
        <f ca="1"/>
        <v>0.62004855485247834</v>
      </c>
      <c r="AH2753" s="2" t="str">
        <f ca="1"/>
        <v>Bad</v>
      </c>
    </row>
    <row r="2754" spans="2:34" x14ac:dyDescent="0.2">
      <c r="B2754" s="2">
        <f ca="1"/>
        <v>0.92729020270432616</v>
      </c>
      <c r="O2754" s="2">
        <f ca="1"/>
        <v>-1.5736091062445654</v>
      </c>
      <c r="X2754" s="2">
        <f ca="1"/>
        <v>27.816585861836067</v>
      </c>
      <c r="AG2754" s="2">
        <f ca="1"/>
        <v>0.79688149384225082</v>
      </c>
      <c r="AH2754" s="2" t="str">
        <f ca="1"/>
        <v>Bad</v>
      </c>
    </row>
    <row r="2755" spans="2:34" x14ac:dyDescent="0.2">
      <c r="B2755" s="2">
        <f ca="1"/>
        <v>0.14821620387229695</v>
      </c>
      <c r="O2755" s="2">
        <f ca="1"/>
        <v>-2.0428135172898769</v>
      </c>
      <c r="X2755" s="2">
        <f ca="1"/>
        <v>35.208311659064307</v>
      </c>
      <c r="AG2755" s="2">
        <f ca="1"/>
        <v>0.32944271981712081</v>
      </c>
      <c r="AH2755" s="2" t="str">
        <f ca="1"/>
        <v>OK</v>
      </c>
    </row>
    <row r="2756" spans="2:34" x14ac:dyDescent="0.2">
      <c r="B2756" s="2">
        <f ca="1"/>
        <v>0.19476406514312039</v>
      </c>
      <c r="O2756" s="2">
        <f ca="1"/>
        <v>-0.42083894538503708</v>
      </c>
      <c r="X2756" s="2">
        <f ca="1"/>
        <v>38.511475679800007</v>
      </c>
      <c r="AG2756" s="2">
        <f ca="1"/>
        <v>0.91930794092317281</v>
      </c>
      <c r="AH2756" s="2" t="str">
        <f ca="1"/>
        <v>Bad</v>
      </c>
    </row>
    <row r="2757" spans="2:34" x14ac:dyDescent="0.2">
      <c r="B2757" s="2">
        <f ca="1"/>
        <v>0.83043470500957461</v>
      </c>
      <c r="O2757" s="2">
        <f ca="1"/>
        <v>-0.55224409704363808</v>
      </c>
      <c r="X2757" s="2">
        <f ca="1"/>
        <v>54.101111708001142</v>
      </c>
      <c r="AG2757" s="2">
        <f ca="1"/>
        <v>0.299373205871313</v>
      </c>
      <c r="AH2757" s="2" t="str">
        <f ca="1"/>
        <v>OK</v>
      </c>
    </row>
    <row r="2758" spans="2:34" x14ac:dyDescent="0.2">
      <c r="B2758" s="2">
        <f ca="1"/>
        <v>0.84444425180918792</v>
      </c>
      <c r="O2758" s="2">
        <f ca="1"/>
        <v>-1.6224941648051592</v>
      </c>
      <c r="X2758" s="2">
        <f ca="1"/>
        <v>34.865272302523003</v>
      </c>
      <c r="AG2758" s="2">
        <f ca="1"/>
        <v>0.56243803700815986</v>
      </c>
      <c r="AH2758" s="2" t="str">
        <f ca="1"/>
        <v>Bad</v>
      </c>
    </row>
    <row r="2759" spans="2:34" x14ac:dyDescent="0.2">
      <c r="B2759" s="2">
        <f ca="1"/>
        <v>0.46165932454822722</v>
      </c>
      <c r="O2759" s="2">
        <f ca="1"/>
        <v>-0.16940486144641465</v>
      </c>
      <c r="X2759" s="2">
        <f ca="1"/>
        <v>74.602349819789907</v>
      </c>
      <c r="AG2759" s="2">
        <f ca="1"/>
        <v>0.27928446772981985</v>
      </c>
      <c r="AH2759" s="2" t="str">
        <f ca="1"/>
        <v>OK</v>
      </c>
    </row>
    <row r="2760" spans="2:34" x14ac:dyDescent="0.2">
      <c r="B2760" s="2">
        <f ca="1"/>
        <v>0.3332288578300151</v>
      </c>
      <c r="O2760" s="2">
        <f ca="1"/>
        <v>-0.46739961927781537</v>
      </c>
      <c r="X2760" s="2">
        <f ca="1"/>
        <v>47.530095383126579</v>
      </c>
      <c r="AG2760" s="2">
        <f ca="1"/>
        <v>0.18252614000827871</v>
      </c>
      <c r="AH2760" s="2" t="str">
        <f ca="1"/>
        <v>OK</v>
      </c>
    </row>
    <row r="2761" spans="2:34" x14ac:dyDescent="0.2">
      <c r="B2761" s="2">
        <f ca="1"/>
        <v>1.9979412322991719E-2</v>
      </c>
      <c r="O2761" s="2">
        <f ca="1"/>
        <v>-1.6584678019410246</v>
      </c>
      <c r="X2761" s="2">
        <f ca="1"/>
        <v>36.920926308952872</v>
      </c>
      <c r="AG2761" s="2">
        <f ca="1"/>
        <v>0.22592322127758657</v>
      </c>
      <c r="AH2761" s="2" t="str">
        <f ca="1"/>
        <v>OK</v>
      </c>
    </row>
    <row r="2762" spans="2:34" x14ac:dyDescent="0.2">
      <c r="B2762" s="2">
        <f ca="1"/>
        <v>0.15983403267214746</v>
      </c>
      <c r="O2762" s="2">
        <f ca="1"/>
        <v>-0.43308427002119382</v>
      </c>
      <c r="X2762" s="2">
        <f ca="1"/>
        <v>41.199691944987393</v>
      </c>
      <c r="AG2762" s="2">
        <f ca="1"/>
        <v>0.7261492063775361</v>
      </c>
      <c r="AH2762" s="2" t="str">
        <f ca="1"/>
        <v>Bad</v>
      </c>
    </row>
    <row r="2763" spans="2:34" x14ac:dyDescent="0.2">
      <c r="B2763" s="2">
        <f ca="1"/>
        <v>0.84096190154467521</v>
      </c>
      <c r="O2763" s="2">
        <f ca="1"/>
        <v>-6.2817435976340777E-2</v>
      </c>
      <c r="X2763" s="2">
        <f ca="1"/>
        <v>53.982624369924267</v>
      </c>
      <c r="AG2763" s="2">
        <f ca="1"/>
        <v>0.86333142896379123</v>
      </c>
      <c r="AH2763" s="2" t="str">
        <f ca="1"/>
        <v>Bad</v>
      </c>
    </row>
    <row r="2764" spans="2:34" x14ac:dyDescent="0.2">
      <c r="B2764" s="2">
        <f ca="1"/>
        <v>0.63837754476308683</v>
      </c>
      <c r="O2764" s="2">
        <f ca="1"/>
        <v>0.493368084575671</v>
      </c>
      <c r="X2764" s="2">
        <f ca="1"/>
        <v>63.858369959799255</v>
      </c>
      <c r="AG2764" s="2">
        <f ca="1"/>
        <v>0.63096676108969829</v>
      </c>
      <c r="AH2764" s="2" t="str">
        <f ca="1"/>
        <v>Bad</v>
      </c>
    </row>
    <row r="2765" spans="2:34" x14ac:dyDescent="0.2">
      <c r="B2765" s="2">
        <f ca="1"/>
        <v>0.79662440218542252</v>
      </c>
      <c r="O2765" s="2">
        <f ca="1"/>
        <v>0.79452903736789071</v>
      </c>
      <c r="X2765" s="2">
        <f ca="1"/>
        <v>38.099728922396999</v>
      </c>
      <c r="AG2765" s="2">
        <f ca="1"/>
        <v>0.11118146228304315</v>
      </c>
      <c r="AH2765" s="2" t="str">
        <f ca="1"/>
        <v>OK</v>
      </c>
    </row>
    <row r="2766" spans="2:34" x14ac:dyDescent="0.2">
      <c r="B2766" s="2">
        <f ca="1"/>
        <v>0.4934328071284797</v>
      </c>
      <c r="O2766" s="2">
        <f ca="1"/>
        <v>-0.51185143636268737</v>
      </c>
      <c r="X2766" s="2">
        <f ca="1"/>
        <v>31.655069524600901</v>
      </c>
      <c r="AG2766" s="2">
        <f ca="1"/>
        <v>0.63316079080115806</v>
      </c>
      <c r="AH2766" s="2" t="str">
        <f ca="1"/>
        <v>Bad</v>
      </c>
    </row>
    <row r="2767" spans="2:34" x14ac:dyDescent="0.2">
      <c r="B2767" s="2">
        <f ca="1"/>
        <v>0.36213420779716832</v>
      </c>
      <c r="O2767" s="2">
        <f ca="1"/>
        <v>-0.78084276114385143</v>
      </c>
      <c r="X2767" s="2">
        <f ca="1"/>
        <v>31.20685161533531</v>
      </c>
      <c r="AG2767" s="2">
        <f ca="1"/>
        <v>0.82055681451849738</v>
      </c>
      <c r="AH2767" s="2" t="str">
        <f ca="1"/>
        <v>Bad</v>
      </c>
    </row>
    <row r="2768" spans="2:34" x14ac:dyDescent="0.2">
      <c r="B2768" s="2">
        <f ca="1"/>
        <v>0.89648400544533136</v>
      </c>
      <c r="O2768" s="2">
        <f ca="1"/>
        <v>0.2558513700291577</v>
      </c>
      <c r="X2768" s="2">
        <f ca="1"/>
        <v>36.400141522925537</v>
      </c>
      <c r="AG2768" s="2">
        <f ca="1"/>
        <v>0.99756829232729505</v>
      </c>
      <c r="AH2768" s="2" t="str">
        <f ca="1"/>
        <v>Bad</v>
      </c>
    </row>
    <row r="2769" spans="2:34" x14ac:dyDescent="0.2">
      <c r="B2769" s="2">
        <f ca="1"/>
        <v>0.33236896321189557</v>
      </c>
      <c r="O2769" s="2">
        <f ca="1"/>
        <v>-0.19873108258410785</v>
      </c>
      <c r="X2769" s="2">
        <f ca="1"/>
        <v>42.855525349504553</v>
      </c>
      <c r="AG2769" s="2">
        <f ca="1"/>
        <v>0.80065978496590207</v>
      </c>
      <c r="AH2769" s="2" t="str">
        <f ca="1"/>
        <v>Bad</v>
      </c>
    </row>
    <row r="2770" spans="2:34" x14ac:dyDescent="0.2">
      <c r="B2770" s="2">
        <f ca="1"/>
        <v>4.8434860658027157E-2</v>
      </c>
      <c r="O2770" s="2">
        <f ca="1"/>
        <v>0.1758975857477138</v>
      </c>
      <c r="X2770" s="2">
        <f ca="1"/>
        <v>50.59222397454883</v>
      </c>
      <c r="AG2770" s="2">
        <f ca="1"/>
        <v>0.26839573733398914</v>
      </c>
      <c r="AH2770" s="2" t="str">
        <f ca="1"/>
        <v>OK</v>
      </c>
    </row>
    <row r="2771" spans="2:34" x14ac:dyDescent="0.2">
      <c r="B2771" s="2">
        <f ca="1"/>
        <v>3.86098576485292E-2</v>
      </c>
      <c r="O2771" s="2">
        <f ca="1"/>
        <v>-0.3470271943787222</v>
      </c>
      <c r="X2771" s="2">
        <f ca="1"/>
        <v>50.291177044197831</v>
      </c>
      <c r="AG2771" s="2">
        <f ca="1"/>
        <v>5.5229027547685661E-2</v>
      </c>
      <c r="AH2771" s="2" t="str">
        <f ca="1"/>
        <v>OK</v>
      </c>
    </row>
    <row r="2772" spans="2:34" x14ac:dyDescent="0.2">
      <c r="B2772" s="2">
        <f ca="1"/>
        <v>7.5169806170705566E-2</v>
      </c>
      <c r="O2772" s="2">
        <f ca="1"/>
        <v>1.5170929582924613</v>
      </c>
      <c r="X2772" s="2">
        <f ca="1"/>
        <v>58.855694961856827</v>
      </c>
      <c r="AG2772" s="2">
        <f ca="1"/>
        <v>0.52671665996782902</v>
      </c>
      <c r="AH2772" s="2" t="str">
        <f ca="1"/>
        <v>Bad</v>
      </c>
    </row>
    <row r="2773" spans="2:34" x14ac:dyDescent="0.2">
      <c r="B2773" s="2">
        <f ca="1"/>
        <v>0.26310700053154945</v>
      </c>
      <c r="O2773" s="2">
        <f ca="1"/>
        <v>0.20572305327646445</v>
      </c>
      <c r="X2773" s="2">
        <f ca="1"/>
        <v>45.872795926119977</v>
      </c>
      <c r="AG2773" s="2">
        <f ca="1"/>
        <v>0.43035974890409223</v>
      </c>
      <c r="AH2773" s="2" t="str">
        <f ca="1"/>
        <v>Bad</v>
      </c>
    </row>
    <row r="2774" spans="2:34" x14ac:dyDescent="0.2">
      <c r="B2774" s="2">
        <f ca="1"/>
        <v>0.93913269216809225</v>
      </c>
      <c r="O2774" s="2">
        <f ca="1"/>
        <v>0.84314818384597978</v>
      </c>
      <c r="X2774" s="2">
        <f ca="1"/>
        <v>18.178528316787226</v>
      </c>
      <c r="AG2774" s="2">
        <f ca="1"/>
        <v>0.25109894348817474</v>
      </c>
      <c r="AH2774" s="2" t="str">
        <f ca="1"/>
        <v>OK</v>
      </c>
    </row>
    <row r="2775" spans="2:34" x14ac:dyDescent="0.2">
      <c r="B2775" s="2">
        <f ca="1"/>
        <v>0.22281694078012859</v>
      </c>
      <c r="O2775" s="2">
        <f ca="1"/>
        <v>1.9075538459285248</v>
      </c>
      <c r="X2775" s="2">
        <f ca="1"/>
        <v>34.17791230256416</v>
      </c>
      <c r="AG2775" s="2">
        <f ca="1"/>
        <v>0.80519881591628639</v>
      </c>
      <c r="AH2775" s="2" t="str">
        <f ca="1"/>
        <v>Bad</v>
      </c>
    </row>
    <row r="2776" spans="2:34" x14ac:dyDescent="0.2">
      <c r="B2776" s="2">
        <f ca="1"/>
        <v>7.4305068472710456E-2</v>
      </c>
      <c r="O2776" s="2">
        <f ca="1"/>
        <v>9.7269856163863952E-2</v>
      </c>
      <c r="X2776" s="2">
        <f ca="1"/>
        <v>38.384872153447652</v>
      </c>
      <c r="AG2776" s="2">
        <f ca="1"/>
        <v>0.31282326941078953</v>
      </c>
      <c r="AH2776" s="2" t="str">
        <f ca="1"/>
        <v>OK</v>
      </c>
    </row>
    <row r="2777" spans="2:34" x14ac:dyDescent="0.2">
      <c r="B2777" s="2">
        <f ca="1"/>
        <v>0.57232823423939583</v>
      </c>
      <c r="O2777" s="2">
        <f ca="1"/>
        <v>-0.33556627651500898</v>
      </c>
      <c r="X2777" s="2">
        <f ca="1"/>
        <v>47.784290802296312</v>
      </c>
      <c r="AG2777" s="2">
        <f ca="1"/>
        <v>0.95025363765053306</v>
      </c>
      <c r="AH2777" s="2" t="str">
        <f ca="1"/>
        <v>Bad</v>
      </c>
    </row>
    <row r="2778" spans="2:34" x14ac:dyDescent="0.2">
      <c r="B2778" s="2">
        <f ca="1"/>
        <v>0.54068060401038442</v>
      </c>
      <c r="O2778" s="2">
        <f ca="1"/>
        <v>-0.67427367509035807</v>
      </c>
      <c r="X2778" s="2">
        <f ca="1"/>
        <v>26.025837884405544</v>
      </c>
      <c r="AG2778" s="2">
        <f ca="1"/>
        <v>0.48795765602287666</v>
      </c>
      <c r="AH2778" s="2" t="str">
        <f ca="1"/>
        <v>Bad</v>
      </c>
    </row>
    <row r="2779" spans="2:34" x14ac:dyDescent="0.2">
      <c r="B2779" s="2">
        <f ca="1"/>
        <v>7.885164530942812E-2</v>
      </c>
      <c r="O2779" s="2">
        <f ca="1"/>
        <v>1.1544498098040212</v>
      </c>
      <c r="X2779" s="2">
        <f ca="1"/>
        <v>49.036449366393065</v>
      </c>
      <c r="AG2779" s="2">
        <f ca="1"/>
        <v>0.75057388125697577</v>
      </c>
      <c r="AH2779" s="2" t="str">
        <f ca="1"/>
        <v>Bad</v>
      </c>
    </row>
    <row r="2780" spans="2:34" x14ac:dyDescent="0.2">
      <c r="B2780" s="2">
        <f ca="1"/>
        <v>0.24679858566840629</v>
      </c>
      <c r="O2780" s="2">
        <f ca="1"/>
        <v>2.2426297885838831</v>
      </c>
      <c r="X2780" s="2">
        <f ca="1"/>
        <v>42.803776853111231</v>
      </c>
      <c r="AG2780" s="2">
        <f ca="1"/>
        <v>0.9788991487763099</v>
      </c>
      <c r="AH2780" s="2" t="str">
        <f ca="1"/>
        <v>Bad</v>
      </c>
    </row>
    <row r="2781" spans="2:34" x14ac:dyDescent="0.2">
      <c r="B2781" s="2">
        <f ca="1"/>
        <v>5.0266032553744289E-2</v>
      </c>
      <c r="O2781" s="2">
        <f ca="1"/>
        <v>0.16953647095945593</v>
      </c>
      <c r="X2781" s="2">
        <f ca="1"/>
        <v>45.666188386173772</v>
      </c>
      <c r="AG2781" s="2">
        <f ca="1"/>
        <v>0.76600880523303871</v>
      </c>
      <c r="AH2781" s="2" t="str">
        <f ca="1"/>
        <v>Bad</v>
      </c>
    </row>
    <row r="2782" spans="2:34" x14ac:dyDescent="0.2">
      <c r="B2782" s="2">
        <f ca="1"/>
        <v>0.13439807407671922</v>
      </c>
      <c r="O2782" s="2">
        <f ca="1"/>
        <v>-1.428637786956551</v>
      </c>
      <c r="X2782" s="2">
        <f ca="1"/>
        <v>49.51808666122816</v>
      </c>
      <c r="AG2782" s="2">
        <f ca="1"/>
        <v>0.48231067326383803</v>
      </c>
      <c r="AH2782" s="2" t="str">
        <f ca="1"/>
        <v>Bad</v>
      </c>
    </row>
    <row r="2783" spans="2:34" x14ac:dyDescent="0.2">
      <c r="B2783" s="2">
        <f ca="1"/>
        <v>0.38385072391771069</v>
      </c>
      <c r="O2783" s="2">
        <f ca="1"/>
        <v>0.48409304883893867</v>
      </c>
      <c r="X2783" s="2">
        <f ca="1"/>
        <v>44.908570341881678</v>
      </c>
      <c r="AG2783" s="2">
        <f ca="1"/>
        <v>0.39105057290030287</v>
      </c>
      <c r="AH2783" s="2" t="str">
        <f ca="1"/>
        <v>OK</v>
      </c>
    </row>
    <row r="2784" spans="2:34" x14ac:dyDescent="0.2">
      <c r="B2784" s="2">
        <f ca="1"/>
        <v>0.30177813667832942</v>
      </c>
      <c r="O2784" s="2">
        <f ca="1"/>
        <v>0.74268478184690034</v>
      </c>
      <c r="X2784" s="2">
        <f ca="1"/>
        <v>55.50148934833183</v>
      </c>
      <c r="AG2784" s="2">
        <f ca="1"/>
        <v>0.11393288781343447</v>
      </c>
      <c r="AH2784" s="2" t="str">
        <f ca="1"/>
        <v>OK</v>
      </c>
    </row>
    <row r="2785" spans="2:34" x14ac:dyDescent="0.2">
      <c r="B2785" s="2">
        <f ca="1"/>
        <v>0.68691910503562226</v>
      </c>
      <c r="O2785" s="2">
        <f ca="1"/>
        <v>1.4780097532873422</v>
      </c>
      <c r="X2785" s="2">
        <f ca="1"/>
        <v>33.143787472772381</v>
      </c>
      <c r="AG2785" s="2">
        <f ca="1"/>
        <v>0.73914874920935847</v>
      </c>
      <c r="AH2785" s="2" t="str">
        <f ca="1"/>
        <v>Bad</v>
      </c>
    </row>
    <row r="2786" spans="2:34" x14ac:dyDescent="0.2">
      <c r="B2786" s="2">
        <f ca="1"/>
        <v>0.50246052645359685</v>
      </c>
      <c r="O2786" s="2">
        <f ca="1"/>
        <v>-0.40899940973601295</v>
      </c>
      <c r="X2786" s="2">
        <f ca="1"/>
        <v>33.981076190722938</v>
      </c>
      <c r="AG2786" s="2">
        <f ca="1"/>
        <v>0.71693581881793023</v>
      </c>
      <c r="AH2786" s="2" t="str">
        <f ca="1"/>
        <v>Bad</v>
      </c>
    </row>
    <row r="2787" spans="2:34" x14ac:dyDescent="0.2">
      <c r="B2787" s="2">
        <f ca="1"/>
        <v>0.53334580171482182</v>
      </c>
      <c r="O2787" s="2">
        <f ca="1"/>
        <v>-2.1574551689653787</v>
      </c>
      <c r="X2787" s="2">
        <f ca="1"/>
        <v>53.70767689820709</v>
      </c>
      <c r="AG2787" s="2">
        <f ca="1"/>
        <v>0.8770727420551454</v>
      </c>
      <c r="AH2787" s="2" t="str">
        <f ca="1"/>
        <v>Bad</v>
      </c>
    </row>
    <row r="2788" spans="2:34" x14ac:dyDescent="0.2">
      <c r="B2788" s="2">
        <f ca="1"/>
        <v>0.78641919076443356</v>
      </c>
      <c r="O2788" s="2">
        <f ca="1"/>
        <v>-0.8827021643466475</v>
      </c>
      <c r="X2788" s="2">
        <f ca="1"/>
        <v>53.054165256295185</v>
      </c>
      <c r="AG2788" s="2">
        <f ca="1"/>
        <v>0.65005385270459692</v>
      </c>
      <c r="AH2788" s="2" t="str">
        <f ca="1"/>
        <v>Bad</v>
      </c>
    </row>
    <row r="2789" spans="2:34" x14ac:dyDescent="0.2">
      <c r="B2789" s="2">
        <f ca="1"/>
        <v>0.981489084222956</v>
      </c>
      <c r="O2789" s="2">
        <f ca="1"/>
        <v>-0.14431846983789368</v>
      </c>
      <c r="X2789" s="2">
        <f ca="1"/>
        <v>28.621506776765049</v>
      </c>
      <c r="AG2789" s="2">
        <f ca="1"/>
        <v>0.3154891010583325</v>
      </c>
      <c r="AH2789" s="2" t="str">
        <f ca="1"/>
        <v>OK</v>
      </c>
    </row>
    <row r="2790" spans="2:34" x14ac:dyDescent="0.2">
      <c r="B2790" s="2">
        <f ca="1"/>
        <v>0.71818056153696586</v>
      </c>
      <c r="O2790" s="2">
        <f ca="1"/>
        <v>1.8570424899865601</v>
      </c>
      <c r="X2790" s="2">
        <f ca="1"/>
        <v>69.033690629359441</v>
      </c>
      <c r="AG2790" s="2">
        <f ca="1"/>
        <v>0.73765348765171068</v>
      </c>
      <c r="AH2790" s="2" t="str">
        <f ca="1"/>
        <v>Bad</v>
      </c>
    </row>
    <row r="2791" spans="2:34" x14ac:dyDescent="0.2">
      <c r="B2791" s="2">
        <f ca="1"/>
        <v>0.43777355296362774</v>
      </c>
      <c r="O2791" s="2">
        <f ca="1"/>
        <v>2.0817926302502969</v>
      </c>
      <c r="X2791" s="2">
        <f ca="1"/>
        <v>68.93946263639846</v>
      </c>
      <c r="AG2791" s="2">
        <f ca="1"/>
        <v>2.6143958898901198E-2</v>
      </c>
      <c r="AH2791" s="2" t="str">
        <f ca="1"/>
        <v>Good</v>
      </c>
    </row>
    <row r="2792" spans="2:34" x14ac:dyDescent="0.2">
      <c r="B2792" s="2">
        <f ca="1"/>
        <v>0.53053321513672613</v>
      </c>
      <c r="O2792" s="2">
        <f ca="1"/>
        <v>0.12523355547539888</v>
      </c>
      <c r="X2792" s="2">
        <f ca="1"/>
        <v>43.617790398164765</v>
      </c>
      <c r="AG2792" s="2">
        <f ca="1"/>
        <v>0.37139161282859789</v>
      </c>
      <c r="AH2792" s="2" t="str">
        <f ca="1"/>
        <v>OK</v>
      </c>
    </row>
    <row r="2793" spans="2:34" x14ac:dyDescent="0.2">
      <c r="B2793" s="2">
        <f ca="1"/>
        <v>0.95006665573229321</v>
      </c>
      <c r="O2793" s="2">
        <f ca="1"/>
        <v>-0.56268199382091688</v>
      </c>
      <c r="X2793" s="2">
        <f ca="1"/>
        <v>51.373708817716306</v>
      </c>
      <c r="AG2793" s="2">
        <f ca="1"/>
        <v>0.35623793278811378</v>
      </c>
      <c r="AH2793" s="2" t="str">
        <f ca="1"/>
        <v>OK</v>
      </c>
    </row>
    <row r="2794" spans="2:34" x14ac:dyDescent="0.2">
      <c r="B2794" s="2">
        <f ca="1"/>
        <v>0.66563772755527384</v>
      </c>
      <c r="O2794" s="2">
        <f ca="1"/>
        <v>1.3817917944015379</v>
      </c>
      <c r="X2794" s="2">
        <f ca="1"/>
        <v>59.601129007924555</v>
      </c>
      <c r="AG2794" s="2">
        <f ca="1"/>
        <v>0.25991472440872032</v>
      </c>
      <c r="AH2794" s="2" t="str">
        <f ca="1"/>
        <v>OK</v>
      </c>
    </row>
    <row r="2795" spans="2:34" x14ac:dyDescent="0.2">
      <c r="B2795" s="2">
        <f ca="1"/>
        <v>0.86904529783219675</v>
      </c>
      <c r="O2795" s="2">
        <f ca="1"/>
        <v>0.42169448091685058</v>
      </c>
      <c r="X2795" s="2">
        <f ca="1"/>
        <v>52.603507197642372</v>
      </c>
      <c r="AG2795" s="2">
        <f ca="1"/>
        <v>0.48465761724072198</v>
      </c>
      <c r="AH2795" s="2" t="str">
        <f ca="1"/>
        <v>Bad</v>
      </c>
    </row>
    <row r="2796" spans="2:34" x14ac:dyDescent="0.2">
      <c r="B2796" s="2">
        <f ca="1"/>
        <v>0.75117570970730707</v>
      </c>
      <c r="O2796" s="2">
        <f ca="1"/>
        <v>0.48135185156814436</v>
      </c>
      <c r="X2796" s="2">
        <f ca="1"/>
        <v>55.087643470277797</v>
      </c>
      <c r="AG2796" s="2">
        <f ca="1"/>
        <v>0.31562885221259496</v>
      </c>
      <c r="AH2796" s="2" t="str">
        <f ca="1"/>
        <v>OK</v>
      </c>
    </row>
    <row r="2797" spans="2:34" x14ac:dyDescent="0.2">
      <c r="B2797" s="2">
        <f ca="1"/>
        <v>0.49117847599240561</v>
      </c>
      <c r="O2797" s="2">
        <f ca="1"/>
        <v>-1.0515501032645644</v>
      </c>
      <c r="X2797" s="2">
        <f ca="1"/>
        <v>58.795520083008597</v>
      </c>
      <c r="AG2797" s="2">
        <f ca="1"/>
        <v>0.46148055231760909</v>
      </c>
      <c r="AH2797" s="2" t="str">
        <f ca="1"/>
        <v>Bad</v>
      </c>
    </row>
    <row r="2798" spans="2:34" x14ac:dyDescent="0.2">
      <c r="B2798" s="2">
        <f ca="1"/>
        <v>0.13283652906580667</v>
      </c>
      <c r="O2798" s="2">
        <f ca="1"/>
        <v>3.2594405466910323E-2</v>
      </c>
      <c r="X2798" s="2">
        <f ca="1"/>
        <v>63.090824285642071</v>
      </c>
      <c r="AG2798" s="2">
        <f ca="1"/>
        <v>0.73793685424906807</v>
      </c>
      <c r="AH2798" s="2" t="str">
        <f ca="1"/>
        <v>Bad</v>
      </c>
    </row>
    <row r="2799" spans="2:34" x14ac:dyDescent="0.2">
      <c r="B2799" s="2">
        <f ca="1"/>
        <v>9.8928387970230958E-2</v>
      </c>
      <c r="O2799" s="2">
        <f ca="1"/>
        <v>-0.76505398943117542</v>
      </c>
      <c r="X2799" s="2">
        <f ca="1"/>
        <v>47.274240405504663</v>
      </c>
      <c r="AG2799" s="2">
        <f ca="1"/>
        <v>2.9840145403643437E-2</v>
      </c>
      <c r="AH2799" s="2" t="str">
        <f ca="1"/>
        <v>Good</v>
      </c>
    </row>
    <row r="2800" spans="2:34" x14ac:dyDescent="0.2">
      <c r="B2800" s="2">
        <f ca="1"/>
        <v>0.53932891318658061</v>
      </c>
      <c r="O2800" s="2">
        <f ca="1"/>
        <v>-1.5231754696286299</v>
      </c>
      <c r="X2800" s="2">
        <f ca="1"/>
        <v>55.390033496703495</v>
      </c>
      <c r="AG2800" s="2">
        <f ca="1"/>
        <v>0.28734918368398299</v>
      </c>
      <c r="AH2800" s="2" t="str">
        <f ca="1"/>
        <v>OK</v>
      </c>
    </row>
    <row r="2801" spans="2:34" x14ac:dyDescent="0.2">
      <c r="B2801" s="2">
        <f ca="1"/>
        <v>0.86116311332917217</v>
      </c>
      <c r="O2801" s="2">
        <f ca="1"/>
        <v>1.3908008854813372</v>
      </c>
      <c r="X2801" s="2">
        <f ca="1"/>
        <v>27.921037382353205</v>
      </c>
      <c r="AG2801" s="2">
        <f ca="1"/>
        <v>0.23301613528181608</v>
      </c>
      <c r="AH2801" s="2" t="str">
        <f ca="1"/>
        <v>OK</v>
      </c>
    </row>
    <row r="2802" spans="2:34" x14ac:dyDescent="0.2">
      <c r="B2802" s="2">
        <f ca="1"/>
        <v>0.61529420455029826</v>
      </c>
      <c r="O2802" s="2">
        <f ca="1"/>
        <v>1.3695304018466583</v>
      </c>
      <c r="X2802" s="2">
        <f ca="1"/>
        <v>46.809642124770505</v>
      </c>
      <c r="AG2802" s="2">
        <f ca="1"/>
        <v>0.11236935027063288</v>
      </c>
      <c r="AH2802" s="2" t="str">
        <f ca="1"/>
        <v>OK</v>
      </c>
    </row>
    <row r="2803" spans="2:34" x14ac:dyDescent="0.2">
      <c r="B2803" s="2">
        <f ca="1"/>
        <v>0.2439238227069056</v>
      </c>
      <c r="O2803" s="2">
        <f ca="1"/>
        <v>-0.37219000552182829</v>
      </c>
      <c r="X2803" s="2">
        <f ca="1"/>
        <v>68.074924668155347</v>
      </c>
      <c r="AG2803" s="2">
        <f ca="1"/>
        <v>0.67699336544773603</v>
      </c>
      <c r="AH2803" s="2" t="str">
        <f ca="1"/>
        <v>Bad</v>
      </c>
    </row>
    <row r="2804" spans="2:34" x14ac:dyDescent="0.2">
      <c r="B2804" s="2">
        <f ca="1"/>
        <v>0.30961381010346956</v>
      </c>
      <c r="O2804" s="2">
        <f ca="1"/>
        <v>-0.26531650151858438</v>
      </c>
      <c r="X2804" s="2">
        <f ca="1"/>
        <v>22.042088181689184</v>
      </c>
      <c r="AG2804" s="2">
        <f ca="1"/>
        <v>0.89637028191553303</v>
      </c>
      <c r="AH2804" s="2" t="str">
        <f ca="1"/>
        <v>Bad</v>
      </c>
    </row>
    <row r="2805" spans="2:34" x14ac:dyDescent="0.2">
      <c r="B2805" s="2">
        <f ca="1"/>
        <v>4.1178063762218997E-2</v>
      </c>
      <c r="O2805" s="2">
        <f ca="1"/>
        <v>0.51004626102539219</v>
      </c>
      <c r="X2805" s="2">
        <f ca="1"/>
        <v>48.979582039688339</v>
      </c>
      <c r="AG2805" s="2">
        <f ca="1"/>
        <v>3.6614760385007328E-2</v>
      </c>
      <c r="AH2805" s="2" t="str">
        <f ca="1"/>
        <v>Good</v>
      </c>
    </row>
    <row r="2806" spans="2:34" x14ac:dyDescent="0.2">
      <c r="B2806" s="2">
        <f ca="1"/>
        <v>0.75618689693368046</v>
      </c>
      <c r="O2806" s="2">
        <f ca="1"/>
        <v>0.41345819344596119</v>
      </c>
      <c r="X2806" s="2">
        <f ca="1"/>
        <v>71.955333474272251</v>
      </c>
      <c r="AG2806" s="2">
        <f ca="1"/>
        <v>0.61710143315192867</v>
      </c>
      <c r="AH2806" s="2" t="str">
        <f ca="1"/>
        <v>Bad</v>
      </c>
    </row>
    <row r="2807" spans="2:34" x14ac:dyDescent="0.2">
      <c r="B2807" s="2">
        <f ca="1"/>
        <v>0.20615040691255082</v>
      </c>
      <c r="O2807" s="2">
        <f ca="1"/>
        <v>0.93304750606328302</v>
      </c>
      <c r="X2807" s="2">
        <f ca="1"/>
        <v>51.27288029051239</v>
      </c>
      <c r="AG2807" s="2">
        <f ca="1"/>
        <v>0.74063092709205169</v>
      </c>
      <c r="AH2807" s="2" t="str">
        <f ca="1"/>
        <v>Bad</v>
      </c>
    </row>
    <row r="2808" spans="2:34" x14ac:dyDescent="0.2">
      <c r="B2808" s="2">
        <f ca="1"/>
        <v>0.51898426089222993</v>
      </c>
      <c r="O2808" s="2">
        <f ca="1"/>
        <v>-0.36461590575347386</v>
      </c>
      <c r="X2808" s="2">
        <f ca="1"/>
        <v>29.94804699179398</v>
      </c>
      <c r="AG2808" s="2">
        <f ca="1"/>
        <v>0.64350506997029155</v>
      </c>
      <c r="AH2808" s="2" t="str">
        <f ca="1"/>
        <v>Bad</v>
      </c>
    </row>
    <row r="2809" spans="2:34" x14ac:dyDescent="0.2">
      <c r="B2809" s="2">
        <f ca="1"/>
        <v>0.69797194598265966</v>
      </c>
      <c r="O2809" s="2">
        <f ca="1"/>
        <v>1.492367288638201E-2</v>
      </c>
      <c r="X2809" s="2">
        <f ca="1"/>
        <v>32.30568846079511</v>
      </c>
      <c r="AG2809" s="2">
        <f ca="1"/>
        <v>5.4267950701777368E-2</v>
      </c>
      <c r="AH2809" s="2" t="str">
        <f ca="1"/>
        <v>OK</v>
      </c>
    </row>
    <row r="2810" spans="2:34" x14ac:dyDescent="0.2">
      <c r="B2810" s="2">
        <f ca="1"/>
        <v>0.8090513205591352</v>
      </c>
      <c r="O2810" s="2">
        <f ca="1"/>
        <v>-0.52382385640590989</v>
      </c>
      <c r="X2810" s="2">
        <f ca="1"/>
        <v>36.991215279035487</v>
      </c>
      <c r="AG2810" s="2">
        <f ca="1"/>
        <v>0.17034957438034137</v>
      </c>
      <c r="AH2810" s="2" t="str">
        <f ca="1"/>
        <v>OK</v>
      </c>
    </row>
    <row r="2811" spans="2:34" x14ac:dyDescent="0.2">
      <c r="B2811" s="2">
        <f ca="1"/>
        <v>0.37255407646160665</v>
      </c>
      <c r="O2811" s="2">
        <f ca="1"/>
        <v>5.8080250207483697E-2</v>
      </c>
      <c r="X2811" s="2">
        <f ca="1"/>
        <v>53.134672040370276</v>
      </c>
      <c r="AG2811" s="2">
        <f ca="1"/>
        <v>0.49855195502607397</v>
      </c>
      <c r="AH2811" s="2" t="str">
        <f ca="1"/>
        <v>Bad</v>
      </c>
    </row>
    <row r="2812" spans="2:34" x14ac:dyDescent="0.2">
      <c r="B2812" s="2">
        <f ca="1"/>
        <v>0.37033099687756588</v>
      </c>
      <c r="O2812" s="2">
        <f ca="1"/>
        <v>-0.27767938432029926</v>
      </c>
      <c r="X2812" s="2">
        <f ca="1"/>
        <v>66.668202812482264</v>
      </c>
      <c r="AG2812" s="2">
        <f ca="1"/>
        <v>0.15978860873302958</v>
      </c>
      <c r="AH2812" s="2" t="str">
        <f ca="1"/>
        <v>OK</v>
      </c>
    </row>
    <row r="2813" spans="2:34" x14ac:dyDescent="0.2">
      <c r="B2813" s="2">
        <f ca="1"/>
        <v>4.1927367832136353E-2</v>
      </c>
      <c r="O2813" s="2">
        <f ca="1"/>
        <v>0.33314327500548274</v>
      </c>
      <c r="X2813" s="2">
        <f ca="1"/>
        <v>32.063557049525627</v>
      </c>
      <c r="AG2813" s="2">
        <f ca="1"/>
        <v>0.54443469098091901</v>
      </c>
      <c r="AH2813" s="2" t="str">
        <f ca="1"/>
        <v>Bad</v>
      </c>
    </row>
    <row r="2814" spans="2:34" x14ac:dyDescent="0.2">
      <c r="B2814" s="2">
        <f ca="1"/>
        <v>0.91966243578014573</v>
      </c>
      <c r="O2814" s="2">
        <f ca="1"/>
        <v>-0.22252455144134445</v>
      </c>
      <c r="X2814" s="2">
        <f ca="1"/>
        <v>43.148564122138602</v>
      </c>
      <c r="AG2814" s="2">
        <f ca="1"/>
        <v>0.79005390613970872</v>
      </c>
      <c r="AH2814" s="2" t="str">
        <f ca="1"/>
        <v>Bad</v>
      </c>
    </row>
    <row r="2815" spans="2:34" x14ac:dyDescent="0.2">
      <c r="B2815" s="2">
        <f ca="1"/>
        <v>0.60884602666797472</v>
      </c>
      <c r="O2815" s="2">
        <f ca="1"/>
        <v>-0.18291290495956394</v>
      </c>
      <c r="X2815" s="2">
        <f ca="1"/>
        <v>24.962632982818263</v>
      </c>
      <c r="AG2815" s="2">
        <f ca="1"/>
        <v>0.29753699695228075</v>
      </c>
      <c r="AH2815" s="2" t="str">
        <f ca="1"/>
        <v>OK</v>
      </c>
    </row>
    <row r="2816" spans="2:34" x14ac:dyDescent="0.2">
      <c r="B2816" s="2">
        <f ca="1"/>
        <v>0.9887907003416172</v>
      </c>
      <c r="O2816" s="2">
        <f ca="1"/>
        <v>1.5518859146340809</v>
      </c>
      <c r="X2816" s="2">
        <f ca="1"/>
        <v>27.120157258253283</v>
      </c>
      <c r="AG2816" s="2">
        <f ca="1"/>
        <v>0.57474708796997809</v>
      </c>
      <c r="AH2816" s="2" t="str">
        <f ca="1"/>
        <v>Bad</v>
      </c>
    </row>
    <row r="2817" spans="2:34" x14ac:dyDescent="0.2">
      <c r="B2817" s="2">
        <f ca="1"/>
        <v>0.3787846051339776</v>
      </c>
      <c r="O2817" s="2">
        <f ca="1"/>
        <v>-2.4152878893570241E-2</v>
      </c>
      <c r="X2817" s="2">
        <f ca="1"/>
        <v>44.266367306452203</v>
      </c>
      <c r="AG2817" s="2">
        <f ca="1"/>
        <v>0.53430263410981471</v>
      </c>
      <c r="AH2817" s="2" t="str">
        <f ca="1"/>
        <v>Bad</v>
      </c>
    </row>
    <row r="2818" spans="2:34" x14ac:dyDescent="0.2">
      <c r="B2818" s="2">
        <f ca="1"/>
        <v>0.6368650603734316</v>
      </c>
      <c r="O2818" s="2">
        <f ca="1"/>
        <v>0.91046230614299206</v>
      </c>
      <c r="X2818" s="2">
        <f ca="1"/>
        <v>23.225996185427601</v>
      </c>
      <c r="AG2818" s="2">
        <f ca="1"/>
        <v>0.1042121431785652</v>
      </c>
      <c r="AH2818" s="2" t="str">
        <f ca="1"/>
        <v>OK</v>
      </c>
    </row>
    <row r="2819" spans="2:34" x14ac:dyDescent="0.2">
      <c r="B2819" s="2">
        <f ca="1"/>
        <v>0.41965025353905672</v>
      </c>
      <c r="O2819" s="2">
        <f ca="1"/>
        <v>1.737024266087428</v>
      </c>
      <c r="X2819" s="2">
        <f ca="1"/>
        <v>78.628588958934188</v>
      </c>
      <c r="AG2819" s="2">
        <f ca="1"/>
        <v>7.4333856208785853E-3</v>
      </c>
      <c r="AH2819" s="2" t="str">
        <f ca="1"/>
        <v>Good</v>
      </c>
    </row>
    <row r="2820" spans="2:34" x14ac:dyDescent="0.2">
      <c r="B2820" s="2">
        <f ca="1"/>
        <v>0.26036125920217179</v>
      </c>
      <c r="O2820" s="2">
        <f ca="1"/>
        <v>0.8944011942103306</v>
      </c>
      <c r="X2820" s="2">
        <f ca="1"/>
        <v>62.210411671840902</v>
      </c>
      <c r="AG2820" s="2">
        <f ca="1"/>
        <v>0.63192354741371148</v>
      </c>
      <c r="AH2820" s="2" t="str">
        <f ca="1"/>
        <v>Bad</v>
      </c>
    </row>
    <row r="2821" spans="2:34" x14ac:dyDescent="0.2">
      <c r="B2821" s="2">
        <f ca="1"/>
        <v>0.37840498030454151</v>
      </c>
      <c r="O2821" s="2">
        <f ca="1"/>
        <v>0.58573140598741724</v>
      </c>
      <c r="X2821" s="2">
        <f ca="1"/>
        <v>56.675400806482671</v>
      </c>
      <c r="AG2821" s="2">
        <f ca="1"/>
        <v>0.97638902694780372</v>
      </c>
      <c r="AH2821" s="2" t="str">
        <f ca="1"/>
        <v>Bad</v>
      </c>
    </row>
    <row r="2822" spans="2:34" x14ac:dyDescent="0.2">
      <c r="B2822" s="2">
        <f ca="1"/>
        <v>0.85315601975518773</v>
      </c>
      <c r="O2822" s="2">
        <f ca="1"/>
        <v>1.7911419743264463</v>
      </c>
      <c r="X2822" s="2">
        <f ca="1"/>
        <v>41.737745423479112</v>
      </c>
      <c r="AG2822" s="2">
        <f ca="1"/>
        <v>0.86509756786063718</v>
      </c>
      <c r="AH2822" s="2" t="str">
        <f ca="1"/>
        <v>Bad</v>
      </c>
    </row>
    <row r="2823" spans="2:34" x14ac:dyDescent="0.2">
      <c r="B2823" s="2">
        <f ca="1"/>
        <v>0.71546213317428564</v>
      </c>
      <c r="O2823" s="2">
        <f ca="1"/>
        <v>0.21195457337207571</v>
      </c>
      <c r="X2823" s="2">
        <f ca="1"/>
        <v>49.228399662856155</v>
      </c>
      <c r="AG2823" s="2">
        <f ca="1"/>
        <v>0.76271193253132208</v>
      </c>
      <c r="AH2823" s="2" t="str">
        <f ca="1"/>
        <v>Bad</v>
      </c>
    </row>
    <row r="2824" spans="2:34" x14ac:dyDescent="0.2">
      <c r="B2824" s="2">
        <f ca="1"/>
        <v>0.70773903326788634</v>
      </c>
      <c r="O2824" s="2">
        <f ca="1"/>
        <v>0.61526454281610055</v>
      </c>
      <c r="X2824" s="2">
        <f ca="1"/>
        <v>58.864319580913829</v>
      </c>
      <c r="AG2824" s="2">
        <f ca="1"/>
        <v>0.32572107608399081</v>
      </c>
      <c r="AH2824" s="2" t="str">
        <f ca="1"/>
        <v>OK</v>
      </c>
    </row>
    <row r="2825" spans="2:34" x14ac:dyDescent="0.2">
      <c r="B2825" s="2">
        <f ca="1"/>
        <v>0.61790652780838107</v>
      </c>
      <c r="O2825" s="2">
        <f ca="1"/>
        <v>-2.104304740362946</v>
      </c>
      <c r="X2825" s="2">
        <f ca="1"/>
        <v>68.674151379463837</v>
      </c>
      <c r="AG2825" s="2">
        <f ca="1"/>
        <v>0.13502994573467397</v>
      </c>
      <c r="AH2825" s="2" t="str">
        <f ca="1"/>
        <v>OK</v>
      </c>
    </row>
    <row r="2826" spans="2:34" x14ac:dyDescent="0.2">
      <c r="B2826" s="2">
        <f ca="1"/>
        <v>0.29421629587701337</v>
      </c>
      <c r="O2826" s="2">
        <f ca="1"/>
        <v>1.360126208520023</v>
      </c>
      <c r="X2826" s="2">
        <f ca="1"/>
        <v>32.247201927696288</v>
      </c>
      <c r="AG2826" s="2">
        <f ca="1"/>
        <v>0.33989811684917126</v>
      </c>
      <c r="AH2826" s="2" t="str">
        <f ca="1"/>
        <v>OK</v>
      </c>
    </row>
    <row r="2827" spans="2:34" x14ac:dyDescent="0.2">
      <c r="B2827" s="2">
        <f ca="1"/>
        <v>0.48219402805753164</v>
      </c>
      <c r="O2827" s="2">
        <f ca="1"/>
        <v>1.212600866322014</v>
      </c>
      <c r="X2827" s="2">
        <f ca="1"/>
        <v>60.283313231559468</v>
      </c>
      <c r="AG2827" s="2">
        <f ca="1"/>
        <v>0.16114757556835002</v>
      </c>
      <c r="AH2827" s="2" t="str">
        <f ca="1"/>
        <v>OK</v>
      </c>
    </row>
    <row r="2828" spans="2:34" x14ac:dyDescent="0.2">
      <c r="B2828" s="2">
        <f ca="1"/>
        <v>0.33689235391956385</v>
      </c>
      <c r="O2828" s="2">
        <f ca="1"/>
        <v>0.79515067063946721</v>
      </c>
      <c r="X2828" s="2">
        <f ca="1"/>
        <v>62.427011157458011</v>
      </c>
      <c r="AG2828" s="2">
        <f ca="1"/>
        <v>0.57604402818220724</v>
      </c>
      <c r="AH2828" s="2" t="str">
        <f ca="1"/>
        <v>Bad</v>
      </c>
    </row>
    <row r="2829" spans="2:34" x14ac:dyDescent="0.2">
      <c r="B2829" s="2">
        <f ca="1"/>
        <v>0.13582688087592532</v>
      </c>
      <c r="O2829" s="2">
        <f ca="1"/>
        <v>-1.1060994207371913</v>
      </c>
      <c r="X2829" s="2">
        <f ca="1"/>
        <v>17.461232330714019</v>
      </c>
      <c r="AG2829" s="2">
        <f ca="1"/>
        <v>4.841435204091793E-2</v>
      </c>
      <c r="AH2829" s="2" t="str">
        <f ca="1"/>
        <v>Good</v>
      </c>
    </row>
    <row r="2830" spans="2:34" x14ac:dyDescent="0.2">
      <c r="B2830" s="2">
        <f ca="1"/>
        <v>0.19239521867160869</v>
      </c>
      <c r="O2830" s="2">
        <f ca="1"/>
        <v>0.66160159290387366</v>
      </c>
      <c r="X2830" s="2">
        <f ca="1"/>
        <v>52.636560178833832</v>
      </c>
      <c r="AG2830" s="2">
        <f ca="1"/>
        <v>0.84354040287255816</v>
      </c>
      <c r="AH2830" s="2" t="str">
        <f ca="1"/>
        <v>Bad</v>
      </c>
    </row>
    <row r="2831" spans="2:34" x14ac:dyDescent="0.2">
      <c r="B2831" s="2">
        <f ca="1"/>
        <v>0.52738344379393731</v>
      </c>
      <c r="O2831" s="2">
        <f ca="1"/>
        <v>1.4920993206774722</v>
      </c>
      <c r="X2831" s="2">
        <f ca="1"/>
        <v>48.466455554818836</v>
      </c>
      <c r="AG2831" s="2">
        <f ca="1"/>
        <v>0.88110460171587235</v>
      </c>
      <c r="AH2831" s="2" t="str">
        <f ca="1"/>
        <v>Bad</v>
      </c>
    </row>
    <row r="2832" spans="2:34" x14ac:dyDescent="0.2">
      <c r="B2832" s="2">
        <f ca="1"/>
        <v>0.75647574113086469</v>
      </c>
      <c r="O2832" s="2">
        <f ca="1"/>
        <v>0.78672429276603317</v>
      </c>
      <c r="X2832" s="2">
        <f ca="1"/>
        <v>57.864757330322625</v>
      </c>
      <c r="AG2832" s="2">
        <f ca="1"/>
        <v>0.80726391343585413</v>
      </c>
      <c r="AH2832" s="2" t="str">
        <f ca="1"/>
        <v>Bad</v>
      </c>
    </row>
    <row r="2833" spans="2:34" x14ac:dyDescent="0.2">
      <c r="B2833" s="2">
        <f ca="1"/>
        <v>0.81586613743716541</v>
      </c>
      <c r="O2833" s="2">
        <f ca="1"/>
        <v>-0.4202492075376919</v>
      </c>
      <c r="X2833" s="2">
        <f ca="1"/>
        <v>46.440783469729745</v>
      </c>
      <c r="AG2833" s="2">
        <f ca="1"/>
        <v>0.8823695852617468</v>
      </c>
      <c r="AH2833" s="2" t="str">
        <f ca="1"/>
        <v>Bad</v>
      </c>
    </row>
    <row r="2834" spans="2:34" x14ac:dyDescent="0.2">
      <c r="B2834" s="2">
        <f ca="1"/>
        <v>0.45864979570949393</v>
      </c>
      <c r="O2834" s="2">
        <f ca="1"/>
        <v>-0.98767906598414046</v>
      </c>
      <c r="X2834" s="2">
        <f ca="1"/>
        <v>83.676260662900859</v>
      </c>
      <c r="AG2834" s="2">
        <f ca="1"/>
        <v>0.11229122813061987</v>
      </c>
      <c r="AH2834" s="2" t="str">
        <f ca="1"/>
        <v>OK</v>
      </c>
    </row>
    <row r="2835" spans="2:34" x14ac:dyDescent="0.2">
      <c r="B2835" s="2">
        <f ca="1"/>
        <v>0.63077700315903606</v>
      </c>
      <c r="O2835" s="2">
        <f ca="1"/>
        <v>-0.86689671229242771</v>
      </c>
      <c r="X2835" s="2">
        <f ca="1"/>
        <v>35.127568353909069</v>
      </c>
      <c r="AG2835" s="2">
        <f ca="1"/>
        <v>0.10922777262355421</v>
      </c>
      <c r="AH2835" s="2" t="str">
        <f ca="1"/>
        <v>OK</v>
      </c>
    </row>
    <row r="2836" spans="2:34" x14ac:dyDescent="0.2">
      <c r="B2836" s="2">
        <f ca="1"/>
        <v>0.33543556323765378</v>
      </c>
      <c r="O2836" s="2">
        <f ca="1"/>
        <v>-0.78977911826635583</v>
      </c>
      <c r="X2836" s="2">
        <f ca="1"/>
        <v>39.267951219245248</v>
      </c>
      <c r="AG2836" s="2">
        <f ca="1"/>
        <v>0.40886545778220351</v>
      </c>
      <c r="AH2836" s="2" t="str">
        <f ca="1"/>
        <v>Bad</v>
      </c>
    </row>
    <row r="2837" spans="2:34" x14ac:dyDescent="0.2">
      <c r="B2837" s="2">
        <f ca="1"/>
        <v>0.4505213945762665</v>
      </c>
      <c r="O2837" s="2">
        <f ca="1"/>
        <v>0.60256766348907231</v>
      </c>
      <c r="X2837" s="2">
        <f ca="1"/>
        <v>66.600842012263797</v>
      </c>
      <c r="AG2837" s="2">
        <f ca="1"/>
        <v>0.3906608511706513</v>
      </c>
      <c r="AH2837" s="2" t="str">
        <f ca="1"/>
        <v>OK</v>
      </c>
    </row>
    <row r="2838" spans="2:34" x14ac:dyDescent="0.2">
      <c r="B2838" s="2">
        <f ca="1"/>
        <v>0.4049995098977881</v>
      </c>
      <c r="O2838" s="2">
        <f ca="1"/>
        <v>-0.54950651673497186</v>
      </c>
      <c r="X2838" s="2">
        <f ca="1"/>
        <v>39.73140241075393</v>
      </c>
      <c r="AG2838" s="2">
        <f ca="1"/>
        <v>0.77094066984009291</v>
      </c>
      <c r="AH2838" s="2" t="str">
        <f ca="1"/>
        <v>Bad</v>
      </c>
    </row>
    <row r="2839" spans="2:34" x14ac:dyDescent="0.2">
      <c r="B2839" s="2">
        <f ca="1"/>
        <v>0.38912964704984909</v>
      </c>
      <c r="O2839" s="2">
        <f ca="1"/>
        <v>0.21991325110536594</v>
      </c>
      <c r="X2839" s="2">
        <f ca="1"/>
        <v>75.279325008022852</v>
      </c>
      <c r="AG2839" s="2">
        <f ca="1"/>
        <v>0.38867951084531116</v>
      </c>
      <c r="AH2839" s="2" t="str">
        <f ca="1"/>
        <v>OK</v>
      </c>
    </row>
    <row r="2840" spans="2:34" x14ac:dyDescent="0.2">
      <c r="B2840" s="2">
        <f ca="1"/>
        <v>0.84598421651455435</v>
      </c>
      <c r="O2840" s="2">
        <f ca="1"/>
        <v>-2.039787380857502</v>
      </c>
      <c r="X2840" s="2">
        <f ca="1"/>
        <v>41.053867370291499</v>
      </c>
      <c r="AG2840" s="2">
        <f ca="1"/>
        <v>0.19529658692491836</v>
      </c>
      <c r="AH2840" s="2" t="str">
        <f ca="1"/>
        <v>OK</v>
      </c>
    </row>
    <row r="2841" spans="2:34" x14ac:dyDescent="0.2">
      <c r="B2841" s="2">
        <f ca="1"/>
        <v>0.76691712334865914</v>
      </c>
      <c r="O2841" s="2">
        <f ca="1"/>
        <v>0.76677978958085335</v>
      </c>
      <c r="X2841" s="2">
        <f ca="1"/>
        <v>71.935370457410087</v>
      </c>
      <c r="AG2841" s="2">
        <f ca="1"/>
        <v>0.5356728732905951</v>
      </c>
      <c r="AH2841" s="2" t="str">
        <f ca="1"/>
        <v>Bad</v>
      </c>
    </row>
    <row r="2842" spans="2:34" x14ac:dyDescent="0.2">
      <c r="B2842" s="2">
        <f ca="1"/>
        <v>0.20054956533093127</v>
      </c>
      <c r="O2842" s="2">
        <f ca="1"/>
        <v>1.0368767960863352E-2</v>
      </c>
      <c r="X2842" s="2">
        <f ca="1"/>
        <v>27.927920655528013</v>
      </c>
      <c r="AG2842" s="2">
        <f ca="1"/>
        <v>0.15219579542718109</v>
      </c>
      <c r="AH2842" s="2" t="str">
        <f ca="1"/>
        <v>OK</v>
      </c>
    </row>
    <row r="2843" spans="2:34" x14ac:dyDescent="0.2">
      <c r="B2843" s="2">
        <f ca="1"/>
        <v>0.92846609843411243</v>
      </c>
      <c r="O2843" s="2">
        <f ca="1"/>
        <v>0.92385906871405554</v>
      </c>
      <c r="X2843" s="2">
        <f ca="1"/>
        <v>74.139180587230967</v>
      </c>
      <c r="AG2843" s="2">
        <f ca="1"/>
        <v>0.27542166902884602</v>
      </c>
      <c r="AH2843" s="2" t="str">
        <f ca="1"/>
        <v>OK</v>
      </c>
    </row>
    <row r="2844" spans="2:34" x14ac:dyDescent="0.2">
      <c r="B2844" s="2">
        <f ca="1"/>
        <v>0.82319500417537284</v>
      </c>
      <c r="O2844" s="2">
        <f ca="1"/>
        <v>-0.27794380375452815</v>
      </c>
      <c r="X2844" s="2">
        <f ca="1"/>
        <v>43.544245568348643</v>
      </c>
      <c r="AG2844" s="2">
        <f ca="1"/>
        <v>0.30226434848031558</v>
      </c>
      <c r="AH2844" s="2" t="str">
        <f ca="1"/>
        <v>OK</v>
      </c>
    </row>
    <row r="2845" spans="2:34" x14ac:dyDescent="0.2">
      <c r="B2845" s="2">
        <f ca="1"/>
        <v>0.72338323440835217</v>
      </c>
      <c r="O2845" s="2">
        <f ca="1"/>
        <v>-1.8742367445628128</v>
      </c>
      <c r="X2845" s="2">
        <f ca="1"/>
        <v>34.525406831633376</v>
      </c>
      <c r="AG2845" s="2">
        <f ca="1"/>
        <v>0.85102018761284759</v>
      </c>
      <c r="AH2845" s="2" t="str">
        <f ca="1"/>
        <v>Bad</v>
      </c>
    </row>
    <row r="2846" spans="2:34" x14ac:dyDescent="0.2">
      <c r="B2846" s="2">
        <f ca="1"/>
        <v>0.66049354835808272</v>
      </c>
      <c r="O2846" s="2">
        <f ca="1"/>
        <v>1.4333132664376071</v>
      </c>
      <c r="X2846" s="2">
        <f ca="1"/>
        <v>81.993660134934117</v>
      </c>
      <c r="AG2846" s="2">
        <f ca="1"/>
        <v>0.13365381970420143</v>
      </c>
      <c r="AH2846" s="2" t="str">
        <f ca="1"/>
        <v>OK</v>
      </c>
    </row>
    <row r="2847" spans="2:34" x14ac:dyDescent="0.2">
      <c r="B2847" s="2">
        <f ca="1"/>
        <v>9.9055623030765982E-3</v>
      </c>
      <c r="O2847" s="2">
        <f ca="1"/>
        <v>-1.1429810325475909</v>
      </c>
      <c r="X2847" s="2">
        <f ca="1"/>
        <v>33.703179416909414</v>
      </c>
      <c r="AG2847" s="2">
        <f ca="1"/>
        <v>0.41527736485558853</v>
      </c>
      <c r="AH2847" s="2" t="str">
        <f ca="1"/>
        <v>Bad</v>
      </c>
    </row>
    <row r="2848" spans="2:34" x14ac:dyDescent="0.2">
      <c r="B2848" s="2">
        <f ca="1"/>
        <v>2.2224584057359831E-3</v>
      </c>
      <c r="O2848" s="2">
        <f ca="1"/>
        <v>1.2223269828005123</v>
      </c>
      <c r="X2848" s="2">
        <f ca="1"/>
        <v>67.803937032830163</v>
      </c>
      <c r="AG2848" s="2">
        <f ca="1"/>
        <v>0.2398785836145183</v>
      </c>
      <c r="AH2848" s="2" t="str">
        <f ca="1"/>
        <v>OK</v>
      </c>
    </row>
    <row r="2849" spans="2:34" x14ac:dyDescent="0.2">
      <c r="B2849" s="2">
        <f ca="1"/>
        <v>0.19342185360398911</v>
      </c>
      <c r="O2849" s="2">
        <f ca="1"/>
        <v>2.1676372438607125</v>
      </c>
      <c r="X2849" s="2">
        <f ca="1"/>
        <v>60.572046402960993</v>
      </c>
      <c r="AG2849" s="2">
        <f ca="1"/>
        <v>0.33578707539276165</v>
      </c>
      <c r="AH2849" s="2" t="str">
        <f ca="1"/>
        <v>OK</v>
      </c>
    </row>
    <row r="2850" spans="2:34" x14ac:dyDescent="0.2">
      <c r="B2850" s="2">
        <f ca="1"/>
        <v>0.85548722384424614</v>
      </c>
      <c r="O2850" s="2">
        <f ca="1"/>
        <v>0.55368513509152961</v>
      </c>
      <c r="X2850" s="2">
        <f ca="1"/>
        <v>44.108475405552888</v>
      </c>
      <c r="AG2850" s="2">
        <f ca="1"/>
        <v>9.1077424188493517E-2</v>
      </c>
      <c r="AH2850" s="2" t="str">
        <f ca="1"/>
        <v>OK</v>
      </c>
    </row>
    <row r="2851" spans="2:34" x14ac:dyDescent="0.2">
      <c r="B2851" s="2">
        <f ca="1"/>
        <v>0.24284396255173846</v>
      </c>
      <c r="O2851" s="2">
        <f ca="1"/>
        <v>0.14411723200610344</v>
      </c>
      <c r="X2851" s="2">
        <f ca="1"/>
        <v>75.153879653424781</v>
      </c>
      <c r="AG2851" s="2">
        <f ca="1"/>
        <v>3.1055500658005997E-2</v>
      </c>
      <c r="AH2851" s="2" t="str">
        <f ca="1"/>
        <v>Good</v>
      </c>
    </row>
    <row r="2852" spans="2:34" x14ac:dyDescent="0.2">
      <c r="B2852" s="2">
        <f ca="1"/>
        <v>0.58496884056684095</v>
      </c>
      <c r="O2852" s="2">
        <f ca="1"/>
        <v>1.4890368521086597</v>
      </c>
      <c r="X2852" s="2">
        <f ca="1"/>
        <v>51.410516500168498</v>
      </c>
      <c r="AG2852" s="2">
        <f ca="1"/>
        <v>5.9692478007480121E-2</v>
      </c>
      <c r="AH2852" s="2" t="str">
        <f ca="1"/>
        <v>OK</v>
      </c>
    </row>
    <row r="2853" spans="2:34" x14ac:dyDescent="0.2">
      <c r="B2853" s="2">
        <f ca="1"/>
        <v>0.17054121015167278</v>
      </c>
      <c r="O2853" s="2">
        <f ca="1"/>
        <v>-1.0144896677780901</v>
      </c>
      <c r="X2853" s="2">
        <f ca="1"/>
        <v>66.909488727498527</v>
      </c>
      <c r="AG2853" s="2">
        <f ca="1"/>
        <v>0.75345965894329048</v>
      </c>
      <c r="AH2853" s="2" t="str">
        <f ca="1"/>
        <v>Bad</v>
      </c>
    </row>
    <row r="2854" spans="2:34" x14ac:dyDescent="0.2">
      <c r="B2854" s="2">
        <f ca="1"/>
        <v>0.6702508173313142</v>
      </c>
      <c r="O2854" s="2">
        <f ca="1"/>
        <v>0.3638634696572024</v>
      </c>
      <c r="X2854" s="2">
        <f ca="1"/>
        <v>67.422661815588157</v>
      </c>
      <c r="AG2854" s="2">
        <f ca="1"/>
        <v>0.15503101220256443</v>
      </c>
      <c r="AH2854" s="2" t="str">
        <f ca="1"/>
        <v>OK</v>
      </c>
    </row>
    <row r="2855" spans="2:34" x14ac:dyDescent="0.2">
      <c r="B2855" s="2">
        <f ca="1"/>
        <v>0.65756756514842474</v>
      </c>
      <c r="O2855" s="2">
        <f ca="1"/>
        <v>1.9215444568985909E-2</v>
      </c>
      <c r="X2855" s="2">
        <f ca="1"/>
        <v>29.45745146504661</v>
      </c>
      <c r="AG2855" s="2">
        <f ca="1"/>
        <v>0.12060903151255076</v>
      </c>
      <c r="AH2855" s="2" t="str">
        <f ca="1"/>
        <v>OK</v>
      </c>
    </row>
    <row r="2856" spans="2:34" x14ac:dyDescent="0.2">
      <c r="B2856" s="2">
        <f ca="1"/>
        <v>0.22342566343550208</v>
      </c>
      <c r="O2856" s="2">
        <f ca="1"/>
        <v>-0.87554390830874851</v>
      </c>
      <c r="X2856" s="2">
        <f ca="1"/>
        <v>52.245087219133104</v>
      </c>
      <c r="AG2856" s="2">
        <f ca="1"/>
        <v>0.37352456718516547</v>
      </c>
      <c r="AH2856" s="2" t="str">
        <f ca="1"/>
        <v>OK</v>
      </c>
    </row>
    <row r="2857" spans="2:34" x14ac:dyDescent="0.2">
      <c r="B2857" s="2">
        <f ca="1"/>
        <v>0.31081670487521262</v>
      </c>
      <c r="O2857" s="2">
        <f ca="1"/>
        <v>0.33703090667856639</v>
      </c>
      <c r="X2857" s="2">
        <f ca="1"/>
        <v>39.943902734945361</v>
      </c>
      <c r="AG2857" s="2">
        <f ca="1"/>
        <v>8.9705874504512506E-2</v>
      </c>
      <c r="AH2857" s="2" t="str">
        <f ca="1"/>
        <v>OK</v>
      </c>
    </row>
    <row r="2858" spans="2:34" x14ac:dyDescent="0.2">
      <c r="B2858" s="2">
        <f ca="1"/>
        <v>0.67793811381722957</v>
      </c>
      <c r="O2858" s="2">
        <f ca="1"/>
        <v>1.3100154145792466</v>
      </c>
      <c r="X2858" s="2">
        <f ca="1"/>
        <v>37.238341429864128</v>
      </c>
      <c r="AG2858" s="2">
        <f ca="1"/>
        <v>0.61633012137461174</v>
      </c>
      <c r="AH2858" s="2" t="str">
        <f ca="1"/>
        <v>Bad</v>
      </c>
    </row>
    <row r="2859" spans="2:34" x14ac:dyDescent="0.2">
      <c r="B2859" s="2">
        <f ca="1"/>
        <v>7.7381790017994723E-2</v>
      </c>
      <c r="O2859" s="2">
        <f ca="1"/>
        <v>0.52365317747297857</v>
      </c>
      <c r="X2859" s="2">
        <f ca="1"/>
        <v>34.303790578616848</v>
      </c>
      <c r="AG2859" s="2">
        <f ca="1"/>
        <v>0.88347450921524295</v>
      </c>
      <c r="AH2859" s="2" t="str">
        <f ca="1"/>
        <v>Bad</v>
      </c>
    </row>
    <row r="2860" spans="2:34" x14ac:dyDescent="0.2">
      <c r="B2860" s="2">
        <f ca="1"/>
        <v>0.50098843470322518</v>
      </c>
      <c r="O2860" s="2">
        <f ca="1"/>
        <v>0.98764060467814119</v>
      </c>
      <c r="X2860" s="2">
        <f ca="1"/>
        <v>31.231166810132397</v>
      </c>
      <c r="AG2860" s="2">
        <f ca="1"/>
        <v>0.35026184496197366</v>
      </c>
      <c r="AH2860" s="2" t="str">
        <f ca="1"/>
        <v>OK</v>
      </c>
    </row>
    <row r="2861" spans="2:34" x14ac:dyDescent="0.2">
      <c r="B2861" s="2">
        <f ca="1"/>
        <v>0.88610433370168495</v>
      </c>
      <c r="O2861" s="2">
        <f ca="1"/>
        <v>-0.58016434601462441</v>
      </c>
      <c r="X2861" s="2">
        <f ca="1"/>
        <v>71.185668238447178</v>
      </c>
      <c r="AG2861" s="2">
        <f ca="1"/>
        <v>0.10099884170571838</v>
      </c>
      <c r="AH2861" s="2" t="str">
        <f ca="1"/>
        <v>OK</v>
      </c>
    </row>
    <row r="2862" spans="2:34" x14ac:dyDescent="0.2">
      <c r="B2862" s="2">
        <f ca="1"/>
        <v>0.73619034544797435</v>
      </c>
      <c r="O2862" s="2">
        <f ca="1"/>
        <v>-0.72053668077021149</v>
      </c>
      <c r="X2862" s="2">
        <f ca="1"/>
        <v>35.117097008859986</v>
      </c>
      <c r="AG2862" s="2">
        <f ca="1"/>
        <v>0.277357520292979</v>
      </c>
      <c r="AH2862" s="2" t="str">
        <f ca="1"/>
        <v>OK</v>
      </c>
    </row>
    <row r="2863" spans="2:34" x14ac:dyDescent="0.2">
      <c r="B2863" s="2">
        <f ca="1"/>
        <v>0.66350416992152828</v>
      </c>
      <c r="O2863" s="2">
        <f ca="1"/>
        <v>-0.56043956199300149</v>
      </c>
      <c r="X2863" s="2">
        <f ca="1"/>
        <v>35.151373705701033</v>
      </c>
      <c r="AG2863" s="2">
        <f ca="1"/>
        <v>0.62982199597399569</v>
      </c>
      <c r="AH2863" s="2" t="str">
        <f ca="1"/>
        <v>Bad</v>
      </c>
    </row>
    <row r="2864" spans="2:34" x14ac:dyDescent="0.2">
      <c r="B2864" s="2">
        <f ca="1"/>
        <v>0.85183253516532909</v>
      </c>
      <c r="O2864" s="2">
        <f ca="1"/>
        <v>0.79919483848082051</v>
      </c>
      <c r="X2864" s="2">
        <f ca="1"/>
        <v>25.998128772589631</v>
      </c>
      <c r="AG2864" s="2">
        <f ca="1"/>
        <v>0.48749698177755518</v>
      </c>
      <c r="AH2864" s="2" t="str">
        <f ca="1"/>
        <v>Bad</v>
      </c>
    </row>
    <row r="2865" spans="2:34" x14ac:dyDescent="0.2">
      <c r="B2865" s="2">
        <f ca="1"/>
        <v>0.23625140624776053</v>
      </c>
      <c r="O2865" s="2">
        <f ca="1"/>
        <v>-5.067067503373994E-2</v>
      </c>
      <c r="X2865" s="2">
        <f ca="1"/>
        <v>18.735186902716368</v>
      </c>
      <c r="AG2865" s="2">
        <f ca="1"/>
        <v>0.21740114980429737</v>
      </c>
      <c r="AH2865" s="2" t="str">
        <f ca="1"/>
        <v>OK</v>
      </c>
    </row>
    <row r="2866" spans="2:34" x14ac:dyDescent="0.2">
      <c r="B2866" s="2">
        <f ca="1"/>
        <v>0.38400482321539675</v>
      </c>
      <c r="O2866" s="2">
        <f ca="1"/>
        <v>-0.12596544676243629</v>
      </c>
      <c r="X2866" s="2">
        <f ca="1"/>
        <v>31.253883987815549</v>
      </c>
      <c r="AG2866" s="2">
        <f ca="1"/>
        <v>0.99304788651223008</v>
      </c>
      <c r="AH2866" s="2" t="str">
        <f ca="1"/>
        <v>Bad</v>
      </c>
    </row>
    <row r="2867" spans="2:34" x14ac:dyDescent="0.2">
      <c r="B2867" s="2">
        <f ca="1"/>
        <v>0.29101792677783855</v>
      </c>
      <c r="O2867" s="2">
        <f ca="1"/>
        <v>1.3429272145958679</v>
      </c>
      <c r="X2867" s="2">
        <f ca="1"/>
        <v>37.415251181924049</v>
      </c>
      <c r="AG2867" s="2">
        <f ca="1"/>
        <v>0.74990893436823347</v>
      </c>
      <c r="AH2867" s="2" t="str">
        <f ca="1"/>
        <v>Bad</v>
      </c>
    </row>
    <row r="2868" spans="2:34" x14ac:dyDescent="0.2">
      <c r="B2868" s="2">
        <f ca="1"/>
        <v>0.34011866499983889</v>
      </c>
      <c r="O2868" s="2">
        <f ca="1"/>
        <v>0.23144626756417966</v>
      </c>
      <c r="X2868" s="2">
        <f ca="1"/>
        <v>72.0211449191208</v>
      </c>
      <c r="AG2868" s="2">
        <f ca="1"/>
        <v>0.21438923363309836</v>
      </c>
      <c r="AH2868" s="2" t="str">
        <f ca="1"/>
        <v>OK</v>
      </c>
    </row>
    <row r="2869" spans="2:34" x14ac:dyDescent="0.2">
      <c r="B2869" s="2">
        <f ca="1"/>
        <v>0.26848770445870329</v>
      </c>
      <c r="O2869" s="2">
        <f ca="1"/>
        <v>-1.5549303526127423</v>
      </c>
      <c r="X2869" s="2">
        <f ca="1"/>
        <v>39.849899872911273</v>
      </c>
      <c r="AG2869" s="2">
        <f ca="1"/>
        <v>0.72735489871967496</v>
      </c>
      <c r="AH2869" s="2" t="str">
        <f ca="1"/>
        <v>Bad</v>
      </c>
    </row>
    <row r="2870" spans="2:34" x14ac:dyDescent="0.2">
      <c r="B2870" s="2">
        <f ca="1"/>
        <v>0.4951016583667438</v>
      </c>
      <c r="O2870" s="2">
        <f ca="1"/>
        <v>7.8850520657654591E-2</v>
      </c>
      <c r="X2870" s="2">
        <f ca="1"/>
        <v>37.711884957454586</v>
      </c>
      <c r="AG2870" s="2">
        <f ca="1"/>
        <v>0.80480911511552566</v>
      </c>
      <c r="AH2870" s="2" t="str">
        <f ca="1"/>
        <v>Bad</v>
      </c>
    </row>
    <row r="2871" spans="2:34" x14ac:dyDescent="0.2">
      <c r="B2871" s="2">
        <f ca="1"/>
        <v>0.17670478135760015</v>
      </c>
      <c r="O2871" s="2">
        <f ca="1"/>
        <v>-1.653801840967225</v>
      </c>
      <c r="X2871" s="2">
        <f ca="1"/>
        <v>27.264358717145853</v>
      </c>
      <c r="AG2871" s="2">
        <f ca="1"/>
        <v>0.87802316254654711</v>
      </c>
      <c r="AH2871" s="2" t="str">
        <f ca="1"/>
        <v>Bad</v>
      </c>
    </row>
    <row r="2872" spans="2:34" x14ac:dyDescent="0.2">
      <c r="B2872" s="2">
        <f ca="1"/>
        <v>0.92033204350244269</v>
      </c>
      <c r="O2872" s="2">
        <f ca="1"/>
        <v>1.8757587831190836</v>
      </c>
      <c r="X2872" s="2">
        <f ca="1"/>
        <v>65.734088652358309</v>
      </c>
      <c r="AG2872" s="2">
        <f ca="1"/>
        <v>0.45055127165479369</v>
      </c>
      <c r="AH2872" s="2" t="str">
        <f ca="1"/>
        <v>Bad</v>
      </c>
    </row>
    <row r="2873" spans="2:34" x14ac:dyDescent="0.2">
      <c r="B2873" s="2">
        <f ca="1"/>
        <v>0.23377599600577059</v>
      </c>
      <c r="O2873" s="2">
        <f ca="1"/>
        <v>0.13200321063725126</v>
      </c>
      <c r="X2873" s="2">
        <f ca="1"/>
        <v>46.680835551605078</v>
      </c>
      <c r="AG2873" s="2">
        <f ca="1"/>
        <v>0.42792023831509662</v>
      </c>
      <c r="AH2873" s="2" t="str">
        <f ca="1"/>
        <v>Bad</v>
      </c>
    </row>
    <row r="2874" spans="2:34" x14ac:dyDescent="0.2">
      <c r="B2874" s="2">
        <f ca="1"/>
        <v>0.95768236440320398</v>
      </c>
      <c r="O2874" s="2">
        <f ca="1"/>
        <v>-0.46498754497554751</v>
      </c>
      <c r="X2874" s="2">
        <f ca="1"/>
        <v>50.297183654294201</v>
      </c>
      <c r="AG2874" s="2">
        <f ca="1"/>
        <v>0.47901904162314124</v>
      </c>
      <c r="AH2874" s="2" t="str">
        <f ca="1"/>
        <v>Bad</v>
      </c>
    </row>
    <row r="2875" spans="2:34" x14ac:dyDescent="0.2">
      <c r="B2875" s="2">
        <f ca="1"/>
        <v>0.14508716203177774</v>
      </c>
      <c r="O2875" s="2">
        <f ca="1"/>
        <v>-1.189481773426827</v>
      </c>
      <c r="X2875" s="2">
        <f ca="1"/>
        <v>45.535261397696985</v>
      </c>
      <c r="AG2875" s="2">
        <f ca="1"/>
        <v>0.84770279435667062</v>
      </c>
      <c r="AH2875" s="2" t="str">
        <f ca="1"/>
        <v>Bad</v>
      </c>
    </row>
    <row r="2876" spans="2:34" x14ac:dyDescent="0.2">
      <c r="B2876" s="2">
        <f ca="1"/>
        <v>0.6021883959230161</v>
      </c>
      <c r="O2876" s="2">
        <f ca="1"/>
        <v>-1.2798127842464013</v>
      </c>
      <c r="X2876" s="2">
        <f ca="1"/>
        <v>48.500921685908729</v>
      </c>
      <c r="AG2876" s="2">
        <f ca="1"/>
        <v>0.31427847726821256</v>
      </c>
      <c r="AH2876" s="2" t="str">
        <f ca="1"/>
        <v>OK</v>
      </c>
    </row>
    <row r="2877" spans="2:34" x14ac:dyDescent="0.2">
      <c r="B2877" s="2">
        <f ca="1"/>
        <v>0.5512280599822259</v>
      </c>
      <c r="O2877" s="2">
        <f ca="1"/>
        <v>1.506392981791804</v>
      </c>
      <c r="X2877" s="2">
        <f ca="1"/>
        <v>20.139582100553184</v>
      </c>
      <c r="AG2877" s="2">
        <f ca="1"/>
        <v>1.35160762064086E-2</v>
      </c>
      <c r="AH2877" s="2" t="str">
        <f ca="1"/>
        <v>Good</v>
      </c>
    </row>
    <row r="2878" spans="2:34" x14ac:dyDescent="0.2">
      <c r="B2878" s="2">
        <f ca="1"/>
        <v>0.25914517991905606</v>
      </c>
      <c r="O2878" s="2">
        <f ca="1"/>
        <v>-0.86339161160406008</v>
      </c>
      <c r="X2878" s="2">
        <f ca="1"/>
        <v>29.749697629553996</v>
      </c>
      <c r="AG2878" s="2">
        <f ca="1"/>
        <v>0.94393617321481882</v>
      </c>
      <c r="AH2878" s="2" t="str">
        <f ca="1"/>
        <v>Bad</v>
      </c>
    </row>
    <row r="2879" spans="2:34" x14ac:dyDescent="0.2">
      <c r="B2879" s="2">
        <f ca="1"/>
        <v>0.10208164894305627</v>
      </c>
      <c r="O2879" s="2">
        <f ca="1"/>
        <v>1.8797160540501789</v>
      </c>
      <c r="X2879" s="2">
        <f ca="1"/>
        <v>34.694920749026466</v>
      </c>
      <c r="AG2879" s="2">
        <f ca="1"/>
        <v>0.50903701012805702</v>
      </c>
      <c r="AH2879" s="2" t="str">
        <f ca="1"/>
        <v>Bad</v>
      </c>
    </row>
    <row r="2880" spans="2:34" x14ac:dyDescent="0.2">
      <c r="B2880" s="2">
        <f ca="1"/>
        <v>0.67258341622480189</v>
      </c>
      <c r="O2880" s="2">
        <f ca="1"/>
        <v>-1.1161521428843664</v>
      </c>
      <c r="X2880" s="2">
        <f ca="1"/>
        <v>59.138492040497617</v>
      </c>
      <c r="AG2880" s="2">
        <f ca="1"/>
        <v>0.43323712203392617</v>
      </c>
      <c r="AH2880" s="2" t="str">
        <f ca="1"/>
        <v>Bad</v>
      </c>
    </row>
    <row r="2881" spans="2:34" x14ac:dyDescent="0.2">
      <c r="B2881" s="2">
        <f ca="1"/>
        <v>0.63215649812784269</v>
      </c>
      <c r="O2881" s="2">
        <f ca="1"/>
        <v>-9.5056341705383657E-2</v>
      </c>
      <c r="X2881" s="2">
        <f ca="1"/>
        <v>71.941299626532839</v>
      </c>
      <c r="AG2881" s="2">
        <f ca="1"/>
        <v>0.94714919905067929</v>
      </c>
      <c r="AH2881" s="2" t="str">
        <f ca="1"/>
        <v>Bad</v>
      </c>
    </row>
    <row r="2882" spans="2:34" x14ac:dyDescent="0.2">
      <c r="B2882" s="2">
        <f ca="1"/>
        <v>0.57991721542011643</v>
      </c>
      <c r="O2882" s="2">
        <f ca="1"/>
        <v>0.66712033360658574</v>
      </c>
      <c r="X2882" s="2">
        <f ca="1"/>
        <v>66.133903008397141</v>
      </c>
      <c r="AG2882" s="2">
        <f ca="1"/>
        <v>0.59014152132225584</v>
      </c>
      <c r="AH2882" s="2" t="str">
        <f ca="1"/>
        <v>Bad</v>
      </c>
    </row>
    <row r="2883" spans="2:34" x14ac:dyDescent="0.2">
      <c r="B2883" s="2">
        <f ca="1"/>
        <v>0.33516099526626442</v>
      </c>
      <c r="O2883" s="2">
        <f ca="1"/>
        <v>0.13278246925686574</v>
      </c>
      <c r="X2883" s="2">
        <f ca="1"/>
        <v>41.981364675596396</v>
      </c>
      <c r="AG2883" s="2">
        <f ca="1"/>
        <v>0.73874169807455714</v>
      </c>
      <c r="AH2883" s="2" t="str">
        <f ca="1"/>
        <v>Bad</v>
      </c>
    </row>
    <row r="2884" spans="2:34" x14ac:dyDescent="0.2">
      <c r="B2884" s="2">
        <f ca="1"/>
        <v>0.67214764660159765</v>
      </c>
      <c r="O2884" s="2">
        <f ca="1"/>
        <v>-0.85715204868373718</v>
      </c>
      <c r="X2884" s="2">
        <f ca="1"/>
        <v>47.417106024040265</v>
      </c>
      <c r="AG2884" s="2">
        <f ca="1"/>
        <v>0.46080090817796004</v>
      </c>
      <c r="AH2884" s="2" t="str">
        <f ca="1"/>
        <v>Bad</v>
      </c>
    </row>
    <row r="2885" spans="2:34" x14ac:dyDescent="0.2">
      <c r="B2885" s="2">
        <f ca="1"/>
        <v>0.2953480531265702</v>
      </c>
      <c r="O2885" s="2">
        <f ca="1"/>
        <v>1.1191939923808079</v>
      </c>
      <c r="X2885" s="2">
        <f ca="1"/>
        <v>39.415314221743721</v>
      </c>
      <c r="AG2885" s="2">
        <f ca="1"/>
        <v>0.72987455300655912</v>
      </c>
      <c r="AH2885" s="2" t="str">
        <f ca="1"/>
        <v>Bad</v>
      </c>
    </row>
    <row r="2886" spans="2:34" x14ac:dyDescent="0.2">
      <c r="B2886" s="2">
        <f ca="1"/>
        <v>0.55179800551012792</v>
      </c>
      <c r="O2886" s="2">
        <f ca="1"/>
        <v>-0.97220496208885676</v>
      </c>
      <c r="X2886" s="2">
        <f ca="1"/>
        <v>51.108873556672705</v>
      </c>
      <c r="AG2886" s="2">
        <f ca="1"/>
        <v>6.7832180846042922E-2</v>
      </c>
      <c r="AH2886" s="2" t="str">
        <f ca="1"/>
        <v>OK</v>
      </c>
    </row>
    <row r="2887" spans="2:34" x14ac:dyDescent="0.2">
      <c r="B2887" s="2">
        <f ca="1"/>
        <v>0.58233398747108489</v>
      </c>
      <c r="O2887" s="2">
        <f ca="1"/>
        <v>-0.12762302667422537</v>
      </c>
      <c r="X2887" s="2">
        <f ca="1"/>
        <v>53.648063236766106</v>
      </c>
      <c r="AG2887" s="2">
        <f ca="1"/>
        <v>0.14534850905979102</v>
      </c>
      <c r="AH2887" s="2" t="str">
        <f ca="1"/>
        <v>OK</v>
      </c>
    </row>
    <row r="2888" spans="2:34" x14ac:dyDescent="0.2">
      <c r="B2888" s="2">
        <f ca="1"/>
        <v>3.4991954846768536E-2</v>
      </c>
      <c r="O2888" s="2">
        <f ca="1"/>
        <v>-0.95342090765348608</v>
      </c>
      <c r="X2888" s="2">
        <f ca="1"/>
        <v>40.235690726035173</v>
      </c>
      <c r="AG2888" s="2">
        <f ca="1"/>
        <v>0.47056180124043356</v>
      </c>
      <c r="AH2888" s="2" t="str">
        <f ca="1"/>
        <v>Bad</v>
      </c>
    </row>
    <row r="2889" spans="2:34" x14ac:dyDescent="0.2">
      <c r="B2889" s="2">
        <f ca="1"/>
        <v>0.33415805954609956</v>
      </c>
      <c r="O2889" s="2">
        <f ca="1"/>
        <v>0.32845082776279533</v>
      </c>
      <c r="X2889" s="2">
        <f ca="1"/>
        <v>47.943735990636114</v>
      </c>
      <c r="AG2889" s="2">
        <f ca="1"/>
        <v>0.36634074270332539</v>
      </c>
      <c r="AH2889" s="2" t="str">
        <f ca="1"/>
        <v>OK</v>
      </c>
    </row>
    <row r="2890" spans="2:34" x14ac:dyDescent="0.2">
      <c r="B2890" s="2">
        <f ca="1"/>
        <v>0.64438950181828769</v>
      </c>
      <c r="O2890" s="2">
        <f ca="1"/>
        <v>1.4100990988064621</v>
      </c>
      <c r="X2890" s="2">
        <f ca="1"/>
        <v>45.299787372384216</v>
      </c>
      <c r="AG2890" s="2">
        <f ca="1"/>
        <v>0.98236080941435855</v>
      </c>
      <c r="AH2890" s="2" t="str">
        <f ca="1"/>
        <v>Bad</v>
      </c>
    </row>
    <row r="2891" spans="2:34" x14ac:dyDescent="0.2">
      <c r="B2891" s="2">
        <f ca="1"/>
        <v>0.53972843444290519</v>
      </c>
      <c r="O2891" s="2">
        <f ca="1"/>
        <v>-0.56910165526496548</v>
      </c>
      <c r="X2891" s="2">
        <f ca="1"/>
        <v>55.107319191842947</v>
      </c>
      <c r="AG2891" s="2">
        <f ca="1"/>
        <v>0.79735214955505707</v>
      </c>
      <c r="AH2891" s="2" t="str">
        <f ca="1"/>
        <v>Bad</v>
      </c>
    </row>
    <row r="2892" spans="2:34" x14ac:dyDescent="0.2">
      <c r="B2892" s="2">
        <f ca="1"/>
        <v>0.32976461123054657</v>
      </c>
      <c r="O2892" s="2">
        <f ca="1"/>
        <v>0.33472929259189993</v>
      </c>
      <c r="X2892" s="2">
        <f ca="1"/>
        <v>33.299330845613426</v>
      </c>
      <c r="AG2892" s="2">
        <f ca="1"/>
        <v>0.64760114269151092</v>
      </c>
      <c r="AH2892" s="2" t="str">
        <f ca="1"/>
        <v>Bad</v>
      </c>
    </row>
    <row r="2893" spans="2:34" x14ac:dyDescent="0.2">
      <c r="B2893" s="2">
        <f ca="1"/>
        <v>0.82821911443540208</v>
      </c>
      <c r="O2893" s="2">
        <f ca="1"/>
        <v>0.40044816704008734</v>
      </c>
      <c r="X2893" s="2">
        <f ca="1"/>
        <v>65.990295450842055</v>
      </c>
      <c r="AG2893" s="2">
        <f ca="1"/>
        <v>0.68972768599763845</v>
      </c>
      <c r="AH2893" s="2" t="str">
        <f ca="1"/>
        <v>Bad</v>
      </c>
    </row>
    <row r="2894" spans="2:34" x14ac:dyDescent="0.2">
      <c r="B2894" s="2">
        <f ca="1"/>
        <v>0.27485895045358544</v>
      </c>
      <c r="O2894" s="2">
        <f ca="1"/>
        <v>1.3048427520090327</v>
      </c>
      <c r="X2894" s="2">
        <f ca="1"/>
        <v>93.645391297036284</v>
      </c>
      <c r="AG2894" s="2">
        <f ca="1"/>
        <v>0.56486262431436329</v>
      </c>
      <c r="AH2894" s="2" t="str">
        <f ca="1"/>
        <v>Bad</v>
      </c>
    </row>
    <row r="2895" spans="2:34" x14ac:dyDescent="0.2">
      <c r="B2895" s="2">
        <f ca="1"/>
        <v>0.3033758580340209</v>
      </c>
      <c r="O2895" s="2">
        <f ca="1"/>
        <v>0.45812521189643152</v>
      </c>
      <c r="X2895" s="2">
        <f ca="1"/>
        <v>51.076589339487754</v>
      </c>
      <c r="AG2895" s="2">
        <f ca="1"/>
        <v>0.52731927550288527</v>
      </c>
      <c r="AH2895" s="2" t="str">
        <f ca="1"/>
        <v>Bad</v>
      </c>
    </row>
    <row r="2896" spans="2:34" x14ac:dyDescent="0.2">
      <c r="B2896" s="2">
        <f ca="1"/>
        <v>0.98964433280417841</v>
      </c>
      <c r="O2896" s="2">
        <f ca="1"/>
        <v>1.4743125633943912</v>
      </c>
      <c r="X2896" s="2">
        <f ca="1"/>
        <v>45.394421992075145</v>
      </c>
      <c r="AG2896" s="2">
        <f ca="1"/>
        <v>0.74153498913308025</v>
      </c>
      <c r="AH2896" s="2" t="str">
        <f ca="1"/>
        <v>Bad</v>
      </c>
    </row>
    <row r="2897" spans="2:34" x14ac:dyDescent="0.2">
      <c r="B2897" s="2">
        <f ca="1"/>
        <v>0.35398597954926436</v>
      </c>
      <c r="O2897" s="2">
        <f ca="1"/>
        <v>-0.31550929646186926</v>
      </c>
      <c r="X2897" s="2">
        <f ca="1"/>
        <v>37.138524178062454</v>
      </c>
      <c r="AG2897" s="2">
        <f ca="1"/>
        <v>0.79080803682495526</v>
      </c>
      <c r="AH2897" s="2" t="str">
        <f ca="1"/>
        <v>Bad</v>
      </c>
    </row>
    <row r="2898" spans="2:34" x14ac:dyDescent="0.2">
      <c r="B2898" s="2">
        <f ca="1"/>
        <v>0.27131032981692926</v>
      </c>
      <c r="O2898" s="2">
        <f ca="1"/>
        <v>0.21365239883254514</v>
      </c>
      <c r="X2898" s="2">
        <f ca="1"/>
        <v>29.590093108695417</v>
      </c>
      <c r="AG2898" s="2">
        <f ca="1"/>
        <v>0.19164958503782326</v>
      </c>
      <c r="AH2898" s="2" t="str">
        <f ca="1"/>
        <v>OK</v>
      </c>
    </row>
    <row r="2899" spans="2:34" x14ac:dyDescent="0.2">
      <c r="B2899" s="2">
        <f ca="1"/>
        <v>0.2742798593985174</v>
      </c>
      <c r="O2899" s="2">
        <f ca="1"/>
        <v>-1.828539913803358</v>
      </c>
      <c r="X2899" s="2">
        <f ca="1"/>
        <v>45.639735060527535</v>
      </c>
      <c r="AG2899" s="2">
        <f ca="1"/>
        <v>0.72528044627874699</v>
      </c>
      <c r="AH2899" s="2" t="str">
        <f ca="1"/>
        <v>Bad</v>
      </c>
    </row>
    <row r="2900" spans="2:34" x14ac:dyDescent="0.2">
      <c r="B2900" s="2">
        <f ca="1"/>
        <v>0.55289717297781293</v>
      </c>
      <c r="O2900" s="2">
        <f ca="1"/>
        <v>0.99866714449779515</v>
      </c>
      <c r="X2900" s="2">
        <f ca="1"/>
        <v>32.984404141302363</v>
      </c>
      <c r="AG2900" s="2">
        <f ca="1"/>
        <v>6.9750125919871175E-2</v>
      </c>
      <c r="AH2900" s="2" t="str">
        <f ca="1"/>
        <v>OK</v>
      </c>
    </row>
    <row r="2901" spans="2:34" x14ac:dyDescent="0.2">
      <c r="B2901" s="2">
        <f ca="1"/>
        <v>0.86282153102731041</v>
      </c>
      <c r="O2901" s="2">
        <f ca="1"/>
        <v>2.8257539704637725E-2</v>
      </c>
      <c r="X2901" s="2">
        <f ca="1"/>
        <v>22.290922180232229</v>
      </c>
      <c r="AG2901" s="2">
        <f ca="1"/>
        <v>0.81126772361681354</v>
      </c>
      <c r="AH2901" s="2" t="str">
        <f ca="1"/>
        <v>Bad</v>
      </c>
    </row>
    <row r="2902" spans="2:34" x14ac:dyDescent="0.2">
      <c r="B2902" s="2">
        <f ca="1"/>
        <v>0.71805084833311739</v>
      </c>
      <c r="O2902" s="2">
        <f ca="1"/>
        <v>2.4126080314505556</v>
      </c>
      <c r="X2902" s="2">
        <f ca="1"/>
        <v>56.311041249290234</v>
      </c>
      <c r="AG2902" s="2">
        <f ca="1"/>
        <v>0.46213375187865879</v>
      </c>
      <c r="AH2902" s="2" t="str">
        <f ca="1"/>
        <v>Bad</v>
      </c>
    </row>
    <row r="2903" spans="2:34" x14ac:dyDescent="0.2">
      <c r="B2903" s="2">
        <f ca="1"/>
        <v>0.15053264757111262</v>
      </c>
      <c r="O2903" s="2">
        <f ca="1"/>
        <v>1.9494880483997494</v>
      </c>
      <c r="X2903" s="2">
        <f ca="1"/>
        <v>95.780403486190849</v>
      </c>
      <c r="AG2903" s="2">
        <f ca="1"/>
        <v>0.12184927713288296</v>
      </c>
      <c r="AH2903" s="2" t="str">
        <f ca="1"/>
        <v>OK</v>
      </c>
    </row>
    <row r="2904" spans="2:34" x14ac:dyDescent="0.2">
      <c r="B2904" s="2">
        <f ca="1"/>
        <v>0.2294170604467165</v>
      </c>
      <c r="O2904" s="2">
        <f ca="1"/>
        <v>-0.37351964598449888</v>
      </c>
      <c r="X2904" s="2">
        <f ca="1"/>
        <v>36.153025921467254</v>
      </c>
      <c r="AG2904" s="2">
        <f ca="1"/>
        <v>6.7407616340659171E-2</v>
      </c>
      <c r="AH2904" s="2" t="str">
        <f ca="1"/>
        <v>OK</v>
      </c>
    </row>
    <row r="2905" spans="2:34" x14ac:dyDescent="0.2">
      <c r="B2905" s="2">
        <f ca="1"/>
        <v>0.66202593673314292</v>
      </c>
      <c r="O2905" s="2">
        <f ca="1"/>
        <v>-3.1365022248866482E-2</v>
      </c>
      <c r="X2905" s="2">
        <f ca="1"/>
        <v>51.473656715226561</v>
      </c>
      <c r="AG2905" s="2">
        <f ca="1"/>
        <v>0.403284760039194</v>
      </c>
      <c r="AH2905" s="2" t="str">
        <f ca="1"/>
        <v>Bad</v>
      </c>
    </row>
    <row r="2906" spans="2:34" x14ac:dyDescent="0.2">
      <c r="B2906" s="2">
        <f ca="1"/>
        <v>0.93177018709983139</v>
      </c>
      <c r="O2906" s="2">
        <f ca="1"/>
        <v>1.1641602644023572</v>
      </c>
      <c r="X2906" s="2">
        <f ca="1"/>
        <v>65.08220447343885</v>
      </c>
      <c r="AG2906" s="2">
        <f ca="1"/>
        <v>0.59275278910064233</v>
      </c>
      <c r="AH2906" s="2" t="str">
        <f ca="1"/>
        <v>Bad</v>
      </c>
    </row>
    <row r="2907" spans="2:34" x14ac:dyDescent="0.2">
      <c r="B2907" s="2">
        <f ca="1"/>
        <v>0.74014085337839086</v>
      </c>
      <c r="O2907" s="2">
        <f ca="1"/>
        <v>1.3177146846139007</v>
      </c>
      <c r="X2907" s="2">
        <f ca="1"/>
        <v>53.853070248710182</v>
      </c>
      <c r="AG2907" s="2">
        <f ca="1"/>
        <v>3.1261624475352079E-2</v>
      </c>
      <c r="AH2907" s="2" t="str">
        <f ca="1"/>
        <v>Good</v>
      </c>
    </row>
    <row r="2908" spans="2:34" x14ac:dyDescent="0.2">
      <c r="B2908" s="2">
        <f ca="1"/>
        <v>0.67753575378721553</v>
      </c>
      <c r="O2908" s="2">
        <f ca="1"/>
        <v>-0.3300994188557847</v>
      </c>
      <c r="X2908" s="2">
        <f ca="1"/>
        <v>26.885419840809458</v>
      </c>
      <c r="AG2908" s="2">
        <f ca="1"/>
        <v>0.54493467304991849</v>
      </c>
      <c r="AH2908" s="2" t="str">
        <f ca="1"/>
        <v>Bad</v>
      </c>
    </row>
    <row r="2909" spans="2:34" x14ac:dyDescent="0.2">
      <c r="B2909" s="2">
        <f ca="1"/>
        <v>0.43341134296544781</v>
      </c>
      <c r="O2909" s="2">
        <f ca="1"/>
        <v>2.9686908707716841</v>
      </c>
      <c r="X2909" s="2">
        <f ca="1"/>
        <v>39.346641137769865</v>
      </c>
      <c r="AG2909" s="2">
        <f ca="1"/>
        <v>5.4677714042685954E-2</v>
      </c>
      <c r="AH2909" s="2" t="str">
        <f ca="1"/>
        <v>OK</v>
      </c>
    </row>
    <row r="2910" spans="2:34" x14ac:dyDescent="0.2">
      <c r="B2910" s="2">
        <f ca="1"/>
        <v>0.79007683180215227</v>
      </c>
      <c r="O2910" s="2">
        <f ca="1"/>
        <v>2.0621983291582624</v>
      </c>
      <c r="X2910" s="2">
        <f ca="1"/>
        <v>51.838280047040456</v>
      </c>
      <c r="AG2910" s="2">
        <f ca="1"/>
        <v>0.13512477612025542</v>
      </c>
      <c r="AH2910" s="2" t="str">
        <f ca="1"/>
        <v>OK</v>
      </c>
    </row>
    <row r="2911" spans="2:34" x14ac:dyDescent="0.2">
      <c r="B2911" s="2">
        <f ca="1"/>
        <v>0.89877808845692164</v>
      </c>
      <c r="O2911" s="2">
        <f ca="1"/>
        <v>-0.34690687142630228</v>
      </c>
      <c r="X2911" s="2">
        <f ca="1"/>
        <v>46.642040512603103</v>
      </c>
      <c r="AG2911" s="2">
        <f ca="1"/>
        <v>0.79935555223764743</v>
      </c>
      <c r="AH2911" s="2" t="str">
        <f ca="1"/>
        <v>Bad</v>
      </c>
    </row>
    <row r="2912" spans="2:34" x14ac:dyDescent="0.2">
      <c r="B2912" s="2">
        <f ca="1"/>
        <v>0.99879099419327422</v>
      </c>
      <c r="O2912" s="2">
        <f ca="1"/>
        <v>-1.9667016546811711</v>
      </c>
      <c r="X2912" s="2">
        <f ca="1"/>
        <v>58.344860204975987</v>
      </c>
      <c r="AG2912" s="2">
        <f ca="1"/>
        <v>0.13974242659825364</v>
      </c>
      <c r="AH2912" s="2" t="str">
        <f ca="1"/>
        <v>OK</v>
      </c>
    </row>
    <row r="2913" spans="2:34" x14ac:dyDescent="0.2">
      <c r="B2913" s="2">
        <f ca="1"/>
        <v>0.97700966646930509</v>
      </c>
      <c r="O2913" s="2">
        <f ca="1"/>
        <v>-0.88475781713866619</v>
      </c>
      <c r="X2913" s="2">
        <f ca="1"/>
        <v>49.357834492899798</v>
      </c>
      <c r="AG2913" s="2">
        <f ca="1"/>
        <v>0.263141435347648</v>
      </c>
      <c r="AH2913" s="2" t="str">
        <f ca="1"/>
        <v>OK</v>
      </c>
    </row>
    <row r="2914" spans="2:34" x14ac:dyDescent="0.2">
      <c r="B2914" s="2">
        <f ca="1"/>
        <v>0.38366225149807232</v>
      </c>
      <c r="O2914" s="2">
        <f ca="1"/>
        <v>-1.3627853568823141</v>
      </c>
      <c r="X2914" s="2">
        <f ca="1"/>
        <v>50.57020042095921</v>
      </c>
      <c r="AG2914" s="2">
        <f ca="1"/>
        <v>0.14146237600834621</v>
      </c>
      <c r="AH2914" s="2" t="str">
        <f ca="1"/>
        <v>OK</v>
      </c>
    </row>
    <row r="2915" spans="2:34" x14ac:dyDescent="0.2">
      <c r="B2915" s="2">
        <f ca="1"/>
        <v>0.98009913670856452</v>
      </c>
      <c r="O2915" s="2">
        <f ca="1"/>
        <v>-0.71746696940458621</v>
      </c>
      <c r="X2915" s="2">
        <f ca="1"/>
        <v>41.32007234432681</v>
      </c>
      <c r="AG2915" s="2">
        <f ca="1"/>
        <v>0.91246255232578077</v>
      </c>
      <c r="AH2915" s="2" t="str">
        <f ca="1"/>
        <v>Bad</v>
      </c>
    </row>
    <row r="2916" spans="2:34" x14ac:dyDescent="0.2">
      <c r="B2916" s="2">
        <f ca="1"/>
        <v>0.55417886914469539</v>
      </c>
      <c r="O2916" s="2">
        <f ca="1"/>
        <v>-0.6948259802733735</v>
      </c>
      <c r="X2916" s="2">
        <f ca="1"/>
        <v>33.152909665047254</v>
      </c>
      <c r="AG2916" s="2">
        <f ca="1"/>
        <v>0.77089950642367078</v>
      </c>
      <c r="AH2916" s="2" t="str">
        <f ca="1"/>
        <v>Bad</v>
      </c>
    </row>
    <row r="2917" spans="2:34" x14ac:dyDescent="0.2">
      <c r="B2917" s="2">
        <f ca="1"/>
        <v>0.64535578602650934</v>
      </c>
      <c r="O2917" s="2">
        <f ca="1"/>
        <v>1.3035357438641306</v>
      </c>
      <c r="X2917" s="2">
        <f ca="1"/>
        <v>58.974546524231563</v>
      </c>
      <c r="AG2917" s="2">
        <f ca="1"/>
        <v>0.42199461840396801</v>
      </c>
      <c r="AH2917" s="2" t="str">
        <f ca="1"/>
        <v>Bad</v>
      </c>
    </row>
    <row r="2918" spans="2:34" x14ac:dyDescent="0.2">
      <c r="B2918" s="2">
        <f ca="1"/>
        <v>0.75600436092459966</v>
      </c>
      <c r="O2918" s="2">
        <f ca="1"/>
        <v>9.5073089039540172E-4</v>
      </c>
      <c r="X2918" s="2">
        <f ca="1"/>
        <v>67.060216238228065</v>
      </c>
      <c r="AG2918" s="2">
        <f ca="1"/>
        <v>0.30078236260479141</v>
      </c>
      <c r="AH2918" s="2" t="str">
        <f ca="1"/>
        <v>OK</v>
      </c>
    </row>
    <row r="2919" spans="2:34" x14ac:dyDescent="0.2">
      <c r="B2919" s="2">
        <f ca="1"/>
        <v>0.55380623668667806</v>
      </c>
      <c r="O2919" s="2">
        <f ca="1"/>
        <v>0.48600267000977071</v>
      </c>
      <c r="X2919" s="2">
        <f ca="1"/>
        <v>51.527048849923951</v>
      </c>
      <c r="AG2919" s="2">
        <f ca="1"/>
        <v>0.71133695872135916</v>
      </c>
      <c r="AH2919" s="2" t="str">
        <f ca="1"/>
        <v>Bad</v>
      </c>
    </row>
    <row r="2920" spans="2:34" x14ac:dyDescent="0.2">
      <c r="B2920" s="2">
        <f ca="1"/>
        <v>0.40869081272732988</v>
      </c>
      <c r="O2920" s="2">
        <f ca="1"/>
        <v>-0.2645459007153439</v>
      </c>
      <c r="X2920" s="2">
        <f ca="1"/>
        <v>79.745932202168675</v>
      </c>
      <c r="AG2920" s="2">
        <f ca="1"/>
        <v>0.35553687937529332</v>
      </c>
      <c r="AH2920" s="2" t="str">
        <f ca="1"/>
        <v>OK</v>
      </c>
    </row>
    <row r="2921" spans="2:34" x14ac:dyDescent="0.2">
      <c r="B2921" s="2">
        <f ca="1"/>
        <v>3.5831776986542607E-2</v>
      </c>
      <c r="O2921" s="2">
        <f ca="1"/>
        <v>-0.63238921165606188</v>
      </c>
      <c r="X2921" s="2">
        <f ca="1"/>
        <v>68.208599370494852</v>
      </c>
      <c r="AG2921" s="2">
        <f ca="1"/>
        <v>0.96998744956312755</v>
      </c>
      <c r="AH2921" s="2" t="str">
        <f ca="1"/>
        <v>Bad</v>
      </c>
    </row>
    <row r="2922" spans="2:34" x14ac:dyDescent="0.2">
      <c r="B2922" s="2">
        <f ca="1"/>
        <v>0.69215189072875494</v>
      </c>
      <c r="O2922" s="2">
        <f ca="1"/>
        <v>-1.1125712281022264</v>
      </c>
      <c r="X2922" s="2">
        <f ca="1"/>
        <v>41.118927085735677</v>
      </c>
      <c r="AG2922" s="2">
        <f ca="1"/>
        <v>0.26493839466440727</v>
      </c>
      <c r="AH2922" s="2" t="str">
        <f ca="1"/>
        <v>OK</v>
      </c>
    </row>
    <row r="2923" spans="2:34" x14ac:dyDescent="0.2">
      <c r="B2923" s="2">
        <f ca="1"/>
        <v>0.90413937037721848</v>
      </c>
      <c r="O2923" s="2">
        <f ca="1"/>
        <v>0.35566402214162157</v>
      </c>
      <c r="X2923" s="2">
        <f ca="1"/>
        <v>72.036336436588385</v>
      </c>
      <c r="AG2923" s="2">
        <f ca="1"/>
        <v>9.0975830443049688E-2</v>
      </c>
      <c r="AH2923" s="2" t="str">
        <f ca="1"/>
        <v>OK</v>
      </c>
    </row>
    <row r="2924" spans="2:34" x14ac:dyDescent="0.2">
      <c r="B2924" s="2">
        <f ca="1"/>
        <v>2.7962543420811947E-3</v>
      </c>
      <c r="O2924" s="2">
        <f ca="1"/>
        <v>0.58388593595092531</v>
      </c>
      <c r="X2924" s="2">
        <f ca="1"/>
        <v>46.38034941639512</v>
      </c>
      <c r="AG2924" s="2">
        <f ca="1"/>
        <v>0.34860060244112856</v>
      </c>
      <c r="AH2924" s="2" t="str">
        <f ca="1"/>
        <v>OK</v>
      </c>
    </row>
    <row r="2925" spans="2:34" x14ac:dyDescent="0.2">
      <c r="B2925" s="2">
        <f ca="1"/>
        <v>0.55598123422013201</v>
      </c>
      <c r="O2925" s="2">
        <f ca="1"/>
        <v>1.0473029461681458</v>
      </c>
      <c r="X2925" s="2">
        <f ca="1"/>
        <v>25.820221279854813</v>
      </c>
      <c r="AG2925" s="2">
        <f ca="1"/>
        <v>0.7209803740517613</v>
      </c>
      <c r="AH2925" s="2" t="str">
        <f ca="1"/>
        <v>Bad</v>
      </c>
    </row>
    <row r="2926" spans="2:34" x14ac:dyDescent="0.2">
      <c r="B2926" s="2">
        <f ca="1"/>
        <v>0.35126803201056966</v>
      </c>
      <c r="O2926" s="2">
        <f ca="1"/>
        <v>0.15070377374849431</v>
      </c>
      <c r="X2926" s="2">
        <f ca="1"/>
        <v>54.268750692348398</v>
      </c>
      <c r="AG2926" s="2">
        <f ca="1"/>
        <v>0.49602299750646783</v>
      </c>
      <c r="AH2926" s="2" t="str">
        <f ca="1"/>
        <v>Bad</v>
      </c>
    </row>
    <row r="2927" spans="2:34" x14ac:dyDescent="0.2">
      <c r="B2927" s="2">
        <f ca="1"/>
        <v>0.27624873150795137</v>
      </c>
      <c r="O2927" s="2">
        <f ca="1"/>
        <v>0.36573948626980268</v>
      </c>
      <c r="X2927" s="2">
        <f ca="1"/>
        <v>70.480273152559235</v>
      </c>
      <c r="AG2927" s="2">
        <f ca="1"/>
        <v>0.28624092572796078</v>
      </c>
      <c r="AH2927" s="2" t="str">
        <f ca="1"/>
        <v>OK</v>
      </c>
    </row>
    <row r="2928" spans="2:34" x14ac:dyDescent="0.2">
      <c r="B2928" s="2">
        <f ca="1"/>
        <v>0.44379295188889234</v>
      </c>
      <c r="O2928" s="2">
        <f ca="1"/>
        <v>-0.5249287623758222</v>
      </c>
      <c r="X2928" s="2">
        <f ca="1"/>
        <v>67.102201495743316</v>
      </c>
      <c r="AG2928" s="2">
        <f ca="1"/>
        <v>0.88997972296128935</v>
      </c>
      <c r="AH2928" s="2" t="str">
        <f ca="1"/>
        <v>Bad</v>
      </c>
    </row>
    <row r="2929" spans="2:34" x14ac:dyDescent="0.2">
      <c r="B2929" s="2">
        <f ca="1"/>
        <v>0.3032455867007291</v>
      </c>
      <c r="O2929" s="2">
        <f ca="1"/>
        <v>0.70876774235804374</v>
      </c>
      <c r="X2929" s="2">
        <f ca="1"/>
        <v>30.845921540770895</v>
      </c>
      <c r="AG2929" s="2">
        <f ca="1"/>
        <v>0.33526044990163717</v>
      </c>
      <c r="AH2929" s="2" t="str">
        <f ca="1"/>
        <v>OK</v>
      </c>
    </row>
    <row r="2930" spans="2:34" x14ac:dyDescent="0.2">
      <c r="B2930" s="2">
        <f ca="1"/>
        <v>0.67541328391444644</v>
      </c>
      <c r="O2930" s="2">
        <f ca="1"/>
        <v>0.21876859300152374</v>
      </c>
      <c r="X2930" s="2">
        <f ca="1"/>
        <v>28.987996713431027</v>
      </c>
      <c r="AG2930" s="2">
        <f ca="1"/>
        <v>3.3604301889896382E-2</v>
      </c>
      <c r="AH2930" s="2" t="str">
        <f ca="1"/>
        <v>Good</v>
      </c>
    </row>
    <row r="2931" spans="2:34" x14ac:dyDescent="0.2">
      <c r="B2931" s="2">
        <f ca="1"/>
        <v>0.97016932674989564</v>
      </c>
      <c r="O2931" s="2">
        <f ca="1"/>
        <v>-1.2654499436694524</v>
      </c>
      <c r="X2931" s="2">
        <f ca="1"/>
        <v>45.271673841224718</v>
      </c>
      <c r="AG2931" s="2">
        <f ca="1"/>
        <v>6.7538840275535472E-2</v>
      </c>
      <c r="AH2931" s="2" t="str">
        <f ca="1"/>
        <v>OK</v>
      </c>
    </row>
    <row r="2932" spans="2:34" x14ac:dyDescent="0.2">
      <c r="B2932" s="2">
        <f ca="1"/>
        <v>0.88692399285319867</v>
      </c>
      <c r="O2932" s="2">
        <f ca="1"/>
        <v>-1.0180284123593517</v>
      </c>
      <c r="X2932" s="2">
        <f ca="1"/>
        <v>43.010062727436335</v>
      </c>
      <c r="AG2932" s="2">
        <f ca="1"/>
        <v>0.39020101296563525</v>
      </c>
      <c r="AH2932" s="2" t="str">
        <f ca="1"/>
        <v>OK</v>
      </c>
    </row>
    <row r="2933" spans="2:34" x14ac:dyDescent="0.2">
      <c r="B2933" s="2">
        <f ca="1"/>
        <v>0.72945913699479892</v>
      </c>
      <c r="O2933" s="2">
        <f ca="1"/>
        <v>1.5647657781039863</v>
      </c>
      <c r="X2933" s="2">
        <f ca="1"/>
        <v>62.095823596136356</v>
      </c>
      <c r="AG2933" s="2">
        <f ca="1"/>
        <v>0.40362154849677867</v>
      </c>
      <c r="AH2933" s="2" t="str">
        <f ca="1"/>
        <v>Bad</v>
      </c>
    </row>
    <row r="2934" spans="2:34" x14ac:dyDescent="0.2">
      <c r="B2934" s="2">
        <f ca="1"/>
        <v>0.45567075892408448</v>
      </c>
      <c r="O2934" s="2">
        <f ca="1"/>
        <v>-0.80032634813643833</v>
      </c>
      <c r="X2934" s="2">
        <f ca="1"/>
        <v>57.420523439031051</v>
      </c>
      <c r="AG2934" s="2">
        <f ca="1"/>
        <v>1.94322738971624E-2</v>
      </c>
      <c r="AH2934" s="2" t="str">
        <f ca="1"/>
        <v>Good</v>
      </c>
    </row>
    <row r="2935" spans="2:34" x14ac:dyDescent="0.2">
      <c r="B2935" s="2">
        <f ca="1"/>
        <v>0.21473348465589637</v>
      </c>
      <c r="O2935" s="2">
        <f ca="1"/>
        <v>1.0459881152996025</v>
      </c>
      <c r="X2935" s="2">
        <f ca="1"/>
        <v>68.373453876927584</v>
      </c>
      <c r="AG2935" s="2">
        <f ca="1"/>
        <v>0.72621733896252194</v>
      </c>
      <c r="AH2935" s="2" t="str">
        <f ca="1"/>
        <v>Bad</v>
      </c>
    </row>
    <row r="2936" spans="2:34" x14ac:dyDescent="0.2">
      <c r="B2936" s="2">
        <f ca="1"/>
        <v>0.31775351522294271</v>
      </c>
      <c r="O2936" s="2">
        <f ca="1"/>
        <v>-0.74662481200643283</v>
      </c>
      <c r="X2936" s="2">
        <f ca="1"/>
        <v>18.697181682056364</v>
      </c>
      <c r="AG2936" s="2">
        <f ca="1"/>
        <v>0.81014660122867999</v>
      </c>
      <c r="AH2936" s="2" t="str">
        <f ca="1"/>
        <v>Bad</v>
      </c>
    </row>
    <row r="2937" spans="2:34" x14ac:dyDescent="0.2">
      <c r="B2937" s="2">
        <f ca="1"/>
        <v>0.65422672695995399</v>
      </c>
      <c r="O2937" s="2">
        <f ca="1"/>
        <v>-1.8836386529188605</v>
      </c>
      <c r="X2937" s="2">
        <f ca="1"/>
        <v>54.921013941134937</v>
      </c>
      <c r="AG2937" s="2">
        <f ca="1"/>
        <v>0.82211706668832241</v>
      </c>
      <c r="AH2937" s="2" t="str">
        <f ca="1"/>
        <v>Bad</v>
      </c>
    </row>
    <row r="2938" spans="2:34" x14ac:dyDescent="0.2">
      <c r="B2938" s="2">
        <f ca="1"/>
        <v>3.9444807880085753E-2</v>
      </c>
      <c r="O2938" s="2">
        <f ca="1"/>
        <v>-1.2499418146783181</v>
      </c>
      <c r="X2938" s="2">
        <f ca="1"/>
        <v>39.31830898808763</v>
      </c>
      <c r="AG2938" s="2">
        <f ca="1"/>
        <v>0.84671289654284565</v>
      </c>
      <c r="AH2938" s="2" t="str">
        <f ca="1"/>
        <v>Bad</v>
      </c>
    </row>
    <row r="2939" spans="2:34" x14ac:dyDescent="0.2">
      <c r="B2939" s="2">
        <f ca="1"/>
        <v>0.97842170091386382</v>
      </c>
      <c r="O2939" s="2">
        <f ca="1"/>
        <v>-0.6001390019374756</v>
      </c>
      <c r="X2939" s="2">
        <f ca="1"/>
        <v>63.230404174082786</v>
      </c>
      <c r="AG2939" s="2">
        <f ca="1"/>
        <v>0.12649398105156817</v>
      </c>
      <c r="AH2939" s="2" t="str">
        <f ca="1"/>
        <v>OK</v>
      </c>
    </row>
    <row r="2940" spans="2:34" x14ac:dyDescent="0.2">
      <c r="B2940" s="2">
        <f ca="1"/>
        <v>0.68811694162732917</v>
      </c>
      <c r="O2940" s="2">
        <f ca="1"/>
        <v>0.63601115180319734</v>
      </c>
      <c r="X2940" s="2">
        <f ca="1"/>
        <v>77.783314961150481</v>
      </c>
      <c r="AG2940" s="2">
        <f ca="1"/>
        <v>0.31964389690034212</v>
      </c>
      <c r="AH2940" s="2" t="str">
        <f ca="1"/>
        <v>OK</v>
      </c>
    </row>
    <row r="2941" spans="2:34" x14ac:dyDescent="0.2">
      <c r="B2941" s="2">
        <f ca="1"/>
        <v>0.91238854320764728</v>
      </c>
      <c r="O2941" s="2">
        <f ca="1"/>
        <v>1.4695748922961125</v>
      </c>
      <c r="X2941" s="2">
        <f ca="1"/>
        <v>46.728216994646971</v>
      </c>
      <c r="AG2941" s="2">
        <f ca="1"/>
        <v>0.41082141386006232</v>
      </c>
      <c r="AH2941" s="2" t="str">
        <f ca="1"/>
        <v>Bad</v>
      </c>
    </row>
    <row r="2942" spans="2:34" x14ac:dyDescent="0.2">
      <c r="B2942" s="2">
        <f ca="1"/>
        <v>0.3915570385318099</v>
      </c>
      <c r="O2942" s="2">
        <f ca="1"/>
        <v>-0.43632757125585769</v>
      </c>
      <c r="X2942" s="2">
        <f ca="1"/>
        <v>58.472997258638976</v>
      </c>
      <c r="AG2942" s="2">
        <f ca="1"/>
        <v>0.84955594706831761</v>
      </c>
      <c r="AH2942" s="2" t="str">
        <f ca="1"/>
        <v>Bad</v>
      </c>
    </row>
    <row r="2943" spans="2:34" x14ac:dyDescent="0.2">
      <c r="B2943" s="2">
        <f ca="1"/>
        <v>0.47568167762363855</v>
      </c>
      <c r="O2943" s="2">
        <f ca="1"/>
        <v>-0.4226282883706115</v>
      </c>
      <c r="X2943" s="2">
        <f ca="1"/>
        <v>35.405941674786916</v>
      </c>
      <c r="AG2943" s="2">
        <f ca="1"/>
        <v>0.60965169090326343</v>
      </c>
      <c r="AH2943" s="2" t="str">
        <f ca="1"/>
        <v>Bad</v>
      </c>
    </row>
    <row r="2944" spans="2:34" x14ac:dyDescent="0.2">
      <c r="B2944" s="2">
        <f ca="1"/>
        <v>0.6405402322491176</v>
      </c>
      <c r="O2944" s="2">
        <f ca="1"/>
        <v>1.1226750713570173</v>
      </c>
      <c r="X2944" s="2">
        <f ca="1"/>
        <v>42.721473690440099</v>
      </c>
      <c r="AG2944" s="2">
        <f ca="1"/>
        <v>0.37891048181012987</v>
      </c>
      <c r="AH2944" s="2" t="str">
        <f ca="1"/>
        <v>OK</v>
      </c>
    </row>
    <row r="2945" spans="2:34" x14ac:dyDescent="0.2">
      <c r="B2945" s="2">
        <f ca="1"/>
        <v>0.80614203916643512</v>
      </c>
      <c r="O2945" s="2">
        <f ca="1"/>
        <v>-1.0477409046664377</v>
      </c>
      <c r="X2945" s="2">
        <f ca="1"/>
        <v>45.132023744448027</v>
      </c>
      <c r="AG2945" s="2">
        <f ca="1"/>
        <v>0.93253820921521391</v>
      </c>
      <c r="AH2945" s="2" t="str">
        <f ca="1"/>
        <v>Bad</v>
      </c>
    </row>
    <row r="2946" spans="2:34" x14ac:dyDescent="0.2">
      <c r="B2946" s="2">
        <f ca="1"/>
        <v>0.24460350400113606</v>
      </c>
      <c r="O2946" s="2">
        <f ca="1"/>
        <v>0.37401695254674144</v>
      </c>
      <c r="X2946" s="2">
        <f ca="1"/>
        <v>60.856226915463239</v>
      </c>
      <c r="AG2946" s="2">
        <f ca="1"/>
        <v>0.57919814084449062</v>
      </c>
      <c r="AH2946" s="2" t="str">
        <f ca="1"/>
        <v>Bad</v>
      </c>
    </row>
    <row r="2947" spans="2:34" x14ac:dyDescent="0.2">
      <c r="B2947" s="2">
        <f ca="1"/>
        <v>0.66986127986362765</v>
      </c>
      <c r="O2947" s="2">
        <f ca="1"/>
        <v>1.0549881666212744</v>
      </c>
      <c r="X2947" s="2">
        <f ca="1"/>
        <v>54.21939993151134</v>
      </c>
      <c r="AG2947" s="2">
        <f ca="1"/>
        <v>0.41657565471268443</v>
      </c>
      <c r="AH2947" s="2" t="str">
        <f ca="1"/>
        <v>Bad</v>
      </c>
    </row>
    <row r="2948" spans="2:34" x14ac:dyDescent="0.2">
      <c r="B2948" s="2">
        <f ca="1"/>
        <v>0.8385437815592407</v>
      </c>
      <c r="O2948" s="2">
        <f ca="1"/>
        <v>2.8873224807104778</v>
      </c>
      <c r="X2948" s="2">
        <f ca="1"/>
        <v>54.928967025531108</v>
      </c>
      <c r="AG2948" s="2">
        <f ca="1"/>
        <v>0.74323368825568226</v>
      </c>
      <c r="AH2948" s="2" t="str">
        <f ca="1"/>
        <v>Bad</v>
      </c>
    </row>
    <row r="2949" spans="2:34" x14ac:dyDescent="0.2">
      <c r="B2949" s="2">
        <f ca="1"/>
        <v>0.3343218504270089</v>
      </c>
      <c r="O2949" s="2">
        <f ca="1"/>
        <v>1.5471651205394075</v>
      </c>
      <c r="X2949" s="2">
        <f ca="1"/>
        <v>35.860433102383531</v>
      </c>
      <c r="AG2949" s="2">
        <f ca="1"/>
        <v>0.90879045023404248</v>
      </c>
      <c r="AH2949" s="2" t="str">
        <f ca="1"/>
        <v>Bad</v>
      </c>
    </row>
    <row r="2950" spans="2:34" x14ac:dyDescent="0.2">
      <c r="B2950" s="2">
        <f ca="1"/>
        <v>0.73376863419196514</v>
      </c>
      <c r="O2950" s="2">
        <f ca="1"/>
        <v>-1.5818150921702496</v>
      </c>
      <c r="X2950" s="2">
        <f ca="1"/>
        <v>29.922245808850924</v>
      </c>
      <c r="AG2950" s="2">
        <f ca="1"/>
        <v>0.18132870101680587</v>
      </c>
      <c r="AH2950" s="2" t="str">
        <f ca="1"/>
        <v>OK</v>
      </c>
    </row>
    <row r="2951" spans="2:34" x14ac:dyDescent="0.2">
      <c r="B2951" s="2">
        <f ca="1"/>
        <v>0.39363538615246152</v>
      </c>
      <c r="O2951" s="2">
        <f ca="1"/>
        <v>-0.39353902698735438</v>
      </c>
      <c r="X2951" s="2">
        <f ca="1"/>
        <v>50.710266342406285</v>
      </c>
      <c r="AG2951" s="2">
        <f ca="1"/>
        <v>0.90757122880189134</v>
      </c>
      <c r="AH2951" s="2" t="str">
        <f ca="1"/>
        <v>Bad</v>
      </c>
    </row>
    <row r="2952" spans="2:34" x14ac:dyDescent="0.2">
      <c r="B2952" s="2">
        <f ca="1"/>
        <v>0.83524954592138245</v>
      </c>
      <c r="O2952" s="2">
        <f ca="1"/>
        <v>0.99842155616519901</v>
      </c>
      <c r="X2952" s="2">
        <f ca="1"/>
        <v>54.128519130314004</v>
      </c>
      <c r="AG2952" s="2">
        <f ca="1"/>
        <v>7.3175169385360617E-2</v>
      </c>
      <c r="AH2952" s="2" t="str">
        <f ca="1"/>
        <v>OK</v>
      </c>
    </row>
    <row r="2953" spans="2:34" x14ac:dyDescent="0.2">
      <c r="B2953" s="2">
        <f ca="1"/>
        <v>0.28952360160374524</v>
      </c>
      <c r="O2953" s="2">
        <f ca="1"/>
        <v>2.0215816804359821</v>
      </c>
      <c r="X2953" s="2">
        <f ca="1"/>
        <v>44.159629143248544</v>
      </c>
      <c r="AG2953" s="2">
        <f ca="1"/>
        <v>0.75333673928738154</v>
      </c>
      <c r="AH2953" s="2" t="str">
        <f ca="1"/>
        <v>Bad</v>
      </c>
    </row>
    <row r="2954" spans="2:34" x14ac:dyDescent="0.2">
      <c r="B2954" s="2">
        <f ca="1"/>
        <v>0.78129862251356386</v>
      </c>
      <c r="O2954" s="2">
        <f ca="1"/>
        <v>-9.6684849337783471E-2</v>
      </c>
      <c r="X2954" s="2">
        <f ca="1"/>
        <v>49.251358508145408</v>
      </c>
      <c r="AG2954" s="2">
        <f ca="1"/>
        <v>0.59453415956036171</v>
      </c>
      <c r="AH2954" s="2" t="str">
        <f ca="1"/>
        <v>Bad</v>
      </c>
    </row>
    <row r="2955" spans="2:34" x14ac:dyDescent="0.2">
      <c r="B2955" s="2">
        <f ca="1"/>
        <v>0.89523082845806345</v>
      </c>
      <c r="O2955" s="2">
        <f ca="1"/>
        <v>1.183440517312335</v>
      </c>
      <c r="X2955" s="2">
        <f ca="1"/>
        <v>66.742130967770265</v>
      </c>
      <c r="AG2955" s="2">
        <f ca="1"/>
        <v>0.61037511860345472</v>
      </c>
      <c r="AH2955" s="2" t="str">
        <f ca="1"/>
        <v>Bad</v>
      </c>
    </row>
    <row r="2956" spans="2:34" x14ac:dyDescent="0.2">
      <c r="B2956" s="2">
        <f ca="1"/>
        <v>0.32937351147658522</v>
      </c>
      <c r="O2956" s="2">
        <f ca="1"/>
        <v>0.29338410827259959</v>
      </c>
      <c r="X2956" s="2">
        <f ca="1"/>
        <v>51.986989277794578</v>
      </c>
      <c r="AG2956" s="2">
        <f ca="1"/>
        <v>0.48632422528241714</v>
      </c>
      <c r="AH2956" s="2" t="str">
        <f ca="1"/>
        <v>Bad</v>
      </c>
    </row>
    <row r="2957" spans="2:34" x14ac:dyDescent="0.2">
      <c r="B2957" s="2">
        <f ca="1"/>
        <v>9.9179411346026258E-2</v>
      </c>
      <c r="O2957" s="2">
        <f ca="1"/>
        <v>1.0839817312639251</v>
      </c>
      <c r="X2957" s="2">
        <f ca="1"/>
        <v>47.044750526072704</v>
      </c>
      <c r="AG2957" s="2">
        <f ca="1"/>
        <v>0.60514705472854713</v>
      </c>
      <c r="AH2957" s="2" t="str">
        <f ca="1"/>
        <v>Bad</v>
      </c>
    </row>
    <row r="2958" spans="2:34" x14ac:dyDescent="0.2">
      <c r="B2958" s="2">
        <f ca="1"/>
        <v>0.2527865028447549</v>
      </c>
      <c r="O2958" s="2">
        <f ca="1"/>
        <v>1.2686511137632075</v>
      </c>
      <c r="X2958" s="2">
        <f ca="1"/>
        <v>76.727373951060315</v>
      </c>
      <c r="AG2958" s="2">
        <f ca="1"/>
        <v>0.34260868127541744</v>
      </c>
      <c r="AH2958" s="2" t="str">
        <f ca="1"/>
        <v>OK</v>
      </c>
    </row>
    <row r="2959" spans="2:34" x14ac:dyDescent="0.2">
      <c r="B2959" s="2">
        <f ca="1"/>
        <v>0.88461885722310907</v>
      </c>
      <c r="O2959" s="2">
        <f ca="1"/>
        <v>-0.21302681900793941</v>
      </c>
      <c r="X2959" s="2">
        <f ca="1"/>
        <v>42.816258600939207</v>
      </c>
      <c r="AG2959" s="2">
        <f ca="1"/>
        <v>0.718264058558711</v>
      </c>
      <c r="AH2959" s="2" t="str">
        <f ca="1"/>
        <v>Bad</v>
      </c>
    </row>
    <row r="2960" spans="2:34" x14ac:dyDescent="0.2">
      <c r="B2960" s="2">
        <f ca="1"/>
        <v>0.67491742363422147</v>
      </c>
      <c r="O2960" s="2">
        <f ca="1"/>
        <v>-0.7595529929109095</v>
      </c>
      <c r="X2960" s="2">
        <f ca="1"/>
        <v>93.69675902237185</v>
      </c>
      <c r="AG2960" s="2">
        <f ca="1"/>
        <v>0.44543323410743496</v>
      </c>
      <c r="AH2960" s="2" t="str">
        <f ca="1"/>
        <v>Bad</v>
      </c>
    </row>
    <row r="2961" spans="2:34" x14ac:dyDescent="0.2">
      <c r="B2961" s="2">
        <f ca="1"/>
        <v>8.3088625423933582E-2</v>
      </c>
      <c r="O2961" s="2">
        <f ca="1"/>
        <v>0.61749228636494968</v>
      </c>
      <c r="X2961" s="2">
        <f ca="1"/>
        <v>39.072329812384325</v>
      </c>
      <c r="AG2961" s="2">
        <f ca="1"/>
        <v>0.59630183433327844</v>
      </c>
      <c r="AH2961" s="2" t="str">
        <f ca="1"/>
        <v>Bad</v>
      </c>
    </row>
    <row r="2962" spans="2:34" x14ac:dyDescent="0.2">
      <c r="B2962" s="2">
        <f ca="1"/>
        <v>0.96545292671434235</v>
      </c>
      <c r="O2962" s="2">
        <f ca="1"/>
        <v>0.66348685230876736</v>
      </c>
      <c r="X2962" s="2">
        <f ca="1"/>
        <v>29.017667915878768</v>
      </c>
      <c r="AG2962" s="2">
        <f ca="1"/>
        <v>0.48516155305050046</v>
      </c>
      <c r="AH2962" s="2" t="str">
        <f ca="1"/>
        <v>Bad</v>
      </c>
    </row>
    <row r="2963" spans="2:34" x14ac:dyDescent="0.2">
      <c r="B2963" s="2">
        <f ca="1"/>
        <v>8.6337355102028779E-2</v>
      </c>
      <c r="O2963" s="2">
        <f ca="1"/>
        <v>0.55804340482368142</v>
      </c>
      <c r="X2963" s="2">
        <f ca="1"/>
        <v>43.784769531754577</v>
      </c>
      <c r="AG2963" s="2">
        <f ca="1"/>
        <v>0.64888185679035226</v>
      </c>
      <c r="AH2963" s="2" t="str">
        <f ca="1"/>
        <v>Bad</v>
      </c>
    </row>
    <row r="2964" spans="2:34" x14ac:dyDescent="0.2">
      <c r="B2964" s="2">
        <f ca="1"/>
        <v>0.54567065990552699</v>
      </c>
      <c r="O2964" s="2">
        <f ca="1"/>
        <v>-1.3114310614250129</v>
      </c>
      <c r="X2964" s="2">
        <f ca="1"/>
        <v>65.499943401412551</v>
      </c>
      <c r="AG2964" s="2">
        <f ca="1"/>
        <v>0.32234017050258368</v>
      </c>
      <c r="AH2964" s="2" t="str">
        <f ca="1"/>
        <v>OK</v>
      </c>
    </row>
    <row r="2965" spans="2:34" x14ac:dyDescent="0.2">
      <c r="B2965" s="2">
        <f ca="1"/>
        <v>0.84614678383510866</v>
      </c>
      <c r="O2965" s="2">
        <f ca="1"/>
        <v>1.3081783729731018</v>
      </c>
      <c r="X2965" s="2">
        <f ca="1"/>
        <v>28.159000148787566</v>
      </c>
      <c r="AG2965" s="2">
        <f ca="1"/>
        <v>0.87255865435307234</v>
      </c>
      <c r="AH2965" s="2" t="str">
        <f ca="1"/>
        <v>Bad</v>
      </c>
    </row>
    <row r="2966" spans="2:34" x14ac:dyDescent="0.2">
      <c r="B2966" s="2">
        <f ca="1"/>
        <v>0.66495033752158683</v>
      </c>
      <c r="O2966" s="2">
        <f ca="1"/>
        <v>0.78289735108390179</v>
      </c>
      <c r="X2966" s="2">
        <f ca="1"/>
        <v>58.934425052659066</v>
      </c>
      <c r="AG2966" s="2">
        <f ca="1"/>
        <v>0.9161018829091776</v>
      </c>
      <c r="AH2966" s="2" t="str">
        <f ca="1"/>
        <v>Bad</v>
      </c>
    </row>
    <row r="2967" spans="2:34" x14ac:dyDescent="0.2">
      <c r="B2967" s="2">
        <f ca="1"/>
        <v>0.95061758125626161</v>
      </c>
      <c r="O2967" s="2">
        <f ca="1"/>
        <v>-0.15541573314516613</v>
      </c>
      <c r="X2967" s="2">
        <f ca="1"/>
        <v>40.175330914760579</v>
      </c>
      <c r="AG2967" s="2">
        <f ca="1"/>
        <v>0.54103899228080321</v>
      </c>
      <c r="AH2967" s="2" t="str">
        <f ca="1"/>
        <v>Bad</v>
      </c>
    </row>
    <row r="2968" spans="2:34" x14ac:dyDescent="0.2">
      <c r="B2968" s="2">
        <f ca="1"/>
        <v>0.43255834330191134</v>
      </c>
      <c r="O2968" s="2">
        <f ca="1"/>
        <v>-0.46154318573744507</v>
      </c>
      <c r="X2968" s="2">
        <f ca="1"/>
        <v>90.983193242420285</v>
      </c>
      <c r="AG2968" s="2">
        <f ca="1"/>
        <v>0.72120494099698096</v>
      </c>
      <c r="AH2968" s="2" t="str">
        <f ca="1"/>
        <v>Bad</v>
      </c>
    </row>
    <row r="2969" spans="2:34" x14ac:dyDescent="0.2">
      <c r="B2969" s="2">
        <f ca="1"/>
        <v>0.38279151941654099</v>
      </c>
      <c r="O2969" s="2">
        <f ca="1"/>
        <v>-0.63381276446815482</v>
      </c>
      <c r="X2969" s="2">
        <f ca="1"/>
        <v>57.024359377503188</v>
      </c>
      <c r="AG2969" s="2">
        <f ca="1"/>
        <v>0.10504451391217517</v>
      </c>
      <c r="AH2969" s="2" t="str">
        <f ca="1"/>
        <v>OK</v>
      </c>
    </row>
    <row r="2970" spans="2:34" x14ac:dyDescent="0.2">
      <c r="B2970" s="2">
        <f ca="1"/>
        <v>0.68421639870361228</v>
      </c>
      <c r="O2970" s="2">
        <f ca="1"/>
        <v>-0.38809025865781527</v>
      </c>
      <c r="X2970" s="2">
        <f ca="1"/>
        <v>44.373278125657727</v>
      </c>
      <c r="AG2970" s="2">
        <f ca="1"/>
        <v>0.66139355423836976</v>
      </c>
      <c r="AH2970" s="2" t="str">
        <f ca="1"/>
        <v>Bad</v>
      </c>
    </row>
    <row r="2971" spans="2:34" x14ac:dyDescent="0.2">
      <c r="B2971" s="2">
        <f ca="1"/>
        <v>0.68120330385122996</v>
      </c>
      <c r="O2971" s="2">
        <f ca="1"/>
        <v>2.4649253643454281</v>
      </c>
      <c r="X2971" s="2">
        <f ca="1"/>
        <v>30.693651429626598</v>
      </c>
      <c r="AG2971" s="2">
        <f ca="1"/>
        <v>0.11554621885058092</v>
      </c>
      <c r="AH2971" s="2" t="str">
        <f ca="1"/>
        <v>OK</v>
      </c>
    </row>
    <row r="2972" spans="2:34" x14ac:dyDescent="0.2">
      <c r="B2972" s="2">
        <f ca="1"/>
        <v>0.56107826844047914</v>
      </c>
      <c r="O2972" s="2">
        <f ca="1"/>
        <v>0.69940609666437437</v>
      </c>
      <c r="X2972" s="2">
        <f ca="1"/>
        <v>53.843750533147585</v>
      </c>
      <c r="AG2972" s="2">
        <f ca="1"/>
        <v>0.43109545212657063</v>
      </c>
      <c r="AH2972" s="2" t="str">
        <f ca="1"/>
        <v>Bad</v>
      </c>
    </row>
    <row r="2973" spans="2:34" x14ac:dyDescent="0.2">
      <c r="B2973" s="2">
        <f ca="1"/>
        <v>0.99014198908755224</v>
      </c>
      <c r="O2973" s="2">
        <f ca="1"/>
        <v>8.8333640422850232E-2</v>
      </c>
      <c r="X2973" s="2">
        <f ca="1"/>
        <v>41.582986594763227</v>
      </c>
      <c r="AG2973" s="2">
        <f ca="1"/>
        <v>8.1027033869797149E-2</v>
      </c>
      <c r="AH2973" s="2" t="str">
        <f ca="1"/>
        <v>OK</v>
      </c>
    </row>
    <row r="2974" spans="2:34" x14ac:dyDescent="0.2">
      <c r="B2974" s="2">
        <f ca="1"/>
        <v>0.94252227357539042</v>
      </c>
      <c r="O2974" s="2">
        <f ca="1"/>
        <v>0.5044956197484074</v>
      </c>
      <c r="X2974" s="2">
        <f ca="1"/>
        <v>28.732739822740232</v>
      </c>
      <c r="AG2974" s="2">
        <f ca="1"/>
        <v>0.49714447696344966</v>
      </c>
      <c r="AH2974" s="2" t="str">
        <f ca="1"/>
        <v>Bad</v>
      </c>
    </row>
    <row r="2975" spans="2:34" x14ac:dyDescent="0.2">
      <c r="B2975" s="2">
        <f ca="1"/>
        <v>3.7603197336752325E-2</v>
      </c>
      <c r="O2975" s="2">
        <f ca="1"/>
        <v>-1.5176604032764329</v>
      </c>
      <c r="X2975" s="2">
        <f ca="1"/>
        <v>68.829036209521576</v>
      </c>
      <c r="AG2975" s="2">
        <f ca="1"/>
        <v>0.68877435772613582</v>
      </c>
      <c r="AH2975" s="2" t="str">
        <f ca="1"/>
        <v>Bad</v>
      </c>
    </row>
    <row r="2976" spans="2:34" x14ac:dyDescent="0.2">
      <c r="B2976" s="2">
        <f ca="1"/>
        <v>0.72003679828971978</v>
      </c>
      <c r="O2976" s="2">
        <f ca="1"/>
        <v>-1.1833940284365829</v>
      </c>
      <c r="X2976" s="2">
        <f ca="1"/>
        <v>50.038689454394138</v>
      </c>
      <c r="AG2976" s="2">
        <f ca="1"/>
        <v>0.76127604286816353</v>
      </c>
      <c r="AH2976" s="2" t="str">
        <f ca="1"/>
        <v>Bad</v>
      </c>
    </row>
    <row r="2977" spans="2:34" x14ac:dyDescent="0.2">
      <c r="B2977" s="2">
        <f ca="1"/>
        <v>0.36742884564251233</v>
      </c>
      <c r="O2977" s="2">
        <f ca="1"/>
        <v>-0.25186860134867739</v>
      </c>
      <c r="X2977" s="2">
        <f ca="1"/>
        <v>66.13687753226435</v>
      </c>
      <c r="AG2977" s="2">
        <f ca="1"/>
        <v>0.67684228746448172</v>
      </c>
      <c r="AH2977" s="2" t="str">
        <f ca="1"/>
        <v>Bad</v>
      </c>
    </row>
    <row r="2978" spans="2:34" x14ac:dyDescent="0.2">
      <c r="B2978" s="2">
        <f ca="1"/>
        <v>0.67399414255679968</v>
      </c>
      <c r="O2978" s="2">
        <f ca="1"/>
        <v>0.97655544615251588</v>
      </c>
      <c r="X2978" s="2">
        <f ca="1"/>
        <v>46.843293666020799</v>
      </c>
      <c r="AG2978" s="2">
        <f ca="1"/>
        <v>0.75502568717938412</v>
      </c>
      <c r="AH2978" s="2" t="str">
        <f ca="1"/>
        <v>Bad</v>
      </c>
    </row>
    <row r="2979" spans="2:34" x14ac:dyDescent="0.2">
      <c r="B2979" s="2">
        <f ca="1"/>
        <v>0.133859309897157</v>
      </c>
      <c r="O2979" s="2">
        <f ca="1"/>
        <v>-0.30735636317959886</v>
      </c>
      <c r="X2979" s="2">
        <f ca="1"/>
        <v>66.142930916814478</v>
      </c>
      <c r="AG2979" s="2">
        <f ca="1"/>
        <v>0.9413112771868366</v>
      </c>
      <c r="AH2979" s="2" t="str">
        <f ca="1"/>
        <v>Bad</v>
      </c>
    </row>
    <row r="2980" spans="2:34" x14ac:dyDescent="0.2">
      <c r="B2980" s="2">
        <f ca="1"/>
        <v>0.77231722700042704</v>
      </c>
      <c r="O2980" s="2">
        <f ca="1"/>
        <v>-1.4170697617019041</v>
      </c>
      <c r="X2980" s="2">
        <f ca="1"/>
        <v>29.420312472566135</v>
      </c>
      <c r="AG2980" s="2">
        <f ca="1"/>
        <v>3.3966599029677802E-3</v>
      </c>
      <c r="AH2980" s="2" t="str">
        <f ca="1"/>
        <v>Good</v>
      </c>
    </row>
    <row r="2981" spans="2:34" x14ac:dyDescent="0.2">
      <c r="B2981" s="2">
        <f ca="1"/>
        <v>7.506541401126765E-2</v>
      </c>
      <c r="O2981" s="2">
        <f ca="1"/>
        <v>0.67365204910815968</v>
      </c>
      <c r="X2981" s="2">
        <f ca="1"/>
        <v>57.267348531473665</v>
      </c>
      <c r="AG2981" s="2">
        <f ca="1"/>
        <v>0.75295672979252126</v>
      </c>
      <c r="AH2981" s="2" t="str">
        <f ca="1"/>
        <v>Bad</v>
      </c>
    </row>
    <row r="2982" spans="2:34" x14ac:dyDescent="0.2">
      <c r="B2982" s="2">
        <f ca="1"/>
        <v>0.96706118409568309</v>
      </c>
      <c r="O2982" s="2">
        <f ca="1"/>
        <v>-0.96296858067409441</v>
      </c>
      <c r="X2982" s="2">
        <f ca="1"/>
        <v>74.54550155142789</v>
      </c>
      <c r="AG2982" s="2">
        <f ca="1"/>
        <v>0.64554080240010991</v>
      </c>
      <c r="AH2982" s="2" t="str">
        <f ca="1"/>
        <v>Bad</v>
      </c>
    </row>
    <row r="2983" spans="2:34" x14ac:dyDescent="0.2">
      <c r="B2983" s="2">
        <f ca="1"/>
        <v>0.7609135857683349</v>
      </c>
      <c r="O2983" s="2">
        <f ca="1"/>
        <v>-1.8024470822500875</v>
      </c>
      <c r="X2983" s="2">
        <f ca="1"/>
        <v>29.665161202575344</v>
      </c>
      <c r="AG2983" s="2">
        <f ca="1"/>
        <v>0.38598865842231378</v>
      </c>
      <c r="AH2983" s="2" t="str">
        <f ca="1"/>
        <v>OK</v>
      </c>
    </row>
    <row r="2984" spans="2:34" x14ac:dyDescent="0.2">
      <c r="B2984" s="2">
        <f ca="1"/>
        <v>0.3566045777037401</v>
      </c>
      <c r="O2984" s="2">
        <f ca="1"/>
        <v>1.9636334802655606</v>
      </c>
      <c r="X2984" s="2">
        <f ca="1"/>
        <v>43.972477218923785</v>
      </c>
      <c r="AG2984" s="2">
        <f ca="1"/>
        <v>0.88802859181678007</v>
      </c>
      <c r="AH2984" s="2" t="str">
        <f ca="1"/>
        <v>Bad</v>
      </c>
    </row>
    <row r="2985" spans="2:34" x14ac:dyDescent="0.2">
      <c r="B2985" s="2">
        <f ca="1"/>
        <v>0.12976092918650006</v>
      </c>
      <c r="O2985" s="2">
        <f ca="1"/>
        <v>-0.58476924294912125</v>
      </c>
      <c r="X2985" s="2">
        <f ca="1"/>
        <v>51.882811027483882</v>
      </c>
      <c r="AG2985" s="2">
        <f ca="1"/>
        <v>0.22860919189250906</v>
      </c>
      <c r="AH2985" s="2" t="str">
        <f ca="1"/>
        <v>OK</v>
      </c>
    </row>
    <row r="2986" spans="2:34" x14ac:dyDescent="0.2">
      <c r="B2986" s="2">
        <f ca="1"/>
        <v>0.64147709915231599</v>
      </c>
      <c r="O2986" s="2">
        <f ca="1"/>
        <v>-1.4118025945230814</v>
      </c>
      <c r="X2986" s="2">
        <f ca="1"/>
        <v>54.885843642650912</v>
      </c>
      <c r="AG2986" s="2">
        <f ca="1"/>
        <v>0.74040909777768826</v>
      </c>
      <c r="AH2986" s="2" t="str">
        <f ca="1"/>
        <v>Bad</v>
      </c>
    </row>
    <row r="2987" spans="2:34" x14ac:dyDescent="0.2">
      <c r="B2987" s="2">
        <f ca="1"/>
        <v>0.89535380019281918</v>
      </c>
      <c r="O2987" s="2">
        <f ca="1"/>
        <v>0.42190369696859981</v>
      </c>
      <c r="X2987" s="2">
        <f ca="1"/>
        <v>84.365188949048331</v>
      </c>
      <c r="AG2987" s="2">
        <f ca="1"/>
        <v>0.99522497956953182</v>
      </c>
      <c r="AH2987" s="2" t="str">
        <f ca="1"/>
        <v>Bad</v>
      </c>
    </row>
    <row r="2988" spans="2:34" x14ac:dyDescent="0.2">
      <c r="B2988" s="2">
        <f ca="1"/>
        <v>0.92705146100763769</v>
      </c>
      <c r="O2988" s="2">
        <f ca="1"/>
        <v>0.26420757314620036</v>
      </c>
      <c r="X2988" s="2">
        <f ca="1"/>
        <v>55.237187759890304</v>
      </c>
      <c r="AG2988" s="2">
        <f ca="1"/>
        <v>0.92215265221129261</v>
      </c>
      <c r="AH2988" s="2" t="str">
        <f ca="1"/>
        <v>Bad</v>
      </c>
    </row>
    <row r="2989" spans="2:34" x14ac:dyDescent="0.2">
      <c r="B2989" s="2">
        <f ca="1"/>
        <v>0.6262117068997235</v>
      </c>
      <c r="O2989" s="2">
        <f ca="1"/>
        <v>1.902010850753058</v>
      </c>
      <c r="X2989" s="2">
        <f ca="1"/>
        <v>37.453817867894223</v>
      </c>
      <c r="AG2989" s="2">
        <f ca="1"/>
        <v>5.6196856916122417E-2</v>
      </c>
      <c r="AH2989" s="2" t="str">
        <f ca="1"/>
        <v>OK</v>
      </c>
    </row>
    <row r="2990" spans="2:34" x14ac:dyDescent="0.2">
      <c r="B2990" s="2">
        <f ca="1"/>
        <v>0.9263754532683186</v>
      </c>
      <c r="O2990" s="2">
        <f ca="1"/>
        <v>-1.3346077416980482</v>
      </c>
      <c r="X2990" s="2">
        <f ca="1"/>
        <v>56.770746604055951</v>
      </c>
      <c r="AG2990" s="2">
        <f ca="1"/>
        <v>0.33571941869200184</v>
      </c>
      <c r="AH2990" s="2" t="str">
        <f ca="1"/>
        <v>OK</v>
      </c>
    </row>
    <row r="2991" spans="2:34" x14ac:dyDescent="0.2">
      <c r="B2991" s="2">
        <f ca="1"/>
        <v>0.87920973819921611</v>
      </c>
      <c r="O2991" s="2">
        <f ca="1"/>
        <v>0.33918060684488205</v>
      </c>
      <c r="X2991" s="2">
        <f ca="1"/>
        <v>37.523899952409415</v>
      </c>
      <c r="AG2991" s="2">
        <f ca="1"/>
        <v>8.6772215662227037E-2</v>
      </c>
      <c r="AH2991" s="2" t="str">
        <f ca="1"/>
        <v>OK</v>
      </c>
    </row>
    <row r="2992" spans="2:34" x14ac:dyDescent="0.2">
      <c r="B2992" s="2">
        <f ca="1"/>
        <v>0.4052898541079486</v>
      </c>
      <c r="O2992" s="2">
        <f ca="1"/>
        <v>-0.94384889110130987</v>
      </c>
      <c r="X2992" s="2">
        <f ca="1"/>
        <v>41.259398438979595</v>
      </c>
      <c r="AG2992" s="2">
        <f ca="1"/>
        <v>0.19287829960381275</v>
      </c>
      <c r="AH2992" s="2" t="str">
        <f ca="1"/>
        <v>OK</v>
      </c>
    </row>
    <row r="2993" spans="2:34" x14ac:dyDescent="0.2">
      <c r="B2993" s="2">
        <f ca="1"/>
        <v>0.94093564795275864</v>
      </c>
      <c r="O2993" s="2">
        <f ca="1"/>
        <v>-1.4564359948504765E-2</v>
      </c>
      <c r="X2993" s="2">
        <f ca="1"/>
        <v>31.815031482996432</v>
      </c>
      <c r="AG2993" s="2">
        <f ca="1"/>
        <v>0.35393004691040453</v>
      </c>
      <c r="AH2993" s="2" t="str">
        <f ca="1"/>
        <v>OK</v>
      </c>
    </row>
    <row r="2994" spans="2:34" x14ac:dyDescent="0.2">
      <c r="B2994" s="2">
        <f ca="1"/>
        <v>0.47327723565890101</v>
      </c>
      <c r="O2994" s="2">
        <f ca="1"/>
        <v>0.55941677143929591</v>
      </c>
      <c r="X2994" s="2">
        <f ca="1"/>
        <v>37.86501479474677</v>
      </c>
      <c r="AG2994" s="2">
        <f ca="1"/>
        <v>0.65035191706407613</v>
      </c>
      <c r="AH2994" s="2" t="str">
        <f ca="1"/>
        <v>Bad</v>
      </c>
    </row>
    <row r="2995" spans="2:34" x14ac:dyDescent="0.2">
      <c r="B2995" s="2">
        <f ca="1"/>
        <v>0.29058034906138941</v>
      </c>
      <c r="O2995" s="2">
        <f ca="1"/>
        <v>2.1029362287489377</v>
      </c>
      <c r="X2995" s="2">
        <f ca="1"/>
        <v>30.811660434166676</v>
      </c>
      <c r="AG2995" s="2">
        <f ca="1"/>
        <v>0.45994849263988336</v>
      </c>
      <c r="AH2995" s="2" t="str">
        <f ca="1"/>
        <v>Bad</v>
      </c>
    </row>
    <row r="2996" spans="2:34" x14ac:dyDescent="0.2">
      <c r="B2996" s="2">
        <f ca="1"/>
        <v>3.3340929944509323E-2</v>
      </c>
      <c r="O2996" s="2">
        <f ca="1"/>
        <v>0.75384961515079318</v>
      </c>
      <c r="X2996" s="2">
        <f ca="1"/>
        <v>46.549379166591727</v>
      </c>
      <c r="AG2996" s="2">
        <f ca="1"/>
        <v>0.60162317530246523</v>
      </c>
      <c r="AH2996" s="2" t="str">
        <f ca="1"/>
        <v>Bad</v>
      </c>
    </row>
    <row r="2997" spans="2:34" x14ac:dyDescent="0.2">
      <c r="B2997" s="2">
        <f ca="1"/>
        <v>0.24057924949455356</v>
      </c>
      <c r="O2997" s="2">
        <f ca="1"/>
        <v>1.744854253097416</v>
      </c>
      <c r="X2997" s="2">
        <f ca="1"/>
        <v>76.81291125440589</v>
      </c>
      <c r="AG2997" s="2">
        <f ca="1"/>
        <v>0.96002081548374596</v>
      </c>
      <c r="AH2997" s="2" t="str">
        <f ca="1"/>
        <v>Bad</v>
      </c>
    </row>
    <row r="2998" spans="2:34" x14ac:dyDescent="0.2">
      <c r="B2998" s="2">
        <f ca="1"/>
        <v>0.47250063924773955</v>
      </c>
      <c r="O2998" s="2">
        <f ca="1"/>
        <v>0.25028344709597083</v>
      </c>
      <c r="X2998" s="2">
        <f ca="1"/>
        <v>109.71875305178953</v>
      </c>
      <c r="AG2998" s="2">
        <f ca="1"/>
        <v>0.32063649692125251</v>
      </c>
      <c r="AH2998" s="2" t="str">
        <f ca="1"/>
        <v>OK</v>
      </c>
    </row>
    <row r="2999" spans="2:34" x14ac:dyDescent="0.2">
      <c r="B2999" s="2">
        <f ca="1"/>
        <v>0.42323003257701619</v>
      </c>
      <c r="O2999" s="2">
        <f ca="1"/>
        <v>-2.3491047511703047</v>
      </c>
      <c r="X2999" s="2">
        <f ca="1"/>
        <v>39.832174067816482</v>
      </c>
      <c r="AG2999" s="2">
        <f ca="1"/>
        <v>0.35610390353194199</v>
      </c>
      <c r="AH2999" s="2" t="str">
        <f ca="1"/>
        <v>OK</v>
      </c>
    </row>
    <row r="3000" spans="2:34" x14ac:dyDescent="0.2">
      <c r="B3000" s="2">
        <f ca="1"/>
        <v>0.64999127229692877</v>
      </c>
      <c r="O3000" s="2">
        <f ca="1"/>
        <v>0.77913167683817286</v>
      </c>
      <c r="X3000" s="2">
        <f ca="1"/>
        <v>23.119541019521172</v>
      </c>
      <c r="AG3000" s="2">
        <f ca="1"/>
        <v>0.1906143714594315</v>
      </c>
      <c r="AH3000" s="2" t="str">
        <f ca="1"/>
        <v>OK</v>
      </c>
    </row>
    <row r="3001" spans="2:34" x14ac:dyDescent="0.2">
      <c r="B3001" s="2">
        <f ca="1"/>
        <v>0.53477753536708494</v>
      </c>
      <c r="O3001" s="2">
        <f ca="1"/>
        <v>0.99888459756671732</v>
      </c>
      <c r="X3001" s="2">
        <f ca="1"/>
        <v>23.914641135331397</v>
      </c>
      <c r="AG3001" s="2">
        <f ca="1"/>
        <v>2.226487944230171E-2</v>
      </c>
      <c r="AH3001" s="2" t="str">
        <f ca="1"/>
        <v>Good</v>
      </c>
    </row>
    <row r="3002" spans="2:34" x14ac:dyDescent="0.2">
      <c r="B3002" s="2">
        <f ca="1"/>
        <v>0.77764325605565765</v>
      </c>
      <c r="O3002" s="2">
        <f ca="1"/>
        <v>0.78273474424638001</v>
      </c>
      <c r="X3002" s="2">
        <f ca="1"/>
        <v>26.939488166902898</v>
      </c>
      <c r="AG3002" s="2">
        <f ca="1"/>
        <v>0.31778989512351807</v>
      </c>
      <c r="AH3002" s="2" t="str">
        <f ca="1"/>
        <v>OK</v>
      </c>
    </row>
    <row r="3003" spans="2:34" x14ac:dyDescent="0.2">
      <c r="B3003" s="2">
        <f ca="1"/>
        <v>0.75259894237311231</v>
      </c>
      <c r="O3003" s="2">
        <f ca="1"/>
        <v>0.60691867715167569</v>
      </c>
      <c r="X3003" s="2">
        <f ca="1"/>
        <v>46.357929008685417</v>
      </c>
      <c r="AG3003" s="2">
        <f ca="1"/>
        <v>0.20903709052615627</v>
      </c>
      <c r="AH3003" s="2" t="str">
        <f ca="1"/>
        <v>OK</v>
      </c>
    </row>
    <row r="3004" spans="2:34" x14ac:dyDescent="0.2">
      <c r="B3004" s="2">
        <f ca="1"/>
        <v>0.34571702049265651</v>
      </c>
      <c r="O3004" s="2">
        <f ca="1"/>
        <v>0.34194790319236529</v>
      </c>
      <c r="X3004" s="2">
        <f ca="1"/>
        <v>35.838470357142761</v>
      </c>
      <c r="AG3004" s="2">
        <f ca="1"/>
        <v>0.4852963333582847</v>
      </c>
      <c r="AH3004" s="2" t="str">
        <f ca="1"/>
        <v>Bad</v>
      </c>
    </row>
    <row r="3005" spans="2:34" x14ac:dyDescent="0.2">
      <c r="B3005" s="2">
        <f ca="1"/>
        <v>0.9068911494762899</v>
      </c>
      <c r="O3005" s="2">
        <f ca="1"/>
        <v>-0.40080392103980356</v>
      </c>
      <c r="X3005" s="2">
        <f ca="1"/>
        <v>29.485564569754246</v>
      </c>
      <c r="AG3005" s="2">
        <f ca="1"/>
        <v>0.96679088779158695</v>
      </c>
      <c r="AH3005" s="2" t="str">
        <f ca="1"/>
        <v>Bad</v>
      </c>
    </row>
    <row r="3006" spans="2:34" x14ac:dyDescent="0.2">
      <c r="B3006" s="2">
        <f ca="1"/>
        <v>0.2201021611850944</v>
      </c>
      <c r="O3006" s="2">
        <f ca="1"/>
        <v>-0.70696866934667435</v>
      </c>
      <c r="X3006" s="2">
        <f ca="1"/>
        <v>50.502366644559878</v>
      </c>
      <c r="AG3006" s="2">
        <f ca="1"/>
        <v>0.71091884659505356</v>
      </c>
      <c r="AH3006" s="2" t="str">
        <f ca="1"/>
        <v>Bad</v>
      </c>
    </row>
    <row r="3007" spans="2:34" x14ac:dyDescent="0.2">
      <c r="B3007" s="2">
        <f ca="1"/>
        <v>0.33678606021162261</v>
      </c>
      <c r="O3007" s="2">
        <f ca="1"/>
        <v>1.7167469008417262</v>
      </c>
      <c r="X3007" s="2">
        <f ca="1"/>
        <v>44.648673464868445</v>
      </c>
      <c r="AG3007" s="2">
        <f ca="1"/>
        <v>5.4929519367317159E-2</v>
      </c>
      <c r="AH3007" s="2" t="str">
        <f ca="1"/>
        <v>OK</v>
      </c>
    </row>
    <row r="3008" spans="2:34" x14ac:dyDescent="0.2">
      <c r="B3008" s="2">
        <f ca="1"/>
        <v>0.93021808560601915</v>
      </c>
      <c r="O3008" s="2">
        <f ca="1"/>
        <v>0.17299187737652674</v>
      </c>
      <c r="X3008" s="2">
        <f ca="1"/>
        <v>38.98646211741903</v>
      </c>
      <c r="AG3008" s="2">
        <f ca="1"/>
        <v>0.49006336604964718</v>
      </c>
      <c r="AH3008" s="2" t="str">
        <f ca="1"/>
        <v>Bad</v>
      </c>
    </row>
    <row r="3009" spans="2:34" x14ac:dyDescent="0.2">
      <c r="B3009" s="2">
        <f ca="1"/>
        <v>0.58084365564058049</v>
      </c>
      <c r="O3009" s="2">
        <f ca="1"/>
        <v>1.1893309518014772</v>
      </c>
      <c r="X3009" s="2">
        <f ca="1"/>
        <v>57.779749080142849</v>
      </c>
      <c r="AG3009" s="2">
        <f ca="1"/>
        <v>0.67980639065663895</v>
      </c>
      <c r="AH3009" s="2" t="str">
        <f ca="1"/>
        <v>Bad</v>
      </c>
    </row>
    <row r="3010" spans="2:34" x14ac:dyDescent="0.2">
      <c r="B3010" s="2">
        <f ca="1"/>
        <v>0.2839636596671653</v>
      </c>
      <c r="O3010" s="2">
        <f ca="1"/>
        <v>1.3858266481641437</v>
      </c>
      <c r="X3010" s="2">
        <f ca="1"/>
        <v>42.487134776190288</v>
      </c>
      <c r="AG3010" s="2">
        <f ca="1"/>
        <v>0.92394643132544196</v>
      </c>
      <c r="AH3010" s="2" t="str">
        <f ca="1"/>
        <v>Bad</v>
      </c>
    </row>
    <row r="3011" spans="2:34" x14ac:dyDescent="0.2">
      <c r="B3011" s="2">
        <f ca="1"/>
        <v>0.36870162322568989</v>
      </c>
      <c r="O3011" s="2">
        <f ca="1"/>
        <v>-8.910145199075066E-2</v>
      </c>
      <c r="X3011" s="2">
        <f ca="1"/>
        <v>64.570231405092755</v>
      </c>
      <c r="AG3011" s="2">
        <f ca="1"/>
        <v>0.37364924436650737</v>
      </c>
      <c r="AH3011" s="2" t="str">
        <f ca="1"/>
        <v>OK</v>
      </c>
    </row>
    <row r="3012" spans="2:34" x14ac:dyDescent="0.2">
      <c r="B3012" s="2">
        <f ca="1"/>
        <v>0.28763856592059311</v>
      </c>
      <c r="O3012" s="2">
        <f ca="1"/>
        <v>-0.46879683284699686</v>
      </c>
      <c r="X3012" s="2">
        <f ca="1"/>
        <v>56.137565911579806</v>
      </c>
      <c r="AG3012" s="2">
        <f ca="1"/>
        <v>0.19836062594365078</v>
      </c>
      <c r="AH3012" s="2" t="str">
        <f ca="1"/>
        <v>OK</v>
      </c>
    </row>
    <row r="3013" spans="2:34" x14ac:dyDescent="0.2">
      <c r="B3013" s="2">
        <f ca="1"/>
        <v>0.31997838521954858</v>
      </c>
      <c r="O3013" s="2">
        <f ca="1"/>
        <v>-0.46083982704529913</v>
      </c>
      <c r="X3013" s="2">
        <f ca="1"/>
        <v>50.478140972226797</v>
      </c>
      <c r="AG3013" s="2">
        <f ca="1"/>
        <v>0.64023668300979697</v>
      </c>
      <c r="AH3013" s="2" t="str">
        <f ca="1"/>
        <v>Bad</v>
      </c>
    </row>
    <row r="3014" spans="2:34" x14ac:dyDescent="0.2">
      <c r="B3014" s="2">
        <f ca="1"/>
        <v>0.50496563505813863</v>
      </c>
      <c r="O3014" s="2">
        <f ca="1"/>
        <v>-1.1865936168269287</v>
      </c>
      <c r="X3014" s="2">
        <f ca="1"/>
        <v>46.234434367150371</v>
      </c>
      <c r="AG3014" s="2">
        <f ca="1"/>
        <v>0.74518888548734319</v>
      </c>
      <c r="AH3014" s="2" t="str">
        <f ca="1"/>
        <v>Bad</v>
      </c>
    </row>
    <row r="3015" spans="2:34" x14ac:dyDescent="0.2">
      <c r="B3015" s="2">
        <f ca="1"/>
        <v>0.69666747239667925</v>
      </c>
      <c r="O3015" s="2">
        <f ca="1"/>
        <v>0.1283618628365574</v>
      </c>
      <c r="X3015" s="2">
        <f ca="1"/>
        <v>38.251446413831076</v>
      </c>
      <c r="AG3015" s="2">
        <f ca="1"/>
        <v>0.44335860341403954</v>
      </c>
      <c r="AH3015" s="2" t="str">
        <f ca="1"/>
        <v>Bad</v>
      </c>
    </row>
    <row r="3016" spans="2:34" x14ac:dyDescent="0.2">
      <c r="B3016" s="2">
        <f ca="1"/>
        <v>0.22745404487795229</v>
      </c>
      <c r="O3016" s="2">
        <f ca="1"/>
        <v>0.14558133045743221</v>
      </c>
      <c r="X3016" s="2">
        <f ca="1"/>
        <v>34.958315720515749</v>
      </c>
      <c r="AG3016" s="2">
        <f ca="1"/>
        <v>2.1628748249728824E-2</v>
      </c>
      <c r="AH3016" s="2" t="str">
        <f ca="1"/>
        <v>Good</v>
      </c>
    </row>
    <row r="3017" spans="2:34" x14ac:dyDescent="0.2">
      <c r="B3017" s="2">
        <f ca="1"/>
        <v>0.22190094340474897</v>
      </c>
      <c r="O3017" s="2">
        <f ca="1"/>
        <v>0.75845417544757676</v>
      </c>
      <c r="X3017" s="2">
        <f ca="1"/>
        <v>58.563021325231226</v>
      </c>
      <c r="AG3017" s="2">
        <f ca="1"/>
        <v>0.69524274212469739</v>
      </c>
      <c r="AH3017" s="2" t="str">
        <f ca="1"/>
        <v>Bad</v>
      </c>
    </row>
    <row r="3018" spans="2:34" x14ac:dyDescent="0.2">
      <c r="B3018" s="2">
        <f ca="1"/>
        <v>0.64121297243062347</v>
      </c>
      <c r="O3018" s="2">
        <f ca="1"/>
        <v>-0.54569693467708014</v>
      </c>
      <c r="X3018" s="2">
        <f ca="1"/>
        <v>49.892695835142788</v>
      </c>
      <c r="AG3018" s="2">
        <f ca="1"/>
        <v>0.65760735036529216</v>
      </c>
      <c r="AH3018" s="2" t="str">
        <f ca="1"/>
        <v>Bad</v>
      </c>
    </row>
    <row r="3019" spans="2:34" x14ac:dyDescent="0.2">
      <c r="B3019" s="2">
        <f ca="1"/>
        <v>0.13948309432198758</v>
      </c>
      <c r="O3019" s="2">
        <f ca="1"/>
        <v>0.46463311821094117</v>
      </c>
      <c r="X3019" s="2">
        <f ca="1"/>
        <v>66.448362399187445</v>
      </c>
      <c r="AG3019" s="2">
        <f ca="1"/>
        <v>0.51567967598927011</v>
      </c>
      <c r="AH3019" s="2" t="str">
        <f ca="1"/>
        <v>Bad</v>
      </c>
    </row>
    <row r="3020" spans="2:34" x14ac:dyDescent="0.2">
      <c r="B3020" s="2">
        <f ca="1"/>
        <v>0.25850560692103475</v>
      </c>
      <c r="O3020" s="2">
        <f ca="1"/>
        <v>0.41333545708841735</v>
      </c>
      <c r="X3020" s="2">
        <f ca="1"/>
        <v>38.607579834600919</v>
      </c>
      <c r="AG3020" s="2">
        <f ca="1"/>
        <v>0.45310013234197566</v>
      </c>
      <c r="AH3020" s="2" t="str">
        <f ca="1"/>
        <v>Bad</v>
      </c>
    </row>
    <row r="3021" spans="2:34" x14ac:dyDescent="0.2">
      <c r="B3021" s="2">
        <f ca="1"/>
        <v>0.38504562089745997</v>
      </c>
      <c r="O3021" s="2">
        <f ca="1"/>
        <v>0.67458429707358103</v>
      </c>
      <c r="X3021" s="2">
        <f ca="1"/>
        <v>51.223805971198992</v>
      </c>
      <c r="AG3021" s="2">
        <f ca="1"/>
        <v>0.86798523153481932</v>
      </c>
      <c r="AH3021" s="2" t="str">
        <f ca="1"/>
        <v>Bad</v>
      </c>
    </row>
    <row r="3022" spans="2:34" x14ac:dyDescent="0.2">
      <c r="B3022" s="2">
        <f ca="1"/>
        <v>0.5480471485243652</v>
      </c>
      <c r="O3022" s="2">
        <f ca="1"/>
        <v>2.3712571693883615</v>
      </c>
      <c r="X3022" s="2">
        <f ca="1"/>
        <v>41.566601374832857</v>
      </c>
      <c r="AG3022" s="2">
        <f ca="1"/>
        <v>0.38155178267689571</v>
      </c>
      <c r="AH3022" s="2" t="str">
        <f ca="1"/>
        <v>OK</v>
      </c>
    </row>
    <row r="3023" spans="2:34" x14ac:dyDescent="0.2">
      <c r="B3023" s="2">
        <f ca="1"/>
        <v>0.66432418377107316</v>
      </c>
      <c r="O3023" s="2">
        <f ca="1"/>
        <v>-1.6135911931039713</v>
      </c>
      <c r="X3023" s="2">
        <f ca="1"/>
        <v>38.4110468017481</v>
      </c>
      <c r="AG3023" s="2">
        <f ca="1"/>
        <v>0.1759869603097064</v>
      </c>
      <c r="AH3023" s="2" t="str">
        <f ca="1"/>
        <v>OK</v>
      </c>
    </row>
    <row r="3024" spans="2:34" x14ac:dyDescent="0.2">
      <c r="B3024" s="2">
        <f ca="1"/>
        <v>0.80568704309112338</v>
      </c>
      <c r="O3024" s="2">
        <f ca="1"/>
        <v>-0.43161512907134464</v>
      </c>
      <c r="X3024" s="2">
        <f ca="1"/>
        <v>68.229591564888551</v>
      </c>
      <c r="AG3024" s="2">
        <f ca="1"/>
        <v>0.17959882950306261</v>
      </c>
      <c r="AH3024" s="2" t="str">
        <f ca="1"/>
        <v>OK</v>
      </c>
    </row>
    <row r="3025" spans="2:34" x14ac:dyDescent="0.2">
      <c r="B3025" s="2">
        <f ca="1"/>
        <v>0.49079180511608356</v>
      </c>
      <c r="O3025" s="2">
        <f ca="1"/>
        <v>-0.24003488656655148</v>
      </c>
      <c r="X3025" s="2">
        <f ca="1"/>
        <v>55.85371931997188</v>
      </c>
      <c r="AG3025" s="2">
        <f ca="1"/>
        <v>0.7462113416470384</v>
      </c>
      <c r="AH3025" s="2" t="str">
        <f ca="1"/>
        <v>Bad</v>
      </c>
    </row>
    <row r="3026" spans="2:34" x14ac:dyDescent="0.2">
      <c r="B3026" s="2">
        <f ca="1"/>
        <v>0.92246391491701041</v>
      </c>
      <c r="O3026" s="2">
        <f ca="1"/>
        <v>0.56855889811242677</v>
      </c>
      <c r="X3026" s="2">
        <f ca="1"/>
        <v>86.159260749785233</v>
      </c>
      <c r="AG3026" s="2">
        <f ca="1"/>
        <v>0.93105791172770025</v>
      </c>
      <c r="AH3026" s="2" t="str">
        <f ca="1"/>
        <v>Bad</v>
      </c>
    </row>
    <row r="3027" spans="2:34" x14ac:dyDescent="0.2">
      <c r="B3027" s="2">
        <f ca="1"/>
        <v>0.77914214808651683</v>
      </c>
      <c r="O3027" s="2">
        <f ca="1"/>
        <v>0.10330350655184116</v>
      </c>
      <c r="X3027" s="2">
        <f ca="1"/>
        <v>26.213019248280105</v>
      </c>
      <c r="AG3027" s="2">
        <f ca="1"/>
        <v>0.10976021674167269</v>
      </c>
      <c r="AH3027" s="2" t="str">
        <f ca="1"/>
        <v>OK</v>
      </c>
    </row>
    <row r="3028" spans="2:34" x14ac:dyDescent="0.2">
      <c r="B3028" s="2">
        <f ca="1"/>
        <v>0.60589145028768665</v>
      </c>
      <c r="O3028" s="2">
        <f ca="1"/>
        <v>-0.21469062714689605</v>
      </c>
      <c r="X3028" s="2">
        <f ca="1"/>
        <v>45.637748291600069</v>
      </c>
      <c r="AG3028" s="2">
        <f ca="1"/>
        <v>0.57215404602523523</v>
      </c>
      <c r="AH3028" s="2" t="str">
        <f ca="1"/>
        <v>Bad</v>
      </c>
    </row>
    <row r="3029" spans="2:34" x14ac:dyDescent="0.2">
      <c r="B3029" s="2">
        <f ca="1"/>
        <v>0.44673193554735868</v>
      </c>
      <c r="O3029" s="2">
        <f ca="1"/>
        <v>0.56737586515961891</v>
      </c>
      <c r="X3029" s="2">
        <f ca="1"/>
        <v>35.147788850031439</v>
      </c>
      <c r="AG3029" s="2">
        <f ca="1"/>
        <v>0.9744245882968452</v>
      </c>
      <c r="AH3029" s="2" t="str">
        <f ca="1"/>
        <v>Bad</v>
      </c>
    </row>
    <row r="3030" spans="2:34" x14ac:dyDescent="0.2">
      <c r="B3030" s="2">
        <f ca="1"/>
        <v>0.92849931566495525</v>
      </c>
      <c r="O3030" s="2">
        <f ca="1"/>
        <v>0.17419047864187534</v>
      </c>
      <c r="X3030" s="2">
        <f ca="1"/>
        <v>41.547743796998915</v>
      </c>
      <c r="AG3030" s="2">
        <f ca="1"/>
        <v>0.60726014715132171</v>
      </c>
      <c r="AH3030" s="2" t="str">
        <f ca="1"/>
        <v>Bad</v>
      </c>
    </row>
    <row r="3031" spans="2:34" x14ac:dyDescent="0.2">
      <c r="B3031" s="2">
        <f ca="1"/>
        <v>0.63720912362148829</v>
      </c>
      <c r="O3031" s="2">
        <f ca="1"/>
        <v>0.13730496721144145</v>
      </c>
      <c r="X3031" s="2">
        <f ca="1"/>
        <v>43.810339384905703</v>
      </c>
      <c r="AG3031" s="2">
        <f ca="1"/>
        <v>0.78249075154553305</v>
      </c>
      <c r="AH3031" s="2" t="str">
        <f ca="1"/>
        <v>Bad</v>
      </c>
    </row>
    <row r="3032" spans="2:34" x14ac:dyDescent="0.2">
      <c r="B3032" s="2">
        <f ca="1"/>
        <v>5.4080434008268785E-2</v>
      </c>
      <c r="O3032" s="2">
        <f ca="1"/>
        <v>0.31691671534734089</v>
      </c>
      <c r="X3032" s="2">
        <f ca="1"/>
        <v>40.707090454258577</v>
      </c>
      <c r="AG3032" s="2">
        <f ca="1"/>
        <v>0.46206741549750197</v>
      </c>
      <c r="AH3032" s="2" t="str">
        <f ca="1"/>
        <v>Bad</v>
      </c>
    </row>
    <row r="3033" spans="2:34" x14ac:dyDescent="0.2">
      <c r="B3033" s="2">
        <f ca="1"/>
        <v>0.19087251309648789</v>
      </c>
      <c r="O3033" s="2">
        <f ca="1"/>
        <v>0.5006111795885988</v>
      </c>
      <c r="X3033" s="2">
        <f ca="1"/>
        <v>45.866088970876476</v>
      </c>
      <c r="AG3033" s="2">
        <f ca="1"/>
        <v>0.8806194834774046</v>
      </c>
      <c r="AH3033" s="2" t="str">
        <f ca="1"/>
        <v>Bad</v>
      </c>
    </row>
    <row r="3034" spans="2:34" x14ac:dyDescent="0.2">
      <c r="B3034" s="2">
        <f ca="1"/>
        <v>0.49768415169483227</v>
      </c>
      <c r="O3034" s="2">
        <f ca="1"/>
        <v>2.0752318319052225</v>
      </c>
      <c r="X3034" s="2">
        <f ca="1"/>
        <v>55.629914391817962</v>
      </c>
      <c r="AG3034" s="2">
        <f ca="1"/>
        <v>0.40820221568027137</v>
      </c>
      <c r="AH3034" s="2" t="str">
        <f ca="1"/>
        <v>Bad</v>
      </c>
    </row>
    <row r="3035" spans="2:34" x14ac:dyDescent="0.2">
      <c r="B3035" s="2">
        <f ca="1"/>
        <v>0.74309103797883203</v>
      </c>
      <c r="O3035" s="2">
        <f ca="1"/>
        <v>-0.19014627807321111</v>
      </c>
      <c r="X3035" s="2">
        <f ca="1"/>
        <v>62.764762734842805</v>
      </c>
      <c r="AG3035" s="2">
        <f ca="1"/>
        <v>0.31708337410592224</v>
      </c>
      <c r="AH3035" s="2" t="str">
        <f ca="1"/>
        <v>OK</v>
      </c>
    </row>
    <row r="3036" spans="2:34" x14ac:dyDescent="0.2">
      <c r="B3036" s="2">
        <f ca="1"/>
        <v>0.6868326154113078</v>
      </c>
      <c r="O3036" s="2">
        <f ca="1"/>
        <v>0.22695322132263634</v>
      </c>
      <c r="X3036" s="2">
        <f ca="1"/>
        <v>82.052900064986375</v>
      </c>
      <c r="AG3036" s="2">
        <f ca="1"/>
        <v>0.42047201792266464</v>
      </c>
      <c r="AH3036" s="2" t="str">
        <f ca="1"/>
        <v>Bad</v>
      </c>
    </row>
    <row r="3037" spans="2:34" x14ac:dyDescent="0.2">
      <c r="B3037" s="2">
        <f ca="1"/>
        <v>0.65809228572532841</v>
      </c>
      <c r="O3037" s="2">
        <f ca="1"/>
        <v>0.42150614644568229</v>
      </c>
      <c r="X3037" s="2">
        <f ca="1"/>
        <v>47.900998906133985</v>
      </c>
      <c r="AG3037" s="2">
        <f ca="1"/>
        <v>0.57793076864099291</v>
      </c>
      <c r="AH3037" s="2" t="str">
        <f ca="1"/>
        <v>Bad</v>
      </c>
    </row>
    <row r="3038" spans="2:34" x14ac:dyDescent="0.2">
      <c r="B3038" s="2">
        <f ca="1"/>
        <v>0.19233027370592159</v>
      </c>
      <c r="O3038" s="2">
        <f ca="1"/>
        <v>-0.19927387651956199</v>
      </c>
      <c r="X3038" s="2">
        <f ca="1"/>
        <v>40.737107951228339</v>
      </c>
      <c r="AG3038" s="2">
        <f ca="1"/>
        <v>0.36564942170210446</v>
      </c>
      <c r="AH3038" s="2" t="str">
        <f ca="1"/>
        <v>OK</v>
      </c>
    </row>
    <row r="3039" spans="2:34" x14ac:dyDescent="0.2">
      <c r="B3039" s="2">
        <f ca="1"/>
        <v>0.34968626246279833</v>
      </c>
      <c r="O3039" s="2">
        <f ca="1"/>
        <v>-0.48119958522901252</v>
      </c>
      <c r="X3039" s="2">
        <f ca="1"/>
        <v>38.843532205111643</v>
      </c>
      <c r="AG3039" s="2">
        <f ca="1"/>
        <v>0.34903362130582094</v>
      </c>
      <c r="AH3039" s="2" t="str">
        <f ca="1"/>
        <v>OK</v>
      </c>
    </row>
    <row r="3040" spans="2:34" x14ac:dyDescent="0.2">
      <c r="B3040" s="2">
        <f ca="1"/>
        <v>0.9895380023787439</v>
      </c>
      <c r="O3040" s="2">
        <f ca="1"/>
        <v>-1.0133945807121156</v>
      </c>
      <c r="X3040" s="2">
        <f ca="1"/>
        <v>54.636141639786302</v>
      </c>
      <c r="AG3040" s="2">
        <f ca="1"/>
        <v>0.99678551607239929</v>
      </c>
      <c r="AH3040" s="2" t="str">
        <f ca="1"/>
        <v>Bad</v>
      </c>
    </row>
    <row r="3041" spans="2:34" x14ac:dyDescent="0.2">
      <c r="B3041" s="2">
        <f ca="1"/>
        <v>0.41741971546284917</v>
      </c>
      <c r="O3041" s="2">
        <f ca="1"/>
        <v>0.6225218739372903</v>
      </c>
      <c r="X3041" s="2">
        <f ca="1"/>
        <v>75.030592943266726</v>
      </c>
      <c r="AG3041" s="2">
        <f ca="1"/>
        <v>0.10922385507178656</v>
      </c>
      <c r="AH3041" s="2" t="str">
        <f ca="1"/>
        <v>OK</v>
      </c>
    </row>
    <row r="3042" spans="2:34" x14ac:dyDescent="0.2">
      <c r="B3042" s="2">
        <f ca="1"/>
        <v>0.44369246135468399</v>
      </c>
      <c r="O3042" s="2">
        <f ca="1"/>
        <v>0.16903788939637837</v>
      </c>
      <c r="X3042" s="2">
        <f ca="1"/>
        <v>56.315114063309657</v>
      </c>
      <c r="AG3042" s="2">
        <f ca="1"/>
        <v>0.76323365065407844</v>
      </c>
      <c r="AH3042" s="2" t="str">
        <f ca="1"/>
        <v>Bad</v>
      </c>
    </row>
    <row r="3043" spans="2:34" x14ac:dyDescent="0.2">
      <c r="B3043" s="2">
        <f ca="1"/>
        <v>0.19849442319098087</v>
      </c>
      <c r="O3043" s="2">
        <f ca="1"/>
        <v>0.37306665564751629</v>
      </c>
      <c r="X3043" s="2">
        <f ca="1"/>
        <v>47.987675915603717</v>
      </c>
      <c r="AG3043" s="2">
        <f ca="1"/>
        <v>0.13883459178660473</v>
      </c>
      <c r="AH3043" s="2" t="str">
        <f ca="1"/>
        <v>OK</v>
      </c>
    </row>
    <row r="3044" spans="2:34" x14ac:dyDescent="0.2">
      <c r="B3044" s="2">
        <f ca="1"/>
        <v>0.86089528708538854</v>
      </c>
      <c r="O3044" s="2">
        <f ca="1"/>
        <v>1.9248574871470681</v>
      </c>
      <c r="X3044" s="2">
        <f ca="1"/>
        <v>51.489477848145043</v>
      </c>
      <c r="AG3044" s="2">
        <f ca="1"/>
        <v>0.23860733124291755</v>
      </c>
      <c r="AH3044" s="2" t="str">
        <f ca="1"/>
        <v>OK</v>
      </c>
    </row>
    <row r="3045" spans="2:34" x14ac:dyDescent="0.2">
      <c r="B3045" s="2">
        <f ca="1"/>
        <v>0.55262899341954541</v>
      </c>
      <c r="O3045" s="2">
        <f ca="1"/>
        <v>-0.20832907478430984</v>
      </c>
      <c r="X3045" s="2">
        <f ca="1"/>
        <v>44.922483966669404</v>
      </c>
      <c r="AG3045" s="2">
        <f ca="1"/>
        <v>0.6735587704385313</v>
      </c>
      <c r="AH3045" s="2" t="str">
        <f ca="1"/>
        <v>Bad</v>
      </c>
    </row>
    <row r="3046" spans="2:34" x14ac:dyDescent="0.2">
      <c r="B3046" s="2">
        <f ca="1"/>
        <v>0.21731721583884966</v>
      </c>
      <c r="O3046" s="2">
        <f ca="1"/>
        <v>-0.38950145386202351</v>
      </c>
      <c r="X3046" s="2">
        <f ca="1"/>
        <v>31.54607961286937</v>
      </c>
      <c r="AG3046" s="2">
        <f ca="1"/>
        <v>0.73519395191285808</v>
      </c>
      <c r="AH3046" s="2" t="str">
        <f ca="1"/>
        <v>Bad</v>
      </c>
    </row>
    <row r="3047" spans="2:34" x14ac:dyDescent="0.2">
      <c r="B3047" s="2">
        <f ca="1"/>
        <v>0.46058970888758322</v>
      </c>
      <c r="O3047" s="2">
        <f ca="1"/>
        <v>-2.6645920499395744E-2</v>
      </c>
      <c r="X3047" s="2">
        <f ca="1"/>
        <v>39.073304412327118</v>
      </c>
      <c r="AG3047" s="2">
        <f ca="1"/>
        <v>0.34809371082091567</v>
      </c>
      <c r="AH3047" s="2" t="str">
        <f ca="1"/>
        <v>OK</v>
      </c>
    </row>
    <row r="3048" spans="2:34" x14ac:dyDescent="0.2">
      <c r="B3048" s="2">
        <f ca="1"/>
        <v>0.114002135045979</v>
      </c>
      <c r="O3048" s="2">
        <f ca="1"/>
        <v>1.8912733633291314</v>
      </c>
      <c r="X3048" s="2">
        <f ca="1"/>
        <v>54.531733242707659</v>
      </c>
      <c r="AG3048" s="2">
        <f ca="1"/>
        <v>0.56849636158806827</v>
      </c>
      <c r="AH3048" s="2" t="str">
        <f ca="1"/>
        <v>Bad</v>
      </c>
    </row>
    <row r="3049" spans="2:34" x14ac:dyDescent="0.2">
      <c r="B3049" s="2">
        <f ca="1"/>
        <v>0.33154217207791836</v>
      </c>
      <c r="O3049" s="2">
        <f ca="1"/>
        <v>-1.479008810949535</v>
      </c>
      <c r="X3049" s="2">
        <f ca="1"/>
        <v>47.111877468491258</v>
      </c>
      <c r="AG3049" s="2">
        <f ca="1"/>
        <v>0.13795038471353482</v>
      </c>
      <c r="AH3049" s="2" t="str">
        <f ca="1"/>
        <v>OK</v>
      </c>
    </row>
    <row r="3050" spans="2:34" x14ac:dyDescent="0.2">
      <c r="B3050" s="2">
        <f ca="1"/>
        <v>0.39830549876371268</v>
      </c>
      <c r="O3050" s="2">
        <f ca="1"/>
        <v>-0.87846474250830064</v>
      </c>
      <c r="X3050" s="2">
        <f ca="1"/>
        <v>57.419175060786444</v>
      </c>
      <c r="AG3050" s="2">
        <f ca="1"/>
        <v>0.55187045911522947</v>
      </c>
      <c r="AH3050" s="2" t="str">
        <f ca="1"/>
        <v>Bad</v>
      </c>
    </row>
    <row r="3051" spans="2:34" x14ac:dyDescent="0.2">
      <c r="B3051" s="2">
        <f ca="1"/>
        <v>0.39436045324597635</v>
      </c>
      <c r="O3051" s="2">
        <f ca="1"/>
        <v>0.54857466468911542</v>
      </c>
      <c r="X3051" s="2">
        <f ca="1"/>
        <v>61.121430743877042</v>
      </c>
      <c r="AG3051" s="2">
        <f ca="1"/>
        <v>4.1815281549144379E-2</v>
      </c>
      <c r="AH3051" s="2" t="str">
        <f ca="1"/>
        <v>Good</v>
      </c>
    </row>
    <row r="3052" spans="2:34" x14ac:dyDescent="0.2">
      <c r="B3052" s="2">
        <f ca="1"/>
        <v>0.46546118936940872</v>
      </c>
      <c r="O3052" s="2">
        <f ca="1"/>
        <v>-0.5941715058814292</v>
      </c>
      <c r="X3052" s="2">
        <f ca="1"/>
        <v>25.942477952556558</v>
      </c>
      <c r="AG3052" s="2">
        <f ca="1"/>
        <v>0.41885047084494187</v>
      </c>
      <c r="AH3052" s="2" t="str">
        <f ca="1"/>
        <v>Bad</v>
      </c>
    </row>
    <row r="3053" spans="2:34" x14ac:dyDescent="0.2">
      <c r="B3053" s="2">
        <f ca="1"/>
        <v>0.16343245404949935</v>
      </c>
      <c r="O3053" s="2">
        <f ca="1"/>
        <v>-0.30635330108022329</v>
      </c>
      <c r="X3053" s="2">
        <f ca="1"/>
        <v>54.628385774267656</v>
      </c>
      <c r="AG3053" s="2">
        <f ca="1"/>
        <v>0.75425219119670817</v>
      </c>
      <c r="AH3053" s="2" t="str">
        <f ca="1"/>
        <v>Bad</v>
      </c>
    </row>
    <row r="3054" spans="2:34" x14ac:dyDescent="0.2">
      <c r="B3054" s="2">
        <f ca="1"/>
        <v>0.23711675858637338</v>
      </c>
      <c r="O3054" s="2">
        <f ca="1"/>
        <v>0.71171559103609383</v>
      </c>
      <c r="X3054" s="2">
        <f ca="1"/>
        <v>47.059145984048925</v>
      </c>
      <c r="AG3054" s="2">
        <f ca="1"/>
        <v>0.81466837723814045</v>
      </c>
      <c r="AH3054" s="2" t="str">
        <f ca="1"/>
        <v>Bad</v>
      </c>
    </row>
    <row r="3055" spans="2:34" x14ac:dyDescent="0.2">
      <c r="B3055" s="2">
        <f ca="1"/>
        <v>0.43173026959301186</v>
      </c>
      <c r="O3055" s="2">
        <f ca="1"/>
        <v>1.492308544101377</v>
      </c>
      <c r="X3055" s="2">
        <f ca="1"/>
        <v>62.217723824337071</v>
      </c>
      <c r="AG3055" s="2">
        <f ca="1"/>
        <v>0.68027932764686549</v>
      </c>
      <c r="AH3055" s="2" t="str">
        <f ca="1"/>
        <v>Bad</v>
      </c>
    </row>
    <row r="3056" spans="2:34" x14ac:dyDescent="0.2">
      <c r="B3056" s="2">
        <f ca="1"/>
        <v>0.135875054724371</v>
      </c>
      <c r="O3056" s="2">
        <f ca="1"/>
        <v>-1.3989751121333838</v>
      </c>
      <c r="X3056" s="2">
        <f ca="1"/>
        <v>47.868683401217837</v>
      </c>
      <c r="AG3056" s="2">
        <f ca="1"/>
        <v>0.14708952908934814</v>
      </c>
      <c r="AH3056" s="2" t="str">
        <f ca="1"/>
        <v>OK</v>
      </c>
    </row>
    <row r="3057" spans="2:34" x14ac:dyDescent="0.2">
      <c r="B3057" s="2">
        <f ca="1"/>
        <v>0.42114887967311421</v>
      </c>
      <c r="O3057" s="2">
        <f ca="1"/>
        <v>1.0962011069428605</v>
      </c>
      <c r="X3057" s="2">
        <f ca="1"/>
        <v>33.033328310002382</v>
      </c>
      <c r="AG3057" s="2">
        <f ca="1"/>
        <v>0.24649838964016602</v>
      </c>
      <c r="AH3057" s="2" t="str">
        <f ca="1"/>
        <v>OK</v>
      </c>
    </row>
    <row r="3058" spans="2:34" x14ac:dyDescent="0.2">
      <c r="B3058" s="2">
        <f ca="1"/>
        <v>0.33279773561857717</v>
      </c>
      <c r="O3058" s="2">
        <f ca="1"/>
        <v>0.17813342844568203</v>
      </c>
      <c r="X3058" s="2">
        <f ca="1"/>
        <v>37.445391523426025</v>
      </c>
      <c r="AG3058" s="2">
        <f ca="1"/>
        <v>3.2362258847461911E-2</v>
      </c>
      <c r="AH3058" s="2" t="str">
        <f ca="1"/>
        <v>Good</v>
      </c>
    </row>
    <row r="3059" spans="2:34" x14ac:dyDescent="0.2">
      <c r="B3059" s="2">
        <f ca="1"/>
        <v>7.0450374060828436E-2</v>
      </c>
      <c r="O3059" s="2">
        <f ca="1"/>
        <v>1.8508171957003856</v>
      </c>
      <c r="X3059" s="2">
        <f ca="1"/>
        <v>70.1980919986391</v>
      </c>
      <c r="AG3059" s="2">
        <f ca="1"/>
        <v>0.60060830611747518</v>
      </c>
      <c r="AH3059" s="2" t="str">
        <f ca="1"/>
        <v>Bad</v>
      </c>
    </row>
    <row r="3060" spans="2:34" x14ac:dyDescent="0.2">
      <c r="B3060" s="2">
        <f ca="1"/>
        <v>0.50392049426070695</v>
      </c>
      <c r="O3060" s="2">
        <f ca="1"/>
        <v>-1.1802756863193622</v>
      </c>
      <c r="X3060" s="2">
        <f ca="1"/>
        <v>22.818860858347204</v>
      </c>
      <c r="AG3060" s="2">
        <f ca="1"/>
        <v>0.36098772585801253</v>
      </c>
      <c r="AH3060" s="2" t="str">
        <f ca="1"/>
        <v>OK</v>
      </c>
    </row>
    <row r="3061" spans="2:34" x14ac:dyDescent="0.2">
      <c r="B3061" s="2">
        <f ca="1"/>
        <v>0.62690445150629137</v>
      </c>
      <c r="O3061" s="2">
        <f ca="1"/>
        <v>0.93042385429945007</v>
      </c>
      <c r="X3061" s="2">
        <f ca="1"/>
        <v>93.397109554926843</v>
      </c>
      <c r="AG3061" s="2">
        <f ca="1"/>
        <v>0.37600890363431794</v>
      </c>
      <c r="AH3061" s="2" t="str">
        <f ca="1"/>
        <v>OK</v>
      </c>
    </row>
    <row r="3062" spans="2:34" x14ac:dyDescent="0.2">
      <c r="B3062" s="2">
        <f ca="1"/>
        <v>0.14585229031873137</v>
      </c>
      <c r="O3062" s="2">
        <f ca="1"/>
        <v>0.50672194993565256</v>
      </c>
      <c r="X3062" s="2">
        <f ca="1"/>
        <v>57.202209032733279</v>
      </c>
      <c r="AG3062" s="2">
        <f ca="1"/>
        <v>0.34183156765731204</v>
      </c>
      <c r="AH3062" s="2" t="str">
        <f ca="1"/>
        <v>OK</v>
      </c>
    </row>
    <row r="3063" spans="2:34" x14ac:dyDescent="0.2">
      <c r="B3063" s="2">
        <f ca="1"/>
        <v>0.81724920832415648</v>
      </c>
      <c r="O3063" s="2">
        <f ca="1"/>
        <v>-0.87396150616123147</v>
      </c>
      <c r="X3063" s="2">
        <f ca="1"/>
        <v>63.349301178303534</v>
      </c>
      <c r="AG3063" s="2">
        <f ca="1"/>
        <v>0.20073722031281571</v>
      </c>
      <c r="AH3063" s="2" t="str">
        <f ca="1"/>
        <v>OK</v>
      </c>
    </row>
    <row r="3064" spans="2:34" x14ac:dyDescent="0.2">
      <c r="B3064" s="2">
        <f ca="1"/>
        <v>0.68750122474576014</v>
      </c>
      <c r="O3064" s="2">
        <f ca="1"/>
        <v>4.0424062595159613E-2</v>
      </c>
      <c r="X3064" s="2">
        <f ca="1"/>
        <v>50.831479831777614</v>
      </c>
      <c r="AG3064" s="2">
        <f ca="1"/>
        <v>0.2346350756416844</v>
      </c>
      <c r="AH3064" s="2" t="str">
        <f ca="1"/>
        <v>OK</v>
      </c>
    </row>
    <row r="3065" spans="2:34" x14ac:dyDescent="0.2">
      <c r="B3065" s="2">
        <f ca="1"/>
        <v>2.8699727879948789E-2</v>
      </c>
      <c r="O3065" s="2">
        <f ca="1"/>
        <v>1.5557932689590832</v>
      </c>
      <c r="X3065" s="2">
        <f ca="1"/>
        <v>41.452128243811941</v>
      </c>
      <c r="AG3065" s="2">
        <f ca="1"/>
        <v>0.39346113568178498</v>
      </c>
      <c r="AH3065" s="2" t="str">
        <f ca="1"/>
        <v>OK</v>
      </c>
    </row>
    <row r="3066" spans="2:34" x14ac:dyDescent="0.2">
      <c r="B3066" s="2">
        <f ca="1"/>
        <v>0.52066528165019554</v>
      </c>
      <c r="O3066" s="2">
        <f ca="1"/>
        <v>-0.30693707641335205</v>
      </c>
      <c r="X3066" s="2">
        <f ca="1"/>
        <v>29.540422747504394</v>
      </c>
      <c r="AG3066" s="2">
        <f ca="1"/>
        <v>0.72335023788616271</v>
      </c>
      <c r="AH3066" s="2" t="str">
        <f ca="1"/>
        <v>Bad</v>
      </c>
    </row>
    <row r="3067" spans="2:34" x14ac:dyDescent="0.2">
      <c r="B3067" s="2">
        <f ca="1"/>
        <v>0.49282487977209999</v>
      </c>
      <c r="O3067" s="2">
        <f ca="1"/>
        <v>1.1047725628228136</v>
      </c>
      <c r="X3067" s="2">
        <f ca="1"/>
        <v>45.817188542853806</v>
      </c>
      <c r="AG3067" s="2">
        <f ca="1"/>
        <v>0.36030381481959917</v>
      </c>
      <c r="AH3067" s="2" t="str">
        <f ca="1"/>
        <v>OK</v>
      </c>
    </row>
    <row r="3068" spans="2:34" x14ac:dyDescent="0.2">
      <c r="B3068" s="2">
        <f ca="1"/>
        <v>0.69344894571456828</v>
      </c>
      <c r="O3068" s="2">
        <f ca="1"/>
        <v>1.559768078078319</v>
      </c>
      <c r="X3068" s="2">
        <f ca="1"/>
        <v>72.715013212066623</v>
      </c>
      <c r="AG3068" s="2">
        <f ca="1"/>
        <v>0.62395029006444092</v>
      </c>
      <c r="AH3068" s="2" t="str">
        <f ca="1"/>
        <v>Bad</v>
      </c>
    </row>
    <row r="3069" spans="2:34" x14ac:dyDescent="0.2">
      <c r="B3069" s="2">
        <f ca="1"/>
        <v>0.13780034972329935</v>
      </c>
      <c r="O3069" s="2">
        <f ca="1"/>
        <v>1.0121938864054552</v>
      </c>
      <c r="X3069" s="2">
        <f ca="1"/>
        <v>61.234751724491105</v>
      </c>
      <c r="AG3069" s="2">
        <f ca="1"/>
        <v>0.15407561850494611</v>
      </c>
      <c r="AH3069" s="2" t="str">
        <f ca="1"/>
        <v>OK</v>
      </c>
    </row>
    <row r="3070" spans="2:34" x14ac:dyDescent="0.2">
      <c r="B3070" s="2">
        <f ca="1"/>
        <v>0.66972405526322043</v>
      </c>
      <c r="O3070" s="2">
        <f ca="1"/>
        <v>0.78756887976056777</v>
      </c>
      <c r="X3070" s="2">
        <f ca="1"/>
        <v>56.503661265142256</v>
      </c>
      <c r="AG3070" s="2">
        <f ca="1"/>
        <v>3.3790813950762111E-2</v>
      </c>
      <c r="AH3070" s="2" t="str">
        <f ca="1"/>
        <v>Good</v>
      </c>
    </row>
    <row r="3071" spans="2:34" x14ac:dyDescent="0.2">
      <c r="B3071" s="2">
        <f ca="1"/>
        <v>0.29599581076569126</v>
      </c>
      <c r="O3071" s="2">
        <f ca="1"/>
        <v>-0.50315762058942892</v>
      </c>
      <c r="X3071" s="2">
        <f ca="1"/>
        <v>28.721810512151276</v>
      </c>
      <c r="AG3071" s="2">
        <f ca="1"/>
        <v>0.11247497809566398</v>
      </c>
      <c r="AH3071" s="2" t="str">
        <f ca="1"/>
        <v>OK</v>
      </c>
    </row>
    <row r="3072" spans="2:34" x14ac:dyDescent="0.2">
      <c r="B3072" s="2">
        <f ca="1"/>
        <v>0.66843785489752605</v>
      </c>
      <c r="O3072" s="2">
        <f ca="1"/>
        <v>0.13539955112682969</v>
      </c>
      <c r="X3072" s="2">
        <f ca="1"/>
        <v>60.838652057265207</v>
      </c>
      <c r="AG3072" s="2">
        <f ca="1"/>
        <v>0.35524682838850241</v>
      </c>
      <c r="AH3072" s="2" t="str">
        <f ca="1"/>
        <v>OK</v>
      </c>
    </row>
    <row r="3073" spans="2:34" x14ac:dyDescent="0.2">
      <c r="B3073" s="2">
        <f ca="1"/>
        <v>0.91769960353737945</v>
      </c>
      <c r="O3073" s="2">
        <f ca="1"/>
        <v>-0.60207411162830782</v>
      </c>
      <c r="X3073" s="2">
        <f ca="1"/>
        <v>32.634169889091041</v>
      </c>
      <c r="AG3073" s="2">
        <f ca="1"/>
        <v>0.63927855542388534</v>
      </c>
      <c r="AH3073" s="2" t="str">
        <f ca="1"/>
        <v>Bad</v>
      </c>
    </row>
    <row r="3074" spans="2:34" x14ac:dyDescent="0.2">
      <c r="B3074" s="2">
        <f ca="1"/>
        <v>0.39613712682387159</v>
      </c>
      <c r="O3074" s="2">
        <f ca="1"/>
        <v>-0.39086826097683064</v>
      </c>
      <c r="X3074" s="2">
        <f ca="1"/>
        <v>51.544116683979226</v>
      </c>
      <c r="AG3074" s="2">
        <f ca="1"/>
        <v>0.33974769384740644</v>
      </c>
      <c r="AH3074" s="2" t="str">
        <f ca="1"/>
        <v>OK</v>
      </c>
    </row>
    <row r="3075" spans="2:34" x14ac:dyDescent="0.2">
      <c r="B3075" s="2">
        <f ca="1"/>
        <v>0.62540702694952044</v>
      </c>
      <c r="O3075" s="2">
        <f ca="1"/>
        <v>0.84688743002700684</v>
      </c>
      <c r="X3075" s="2">
        <f ca="1"/>
        <v>64.020533321572671</v>
      </c>
      <c r="AG3075" s="2">
        <f ca="1"/>
        <v>0.49825946507212748</v>
      </c>
      <c r="AH3075" s="2" t="str">
        <f ca="1"/>
        <v>Bad</v>
      </c>
    </row>
    <row r="3076" spans="2:34" x14ac:dyDescent="0.2">
      <c r="B3076" s="2">
        <f ca="1"/>
        <v>0.6485891887832802</v>
      </c>
      <c r="O3076" s="2">
        <f ca="1"/>
        <v>-0.35780525332409008</v>
      </c>
      <c r="X3076" s="2">
        <f ca="1"/>
        <v>74.891403982993211</v>
      </c>
      <c r="AG3076" s="2">
        <f ca="1"/>
        <v>0.90510563227344321</v>
      </c>
      <c r="AH3076" s="2" t="str">
        <f ca="1"/>
        <v>Bad</v>
      </c>
    </row>
    <row r="3077" spans="2:34" x14ac:dyDescent="0.2">
      <c r="B3077" s="2">
        <f ca="1"/>
        <v>0.72452279243808859</v>
      </c>
      <c r="O3077" s="2">
        <f ca="1"/>
        <v>0.48400156979368758</v>
      </c>
      <c r="X3077" s="2">
        <f ca="1"/>
        <v>47.293862223903403</v>
      </c>
      <c r="AG3077" s="2">
        <f ca="1"/>
        <v>0.37262432674514367</v>
      </c>
      <c r="AH3077" s="2" t="str">
        <f ca="1"/>
        <v>OK</v>
      </c>
    </row>
    <row r="3078" spans="2:34" x14ac:dyDescent="0.2">
      <c r="B3078" s="2">
        <f ca="1"/>
        <v>0.90943182637928199</v>
      </c>
      <c r="O3078" s="2">
        <f ca="1"/>
        <v>2.7722482744662158E-2</v>
      </c>
      <c r="X3078" s="2">
        <f ca="1"/>
        <v>43.972975759754263</v>
      </c>
      <c r="AG3078" s="2">
        <f ca="1"/>
        <v>0.87494044856373421</v>
      </c>
      <c r="AH3078" s="2" t="str">
        <f ca="1"/>
        <v>Bad</v>
      </c>
    </row>
    <row r="3079" spans="2:34" x14ac:dyDescent="0.2">
      <c r="B3079" s="2">
        <f ca="1"/>
        <v>0.81488952483387145</v>
      </c>
      <c r="O3079" s="2">
        <f ca="1"/>
        <v>-1.20297979756873</v>
      </c>
      <c r="X3079" s="2">
        <f ca="1"/>
        <v>70.29027804121273</v>
      </c>
      <c r="AG3079" s="2">
        <f ca="1"/>
        <v>0.68245242110062598</v>
      </c>
      <c r="AH3079" s="2" t="str">
        <f ca="1"/>
        <v>Bad</v>
      </c>
    </row>
    <row r="3080" spans="2:34" x14ac:dyDescent="0.2">
      <c r="B3080" s="2">
        <f ca="1"/>
        <v>0.70775426084423843</v>
      </c>
      <c r="O3080" s="2">
        <f ca="1"/>
        <v>-0.57354376581028266</v>
      </c>
      <c r="X3080" s="2">
        <f ca="1"/>
        <v>50.277991814213429</v>
      </c>
      <c r="AG3080" s="2">
        <f ca="1"/>
        <v>0.21715376449628621</v>
      </c>
      <c r="AH3080" s="2" t="str">
        <f ca="1"/>
        <v>OK</v>
      </c>
    </row>
    <row r="3081" spans="2:34" x14ac:dyDescent="0.2">
      <c r="B3081" s="2">
        <f ca="1"/>
        <v>0.80996410272846942</v>
      </c>
      <c r="O3081" s="2">
        <f ca="1"/>
        <v>-0.34134147843725293</v>
      </c>
      <c r="X3081" s="2">
        <f ca="1"/>
        <v>39.378496396545593</v>
      </c>
      <c r="AG3081" s="2">
        <f ca="1"/>
        <v>0.52889695353519106</v>
      </c>
      <c r="AH3081" s="2" t="str">
        <f ca="1"/>
        <v>Bad</v>
      </c>
    </row>
    <row r="3082" spans="2:34" x14ac:dyDescent="0.2">
      <c r="B3082" s="2">
        <f ca="1"/>
        <v>0.70700983789649485</v>
      </c>
      <c r="O3082" s="2">
        <f ca="1"/>
        <v>-1.1414628115081376</v>
      </c>
      <c r="X3082" s="2">
        <f ca="1"/>
        <v>64.394974284516678</v>
      </c>
      <c r="AG3082" s="2">
        <f ca="1"/>
        <v>0.74352301046204294</v>
      </c>
      <c r="AH3082" s="2" t="str">
        <f ca="1"/>
        <v>Bad</v>
      </c>
    </row>
    <row r="3083" spans="2:34" x14ac:dyDescent="0.2">
      <c r="B3083" s="2">
        <f ca="1"/>
        <v>0.9822494305591194</v>
      </c>
      <c r="O3083" s="2">
        <f ca="1"/>
        <v>1.1330336899328355</v>
      </c>
      <c r="X3083" s="2">
        <f ca="1"/>
        <v>54.871135586791631</v>
      </c>
      <c r="AG3083" s="2">
        <f ca="1"/>
        <v>0.31824400560622079</v>
      </c>
      <c r="AH3083" s="2" t="str">
        <f ca="1"/>
        <v>OK</v>
      </c>
    </row>
    <row r="3084" spans="2:34" x14ac:dyDescent="0.2">
      <c r="B3084" s="2">
        <f ca="1"/>
        <v>0.20670274854045623</v>
      </c>
      <c r="O3084" s="2">
        <f ca="1"/>
        <v>0.5364882563786586</v>
      </c>
      <c r="X3084" s="2">
        <f ca="1"/>
        <v>76.841245154388446</v>
      </c>
      <c r="AG3084" s="2">
        <f ca="1"/>
        <v>0.30113365442725382</v>
      </c>
      <c r="AH3084" s="2" t="str">
        <f ca="1"/>
        <v>OK</v>
      </c>
    </row>
    <row r="3085" spans="2:34" x14ac:dyDescent="0.2">
      <c r="B3085" s="2">
        <f ca="1"/>
        <v>0.7175927136478073</v>
      </c>
      <c r="O3085" s="2">
        <f ca="1"/>
        <v>-0.91103525830883103</v>
      </c>
      <c r="X3085" s="2">
        <f ca="1"/>
        <v>65.117254471065024</v>
      </c>
      <c r="AG3085" s="2">
        <f ca="1"/>
        <v>0.95245940835923193</v>
      </c>
      <c r="AH3085" s="2" t="str">
        <f ca="1"/>
        <v>Bad</v>
      </c>
    </row>
    <row r="3086" spans="2:34" x14ac:dyDescent="0.2">
      <c r="B3086" s="2">
        <f ca="1"/>
        <v>0.95879228301432162</v>
      </c>
      <c r="O3086" s="2">
        <f ca="1"/>
        <v>-4.7657058627851738E-2</v>
      </c>
      <c r="X3086" s="2">
        <f ca="1"/>
        <v>56.048275281631447</v>
      </c>
      <c r="AG3086" s="2">
        <f ca="1"/>
        <v>0.45359638794884538</v>
      </c>
      <c r="AH3086" s="2" t="str">
        <f ca="1"/>
        <v>Bad</v>
      </c>
    </row>
    <row r="3087" spans="2:34" x14ac:dyDescent="0.2">
      <c r="B3087" s="2">
        <f ca="1"/>
        <v>0.74444229083685154</v>
      </c>
      <c r="O3087" s="2">
        <f ca="1"/>
        <v>-0.63513403133756785</v>
      </c>
      <c r="X3087" s="2">
        <f ca="1"/>
        <v>58.604312504872624</v>
      </c>
      <c r="AG3087" s="2">
        <f ca="1"/>
        <v>0.56578118245167164</v>
      </c>
      <c r="AH3087" s="2" t="str">
        <f ca="1"/>
        <v>Bad</v>
      </c>
    </row>
    <row r="3088" spans="2:34" x14ac:dyDescent="0.2">
      <c r="B3088" s="2">
        <f ca="1"/>
        <v>0.4618123395972451</v>
      </c>
      <c r="O3088" s="2">
        <f ca="1"/>
        <v>0.42964856884544511</v>
      </c>
      <c r="X3088" s="2">
        <f ca="1"/>
        <v>50.557296546032013</v>
      </c>
      <c r="AG3088" s="2">
        <f ca="1"/>
        <v>0.48340445412268829</v>
      </c>
      <c r="AH3088" s="2" t="str">
        <f ca="1"/>
        <v>Bad</v>
      </c>
    </row>
    <row r="3089" spans="2:34" x14ac:dyDescent="0.2">
      <c r="B3089" s="2">
        <f ca="1"/>
        <v>8.0830912530145627E-2</v>
      </c>
      <c r="O3089" s="2">
        <f ca="1"/>
        <v>-0.90369101654786843</v>
      </c>
      <c r="X3089" s="2">
        <f ca="1"/>
        <v>47.672353552966136</v>
      </c>
      <c r="AG3089" s="2">
        <f ca="1"/>
        <v>0.74677790376266784</v>
      </c>
      <c r="AH3089" s="2" t="str">
        <f ca="1"/>
        <v>Bad</v>
      </c>
    </row>
    <row r="3090" spans="2:34" x14ac:dyDescent="0.2">
      <c r="B3090" s="2">
        <f ca="1"/>
        <v>0.60821197820790029</v>
      </c>
      <c r="O3090" s="2">
        <f ca="1"/>
        <v>0.8269215457132757</v>
      </c>
      <c r="X3090" s="2">
        <f ca="1"/>
        <v>55.247870988436382</v>
      </c>
      <c r="AG3090" s="2">
        <f ca="1"/>
        <v>0.91100719040079237</v>
      </c>
      <c r="AH3090" s="2" t="str">
        <f ca="1"/>
        <v>Bad</v>
      </c>
    </row>
    <row r="3091" spans="2:34" x14ac:dyDescent="0.2">
      <c r="B3091" s="2">
        <f ca="1"/>
        <v>0.92537725945703708</v>
      </c>
      <c r="O3091" s="2">
        <f ca="1"/>
        <v>0.41158202705022201</v>
      </c>
      <c r="X3091" s="2">
        <f ca="1"/>
        <v>34.973860880172055</v>
      </c>
      <c r="AG3091" s="2">
        <f ca="1"/>
        <v>0.20819134958615315</v>
      </c>
      <c r="AH3091" s="2" t="str">
        <f ca="1"/>
        <v>OK</v>
      </c>
    </row>
    <row r="3092" spans="2:34" x14ac:dyDescent="0.2">
      <c r="B3092" s="2">
        <f ca="1"/>
        <v>0.44085801583321604</v>
      </c>
      <c r="O3092" s="2">
        <f ca="1"/>
        <v>-0.45245421580495393</v>
      </c>
      <c r="X3092" s="2">
        <f ca="1"/>
        <v>50.887012551044847</v>
      </c>
      <c r="AG3092" s="2">
        <f ca="1"/>
        <v>0.83240871266474126</v>
      </c>
      <c r="AH3092" s="2" t="str">
        <f ca="1"/>
        <v>Bad</v>
      </c>
    </row>
    <row r="3093" spans="2:34" x14ac:dyDescent="0.2">
      <c r="B3093" s="2">
        <f ca="1"/>
        <v>0.49133921848736462</v>
      </c>
      <c r="O3093" s="2">
        <f ca="1"/>
        <v>0.97550087662176388</v>
      </c>
      <c r="X3093" s="2">
        <f ca="1"/>
        <v>55.5834059017836</v>
      </c>
      <c r="AG3093" s="2">
        <f ca="1"/>
        <v>0.75398283791208098</v>
      </c>
      <c r="AH3093" s="2" t="str">
        <f ca="1"/>
        <v>Bad</v>
      </c>
    </row>
    <row r="3094" spans="2:34" x14ac:dyDescent="0.2">
      <c r="B3094" s="2">
        <f ca="1"/>
        <v>0.30934435880649325</v>
      </c>
      <c r="O3094" s="2">
        <f ca="1"/>
        <v>1.1378908614033967</v>
      </c>
      <c r="X3094" s="2">
        <f ca="1"/>
        <v>30.215297805250895</v>
      </c>
      <c r="AG3094" s="2">
        <f ca="1"/>
        <v>0.27834475381928758</v>
      </c>
      <c r="AH3094" s="2" t="str">
        <f ca="1"/>
        <v>OK</v>
      </c>
    </row>
    <row r="3095" spans="2:34" x14ac:dyDescent="0.2">
      <c r="B3095" s="2">
        <f ca="1"/>
        <v>0.48564849826625478</v>
      </c>
      <c r="O3095" s="2">
        <f ca="1"/>
        <v>8.5058626693602479E-4</v>
      </c>
      <c r="X3095" s="2">
        <f ca="1"/>
        <v>41.327667120132276</v>
      </c>
      <c r="AG3095" s="2">
        <f ca="1"/>
        <v>0.86363835164864322</v>
      </c>
      <c r="AH3095" s="2" t="str">
        <f ca="1"/>
        <v>Bad</v>
      </c>
    </row>
    <row r="3096" spans="2:34" x14ac:dyDescent="0.2">
      <c r="B3096" s="2">
        <f ca="1"/>
        <v>0.72756252834297541</v>
      </c>
      <c r="O3096" s="2">
        <f ca="1"/>
        <v>4.0799320904467376E-2</v>
      </c>
      <c r="X3096" s="2">
        <f ca="1"/>
        <v>35.050985574163668</v>
      </c>
      <c r="AG3096" s="2">
        <f ca="1"/>
        <v>0.82567565193713954</v>
      </c>
      <c r="AH3096" s="2" t="str">
        <f ca="1"/>
        <v>Bad</v>
      </c>
    </row>
    <row r="3097" spans="2:34" x14ac:dyDescent="0.2">
      <c r="B3097" s="2">
        <f ca="1"/>
        <v>0.99723485728878769</v>
      </c>
      <c r="O3097" s="2">
        <f ca="1"/>
        <v>-0.19177122831418034</v>
      </c>
      <c r="X3097" s="2">
        <f ca="1"/>
        <v>29.964386005583936</v>
      </c>
      <c r="AG3097" s="2">
        <f ca="1"/>
        <v>0.85160277575956589</v>
      </c>
      <c r="AH3097" s="2" t="str">
        <f ca="1"/>
        <v>Bad</v>
      </c>
    </row>
    <row r="3098" spans="2:34" x14ac:dyDescent="0.2">
      <c r="B3098" s="2">
        <f ca="1"/>
        <v>0.48201441647983856</v>
      </c>
      <c r="O3098" s="2">
        <f ca="1"/>
        <v>-0.80038038099682218</v>
      </c>
      <c r="X3098" s="2">
        <f ca="1"/>
        <v>43.617318795388911</v>
      </c>
      <c r="AG3098" s="2">
        <f ca="1"/>
        <v>0.30246791654541116</v>
      </c>
      <c r="AH3098" s="2" t="str">
        <f ca="1"/>
        <v>OK</v>
      </c>
    </row>
    <row r="3099" spans="2:34" x14ac:dyDescent="0.2">
      <c r="B3099" s="2">
        <f ca="1"/>
        <v>0.7488343727935014</v>
      </c>
      <c r="O3099" s="2">
        <f ca="1"/>
        <v>0.78352071497688403</v>
      </c>
      <c r="X3099" s="2">
        <f ca="1"/>
        <v>32.919425515061135</v>
      </c>
      <c r="AG3099" s="2">
        <f ca="1"/>
        <v>0.64682270834946842</v>
      </c>
      <c r="AH3099" s="2" t="str">
        <f ca="1"/>
        <v>Bad</v>
      </c>
    </row>
    <row r="3100" spans="2:34" x14ac:dyDescent="0.2">
      <c r="B3100" s="2">
        <f ca="1"/>
        <v>0.99061699448349416</v>
      </c>
      <c r="O3100" s="2">
        <f ca="1"/>
        <v>-1.917419070486726</v>
      </c>
      <c r="X3100" s="2">
        <f ca="1"/>
        <v>44.661871915603541</v>
      </c>
      <c r="AG3100" s="2">
        <f ca="1"/>
        <v>0.94280172569112275</v>
      </c>
      <c r="AH3100" s="2" t="str">
        <f ca="1"/>
        <v>Bad</v>
      </c>
    </row>
    <row r="3101" spans="2:34" x14ac:dyDescent="0.2">
      <c r="B3101" s="2">
        <f ca="1"/>
        <v>0.1448236190809451</v>
      </c>
      <c r="O3101" s="2">
        <f ca="1"/>
        <v>0.47608779516576749</v>
      </c>
      <c r="X3101" s="2">
        <f ca="1"/>
        <v>44.427131307013347</v>
      </c>
      <c r="AG3101" s="2">
        <f ca="1"/>
        <v>0.78899359914305278</v>
      </c>
      <c r="AH3101" s="2" t="str">
        <f ca="1"/>
        <v>Bad</v>
      </c>
    </row>
    <row r="3102" spans="2:34" x14ac:dyDescent="0.2">
      <c r="B3102" s="2">
        <f ca="1"/>
        <v>0.26688649159910249</v>
      </c>
      <c r="O3102" s="2">
        <f ca="1"/>
        <v>-1.9761506528063506</v>
      </c>
      <c r="X3102" s="2">
        <f ca="1"/>
        <v>41.11599781462445</v>
      </c>
      <c r="AG3102" s="2">
        <f ca="1"/>
        <v>0.44710250375336691</v>
      </c>
      <c r="AH3102" s="2" t="str">
        <f ca="1"/>
        <v>Bad</v>
      </c>
    </row>
    <row r="3103" spans="2:34" x14ac:dyDescent="0.2">
      <c r="B3103" s="2">
        <f ca="1"/>
        <v>0.68129409655299655</v>
      </c>
      <c r="O3103" s="2">
        <f ca="1"/>
        <v>-0.25209878634179794</v>
      </c>
      <c r="X3103" s="2">
        <f ca="1"/>
        <v>77.299583905064821</v>
      </c>
      <c r="AG3103" s="2">
        <f ca="1"/>
        <v>0.93742757070388283</v>
      </c>
      <c r="AH3103" s="2" t="str">
        <f ca="1"/>
        <v>Bad</v>
      </c>
    </row>
    <row r="3104" spans="2:34" x14ac:dyDescent="0.2">
      <c r="B3104" s="2">
        <f ca="1"/>
        <v>0.64668874020766887</v>
      </c>
      <c r="O3104" s="2">
        <f ca="1"/>
        <v>0.67421006582158938</v>
      </c>
      <c r="X3104" s="2">
        <f ca="1"/>
        <v>39.29455192866191</v>
      </c>
      <c r="AG3104" s="2">
        <f ca="1"/>
        <v>0.69405134994134698</v>
      </c>
      <c r="AH3104" s="2" t="str">
        <f ca="1"/>
        <v>Bad</v>
      </c>
    </row>
    <row r="3105" spans="2:34" x14ac:dyDescent="0.2">
      <c r="B3105" s="2">
        <f ca="1"/>
        <v>0.27748345488269122</v>
      </c>
      <c r="O3105" s="2">
        <f ca="1"/>
        <v>0.45997458259879354</v>
      </c>
      <c r="X3105" s="2">
        <f ca="1"/>
        <v>20.966037576083636</v>
      </c>
      <c r="AG3105" s="2">
        <f ca="1"/>
        <v>7.0452365408068429E-2</v>
      </c>
      <c r="AH3105" s="2" t="str">
        <f ca="1"/>
        <v>OK</v>
      </c>
    </row>
    <row r="3106" spans="2:34" x14ac:dyDescent="0.2">
      <c r="B3106" s="2">
        <f ca="1"/>
        <v>5.8614923979883882E-2</v>
      </c>
      <c r="O3106" s="2">
        <f ca="1"/>
        <v>0.69017172096447887</v>
      </c>
      <c r="X3106" s="2">
        <f ca="1"/>
        <v>75.588974485382494</v>
      </c>
      <c r="AG3106" s="2">
        <f ca="1"/>
        <v>0.65831131862293879</v>
      </c>
      <c r="AH3106" s="2" t="str">
        <f ca="1"/>
        <v>Bad</v>
      </c>
    </row>
    <row r="3107" spans="2:34" x14ac:dyDescent="0.2">
      <c r="B3107" s="2">
        <f ca="1"/>
        <v>0.67993702890921681</v>
      </c>
      <c r="O3107" s="2">
        <f ca="1"/>
        <v>0.98433479892730591</v>
      </c>
      <c r="X3107" s="2">
        <f ca="1"/>
        <v>46.729397543138944</v>
      </c>
      <c r="AG3107" s="2">
        <f ca="1"/>
        <v>0.6488547302986738</v>
      </c>
      <c r="AH3107" s="2" t="str">
        <f ca="1"/>
        <v>Bad</v>
      </c>
    </row>
    <row r="3108" spans="2:34" x14ac:dyDescent="0.2">
      <c r="B3108" s="2">
        <f ca="1"/>
        <v>0.71592188824728442</v>
      </c>
      <c r="O3108" s="2">
        <f ca="1"/>
        <v>-1.2814424518404612</v>
      </c>
      <c r="X3108" s="2">
        <f ca="1"/>
        <v>51.925798634732203</v>
      </c>
      <c r="AG3108" s="2">
        <f ca="1"/>
        <v>0.82360385410971104</v>
      </c>
      <c r="AH3108" s="2" t="str">
        <f ca="1"/>
        <v>Bad</v>
      </c>
    </row>
    <row r="3109" spans="2:34" x14ac:dyDescent="0.2">
      <c r="B3109" s="2">
        <f ca="1"/>
        <v>0.80449055656700197</v>
      </c>
      <c r="O3109" s="2">
        <f ca="1"/>
        <v>0.14793964706618434</v>
      </c>
      <c r="X3109" s="2">
        <f ca="1"/>
        <v>53.626182180306444</v>
      </c>
      <c r="AG3109" s="2">
        <f ca="1"/>
        <v>0.65541890935254932</v>
      </c>
      <c r="AH3109" s="2" t="str">
        <f ca="1"/>
        <v>Bad</v>
      </c>
    </row>
    <row r="3110" spans="2:34" x14ac:dyDescent="0.2">
      <c r="B3110" s="2">
        <f ca="1"/>
        <v>0.46262308254864437</v>
      </c>
      <c r="O3110" s="2">
        <f ca="1"/>
        <v>-2.1792958627117911</v>
      </c>
      <c r="X3110" s="2">
        <f ca="1"/>
        <v>83.472550788665743</v>
      </c>
      <c r="AG3110" s="2">
        <f ca="1"/>
        <v>0.44973758858552548</v>
      </c>
      <c r="AH3110" s="2" t="str">
        <f ca="1"/>
        <v>Bad</v>
      </c>
    </row>
    <row r="3111" spans="2:34" x14ac:dyDescent="0.2">
      <c r="B3111" s="2">
        <f ca="1"/>
        <v>0.45665396901733524</v>
      </c>
      <c r="O3111" s="2">
        <f ca="1"/>
        <v>-0.22573885050998146</v>
      </c>
      <c r="X3111" s="2">
        <f ca="1"/>
        <v>61.425545155134543</v>
      </c>
      <c r="AG3111" s="2">
        <f ca="1"/>
        <v>3.1851690588304837E-2</v>
      </c>
      <c r="AH3111" s="2" t="str">
        <f ca="1"/>
        <v>Good</v>
      </c>
    </row>
    <row r="3112" spans="2:34" x14ac:dyDescent="0.2">
      <c r="B3112" s="2">
        <f ca="1"/>
        <v>5.5108584548255735E-2</v>
      </c>
      <c r="O3112" s="2">
        <f ca="1"/>
        <v>0.10014715796936885</v>
      </c>
      <c r="X3112" s="2">
        <f ca="1"/>
        <v>69.004960183606286</v>
      </c>
      <c r="AG3112" s="2">
        <f ca="1"/>
        <v>0.54658870225427414</v>
      </c>
      <c r="AH3112" s="2" t="str">
        <f ca="1"/>
        <v>Bad</v>
      </c>
    </row>
    <row r="3113" spans="2:34" x14ac:dyDescent="0.2">
      <c r="B3113" s="2">
        <f ca="1"/>
        <v>0.83197840808271217</v>
      </c>
      <c r="O3113" s="2">
        <f ca="1"/>
        <v>-0.18778078215250862</v>
      </c>
      <c r="X3113" s="2">
        <f ca="1"/>
        <v>47.135939653213505</v>
      </c>
      <c r="AG3113" s="2">
        <f ca="1"/>
        <v>0.75766212246519582</v>
      </c>
      <c r="AH3113" s="2" t="str">
        <f ca="1"/>
        <v>Bad</v>
      </c>
    </row>
    <row r="3114" spans="2:34" x14ac:dyDescent="0.2">
      <c r="B3114" s="2">
        <f ca="1"/>
        <v>0.56358697509348588</v>
      </c>
      <c r="O3114" s="2">
        <f ca="1"/>
        <v>-0.95941574805053864</v>
      </c>
      <c r="X3114" s="2">
        <f ca="1"/>
        <v>38.804046251172842</v>
      </c>
      <c r="AG3114" s="2">
        <f ca="1"/>
        <v>0.1576841334162804</v>
      </c>
      <c r="AH3114" s="2" t="str">
        <f ca="1"/>
        <v>OK</v>
      </c>
    </row>
    <row r="3115" spans="2:34" x14ac:dyDescent="0.2">
      <c r="B3115" s="2">
        <f ca="1"/>
        <v>4.392375751920885E-2</v>
      </c>
      <c r="O3115" s="2">
        <f ca="1"/>
        <v>-2.2775404937568067</v>
      </c>
      <c r="X3115" s="2">
        <f ca="1"/>
        <v>63.932318899233366</v>
      </c>
      <c r="AG3115" s="2">
        <f ca="1"/>
        <v>0.89957521063306811</v>
      </c>
      <c r="AH3115" s="2" t="str">
        <f ca="1"/>
        <v>Bad</v>
      </c>
    </row>
    <row r="3116" spans="2:34" x14ac:dyDescent="0.2">
      <c r="B3116" s="2">
        <f ca="1"/>
        <v>0.40311912141341444</v>
      </c>
      <c r="O3116" s="2">
        <f ca="1"/>
        <v>1.4675991489537195</v>
      </c>
      <c r="X3116" s="2">
        <f ca="1"/>
        <v>45.655733046321181</v>
      </c>
      <c r="AG3116" s="2">
        <f ca="1"/>
        <v>0.6474651580251769</v>
      </c>
      <c r="AH3116" s="2" t="str">
        <f ca="1"/>
        <v>Bad</v>
      </c>
    </row>
    <row r="3117" spans="2:34" x14ac:dyDescent="0.2">
      <c r="B3117" s="2">
        <f ca="1"/>
        <v>0.21793002255707949</v>
      </c>
      <c r="O3117" s="2">
        <f ca="1"/>
        <v>0.25906332168322938</v>
      </c>
      <c r="X3117" s="2">
        <f ca="1"/>
        <v>36.389741814555322</v>
      </c>
      <c r="AG3117" s="2">
        <f ca="1"/>
        <v>0.5544628690406217</v>
      </c>
      <c r="AH3117" s="2" t="str">
        <f ca="1"/>
        <v>Bad</v>
      </c>
    </row>
    <row r="3118" spans="2:34" x14ac:dyDescent="0.2">
      <c r="B3118" s="2">
        <f ca="1"/>
        <v>0.97464935206408598</v>
      </c>
      <c r="O3118" s="2">
        <f ca="1"/>
        <v>1.2229948932716561</v>
      </c>
      <c r="X3118" s="2">
        <f ca="1"/>
        <v>48.40245075030704</v>
      </c>
      <c r="AG3118" s="2">
        <f ca="1"/>
        <v>0.90900317398627117</v>
      </c>
      <c r="AH3118" s="2" t="str">
        <f ca="1"/>
        <v>Bad</v>
      </c>
    </row>
    <row r="3119" spans="2:34" x14ac:dyDescent="0.2">
      <c r="B3119" s="2">
        <f ca="1"/>
        <v>5.4783918805698661E-3</v>
      </c>
      <c r="O3119" s="2">
        <f ca="1"/>
        <v>-0.81412971637869347</v>
      </c>
      <c r="X3119" s="2">
        <f ca="1"/>
        <v>64.580793582085079</v>
      </c>
      <c r="AG3119" s="2">
        <f ca="1"/>
        <v>0.604197228381671</v>
      </c>
      <c r="AH3119" s="2" t="str">
        <f ca="1"/>
        <v>Bad</v>
      </c>
    </row>
    <row r="3120" spans="2:34" x14ac:dyDescent="0.2">
      <c r="B3120" s="2">
        <f ca="1"/>
        <v>0.26682358935217421</v>
      </c>
      <c r="O3120" s="2">
        <f ca="1"/>
        <v>0.21863779545235662</v>
      </c>
      <c r="X3120" s="2">
        <f ca="1"/>
        <v>61.199808843124231</v>
      </c>
      <c r="AG3120" s="2">
        <f ca="1"/>
        <v>0.22142318880931899</v>
      </c>
      <c r="AH3120" s="2" t="str">
        <f ca="1"/>
        <v>OK</v>
      </c>
    </row>
    <row r="3121" spans="2:34" x14ac:dyDescent="0.2">
      <c r="B3121" s="2">
        <f ca="1"/>
        <v>0.62046098378561743</v>
      </c>
      <c r="O3121" s="2">
        <f ca="1"/>
        <v>0.49191679699669899</v>
      </c>
      <c r="X3121" s="2">
        <f ca="1"/>
        <v>43.818305577617593</v>
      </c>
      <c r="AG3121" s="2">
        <f ca="1"/>
        <v>0.641683601577411</v>
      </c>
      <c r="AH3121" s="2" t="str">
        <f ca="1"/>
        <v>Bad</v>
      </c>
    </row>
    <row r="3122" spans="2:34" x14ac:dyDescent="0.2">
      <c r="B3122" s="2">
        <f ca="1"/>
        <v>0.23755950112620949</v>
      </c>
      <c r="O3122" s="2">
        <f ca="1"/>
        <v>0.20745441379053947</v>
      </c>
      <c r="X3122" s="2">
        <f ca="1"/>
        <v>62.098610828542064</v>
      </c>
      <c r="AG3122" s="2">
        <f ca="1"/>
        <v>0.48256017458441569</v>
      </c>
      <c r="AH3122" s="2" t="str">
        <f ca="1"/>
        <v>Bad</v>
      </c>
    </row>
    <row r="3123" spans="2:34" x14ac:dyDescent="0.2">
      <c r="B3123" s="2">
        <f ca="1"/>
        <v>0.68854455061442699</v>
      </c>
      <c r="O3123" s="2">
        <f ca="1"/>
        <v>1.1257300448019636</v>
      </c>
      <c r="X3123" s="2">
        <f ca="1"/>
        <v>38.981144673284078</v>
      </c>
      <c r="AG3123" s="2">
        <f ca="1"/>
        <v>0.925480507144121</v>
      </c>
      <c r="AH3123" s="2" t="str">
        <f ca="1"/>
        <v>Bad</v>
      </c>
    </row>
    <row r="3124" spans="2:34" x14ac:dyDescent="0.2">
      <c r="B3124" s="2">
        <f ca="1"/>
        <v>0.72653216011248545</v>
      </c>
      <c r="O3124" s="2">
        <f ca="1"/>
        <v>-0.87643423767437811</v>
      </c>
      <c r="X3124" s="2">
        <f ca="1"/>
        <v>32.855771898127891</v>
      </c>
      <c r="AG3124" s="2">
        <f ca="1"/>
        <v>1.6473814274716059E-2</v>
      </c>
      <c r="AH3124" s="2" t="str">
        <f ca="1"/>
        <v>Good</v>
      </c>
    </row>
    <row r="3125" spans="2:34" x14ac:dyDescent="0.2">
      <c r="B3125" s="2">
        <f ca="1"/>
        <v>0.98429142141831427</v>
      </c>
      <c r="O3125" s="2">
        <f ca="1"/>
        <v>-0.50837061163677477</v>
      </c>
      <c r="X3125" s="2">
        <f ca="1"/>
        <v>52.73568768424709</v>
      </c>
      <c r="AG3125" s="2">
        <f ca="1"/>
        <v>0.5691810516826421</v>
      </c>
      <c r="AH3125" s="2" t="str">
        <f ca="1"/>
        <v>Bad</v>
      </c>
    </row>
    <row r="3126" spans="2:34" x14ac:dyDescent="0.2">
      <c r="B3126" s="2">
        <f ca="1"/>
        <v>0.25239536030316612</v>
      </c>
      <c r="O3126" s="2">
        <f ca="1"/>
        <v>0.76947215825861748</v>
      </c>
      <c r="X3126" s="2">
        <f ca="1"/>
        <v>46.723659736753909</v>
      </c>
      <c r="AG3126" s="2">
        <f ca="1"/>
        <v>0.40147086743392135</v>
      </c>
      <c r="AH3126" s="2" t="str">
        <f ca="1"/>
        <v>Bad</v>
      </c>
    </row>
    <row r="3127" spans="2:34" x14ac:dyDescent="0.2">
      <c r="B3127" s="2">
        <f ca="1"/>
        <v>0.39778616390230925</v>
      </c>
      <c r="O3127" s="2">
        <f ca="1"/>
        <v>-0.65137564939709713</v>
      </c>
      <c r="X3127" s="2">
        <f ca="1"/>
        <v>53.017557205554724</v>
      </c>
      <c r="AG3127" s="2">
        <f ca="1"/>
        <v>0.20778233931251755</v>
      </c>
      <c r="AH3127" s="2" t="str">
        <f ca="1"/>
        <v>OK</v>
      </c>
    </row>
    <row r="3128" spans="2:34" x14ac:dyDescent="0.2">
      <c r="B3128" s="2">
        <f ca="1"/>
        <v>0.90398031248518707</v>
      </c>
      <c r="O3128" s="2">
        <f ca="1"/>
        <v>0.23501872765612222</v>
      </c>
      <c r="X3128" s="2">
        <f ca="1"/>
        <v>43.134010680702417</v>
      </c>
      <c r="AG3128" s="2">
        <f ca="1"/>
        <v>0.38872556219957133</v>
      </c>
      <c r="AH3128" s="2" t="str">
        <f ca="1"/>
        <v>OK</v>
      </c>
    </row>
    <row r="3129" spans="2:34" x14ac:dyDescent="0.2">
      <c r="B3129" s="2">
        <f ca="1"/>
        <v>0.56208052076262915</v>
      </c>
      <c r="O3129" s="2">
        <f ca="1"/>
        <v>-0.69240822707949179</v>
      </c>
      <c r="X3129" s="2">
        <f ca="1"/>
        <v>46.004061666612735</v>
      </c>
      <c r="AG3129" s="2">
        <f ca="1"/>
        <v>0.52436705095206015</v>
      </c>
      <c r="AH3129" s="2" t="str">
        <f ca="1"/>
        <v>Bad</v>
      </c>
    </row>
    <row r="3130" spans="2:34" x14ac:dyDescent="0.2">
      <c r="B3130" s="2">
        <f ca="1"/>
        <v>0.71816477318155525</v>
      </c>
      <c r="O3130" s="2">
        <f ca="1"/>
        <v>-0.57269144002583061</v>
      </c>
      <c r="X3130" s="2">
        <f ca="1"/>
        <v>66.611713922823824</v>
      </c>
      <c r="AG3130" s="2">
        <f ca="1"/>
        <v>9.4468368285654192E-2</v>
      </c>
      <c r="AH3130" s="2" t="str">
        <f ca="1"/>
        <v>OK</v>
      </c>
    </row>
    <row r="3131" spans="2:34" x14ac:dyDescent="0.2">
      <c r="B3131" s="2">
        <f ca="1"/>
        <v>0.68548036899049247</v>
      </c>
      <c r="O3131" s="2">
        <f ca="1"/>
        <v>-0.2781651178048975</v>
      </c>
      <c r="X3131" s="2">
        <f ca="1"/>
        <v>62.345386669426439</v>
      </c>
      <c r="AG3131" s="2">
        <f ca="1"/>
        <v>0.76756350343125179</v>
      </c>
      <c r="AH3131" s="2" t="str">
        <f ca="1"/>
        <v>Bad</v>
      </c>
    </row>
    <row r="3132" spans="2:34" x14ac:dyDescent="0.2">
      <c r="B3132" s="2">
        <f ca="1"/>
        <v>0.22121184848273701</v>
      </c>
      <c r="O3132" s="2">
        <f ca="1"/>
        <v>-0.45100680865176385</v>
      </c>
      <c r="X3132" s="2">
        <f ca="1"/>
        <v>64.40201166217237</v>
      </c>
      <c r="AG3132" s="2">
        <f ca="1"/>
        <v>0.36143284278169019</v>
      </c>
      <c r="AH3132" s="2" t="str">
        <f ca="1"/>
        <v>OK</v>
      </c>
    </row>
    <row r="3133" spans="2:34" x14ac:dyDescent="0.2">
      <c r="B3133" s="2">
        <f ca="1"/>
        <v>0.33677544693417971</v>
      </c>
      <c r="O3133" s="2">
        <f ca="1"/>
        <v>0.8239301281665431</v>
      </c>
      <c r="X3133" s="2">
        <f ca="1"/>
        <v>40.022219154781112</v>
      </c>
      <c r="AG3133" s="2">
        <f ca="1"/>
        <v>0.41522853926360082</v>
      </c>
      <c r="AH3133" s="2" t="str">
        <f ca="1"/>
        <v>Bad</v>
      </c>
    </row>
    <row r="3134" spans="2:34" x14ac:dyDescent="0.2">
      <c r="B3134" s="2">
        <f ca="1"/>
        <v>0.22271633803221125</v>
      </c>
      <c r="O3134" s="2">
        <f ca="1"/>
        <v>0.96248162176810037</v>
      </c>
      <c r="X3134" s="2">
        <f ca="1"/>
        <v>37.488855101513565</v>
      </c>
      <c r="AG3134" s="2">
        <f ca="1"/>
        <v>0.53961250509495939</v>
      </c>
      <c r="AH3134" s="2" t="str">
        <f ca="1"/>
        <v>Bad</v>
      </c>
    </row>
    <row r="3135" spans="2:34" x14ac:dyDescent="0.2">
      <c r="B3135" s="2">
        <f ca="1"/>
        <v>0.50857576568455176</v>
      </c>
      <c r="O3135" s="2">
        <f ca="1"/>
        <v>-0.31079133298189715</v>
      </c>
      <c r="X3135" s="2">
        <f ca="1"/>
        <v>84.347416850239711</v>
      </c>
      <c r="AG3135" s="2">
        <f ca="1"/>
        <v>0.70710423038197656</v>
      </c>
      <c r="AH3135" s="2" t="str">
        <f ca="1"/>
        <v>Bad</v>
      </c>
    </row>
    <row r="3136" spans="2:34" x14ac:dyDescent="0.2">
      <c r="B3136" s="2">
        <f ca="1"/>
        <v>0.99975542747593704</v>
      </c>
      <c r="O3136" s="2">
        <f ca="1"/>
        <v>0.16962618929401824</v>
      </c>
      <c r="X3136" s="2">
        <f ca="1"/>
        <v>32.869033587222617</v>
      </c>
      <c r="AG3136" s="2">
        <f ca="1"/>
        <v>0.13089464716077037</v>
      </c>
      <c r="AH3136" s="2" t="str">
        <f ca="1"/>
        <v>OK</v>
      </c>
    </row>
    <row r="3137" spans="2:34" x14ac:dyDescent="0.2">
      <c r="B3137" s="2">
        <f ca="1"/>
        <v>7.3865208845397268E-2</v>
      </c>
      <c r="O3137" s="2">
        <f ca="1"/>
        <v>0.91100116158426436</v>
      </c>
      <c r="X3137" s="2">
        <f ca="1"/>
        <v>25.580026995951322</v>
      </c>
      <c r="AG3137" s="2">
        <f ca="1"/>
        <v>6.855741311112773E-2</v>
      </c>
      <c r="AH3137" s="2" t="str">
        <f ca="1"/>
        <v>OK</v>
      </c>
    </row>
    <row r="3138" spans="2:34" x14ac:dyDescent="0.2">
      <c r="B3138" s="2">
        <f ca="1"/>
        <v>0.95089388461600621</v>
      </c>
      <c r="O3138" s="2">
        <f ca="1"/>
        <v>2.5146373581459644E-2</v>
      </c>
      <c r="X3138" s="2">
        <f ca="1"/>
        <v>57.235765748856487</v>
      </c>
      <c r="AG3138" s="2">
        <f ca="1"/>
        <v>0.81476559473995103</v>
      </c>
      <c r="AH3138" s="2" t="str">
        <f ca="1"/>
        <v>Bad</v>
      </c>
    </row>
    <row r="3139" spans="2:34" x14ac:dyDescent="0.2">
      <c r="B3139" s="2">
        <f ca="1"/>
        <v>0.41793702195578919</v>
      </c>
      <c r="O3139" s="2">
        <f ca="1"/>
        <v>0.88488877508564723</v>
      </c>
      <c r="X3139" s="2">
        <f ca="1"/>
        <v>41.31767310734925</v>
      </c>
      <c r="AG3139" s="2">
        <f ca="1"/>
        <v>0.19573174442238206</v>
      </c>
      <c r="AH3139" s="2" t="str">
        <f ca="1"/>
        <v>OK</v>
      </c>
    </row>
    <row r="3140" spans="2:34" x14ac:dyDescent="0.2">
      <c r="B3140" s="2">
        <f ca="1"/>
        <v>0.61746055802253497</v>
      </c>
      <c r="O3140" s="2">
        <f ca="1"/>
        <v>-7.6104830704943945E-3</v>
      </c>
      <c r="X3140" s="2">
        <f ca="1"/>
        <v>36.225004643395778</v>
      </c>
      <c r="AG3140" s="2">
        <f ca="1"/>
        <v>0.68062944291337013</v>
      </c>
      <c r="AH3140" s="2" t="str">
        <f ca="1"/>
        <v>Bad</v>
      </c>
    </row>
    <row r="3141" spans="2:34" x14ac:dyDescent="0.2">
      <c r="B3141" s="2">
        <f ca="1"/>
        <v>0.98828116617268713</v>
      </c>
      <c r="O3141" s="2">
        <f ca="1"/>
        <v>0.30510775289501191</v>
      </c>
      <c r="X3141" s="2">
        <f ca="1"/>
        <v>50.040384738800384</v>
      </c>
      <c r="AG3141" s="2">
        <f ca="1"/>
        <v>0.13752217876293704</v>
      </c>
      <c r="AH3141" s="2" t="str">
        <f ca="1"/>
        <v>OK</v>
      </c>
    </row>
    <row r="3142" spans="2:34" x14ac:dyDescent="0.2">
      <c r="B3142" s="2">
        <f ca="1"/>
        <v>0.2177879885873657</v>
      </c>
      <c r="O3142" s="2">
        <f ca="1"/>
        <v>-1.0672098269129084</v>
      </c>
      <c r="X3142" s="2">
        <f ca="1"/>
        <v>69.490039598579301</v>
      </c>
      <c r="AG3142" s="2">
        <f ca="1"/>
        <v>0.22898908102501481</v>
      </c>
      <c r="AH3142" s="2" t="str">
        <f ca="1"/>
        <v>OK</v>
      </c>
    </row>
    <row r="3143" spans="2:34" x14ac:dyDescent="0.2">
      <c r="B3143" s="2">
        <f ca="1"/>
        <v>0.7353178851229869</v>
      </c>
      <c r="O3143" s="2">
        <f ca="1"/>
        <v>-0.75882677474838356</v>
      </c>
      <c r="X3143" s="2">
        <f ca="1"/>
        <v>71.519015402668529</v>
      </c>
      <c r="AG3143" s="2">
        <f ca="1"/>
        <v>0.64437997345861953</v>
      </c>
      <c r="AH3143" s="2" t="str">
        <f ca="1"/>
        <v>Bad</v>
      </c>
    </row>
    <row r="3144" spans="2:34" x14ac:dyDescent="0.2">
      <c r="B3144" s="2">
        <f ca="1"/>
        <v>0.94757297055563572</v>
      </c>
      <c r="O3144" s="2">
        <f ca="1"/>
        <v>0.13985951652337586</v>
      </c>
      <c r="X3144" s="2">
        <f ca="1"/>
        <v>36.567122626816619</v>
      </c>
      <c r="AG3144" s="2">
        <f ca="1"/>
        <v>0.10214536187110945</v>
      </c>
      <c r="AH3144" s="2" t="str">
        <f ca="1"/>
        <v>OK</v>
      </c>
    </row>
    <row r="3145" spans="2:34" x14ac:dyDescent="0.2">
      <c r="B3145" s="2">
        <f ca="1"/>
        <v>0.53771905545609244</v>
      </c>
      <c r="O3145" s="2">
        <f ca="1"/>
        <v>1.7526457047146453</v>
      </c>
      <c r="X3145" s="2">
        <f ca="1"/>
        <v>43.612896390239939</v>
      </c>
      <c r="AG3145" s="2">
        <f ca="1"/>
        <v>0.39175261005763673</v>
      </c>
      <c r="AH3145" s="2" t="str">
        <f ca="1"/>
        <v>OK</v>
      </c>
    </row>
    <row r="3146" spans="2:34" x14ac:dyDescent="0.2">
      <c r="B3146" s="2">
        <f ca="1"/>
        <v>0.57925957943020556</v>
      </c>
      <c r="O3146" s="2">
        <f ca="1"/>
        <v>0.46013578956552753</v>
      </c>
      <c r="X3146" s="2">
        <f ca="1"/>
        <v>73.164541818751175</v>
      </c>
      <c r="AG3146" s="2">
        <f ca="1"/>
        <v>0.97868559563411828</v>
      </c>
      <c r="AH3146" s="2" t="str">
        <f ca="1"/>
        <v>Bad</v>
      </c>
    </row>
    <row r="3147" spans="2:34" x14ac:dyDescent="0.2">
      <c r="B3147" s="2">
        <f ca="1"/>
        <v>0.79993850768245944</v>
      </c>
      <c r="O3147" s="2">
        <f ca="1"/>
        <v>-1.1553787309254715</v>
      </c>
      <c r="X3147" s="2">
        <f ca="1"/>
        <v>27.054716137780307</v>
      </c>
      <c r="AG3147" s="2">
        <f ca="1"/>
        <v>8.121860981679907E-2</v>
      </c>
      <c r="AH3147" s="2" t="str">
        <f ca="1"/>
        <v>OK</v>
      </c>
    </row>
    <row r="3148" spans="2:34" x14ac:dyDescent="0.2">
      <c r="B3148" s="2">
        <f ca="1"/>
        <v>0.59832125593700591</v>
      </c>
      <c r="O3148" s="2">
        <f ca="1"/>
        <v>2.6024168823406373</v>
      </c>
      <c r="X3148" s="2">
        <f ca="1"/>
        <v>30.333984564629585</v>
      </c>
      <c r="AG3148" s="2">
        <f ca="1"/>
        <v>0.27212762296070792</v>
      </c>
      <c r="AH3148" s="2" t="str">
        <f ca="1"/>
        <v>OK</v>
      </c>
    </row>
    <row r="3149" spans="2:34" x14ac:dyDescent="0.2">
      <c r="B3149" s="2">
        <f ca="1"/>
        <v>0.86236974283202783</v>
      </c>
      <c r="O3149" s="2">
        <f ca="1"/>
        <v>1.5775178915546264</v>
      </c>
      <c r="X3149" s="2">
        <f ca="1"/>
        <v>59.444741230134881</v>
      </c>
      <c r="AG3149" s="2">
        <f ca="1"/>
        <v>0.84237317412403101</v>
      </c>
      <c r="AH3149" s="2" t="str">
        <f ca="1"/>
        <v>Bad</v>
      </c>
    </row>
    <row r="3150" spans="2:34" x14ac:dyDescent="0.2">
      <c r="B3150" s="2">
        <f ca="1"/>
        <v>0.25099925143125046</v>
      </c>
      <c r="O3150" s="2">
        <f ca="1"/>
        <v>1.3188851841148606</v>
      </c>
      <c r="X3150" s="2">
        <f ca="1"/>
        <v>45.481469669388105</v>
      </c>
      <c r="AG3150" s="2">
        <f ca="1"/>
        <v>0.47932449124200804</v>
      </c>
      <c r="AH3150" s="2" t="str">
        <f ca="1"/>
        <v>Bad</v>
      </c>
    </row>
    <row r="3151" spans="2:34" x14ac:dyDescent="0.2">
      <c r="B3151" s="2">
        <f ca="1"/>
        <v>0.15133262099926625</v>
      </c>
      <c r="O3151" s="2">
        <f ca="1"/>
        <v>-5.0623974711769923E-2</v>
      </c>
      <c r="X3151" s="2">
        <f ca="1"/>
        <v>50.503636711831767</v>
      </c>
      <c r="AG3151" s="2">
        <f ca="1"/>
        <v>0.62476929329174768</v>
      </c>
      <c r="AH3151" s="2" t="str">
        <f ca="1"/>
        <v>Bad</v>
      </c>
    </row>
    <row r="3152" spans="2:34" x14ac:dyDescent="0.2">
      <c r="B3152" s="2">
        <f ca="1"/>
        <v>0.90810474138114938</v>
      </c>
      <c r="O3152" s="2">
        <f ca="1"/>
        <v>1.7789024919242735</v>
      </c>
      <c r="X3152" s="2">
        <f ca="1"/>
        <v>52.338550369885155</v>
      </c>
      <c r="AG3152" s="2">
        <f ca="1"/>
        <v>0.57630321740511103</v>
      </c>
      <c r="AH3152" s="2" t="str">
        <f ca="1"/>
        <v>Bad</v>
      </c>
    </row>
    <row r="3153" spans="2:34" x14ac:dyDescent="0.2">
      <c r="B3153" s="2">
        <f ca="1"/>
        <v>0.94681009573499431</v>
      </c>
      <c r="O3153" s="2">
        <f ca="1"/>
        <v>0.24274951792224175</v>
      </c>
      <c r="X3153" s="2">
        <f ca="1"/>
        <v>35.326098618756639</v>
      </c>
      <c r="AG3153" s="2">
        <f ca="1"/>
        <v>0.86082344199829675</v>
      </c>
      <c r="AH3153" s="2" t="str">
        <f ca="1"/>
        <v>Bad</v>
      </c>
    </row>
    <row r="3154" spans="2:34" x14ac:dyDescent="0.2">
      <c r="B3154" s="2">
        <f ca="1"/>
        <v>0.32218402813245683</v>
      </c>
      <c r="O3154" s="2">
        <f ca="1"/>
        <v>-1.8496319924018114</v>
      </c>
      <c r="X3154" s="2">
        <f ca="1"/>
        <v>63.951093811278518</v>
      </c>
      <c r="AG3154" s="2">
        <f ca="1"/>
        <v>0.93122642145305057</v>
      </c>
      <c r="AH3154" s="2" t="str">
        <f ca="1"/>
        <v>Bad</v>
      </c>
    </row>
    <row r="3155" spans="2:34" x14ac:dyDescent="0.2">
      <c r="B3155" s="2">
        <f ca="1"/>
        <v>0.30868211694901149</v>
      </c>
      <c r="O3155" s="2">
        <f ca="1"/>
        <v>-3.0398325763342466E-2</v>
      </c>
      <c r="X3155" s="2">
        <f ca="1"/>
        <v>50.646214198896331</v>
      </c>
      <c r="AG3155" s="2">
        <f ca="1"/>
        <v>0.35152834529995336</v>
      </c>
      <c r="AH3155" s="2" t="str">
        <f ca="1"/>
        <v>OK</v>
      </c>
    </row>
    <row r="3156" spans="2:34" x14ac:dyDescent="0.2">
      <c r="B3156" s="2">
        <f ca="1"/>
        <v>0.2773327187434198</v>
      </c>
      <c r="O3156" s="2">
        <f ca="1"/>
        <v>-0.18335991934069948</v>
      </c>
      <c r="X3156" s="2">
        <f ca="1"/>
        <v>45.226042962280097</v>
      </c>
      <c r="AG3156" s="2">
        <f ca="1"/>
        <v>0.82943133748585063</v>
      </c>
      <c r="AH3156" s="2" t="str">
        <f ca="1"/>
        <v>Bad</v>
      </c>
    </row>
    <row r="3157" spans="2:34" x14ac:dyDescent="0.2">
      <c r="B3157" s="2">
        <f ca="1"/>
        <v>0.9701000460578153</v>
      </c>
      <c r="O3157" s="2">
        <f ca="1"/>
        <v>1.0904552630652651</v>
      </c>
      <c r="X3157" s="2">
        <f ca="1"/>
        <v>36.537030631890516</v>
      </c>
      <c r="AG3157" s="2">
        <f ca="1"/>
        <v>0.23743714077831446</v>
      </c>
      <c r="AH3157" s="2" t="str">
        <f ca="1"/>
        <v>OK</v>
      </c>
    </row>
    <row r="3158" spans="2:34" x14ac:dyDescent="0.2">
      <c r="B3158" s="2">
        <f ca="1"/>
        <v>0.96094322650531239</v>
      </c>
      <c r="O3158" s="2">
        <f ca="1"/>
        <v>1.4904341832019332</v>
      </c>
      <c r="X3158" s="2">
        <f ca="1"/>
        <v>56.824165476363014</v>
      </c>
      <c r="AG3158" s="2">
        <f ca="1"/>
        <v>4.7384448289935932E-2</v>
      </c>
      <c r="AH3158" s="2" t="str">
        <f ca="1"/>
        <v>Good</v>
      </c>
    </row>
    <row r="3159" spans="2:34" x14ac:dyDescent="0.2">
      <c r="B3159" s="2">
        <f ca="1"/>
        <v>0.75681158681201421</v>
      </c>
      <c r="O3159" s="2">
        <f ca="1"/>
        <v>-1.3082150695532369</v>
      </c>
      <c r="X3159" s="2">
        <f ca="1"/>
        <v>62.04671510201802</v>
      </c>
      <c r="AG3159" s="2">
        <f ca="1"/>
        <v>0.56924916036621132</v>
      </c>
      <c r="AH3159" s="2" t="str">
        <f ca="1"/>
        <v>Bad</v>
      </c>
    </row>
    <row r="3160" spans="2:34" x14ac:dyDescent="0.2">
      <c r="B3160" s="2">
        <f ca="1"/>
        <v>0.33799557409756154</v>
      </c>
      <c r="O3160" s="2">
        <f ca="1"/>
        <v>-1.8144016458701679</v>
      </c>
      <c r="X3160" s="2">
        <f ca="1"/>
        <v>51.185872371614771</v>
      </c>
      <c r="AG3160" s="2">
        <f ca="1"/>
        <v>3.407116075435157E-2</v>
      </c>
      <c r="AH3160" s="2" t="str">
        <f ca="1"/>
        <v>Good</v>
      </c>
    </row>
    <row r="3161" spans="2:34" x14ac:dyDescent="0.2">
      <c r="B3161" s="2">
        <f ca="1"/>
        <v>0.25176748361762469</v>
      </c>
      <c r="O3161" s="2">
        <f ca="1"/>
        <v>-1.3721079373281873</v>
      </c>
      <c r="X3161" s="2">
        <f ca="1"/>
        <v>36.218236125329732</v>
      </c>
      <c r="AG3161" s="2">
        <f ca="1"/>
        <v>0.61254166992087522</v>
      </c>
      <c r="AH3161" s="2" t="str">
        <f ca="1"/>
        <v>Bad</v>
      </c>
    </row>
    <row r="3162" spans="2:34" x14ac:dyDescent="0.2">
      <c r="B3162" s="2">
        <f ca="1"/>
        <v>0.23494504511194858</v>
      </c>
      <c r="O3162" s="2">
        <f ca="1"/>
        <v>1.2921653789954541</v>
      </c>
      <c r="X3162" s="2">
        <f ca="1"/>
        <v>63.821399757567299</v>
      </c>
      <c r="AG3162" s="2">
        <f ca="1"/>
        <v>0.43796715815290232</v>
      </c>
      <c r="AH3162" s="2" t="str">
        <f ca="1"/>
        <v>Bad</v>
      </c>
    </row>
    <row r="3163" spans="2:34" x14ac:dyDescent="0.2">
      <c r="B3163" s="2">
        <f ca="1"/>
        <v>0.47839168942118837</v>
      </c>
      <c r="O3163" s="2">
        <f ca="1"/>
        <v>1.3815696132621607</v>
      </c>
      <c r="X3163" s="2">
        <f ca="1"/>
        <v>52.318322628086946</v>
      </c>
      <c r="AG3163" s="2">
        <f ca="1"/>
        <v>0.3705637092560945</v>
      </c>
      <c r="AH3163" s="2" t="str">
        <f ca="1"/>
        <v>OK</v>
      </c>
    </row>
    <row r="3164" spans="2:34" x14ac:dyDescent="0.2">
      <c r="B3164" s="2">
        <f ca="1"/>
        <v>0.34840888478947241</v>
      </c>
      <c r="O3164" s="2">
        <f ca="1"/>
        <v>0.44253531948855074</v>
      </c>
      <c r="X3164" s="2">
        <f ca="1"/>
        <v>42.433218182572261</v>
      </c>
      <c r="AG3164" s="2">
        <f ca="1"/>
        <v>0.62922153701067041</v>
      </c>
      <c r="AH3164" s="2" t="str">
        <f ca="1"/>
        <v>Bad</v>
      </c>
    </row>
    <row r="3165" spans="2:34" x14ac:dyDescent="0.2">
      <c r="B3165" s="2">
        <f ca="1"/>
        <v>6.5842923921638485E-2</v>
      </c>
      <c r="O3165" s="2">
        <f ca="1"/>
        <v>-0.60446844776218367</v>
      </c>
      <c r="X3165" s="2">
        <f ca="1"/>
        <v>46.525518813188079</v>
      </c>
      <c r="AG3165" s="2">
        <f ca="1"/>
        <v>0.95170035920599716</v>
      </c>
      <c r="AH3165" s="2" t="str">
        <f ca="1"/>
        <v>Bad</v>
      </c>
    </row>
    <row r="3166" spans="2:34" x14ac:dyDescent="0.2">
      <c r="B3166" s="2">
        <f ca="1"/>
        <v>5.3899293715033769E-2</v>
      </c>
      <c r="O3166" s="2">
        <f ca="1"/>
        <v>0.30688703501303999</v>
      </c>
      <c r="X3166" s="2">
        <f ca="1"/>
        <v>93.326460816750682</v>
      </c>
      <c r="AG3166" s="2">
        <f ca="1"/>
        <v>0.4662897852463499</v>
      </c>
      <c r="AH3166" s="2" t="str">
        <f ca="1"/>
        <v>Bad</v>
      </c>
    </row>
    <row r="3167" spans="2:34" x14ac:dyDescent="0.2">
      <c r="B3167" s="2">
        <f ca="1"/>
        <v>0.67428300544187358</v>
      </c>
      <c r="O3167" s="2">
        <f ca="1"/>
        <v>1.1314116571052713</v>
      </c>
      <c r="X3167" s="2">
        <f ca="1"/>
        <v>35.13918157645135</v>
      </c>
      <c r="AG3167" s="2">
        <f ca="1"/>
        <v>0.21558216082662773</v>
      </c>
      <c r="AH3167" s="2" t="str">
        <f ca="1"/>
        <v>OK</v>
      </c>
    </row>
    <row r="3168" spans="2:34" x14ac:dyDescent="0.2">
      <c r="B3168" s="2">
        <f ca="1"/>
        <v>0.916902839015588</v>
      </c>
      <c r="O3168" s="2">
        <f ca="1"/>
        <v>0.79140687347626626</v>
      </c>
      <c r="X3168" s="2">
        <f ca="1"/>
        <v>59.013769264834821</v>
      </c>
      <c r="AG3168" s="2">
        <f ca="1"/>
        <v>0.41861901603771634</v>
      </c>
      <c r="AH3168" s="2" t="str">
        <f ca="1"/>
        <v>Bad</v>
      </c>
    </row>
    <row r="3169" spans="2:34" x14ac:dyDescent="0.2">
      <c r="B3169" s="2">
        <f ca="1"/>
        <v>0.87212907904393844</v>
      </c>
      <c r="O3169" s="2">
        <f ca="1"/>
        <v>1.4156888783552721</v>
      </c>
      <c r="X3169" s="2">
        <f ca="1"/>
        <v>35.831067396357227</v>
      </c>
      <c r="AG3169" s="2">
        <f ca="1"/>
        <v>0.41443164891508588</v>
      </c>
      <c r="AH3169" s="2" t="str">
        <f ca="1"/>
        <v>Bad</v>
      </c>
    </row>
    <row r="3170" spans="2:34" x14ac:dyDescent="0.2">
      <c r="B3170" s="2">
        <f ca="1"/>
        <v>0.51838213910666076</v>
      </c>
      <c r="O3170" s="2">
        <f ca="1"/>
        <v>0.43139348280746903</v>
      </c>
      <c r="X3170" s="2">
        <f ca="1"/>
        <v>69.713953230191038</v>
      </c>
      <c r="AG3170" s="2">
        <f ca="1"/>
        <v>3.4972994280329184E-2</v>
      </c>
      <c r="AH3170" s="2" t="str">
        <f ca="1"/>
        <v>Good</v>
      </c>
    </row>
    <row r="3171" spans="2:34" x14ac:dyDescent="0.2">
      <c r="B3171" s="2">
        <f ca="1"/>
        <v>0.49060146474163369</v>
      </c>
      <c r="O3171" s="2">
        <f ca="1"/>
        <v>1.8268280612171022</v>
      </c>
      <c r="X3171" s="2">
        <f ca="1"/>
        <v>55.415836808638019</v>
      </c>
      <c r="AG3171" s="2">
        <f ca="1"/>
        <v>0.79347491001907589</v>
      </c>
      <c r="AH3171" s="2" t="str">
        <f ca="1"/>
        <v>Bad</v>
      </c>
    </row>
    <row r="3172" spans="2:34" x14ac:dyDescent="0.2">
      <c r="B3172" s="2">
        <f ca="1"/>
        <v>0.88973446991834293</v>
      </c>
      <c r="O3172" s="2">
        <f ca="1"/>
        <v>0.66620844483393526</v>
      </c>
      <c r="X3172" s="2">
        <f ca="1"/>
        <v>34.525156001182914</v>
      </c>
      <c r="AG3172" s="2">
        <f ca="1"/>
        <v>0.31241293936525683</v>
      </c>
      <c r="AH3172" s="2" t="str">
        <f ca="1"/>
        <v>OK</v>
      </c>
    </row>
    <row r="3173" spans="2:34" x14ac:dyDescent="0.2">
      <c r="B3173" s="2">
        <f ca="1"/>
        <v>0.45343325735324247</v>
      </c>
      <c r="O3173" s="2">
        <f ca="1"/>
        <v>-0.29649642169969942</v>
      </c>
      <c r="X3173" s="2">
        <f ca="1"/>
        <v>32.436284569849811</v>
      </c>
      <c r="AG3173" s="2">
        <f ca="1"/>
        <v>0.44956051190069335</v>
      </c>
      <c r="AH3173" s="2" t="str">
        <f ca="1"/>
        <v>Bad</v>
      </c>
    </row>
    <row r="3174" spans="2:34" x14ac:dyDescent="0.2">
      <c r="B3174" s="2">
        <f ca="1"/>
        <v>0.407027416301599</v>
      </c>
      <c r="O3174" s="2">
        <f ca="1"/>
        <v>0.79897567858517471</v>
      </c>
      <c r="X3174" s="2">
        <f ca="1"/>
        <v>50.076117362282304</v>
      </c>
      <c r="AG3174" s="2">
        <f ca="1"/>
        <v>0.9721527763658413</v>
      </c>
      <c r="AH3174" s="2" t="str">
        <f ca="1"/>
        <v>Bad</v>
      </c>
    </row>
    <row r="3175" spans="2:34" x14ac:dyDescent="0.2">
      <c r="B3175" s="2">
        <f ca="1"/>
        <v>0.70167185149823208</v>
      </c>
      <c r="O3175" s="2">
        <f ca="1"/>
        <v>-0.44755252413682378</v>
      </c>
      <c r="X3175" s="2">
        <f ca="1"/>
        <v>39.683053862889921</v>
      </c>
      <c r="AG3175" s="2">
        <f ca="1"/>
        <v>0.85303742492132906</v>
      </c>
      <c r="AH3175" s="2" t="str">
        <f ca="1"/>
        <v>Bad</v>
      </c>
    </row>
    <row r="3176" spans="2:34" x14ac:dyDescent="0.2">
      <c r="B3176" s="2">
        <f ca="1"/>
        <v>0.65398835277127509</v>
      </c>
      <c r="O3176" s="2">
        <f ca="1"/>
        <v>0.77406483773677193</v>
      </c>
      <c r="X3176" s="2">
        <f ca="1"/>
        <v>60.284164196842546</v>
      </c>
      <c r="AG3176" s="2">
        <f ca="1"/>
        <v>0.25943767766522852</v>
      </c>
      <c r="AH3176" s="2" t="str">
        <f ca="1"/>
        <v>OK</v>
      </c>
    </row>
    <row r="3177" spans="2:34" x14ac:dyDescent="0.2">
      <c r="B3177" s="2">
        <f ca="1"/>
        <v>1.4550132094832247E-2</v>
      </c>
      <c r="O3177" s="2">
        <f ca="1"/>
        <v>0.7152871430057528</v>
      </c>
      <c r="X3177" s="2">
        <f ca="1"/>
        <v>53.089536053325915</v>
      </c>
      <c r="AG3177" s="2">
        <f ca="1"/>
        <v>2.1336956700176213E-2</v>
      </c>
      <c r="AH3177" s="2" t="str">
        <f ca="1"/>
        <v>Good</v>
      </c>
    </row>
    <row r="3178" spans="2:34" x14ac:dyDescent="0.2">
      <c r="B3178" s="2">
        <f ca="1"/>
        <v>0.48034523518719618</v>
      </c>
      <c r="O3178" s="2">
        <f ca="1"/>
        <v>-0.68200823720653725</v>
      </c>
      <c r="X3178" s="2">
        <f ca="1"/>
        <v>37.763621263969725</v>
      </c>
      <c r="AG3178" s="2">
        <f ca="1"/>
        <v>0.73782942286123676</v>
      </c>
      <c r="AH3178" s="2" t="str">
        <f ca="1"/>
        <v>Bad</v>
      </c>
    </row>
    <row r="3179" spans="2:34" x14ac:dyDescent="0.2">
      <c r="B3179" s="2">
        <f ca="1"/>
        <v>0.95145790013792175</v>
      </c>
      <c r="O3179" s="2">
        <f ca="1"/>
        <v>0.12147427687919882</v>
      </c>
      <c r="X3179" s="2">
        <f ca="1"/>
        <v>39.799770504410347</v>
      </c>
      <c r="AG3179" s="2">
        <f ca="1"/>
        <v>0.93775704128611803</v>
      </c>
      <c r="AH3179" s="2" t="str">
        <f ca="1"/>
        <v>Bad</v>
      </c>
    </row>
    <row r="3180" spans="2:34" x14ac:dyDescent="0.2">
      <c r="B3180" s="2">
        <f ca="1"/>
        <v>0.74079314932834506</v>
      </c>
      <c r="O3180" s="2">
        <f ca="1"/>
        <v>0.27241167841990971</v>
      </c>
      <c r="X3180" s="2">
        <f ca="1"/>
        <v>34.844204441701599</v>
      </c>
      <c r="AG3180" s="2">
        <f ca="1"/>
        <v>0.59093926724526713</v>
      </c>
      <c r="AH3180" s="2" t="str">
        <f ca="1"/>
        <v>Bad</v>
      </c>
    </row>
    <row r="3181" spans="2:34" x14ac:dyDescent="0.2">
      <c r="B3181" s="2">
        <f ca="1"/>
        <v>0.18806057316972291</v>
      </c>
      <c r="O3181" s="2">
        <f ca="1"/>
        <v>-0.819314797648934</v>
      </c>
      <c r="X3181" s="2">
        <f ca="1"/>
        <v>47.290302622440954</v>
      </c>
      <c r="AG3181" s="2">
        <f ca="1"/>
        <v>0.85118172020057026</v>
      </c>
      <c r="AH3181" s="2" t="str">
        <f ca="1"/>
        <v>Bad</v>
      </c>
    </row>
    <row r="3182" spans="2:34" x14ac:dyDescent="0.2">
      <c r="B3182" s="2">
        <f ca="1"/>
        <v>0.66858796861572345</v>
      </c>
      <c r="O3182" s="2">
        <f ca="1"/>
        <v>-0.59022327973088384</v>
      </c>
      <c r="X3182" s="2">
        <f ca="1"/>
        <v>54.948392494724992</v>
      </c>
      <c r="AG3182" s="2">
        <f ca="1"/>
        <v>0.76776573478980747</v>
      </c>
      <c r="AH3182" s="2" t="str">
        <f ca="1"/>
        <v>Bad</v>
      </c>
    </row>
    <row r="3183" spans="2:34" x14ac:dyDescent="0.2">
      <c r="B3183" s="2">
        <f ca="1"/>
        <v>5.5040931218594213E-2</v>
      </c>
      <c r="O3183" s="2">
        <f ca="1"/>
        <v>9.9538293083850829E-2</v>
      </c>
      <c r="X3183" s="2">
        <f ca="1"/>
        <v>44.241124688213375</v>
      </c>
      <c r="AG3183" s="2">
        <f ca="1"/>
        <v>0.75612987893415351</v>
      </c>
      <c r="AH3183" s="2" t="str">
        <f ca="1"/>
        <v>Bad</v>
      </c>
    </row>
    <row r="3184" spans="2:34" x14ac:dyDescent="0.2">
      <c r="B3184" s="2">
        <f ca="1"/>
        <v>0.48625001250807509</v>
      </c>
      <c r="O3184" s="2">
        <f ca="1"/>
        <v>-0.15208742533051817</v>
      </c>
      <c r="X3184" s="2">
        <f ca="1"/>
        <v>61.928265560347683</v>
      </c>
      <c r="AG3184" s="2">
        <f ca="1"/>
        <v>0.50342308386920798</v>
      </c>
      <c r="AH3184" s="2" t="str">
        <f ca="1"/>
        <v>Bad</v>
      </c>
    </row>
    <row r="3185" spans="2:34" x14ac:dyDescent="0.2">
      <c r="B3185" s="2">
        <f ca="1"/>
        <v>0.64231471857390599</v>
      </c>
      <c r="O3185" s="2">
        <f ca="1"/>
        <v>2.1251461573513502</v>
      </c>
      <c r="X3185" s="2">
        <f ca="1"/>
        <v>35.842406983191225</v>
      </c>
      <c r="AG3185" s="2">
        <f ca="1"/>
        <v>0.50735374604379202</v>
      </c>
      <c r="AH3185" s="2" t="str">
        <f ca="1"/>
        <v>Bad</v>
      </c>
    </row>
    <row r="3186" spans="2:34" x14ac:dyDescent="0.2">
      <c r="B3186" s="2">
        <f ca="1"/>
        <v>0.27080948638222591</v>
      </c>
      <c r="O3186" s="2">
        <f ca="1"/>
        <v>1.440301386766925</v>
      </c>
      <c r="X3186" s="2">
        <f ca="1"/>
        <v>45.906495522595385</v>
      </c>
      <c r="AG3186" s="2">
        <f ca="1"/>
        <v>0.5288751452433782</v>
      </c>
      <c r="AH3186" s="2" t="str">
        <f ca="1"/>
        <v>Bad</v>
      </c>
    </row>
    <row r="3187" spans="2:34" x14ac:dyDescent="0.2">
      <c r="B3187" s="2">
        <f ca="1"/>
        <v>0.14787405576009505</v>
      </c>
      <c r="O3187" s="2">
        <f ca="1"/>
        <v>0.88440901902291069</v>
      </c>
      <c r="X3187" s="2">
        <f ca="1"/>
        <v>47.981567651592762</v>
      </c>
      <c r="AG3187" s="2">
        <f ca="1"/>
        <v>0.53066531906950365</v>
      </c>
      <c r="AH3187" s="2" t="str">
        <f ca="1"/>
        <v>Bad</v>
      </c>
    </row>
    <row r="3188" spans="2:34" x14ac:dyDescent="0.2">
      <c r="B3188" s="2">
        <f ca="1"/>
        <v>0.16368380957944595</v>
      </c>
      <c r="O3188" s="2">
        <f ca="1"/>
        <v>9.7751247846906853E-3</v>
      </c>
      <c r="X3188" s="2">
        <f ca="1"/>
        <v>41.343199545743737</v>
      </c>
      <c r="AG3188" s="2">
        <f ca="1"/>
        <v>0.81030901843932512</v>
      </c>
      <c r="AH3188" s="2" t="str">
        <f ca="1"/>
        <v>Bad</v>
      </c>
    </row>
    <row r="3189" spans="2:34" x14ac:dyDescent="0.2">
      <c r="B3189" s="2">
        <f ca="1"/>
        <v>0.43535273503770333</v>
      </c>
      <c r="O3189" s="2">
        <f ca="1"/>
        <v>0.9075085653668965</v>
      </c>
      <c r="X3189" s="2">
        <f ca="1"/>
        <v>49.261230018816249</v>
      </c>
      <c r="AG3189" s="2">
        <f ca="1"/>
        <v>0.80705988045043076</v>
      </c>
      <c r="AH3189" s="2" t="str">
        <f ca="1"/>
        <v>Bad</v>
      </c>
    </row>
    <row r="3190" spans="2:34" x14ac:dyDescent="0.2">
      <c r="B3190" s="2">
        <f ca="1"/>
        <v>0.28470229874045705</v>
      </c>
      <c r="O3190" s="2">
        <f ca="1"/>
        <v>1.0252439620053484</v>
      </c>
      <c r="X3190" s="2">
        <f ca="1"/>
        <v>35.296151926900585</v>
      </c>
      <c r="AG3190" s="2">
        <f ca="1"/>
        <v>0.60995692506243637</v>
      </c>
      <c r="AH3190" s="2" t="str">
        <f ca="1"/>
        <v>Bad</v>
      </c>
    </row>
    <row r="3191" spans="2:34" x14ac:dyDescent="0.2">
      <c r="B3191" s="2">
        <f ca="1"/>
        <v>0.2494024952442726</v>
      </c>
      <c r="O3191" s="2">
        <f ca="1"/>
        <v>0.36049351093355447</v>
      </c>
      <c r="X3191" s="2">
        <f ca="1"/>
        <v>39.066893390102194</v>
      </c>
      <c r="AG3191" s="2">
        <f ca="1"/>
        <v>0.89148335854400829</v>
      </c>
      <c r="AH3191" s="2" t="str">
        <f ca="1"/>
        <v>Bad</v>
      </c>
    </row>
    <row r="3192" spans="2:34" x14ac:dyDescent="0.2">
      <c r="B3192" s="2">
        <f ca="1"/>
        <v>0.56131638619880242</v>
      </c>
      <c r="O3192" s="2">
        <f ca="1"/>
        <v>0.628658129980046</v>
      </c>
      <c r="X3192" s="2">
        <f ca="1"/>
        <v>70.128337377849732</v>
      </c>
      <c r="AG3192" s="2">
        <f ca="1"/>
        <v>0.94816942767943524</v>
      </c>
      <c r="AH3192" s="2" t="str">
        <f ca="1"/>
        <v>Bad</v>
      </c>
    </row>
    <row r="3193" spans="2:34" x14ac:dyDescent="0.2">
      <c r="B3193" s="2">
        <f ca="1"/>
        <v>0.32861747802414931</v>
      </c>
      <c r="O3193" s="2">
        <f ca="1"/>
        <v>0.45043216408074022</v>
      </c>
      <c r="X3193" s="2">
        <f ca="1"/>
        <v>41.972997219276387</v>
      </c>
      <c r="AG3193" s="2">
        <f ca="1"/>
        <v>0.62202745324148201</v>
      </c>
      <c r="AH3193" s="2" t="str">
        <f ca="1"/>
        <v>Bad</v>
      </c>
    </row>
    <row r="3194" spans="2:34" x14ac:dyDescent="0.2">
      <c r="B3194" s="2">
        <f ca="1"/>
        <v>0.51267763471431427</v>
      </c>
      <c r="O3194" s="2">
        <f ca="1"/>
        <v>-1.4438284002811532</v>
      </c>
      <c r="X3194" s="2">
        <f ca="1"/>
        <v>44.889810121022464</v>
      </c>
      <c r="AG3194" s="2">
        <f ca="1"/>
        <v>5.786985514020393E-2</v>
      </c>
      <c r="AH3194" s="2" t="str">
        <f ca="1"/>
        <v>OK</v>
      </c>
    </row>
    <row r="3195" spans="2:34" x14ac:dyDescent="0.2">
      <c r="B3195" s="2">
        <f ca="1"/>
        <v>0.7260538291998766</v>
      </c>
      <c r="O3195" s="2">
        <f ca="1"/>
        <v>-0.41943447446074128</v>
      </c>
      <c r="X3195" s="2">
        <f ca="1"/>
        <v>43.621676089320339</v>
      </c>
      <c r="AG3195" s="2">
        <f ca="1"/>
        <v>0.63760781888085916</v>
      </c>
      <c r="AH3195" s="2" t="str">
        <f ca="1"/>
        <v>Bad</v>
      </c>
    </row>
    <row r="3196" spans="2:34" x14ac:dyDescent="0.2">
      <c r="B3196" s="2">
        <f ca="1"/>
        <v>0.96083859478422462</v>
      </c>
      <c r="O3196" s="2">
        <f ca="1"/>
        <v>1.6681308487417037</v>
      </c>
      <c r="X3196" s="2">
        <f ca="1"/>
        <v>25.01684044556913</v>
      </c>
      <c r="AG3196" s="2">
        <f ca="1"/>
        <v>0.47151742487204307</v>
      </c>
      <c r="AH3196" s="2" t="str">
        <f ca="1"/>
        <v>Bad</v>
      </c>
    </row>
    <row r="3197" spans="2:34" x14ac:dyDescent="0.2">
      <c r="B3197" s="2">
        <f ca="1"/>
        <v>0.99434561176878744</v>
      </c>
      <c r="O3197" s="2">
        <f ca="1"/>
        <v>-0.6979975598988436</v>
      </c>
      <c r="X3197" s="2">
        <f ca="1"/>
        <v>43.971349909051327</v>
      </c>
      <c r="AG3197" s="2">
        <f ca="1"/>
        <v>0.50364710462493756</v>
      </c>
      <c r="AH3197" s="2" t="str">
        <f ca="1"/>
        <v>Bad</v>
      </c>
    </row>
    <row r="3198" spans="2:34" x14ac:dyDescent="0.2">
      <c r="B3198" s="2">
        <f ca="1"/>
        <v>0.84523653202433713</v>
      </c>
      <c r="O3198" s="2">
        <f ca="1"/>
        <v>-0.62165685154009787</v>
      </c>
      <c r="X3198" s="2">
        <f ca="1"/>
        <v>38.607836083771652</v>
      </c>
      <c r="AG3198" s="2">
        <f ca="1"/>
        <v>0.58611908902538112</v>
      </c>
      <c r="AH3198" s="2" t="str">
        <f ca="1"/>
        <v>Bad</v>
      </c>
    </row>
    <row r="3199" spans="2:34" x14ac:dyDescent="0.2">
      <c r="B3199" s="2">
        <f ca="1"/>
        <v>0.25140858600311611</v>
      </c>
      <c r="O3199" s="2">
        <f ca="1"/>
        <v>-0.24435005381388022</v>
      </c>
      <c r="X3199" s="2">
        <f ca="1"/>
        <v>43.500341337999657</v>
      </c>
      <c r="AG3199" s="2">
        <f ca="1"/>
        <v>0.89795649243486775</v>
      </c>
      <c r="AH3199" s="2" t="str">
        <f ca="1"/>
        <v>Bad</v>
      </c>
    </row>
    <row r="3200" spans="2:34" x14ac:dyDescent="0.2">
      <c r="B3200" s="2">
        <f ca="1"/>
        <v>0.34975510161310575</v>
      </c>
      <c r="O3200" s="2">
        <f ca="1"/>
        <v>-0.6637474518756955</v>
      </c>
      <c r="X3200" s="2">
        <f ca="1"/>
        <v>76.993141508913808</v>
      </c>
      <c r="AG3200" s="2">
        <f ca="1"/>
        <v>0.59883229460313725</v>
      </c>
      <c r="AH3200" s="2" t="str">
        <f ca="1"/>
        <v>Bad</v>
      </c>
    </row>
    <row r="3201" spans="2:34" x14ac:dyDescent="0.2">
      <c r="B3201" s="2">
        <f ca="1"/>
        <v>0.63023194010295813</v>
      </c>
      <c r="O3201" s="2">
        <f ca="1"/>
        <v>-0.85804171114871819</v>
      </c>
      <c r="X3201" s="2">
        <f ca="1"/>
        <v>48.453985426964721</v>
      </c>
      <c r="AG3201" s="2">
        <f ca="1"/>
        <v>0.43619336609827952</v>
      </c>
      <c r="AH3201" s="2" t="str">
        <f ca="1"/>
        <v>Bad</v>
      </c>
    </row>
    <row r="3202" spans="2:34" x14ac:dyDescent="0.2">
      <c r="B3202" s="2">
        <f ca="1"/>
        <v>0.49397642776773698</v>
      </c>
      <c r="O3202" s="2">
        <f ca="1"/>
        <v>-0.829157260859402</v>
      </c>
      <c r="X3202" s="2">
        <f ca="1"/>
        <v>49.768258165207023</v>
      </c>
      <c r="AG3202" s="2">
        <f ca="1"/>
        <v>0.12179235579048941</v>
      </c>
      <c r="AH3202" s="2" t="str">
        <f ca="1"/>
        <v>OK</v>
      </c>
    </row>
    <row r="3203" spans="2:34" x14ac:dyDescent="0.2">
      <c r="B3203" s="2">
        <f ca="1"/>
        <v>6.9968068894352697E-3</v>
      </c>
      <c r="O3203" s="2">
        <f ca="1"/>
        <v>-0.38128344677058884</v>
      </c>
      <c r="X3203" s="2">
        <f ca="1"/>
        <v>40.755048083062597</v>
      </c>
      <c r="AG3203" s="2">
        <f ca="1"/>
        <v>0.22094354046724685</v>
      </c>
      <c r="AH3203" s="2" t="str">
        <f ca="1"/>
        <v>OK</v>
      </c>
    </row>
    <row r="3204" spans="2:34" x14ac:dyDescent="0.2">
      <c r="B3204" s="2">
        <f ca="1"/>
        <v>0.32439295855880057</v>
      </c>
      <c r="O3204" s="2">
        <f ca="1"/>
        <v>0.54570696416696773</v>
      </c>
      <c r="X3204" s="2">
        <f ca="1"/>
        <v>63.083485661460685</v>
      </c>
      <c r="AG3204" s="2">
        <f ca="1"/>
        <v>0.239591345064879</v>
      </c>
      <c r="AH3204" s="2" t="str">
        <f ca="1"/>
        <v>OK</v>
      </c>
    </row>
    <row r="3205" spans="2:34" x14ac:dyDescent="0.2">
      <c r="B3205" s="2">
        <f ca="1"/>
        <v>0.92949908317115959</v>
      </c>
      <c r="O3205" s="2">
        <f ca="1"/>
        <v>-0.27553237320200413</v>
      </c>
      <c r="X3205" s="2">
        <f ca="1"/>
        <v>34.972356522087715</v>
      </c>
      <c r="AG3205" s="2">
        <f ca="1"/>
        <v>0.95667382675828461</v>
      </c>
      <c r="AH3205" s="2" t="str">
        <f ca="1"/>
        <v>Bad</v>
      </c>
    </row>
    <row r="3206" spans="2:34" x14ac:dyDescent="0.2">
      <c r="B3206" s="2">
        <f ca="1"/>
        <v>0.61934339130659866</v>
      </c>
      <c r="O3206" s="2">
        <f ca="1"/>
        <v>-0.31804334811176654</v>
      </c>
      <c r="X3206" s="2">
        <f ca="1"/>
        <v>39.883669157592706</v>
      </c>
      <c r="AG3206" s="2">
        <f ca="1"/>
        <v>0.64087004031938721</v>
      </c>
      <c r="AH3206" s="2" t="str">
        <f ca="1"/>
        <v>Bad</v>
      </c>
    </row>
    <row r="3207" spans="2:34" x14ac:dyDescent="0.2">
      <c r="B3207" s="2">
        <f ca="1"/>
        <v>0.22122934121300997</v>
      </c>
      <c r="O3207" s="2">
        <f ca="1"/>
        <v>0.2447804666223562</v>
      </c>
      <c r="X3207" s="2">
        <f ca="1"/>
        <v>32.699715792011872</v>
      </c>
      <c r="AG3207" s="2">
        <f ca="1"/>
        <v>0.35666618294786434</v>
      </c>
      <c r="AH3207" s="2" t="str">
        <f ca="1"/>
        <v>OK</v>
      </c>
    </row>
    <row r="3208" spans="2:34" x14ac:dyDescent="0.2">
      <c r="B3208" s="2">
        <f ca="1"/>
        <v>3.3347575751429659E-2</v>
      </c>
      <c r="O3208" s="2">
        <f ca="1"/>
        <v>-0.41840216649521295</v>
      </c>
      <c r="X3208" s="2">
        <f ca="1"/>
        <v>54.109973155226996</v>
      </c>
      <c r="AG3208" s="2">
        <f ca="1"/>
        <v>0.54603431202552399</v>
      </c>
      <c r="AH3208" s="2" t="str">
        <f ca="1"/>
        <v>Bad</v>
      </c>
    </row>
    <row r="3209" spans="2:34" x14ac:dyDescent="0.2">
      <c r="B3209" s="2">
        <f ca="1"/>
        <v>0.24113293723064655</v>
      </c>
      <c r="O3209" s="2">
        <f ca="1"/>
        <v>0.56793252067628619</v>
      </c>
      <c r="X3209" s="2">
        <f ca="1"/>
        <v>40.984070541600929</v>
      </c>
      <c r="AG3209" s="2">
        <f ca="1"/>
        <v>0.92180210356726056</v>
      </c>
      <c r="AH3209" s="2" t="str">
        <f ca="1"/>
        <v>Bad</v>
      </c>
    </row>
    <row r="3210" spans="2:34" x14ac:dyDescent="0.2">
      <c r="B3210" s="2">
        <f ca="1"/>
        <v>0.80413121374116314</v>
      </c>
      <c r="O3210" s="2">
        <f ca="1"/>
        <v>-0.4525285710875846</v>
      </c>
      <c r="X3210" s="2">
        <f ca="1"/>
        <v>45.772323432255931</v>
      </c>
      <c r="AG3210" s="2">
        <f ca="1"/>
        <v>0.48427832434771267</v>
      </c>
      <c r="AH3210" s="2" t="str">
        <f ca="1"/>
        <v>Bad</v>
      </c>
    </row>
    <row r="3211" spans="2:34" x14ac:dyDescent="0.2">
      <c r="B3211" s="2">
        <f ca="1"/>
        <v>0.77110734706780071</v>
      </c>
      <c r="O3211" s="2">
        <f ca="1"/>
        <v>0.67136472300635275</v>
      </c>
      <c r="X3211" s="2">
        <f ca="1"/>
        <v>41.071524883219169</v>
      </c>
      <c r="AG3211" s="2">
        <f ca="1"/>
        <v>0.69590964463321558</v>
      </c>
      <c r="AH3211" s="2" t="str">
        <f ca="1"/>
        <v>Bad</v>
      </c>
    </row>
    <row r="3212" spans="2:34" x14ac:dyDescent="0.2">
      <c r="B3212" s="2">
        <f ca="1"/>
        <v>0.94903239711444409</v>
      </c>
      <c r="O3212" s="2">
        <f ca="1"/>
        <v>1.9952698336493244</v>
      </c>
      <c r="X3212" s="2">
        <f ca="1"/>
        <v>76.227158960939164</v>
      </c>
      <c r="AG3212" s="2">
        <f ca="1"/>
        <v>0.62974514991548869</v>
      </c>
      <c r="AH3212" s="2" t="str">
        <f ca="1"/>
        <v>Bad</v>
      </c>
    </row>
    <row r="3213" spans="2:34" x14ac:dyDescent="0.2">
      <c r="B3213" s="2">
        <f ca="1"/>
        <v>7.5501473731224067E-2</v>
      </c>
      <c r="O3213" s="2">
        <f ca="1"/>
        <v>0.40025711064406766</v>
      </c>
      <c r="X3213" s="2">
        <f ca="1"/>
        <v>34.381019186350954</v>
      </c>
      <c r="AG3213" s="2">
        <f ca="1"/>
        <v>0.17917737574906756</v>
      </c>
      <c r="AH3213" s="2" t="str">
        <f ca="1"/>
        <v>OK</v>
      </c>
    </row>
    <row r="3214" spans="2:34" x14ac:dyDescent="0.2">
      <c r="B3214" s="2">
        <f ca="1"/>
        <v>0.95863397222928159</v>
      </c>
      <c r="O3214" s="2">
        <f ca="1"/>
        <v>0.50735609482522015</v>
      </c>
      <c r="X3214" s="2">
        <f ca="1"/>
        <v>90.497955225670438</v>
      </c>
      <c r="AG3214" s="2">
        <f ca="1"/>
        <v>0.50072157662148431</v>
      </c>
      <c r="AH3214" s="2" t="str">
        <f ca="1"/>
        <v>Bad</v>
      </c>
    </row>
    <row r="3215" spans="2:34" x14ac:dyDescent="0.2">
      <c r="B3215" s="2">
        <f ca="1"/>
        <v>0.99016607615613239</v>
      </c>
      <c r="O3215" s="2">
        <f ca="1"/>
        <v>-0.47461575576187409</v>
      </c>
      <c r="X3215" s="2">
        <f ca="1"/>
        <v>38.469043831392156</v>
      </c>
      <c r="AG3215" s="2">
        <f ca="1"/>
        <v>0.48391525639256927</v>
      </c>
      <c r="AH3215" s="2" t="str">
        <f ca="1"/>
        <v>Bad</v>
      </c>
    </row>
    <row r="3216" spans="2:34" x14ac:dyDescent="0.2">
      <c r="B3216" s="2">
        <f ca="1"/>
        <v>0.35294612803945502</v>
      </c>
      <c r="O3216" s="2">
        <f ca="1"/>
        <v>0.85777544923540916</v>
      </c>
      <c r="X3216" s="2">
        <f ca="1"/>
        <v>75.879061322287384</v>
      </c>
      <c r="AG3216" s="2">
        <f ca="1"/>
        <v>0.45315635105062535</v>
      </c>
      <c r="AH3216" s="2" t="str">
        <f ca="1"/>
        <v>Bad</v>
      </c>
    </row>
    <row r="3217" spans="2:34" x14ac:dyDescent="0.2">
      <c r="B3217" s="2">
        <f ca="1"/>
        <v>0.88673794787734095</v>
      </c>
      <c r="O3217" s="2">
        <f ca="1"/>
        <v>4.6118348019402323E-2</v>
      </c>
      <c r="X3217" s="2">
        <f ca="1"/>
        <v>38.592457290371932</v>
      </c>
      <c r="AG3217" s="2">
        <f ca="1"/>
        <v>0.65850707715088097</v>
      </c>
      <c r="AH3217" s="2" t="str">
        <f ca="1"/>
        <v>Bad</v>
      </c>
    </row>
    <row r="3218" spans="2:34" x14ac:dyDescent="0.2">
      <c r="B3218" s="2">
        <f ca="1"/>
        <v>0.18556143112286083</v>
      </c>
      <c r="O3218" s="2">
        <f ca="1"/>
        <v>1.4368074785042435</v>
      </c>
      <c r="X3218" s="2">
        <f ca="1"/>
        <v>56.785573616684388</v>
      </c>
      <c r="AG3218" s="2">
        <f ca="1"/>
        <v>0.49107650192593977</v>
      </c>
      <c r="AH3218" s="2" t="str">
        <f ca="1"/>
        <v>Bad</v>
      </c>
    </row>
    <row r="3219" spans="2:34" x14ac:dyDescent="0.2">
      <c r="B3219" s="2">
        <f ca="1"/>
        <v>0.69598822460017917</v>
      </c>
      <c r="O3219" s="2">
        <f ca="1"/>
        <v>-0.73395670636062516</v>
      </c>
      <c r="X3219" s="2">
        <f ca="1"/>
        <v>37.646792960954258</v>
      </c>
      <c r="AG3219" s="2">
        <f ca="1"/>
        <v>0.30485739067777451</v>
      </c>
      <c r="AH3219" s="2" t="str">
        <f ca="1"/>
        <v>OK</v>
      </c>
    </row>
    <row r="3220" spans="2:34" x14ac:dyDescent="0.2">
      <c r="B3220" s="2">
        <f ca="1"/>
        <v>0.93874148276300073</v>
      </c>
      <c r="O3220" s="2">
        <f ca="1"/>
        <v>-2.5513392528389731E-2</v>
      </c>
      <c r="X3220" s="2">
        <f ca="1"/>
        <v>32.548036581432967</v>
      </c>
      <c r="AG3220" s="2">
        <f ca="1"/>
        <v>4.037668669508454E-2</v>
      </c>
      <c r="AH3220" s="2" t="str">
        <f ca="1"/>
        <v>Good</v>
      </c>
    </row>
    <row r="3221" spans="2:34" x14ac:dyDescent="0.2">
      <c r="B3221" s="2">
        <f ca="1"/>
        <v>0.52848639244988571</v>
      </c>
      <c r="O3221" s="2">
        <f ca="1"/>
        <v>0.20053706074950492</v>
      </c>
      <c r="X3221" s="2">
        <f ca="1"/>
        <v>59.197579252544074</v>
      </c>
      <c r="AG3221" s="2">
        <f ca="1"/>
        <v>0.30665930861043011</v>
      </c>
      <c r="AH3221" s="2" t="str">
        <f ca="1"/>
        <v>OK</v>
      </c>
    </row>
    <row r="3222" spans="2:34" x14ac:dyDescent="0.2">
      <c r="B3222" s="2">
        <f ca="1"/>
        <v>0.56609856624819033</v>
      </c>
      <c r="O3222" s="2">
        <f ca="1"/>
        <v>-0.32856708260408607</v>
      </c>
      <c r="X3222" s="2">
        <f ca="1"/>
        <v>52.593762548107478</v>
      </c>
      <c r="AG3222" s="2">
        <f ca="1"/>
        <v>0.45866235648907949</v>
      </c>
      <c r="AH3222" s="2" t="str">
        <f ca="1"/>
        <v>Bad</v>
      </c>
    </row>
    <row r="3223" spans="2:34" x14ac:dyDescent="0.2">
      <c r="B3223" s="2">
        <f ca="1"/>
        <v>0.61178663860629601</v>
      </c>
      <c r="O3223" s="2">
        <f ca="1"/>
        <v>0.8775837835256638</v>
      </c>
      <c r="X3223" s="2">
        <f ca="1"/>
        <v>30.054491781404927</v>
      </c>
      <c r="AG3223" s="2">
        <f ca="1"/>
        <v>0.28718197590581629</v>
      </c>
      <c r="AH3223" s="2" t="str">
        <f ca="1"/>
        <v>OK</v>
      </c>
    </row>
    <row r="3224" spans="2:34" x14ac:dyDescent="0.2">
      <c r="B3224" s="2">
        <f ca="1"/>
        <v>0.33695450321200338</v>
      </c>
      <c r="O3224" s="2">
        <f ca="1"/>
        <v>-1.0740476053699197</v>
      </c>
      <c r="X3224" s="2">
        <f ca="1"/>
        <v>43.746867932976684</v>
      </c>
      <c r="AG3224" s="2">
        <f ca="1"/>
        <v>0.63485440361923939</v>
      </c>
      <c r="AH3224" s="2" t="str">
        <f ca="1"/>
        <v>Bad</v>
      </c>
    </row>
    <row r="3225" spans="2:34" x14ac:dyDescent="0.2">
      <c r="B3225" s="2">
        <f ca="1"/>
        <v>0.39014657550643506</v>
      </c>
      <c r="O3225" s="2">
        <f ca="1"/>
        <v>-1.1802968036913495</v>
      </c>
      <c r="X3225" s="2">
        <f ca="1"/>
        <v>67.476247553876107</v>
      </c>
      <c r="AG3225" s="2">
        <f ca="1"/>
        <v>0.44915079790398549</v>
      </c>
      <c r="AH3225" s="2" t="str">
        <f ca="1"/>
        <v>Bad</v>
      </c>
    </row>
    <row r="3226" spans="2:34" x14ac:dyDescent="0.2">
      <c r="B3226" s="2">
        <f ca="1"/>
        <v>0.66894945753581525</v>
      </c>
      <c r="O3226" s="2">
        <f ca="1"/>
        <v>0.70982355514418327</v>
      </c>
      <c r="X3226" s="2">
        <f ca="1"/>
        <v>48.400615942845072</v>
      </c>
      <c r="AG3226" s="2">
        <f ca="1"/>
        <v>0.17820329296235071</v>
      </c>
      <c r="AH3226" s="2" t="str">
        <f ca="1"/>
        <v>OK</v>
      </c>
    </row>
    <row r="3227" spans="2:34" x14ac:dyDescent="0.2">
      <c r="B3227" s="2">
        <f ca="1"/>
        <v>0.57348944695830784</v>
      </c>
      <c r="O3227" s="2">
        <f ca="1"/>
        <v>0.81843764936119667</v>
      </c>
      <c r="X3227" s="2">
        <f ca="1"/>
        <v>59.45407953514534</v>
      </c>
      <c r="AG3227" s="2">
        <f ca="1"/>
        <v>0.25644249687103637</v>
      </c>
      <c r="AH3227" s="2" t="str">
        <f ca="1"/>
        <v>OK</v>
      </c>
    </row>
    <row r="3228" spans="2:34" x14ac:dyDescent="0.2">
      <c r="B3228" s="2">
        <f ca="1"/>
        <v>0.4643569823801752</v>
      </c>
      <c r="O3228" s="2">
        <f ca="1"/>
        <v>0.90740791938748855</v>
      </c>
      <c r="X3228" s="2">
        <f ca="1"/>
        <v>39.116687655175262</v>
      </c>
      <c r="AG3228" s="2">
        <f ca="1"/>
        <v>0.82677376765476773</v>
      </c>
      <c r="AH3228" s="2" t="str">
        <f ca="1"/>
        <v>Bad</v>
      </c>
    </row>
    <row r="3229" spans="2:34" x14ac:dyDescent="0.2">
      <c r="B3229" s="2">
        <f ca="1"/>
        <v>0.20788829571712908</v>
      </c>
      <c r="O3229" s="2">
        <f ca="1"/>
        <v>0.35698370363170639</v>
      </c>
      <c r="X3229" s="2">
        <f ca="1"/>
        <v>36.514004704167277</v>
      </c>
      <c r="AG3229" s="2">
        <f ca="1"/>
        <v>0.90621520474584716</v>
      </c>
      <c r="AH3229" s="2" t="str">
        <f ca="1"/>
        <v>Bad</v>
      </c>
    </row>
    <row r="3230" spans="2:34" x14ac:dyDescent="0.2">
      <c r="B3230" s="2">
        <f ca="1"/>
        <v>0.31375802079941084</v>
      </c>
      <c r="O3230" s="2">
        <f ca="1"/>
        <v>-1.0120423657502353</v>
      </c>
      <c r="X3230" s="2">
        <f ca="1"/>
        <v>39.265647449792681</v>
      </c>
      <c r="AG3230" s="2">
        <f ca="1"/>
        <v>0.74543520167564248</v>
      </c>
      <c r="AH3230" s="2" t="str">
        <f ca="1"/>
        <v>Bad</v>
      </c>
    </row>
    <row r="3231" spans="2:34" x14ac:dyDescent="0.2">
      <c r="B3231" s="2">
        <f ca="1"/>
        <v>0.33272511725560538</v>
      </c>
      <c r="O3231" s="2">
        <f ca="1"/>
        <v>-0.23064198013136269</v>
      </c>
      <c r="X3231" s="2">
        <f ca="1"/>
        <v>23.161542498523453</v>
      </c>
      <c r="AG3231" s="2">
        <f ca="1"/>
        <v>4.3223149171868203E-2</v>
      </c>
      <c r="AH3231" s="2" t="str">
        <f ca="1"/>
        <v>Good</v>
      </c>
    </row>
    <row r="3232" spans="2:34" x14ac:dyDescent="0.2">
      <c r="B3232" s="2">
        <f ca="1"/>
        <v>0.24288490219128867</v>
      </c>
      <c r="O3232" s="2">
        <f ca="1"/>
        <v>-0.59709786215774174</v>
      </c>
      <c r="X3232" s="2">
        <f ca="1"/>
        <v>53.067734197717378</v>
      </c>
      <c r="AG3232" s="2">
        <f ca="1"/>
        <v>3.2815265047140718E-2</v>
      </c>
      <c r="AH3232" s="2" t="str">
        <f ca="1"/>
        <v>Good</v>
      </c>
    </row>
    <row r="3233" spans="2:34" x14ac:dyDescent="0.2">
      <c r="B3233" s="2">
        <f ca="1"/>
        <v>0.48979733396764291</v>
      </c>
      <c r="O3233" s="2">
        <f ca="1"/>
        <v>0.94788069441089273</v>
      </c>
      <c r="X3233" s="2">
        <f ca="1"/>
        <v>62.85936862222713</v>
      </c>
      <c r="AG3233" s="2">
        <f ca="1"/>
        <v>0.37319441472055637</v>
      </c>
      <c r="AH3233" s="2" t="str">
        <f ca="1"/>
        <v>OK</v>
      </c>
    </row>
    <row r="3234" spans="2:34" x14ac:dyDescent="0.2">
      <c r="B3234" s="2">
        <f ca="1"/>
        <v>0.11492756617565036</v>
      </c>
      <c r="O3234" s="2">
        <f ca="1"/>
        <v>1.2388591525849308</v>
      </c>
      <c r="X3234" s="2">
        <f ca="1"/>
        <v>43.682693309739719</v>
      </c>
      <c r="AG3234" s="2">
        <f ca="1"/>
        <v>0.76453062799835014</v>
      </c>
      <c r="AH3234" s="2" t="str">
        <f ca="1"/>
        <v>Bad</v>
      </c>
    </row>
    <row r="3235" spans="2:34" x14ac:dyDescent="0.2">
      <c r="B3235" s="2">
        <f ca="1"/>
        <v>0.10717029659408595</v>
      </c>
      <c r="O3235" s="2">
        <f ca="1"/>
        <v>-9.8397445218738958E-2</v>
      </c>
      <c r="X3235" s="2">
        <f ca="1"/>
        <v>36.883719577749716</v>
      </c>
      <c r="AG3235" s="2">
        <f ca="1"/>
        <v>0.45836966470306861</v>
      </c>
      <c r="AH3235" s="2" t="str">
        <f ca="1"/>
        <v>Bad</v>
      </c>
    </row>
    <row r="3236" spans="2:34" x14ac:dyDescent="0.2">
      <c r="B3236" s="2">
        <f ca="1"/>
        <v>0.98405974814220487</v>
      </c>
      <c r="O3236" s="2">
        <f ca="1"/>
        <v>1.3726120141795362</v>
      </c>
      <c r="X3236" s="2">
        <f ca="1"/>
        <v>66.691571632477235</v>
      </c>
      <c r="AG3236" s="2">
        <f ca="1"/>
        <v>0.72358843523280858</v>
      </c>
      <c r="AH3236" s="2" t="str">
        <f ca="1"/>
        <v>Bad</v>
      </c>
    </row>
    <row r="3237" spans="2:34" x14ac:dyDescent="0.2">
      <c r="B3237" s="2">
        <f ca="1"/>
        <v>0.46300295413362824</v>
      </c>
      <c r="O3237" s="2">
        <f ca="1"/>
        <v>8.3655984706200059E-2</v>
      </c>
      <c r="X3237" s="2">
        <f ca="1"/>
        <v>37.088784857854769</v>
      </c>
      <c r="AG3237" s="2">
        <f ca="1"/>
        <v>0.42005005690591091</v>
      </c>
      <c r="AH3237" s="2" t="str">
        <f ca="1"/>
        <v>Bad</v>
      </c>
    </row>
    <row r="3238" spans="2:34" x14ac:dyDescent="0.2">
      <c r="B3238" s="2">
        <f ca="1"/>
        <v>0.94582112884963365</v>
      </c>
      <c r="O3238" s="2">
        <f ca="1"/>
        <v>0.57802804610848535</v>
      </c>
      <c r="X3238" s="2">
        <f ca="1"/>
        <v>33.856130862457839</v>
      </c>
      <c r="AG3238" s="2">
        <f ca="1"/>
        <v>0.80168760622713431</v>
      </c>
      <c r="AH3238" s="2" t="str">
        <f ca="1"/>
        <v>Bad</v>
      </c>
    </row>
    <row r="3239" spans="2:34" x14ac:dyDescent="0.2">
      <c r="B3239" s="2">
        <f ca="1"/>
        <v>0.51891882623376206</v>
      </c>
      <c r="O3239" s="2">
        <f ca="1"/>
        <v>0.70190481142297279</v>
      </c>
      <c r="X3239" s="2">
        <f ca="1"/>
        <v>57.487910628039288</v>
      </c>
      <c r="AG3239" s="2">
        <f ca="1"/>
        <v>0.94624598896931245</v>
      </c>
      <c r="AH3239" s="2" t="str">
        <f ca="1"/>
        <v>Bad</v>
      </c>
    </row>
    <row r="3240" spans="2:34" x14ac:dyDescent="0.2">
      <c r="B3240" s="2">
        <f ca="1"/>
        <v>0.74248048290438806</v>
      </c>
      <c r="O3240" s="2">
        <f ca="1"/>
        <v>-0.54604032767281352</v>
      </c>
      <c r="X3240" s="2">
        <f ca="1"/>
        <v>41.52383705771171</v>
      </c>
      <c r="AG3240" s="2">
        <f ca="1"/>
        <v>0.19938674552632585</v>
      </c>
      <c r="AH3240" s="2" t="str">
        <f ca="1"/>
        <v>OK</v>
      </c>
    </row>
    <row r="3241" spans="2:34" x14ac:dyDescent="0.2">
      <c r="B3241" s="2">
        <f ca="1"/>
        <v>0.54995347945329964</v>
      </c>
      <c r="O3241" s="2">
        <f ca="1"/>
        <v>0.47373441352931844</v>
      </c>
      <c r="X3241" s="2">
        <f ca="1"/>
        <v>35.205169974652378</v>
      </c>
      <c r="AG3241" s="2">
        <f ca="1"/>
        <v>0.6850520852549562</v>
      </c>
      <c r="AH3241" s="2" t="str">
        <f ca="1"/>
        <v>Bad</v>
      </c>
    </row>
    <row r="3242" spans="2:34" x14ac:dyDescent="0.2">
      <c r="B3242" s="2">
        <f ca="1"/>
        <v>0.71028423944415842</v>
      </c>
      <c r="O3242" s="2">
        <f ca="1"/>
        <v>0.41463894306819676</v>
      </c>
      <c r="X3242" s="2">
        <f ca="1"/>
        <v>78.121428313830023</v>
      </c>
      <c r="AG3242" s="2">
        <f ca="1"/>
        <v>7.3614651188793845E-2</v>
      </c>
      <c r="AH3242" s="2" t="str">
        <f ca="1"/>
        <v>OK</v>
      </c>
    </row>
    <row r="3243" spans="2:34" x14ac:dyDescent="0.2">
      <c r="B3243" s="2">
        <f ca="1"/>
        <v>0.56117237953660726</v>
      </c>
      <c r="O3243" s="2">
        <f ca="1"/>
        <v>-1.6526681291848899</v>
      </c>
      <c r="X3243" s="2">
        <f ca="1"/>
        <v>53.231312507497407</v>
      </c>
      <c r="AG3243" s="2">
        <f ca="1"/>
        <v>0.15426257553312572</v>
      </c>
      <c r="AH3243" s="2" t="str">
        <f ca="1"/>
        <v>OK</v>
      </c>
    </row>
    <row r="3244" spans="2:34" x14ac:dyDescent="0.2">
      <c r="B3244" s="2">
        <f ca="1"/>
        <v>0.18877311722512458</v>
      </c>
      <c r="O3244" s="2">
        <f ca="1"/>
        <v>-0.20597673405159708</v>
      </c>
      <c r="X3244" s="2">
        <f ca="1"/>
        <v>56.657037788264262</v>
      </c>
      <c r="AG3244" s="2">
        <f ca="1"/>
        <v>0.80034206831761434</v>
      </c>
      <c r="AH3244" s="2" t="str">
        <f ca="1"/>
        <v>Bad</v>
      </c>
    </row>
    <row r="3245" spans="2:34" x14ac:dyDescent="0.2">
      <c r="B3245" s="2">
        <f ca="1"/>
        <v>0.51372027260655684</v>
      </c>
      <c r="O3245" s="2">
        <f ca="1"/>
        <v>-0.34959419643789919</v>
      </c>
      <c r="X3245" s="2">
        <f ca="1"/>
        <v>40.586529331393464</v>
      </c>
      <c r="AG3245" s="2">
        <f ca="1"/>
        <v>4.3847977242341907E-2</v>
      </c>
      <c r="AH3245" s="2" t="str">
        <f ca="1"/>
        <v>Good</v>
      </c>
    </row>
    <row r="3246" spans="2:34" x14ac:dyDescent="0.2">
      <c r="B3246" s="2">
        <f ca="1"/>
        <v>0.20860912056298409</v>
      </c>
      <c r="O3246" s="2">
        <f ca="1"/>
        <v>-6.346808830325891E-2</v>
      </c>
      <c r="X3246" s="2">
        <f ca="1"/>
        <v>61.901641531682415</v>
      </c>
      <c r="AG3246" s="2">
        <f ca="1"/>
        <v>0.59940662892857866</v>
      </c>
      <c r="AH3246" s="2" t="str">
        <f ca="1"/>
        <v>Bad</v>
      </c>
    </row>
    <row r="3247" spans="2:34" x14ac:dyDescent="0.2">
      <c r="B3247" s="2">
        <f ca="1"/>
        <v>0.84794691431762081</v>
      </c>
      <c r="O3247" s="2">
        <f ca="1"/>
        <v>-1.1337729019967304</v>
      </c>
      <c r="X3247" s="2">
        <f ca="1"/>
        <v>39.24245893824417</v>
      </c>
      <c r="AG3247" s="2">
        <f ca="1"/>
        <v>0.47871555575769675</v>
      </c>
      <c r="AH3247" s="2" t="str">
        <f ca="1"/>
        <v>Bad</v>
      </c>
    </row>
    <row r="3248" spans="2:34" x14ac:dyDescent="0.2">
      <c r="B3248" s="2">
        <f ca="1"/>
        <v>0.67961574438136285</v>
      </c>
      <c r="O3248" s="2">
        <f ca="1"/>
        <v>-1.2377937318663352</v>
      </c>
      <c r="X3248" s="2">
        <f ca="1"/>
        <v>45.279183485263502</v>
      </c>
      <c r="AG3248" s="2">
        <f ca="1"/>
        <v>0.74644693324455336</v>
      </c>
      <c r="AH3248" s="2" t="str">
        <f ca="1"/>
        <v>Bad</v>
      </c>
    </row>
    <row r="3249" spans="2:34" x14ac:dyDescent="0.2">
      <c r="B3249" s="2">
        <f ca="1"/>
        <v>0.41174792084857992</v>
      </c>
      <c r="O3249" s="2">
        <f ca="1"/>
        <v>-0.55444414642356499</v>
      </c>
      <c r="X3249" s="2">
        <f ca="1"/>
        <v>43.663079776220115</v>
      </c>
      <c r="AG3249" s="2">
        <f ca="1"/>
        <v>0.41407274008227701</v>
      </c>
      <c r="AH3249" s="2" t="str">
        <f ca="1"/>
        <v>Bad</v>
      </c>
    </row>
    <row r="3250" spans="2:34" x14ac:dyDescent="0.2">
      <c r="B3250" s="2">
        <f ca="1"/>
        <v>0.99747934150624196</v>
      </c>
      <c r="O3250" s="2">
        <f ca="1"/>
        <v>0.48941531875186473</v>
      </c>
      <c r="X3250" s="2">
        <f ca="1"/>
        <v>68.516913403247358</v>
      </c>
      <c r="AG3250" s="2">
        <f ca="1"/>
        <v>0.2015472758294099</v>
      </c>
      <c r="AH3250" s="2" t="str">
        <f ca="1"/>
        <v>OK</v>
      </c>
    </row>
    <row r="3251" spans="2:34" x14ac:dyDescent="0.2">
      <c r="B3251" s="2">
        <f ca="1"/>
        <v>0.47698919715142396</v>
      </c>
      <c r="O3251" s="2">
        <f ca="1"/>
        <v>-1.8349419703813168</v>
      </c>
      <c r="X3251" s="2">
        <f ca="1"/>
        <v>44.704119795682679</v>
      </c>
      <c r="AG3251" s="2">
        <f ca="1"/>
        <v>0.27754047302477125</v>
      </c>
      <c r="AH3251" s="2" t="str">
        <f ca="1"/>
        <v>OK</v>
      </c>
    </row>
    <row r="3252" spans="2:34" x14ac:dyDescent="0.2">
      <c r="B3252" s="2">
        <f ca="1"/>
        <v>0.2990580799660989</v>
      </c>
      <c r="O3252" s="2">
        <f ca="1"/>
        <v>0.92029483899435238</v>
      </c>
      <c r="X3252" s="2">
        <f ca="1"/>
        <v>41.78036469363667</v>
      </c>
      <c r="AG3252" s="2">
        <f ca="1"/>
        <v>0.65901402798258957</v>
      </c>
      <c r="AH3252" s="2" t="str">
        <f ca="1"/>
        <v>Bad</v>
      </c>
    </row>
    <row r="3253" spans="2:34" x14ac:dyDescent="0.2">
      <c r="B3253" s="2">
        <f ca="1"/>
        <v>0.83505070712762031</v>
      </c>
      <c r="O3253" s="2">
        <f ca="1"/>
        <v>1.5978527721055433</v>
      </c>
      <c r="X3253" s="2">
        <f ca="1"/>
        <v>26.216452393983957</v>
      </c>
      <c r="AG3253" s="2">
        <f ca="1"/>
        <v>0.6010019246662357</v>
      </c>
      <c r="AH3253" s="2" t="str">
        <f ca="1"/>
        <v>Bad</v>
      </c>
    </row>
    <row r="3254" spans="2:34" x14ac:dyDescent="0.2">
      <c r="B3254" s="2">
        <f ca="1"/>
        <v>0.64366079630059359</v>
      </c>
      <c r="O3254" s="2">
        <f ca="1"/>
        <v>-1.3402572962807122</v>
      </c>
      <c r="X3254" s="2">
        <f ca="1"/>
        <v>37.117549482292638</v>
      </c>
      <c r="AG3254" s="2">
        <f ca="1"/>
        <v>0.83354349015404172</v>
      </c>
      <c r="AH3254" s="2" t="str">
        <f ca="1"/>
        <v>Bad</v>
      </c>
    </row>
    <row r="3255" spans="2:34" x14ac:dyDescent="0.2">
      <c r="B3255" s="2">
        <f ca="1"/>
        <v>0.52780883357128849</v>
      </c>
      <c r="O3255" s="2">
        <f ca="1"/>
        <v>-0.77011205003500138</v>
      </c>
      <c r="X3255" s="2">
        <f ca="1"/>
        <v>77.908875003714115</v>
      </c>
      <c r="AG3255" s="2">
        <f ca="1"/>
        <v>0.72436824049995496</v>
      </c>
      <c r="AH3255" s="2" t="str">
        <f ca="1"/>
        <v>Bad</v>
      </c>
    </row>
    <row r="3256" spans="2:34" x14ac:dyDescent="0.2">
      <c r="B3256" s="2">
        <f ca="1"/>
        <v>0.1619143935382017</v>
      </c>
      <c r="O3256" s="2">
        <f ca="1"/>
        <v>1.3398051716470698</v>
      </c>
      <c r="X3256" s="2">
        <f ca="1"/>
        <v>44.243339516771542</v>
      </c>
      <c r="AG3256" s="2">
        <f ca="1"/>
        <v>0.65290659905335025</v>
      </c>
      <c r="AH3256" s="2" t="str">
        <f ca="1"/>
        <v>Bad</v>
      </c>
    </row>
    <row r="3257" spans="2:34" x14ac:dyDescent="0.2">
      <c r="B3257" s="2">
        <f ca="1"/>
        <v>0.56190514139545411</v>
      </c>
      <c r="O3257" s="2">
        <f ca="1"/>
        <v>0.28174936357057589</v>
      </c>
      <c r="X3257" s="2">
        <f ca="1"/>
        <v>59.782126915117637</v>
      </c>
      <c r="AG3257" s="2">
        <f ca="1"/>
        <v>0.94397353181174415</v>
      </c>
      <c r="AH3257" s="2" t="str">
        <f ca="1"/>
        <v>Bad</v>
      </c>
    </row>
    <row r="3258" spans="2:34" x14ac:dyDescent="0.2">
      <c r="B3258" s="2">
        <f ca="1"/>
        <v>0.4519988406437514</v>
      </c>
      <c r="O3258" s="2">
        <f ca="1"/>
        <v>0.80667447463071051</v>
      </c>
      <c r="X3258" s="2">
        <f ca="1"/>
        <v>40.585595201452108</v>
      </c>
      <c r="AG3258" s="2">
        <f ca="1"/>
        <v>0.37521739445344382</v>
      </c>
      <c r="AH3258" s="2" t="str">
        <f ca="1"/>
        <v>OK</v>
      </c>
    </row>
    <row r="3259" spans="2:34" x14ac:dyDescent="0.2">
      <c r="B3259" s="2">
        <f ca="1"/>
        <v>0.21259156570917637</v>
      </c>
      <c r="O3259" s="2">
        <f ca="1"/>
        <v>-0.14814287041699847</v>
      </c>
      <c r="X3259" s="2">
        <f ca="1"/>
        <v>31.350477673122409</v>
      </c>
      <c r="AG3259" s="2">
        <f ca="1"/>
        <v>0.37706721169713875</v>
      </c>
      <c r="AH3259" s="2" t="str">
        <f ca="1"/>
        <v>OK</v>
      </c>
    </row>
    <row r="3260" spans="2:34" x14ac:dyDescent="0.2">
      <c r="B3260" s="2">
        <f ca="1"/>
        <v>0.76706478193337091</v>
      </c>
      <c r="O3260" s="2">
        <f ca="1"/>
        <v>-0.22198419431358582</v>
      </c>
      <c r="X3260" s="2">
        <f ca="1"/>
        <v>55.874298423204706</v>
      </c>
      <c r="AG3260" s="2">
        <f ca="1"/>
        <v>0.18089450949608521</v>
      </c>
      <c r="AH3260" s="2" t="str">
        <f ca="1"/>
        <v>OK</v>
      </c>
    </row>
    <row r="3261" spans="2:34" x14ac:dyDescent="0.2">
      <c r="B3261" s="2">
        <f ca="1"/>
        <v>0.13263651331391069</v>
      </c>
      <c r="O3261" s="2">
        <f ca="1"/>
        <v>-0.77116672191396995</v>
      </c>
      <c r="X3261" s="2">
        <f ca="1"/>
        <v>73.381720107448785</v>
      </c>
      <c r="AG3261" s="2">
        <f ca="1"/>
        <v>0.3792790528551786</v>
      </c>
      <c r="AH3261" s="2" t="str">
        <f ca="1"/>
        <v>OK</v>
      </c>
    </row>
    <row r="3262" spans="2:34" x14ac:dyDescent="0.2">
      <c r="B3262" s="2">
        <f ca="1"/>
        <v>7.2232881108273306E-2</v>
      </c>
      <c r="O3262" s="2">
        <f ca="1"/>
        <v>-0.28331764056779102</v>
      </c>
      <c r="X3262" s="2">
        <f ca="1"/>
        <v>63.229166572023409</v>
      </c>
      <c r="AG3262" s="2">
        <f ca="1"/>
        <v>0.55122671440000581</v>
      </c>
      <c r="AH3262" s="2" t="str">
        <f ca="1"/>
        <v>Bad</v>
      </c>
    </row>
    <row r="3263" spans="2:34" x14ac:dyDescent="0.2">
      <c r="B3263" s="2">
        <f ca="1"/>
        <v>9.7758476520115822E-2</v>
      </c>
      <c r="O3263" s="2">
        <f ca="1"/>
        <v>1.6333707068385541</v>
      </c>
      <c r="X3263" s="2">
        <f ca="1"/>
        <v>49.589180071793393</v>
      </c>
      <c r="AG3263" s="2">
        <f ca="1"/>
        <v>0.93334644120096444</v>
      </c>
      <c r="AH3263" s="2" t="str">
        <f ca="1"/>
        <v>Bad</v>
      </c>
    </row>
    <row r="3264" spans="2:34" x14ac:dyDescent="0.2">
      <c r="B3264" s="2">
        <f ca="1"/>
        <v>0.16784169062655541</v>
      </c>
      <c r="O3264" s="2">
        <f ca="1"/>
        <v>1.6784158324929264</v>
      </c>
      <c r="X3264" s="2">
        <f ca="1"/>
        <v>38.155345994854891</v>
      </c>
      <c r="AG3264" s="2">
        <f ca="1"/>
        <v>0.61456178590838673</v>
      </c>
      <c r="AH3264" s="2" t="str">
        <f ca="1"/>
        <v>Bad</v>
      </c>
    </row>
    <row r="3265" spans="2:34" x14ac:dyDescent="0.2">
      <c r="B3265" s="2">
        <f ca="1"/>
        <v>0.476801350026822</v>
      </c>
      <c r="O3265" s="2">
        <f ca="1"/>
        <v>1.9378159442748633</v>
      </c>
      <c r="X3265" s="2">
        <f ca="1"/>
        <v>48.974924204343168</v>
      </c>
      <c r="AG3265" s="2">
        <f ca="1"/>
        <v>0.86275761230302783</v>
      </c>
      <c r="AH3265" s="2" t="str">
        <f ca="1"/>
        <v>Bad</v>
      </c>
    </row>
    <row r="3266" spans="2:34" x14ac:dyDescent="0.2">
      <c r="B3266" s="2">
        <f ca="1"/>
        <v>0.51112149190248157</v>
      </c>
      <c r="O3266" s="2">
        <f ca="1"/>
        <v>-0.53258307597967347</v>
      </c>
      <c r="X3266" s="2">
        <f ca="1"/>
        <v>66.247953743070866</v>
      </c>
      <c r="AG3266" s="2">
        <f ca="1"/>
        <v>0.70928334111130709</v>
      </c>
      <c r="AH3266" s="2" t="str">
        <f ca="1"/>
        <v>Bad</v>
      </c>
    </row>
    <row r="3267" spans="2:34" x14ac:dyDescent="0.2">
      <c r="B3267" s="2">
        <f ca="1"/>
        <v>0.5939411146970226</v>
      </c>
      <c r="O3267" s="2">
        <f ca="1"/>
        <v>1.2108499569263766</v>
      </c>
      <c r="X3267" s="2">
        <f ca="1"/>
        <v>35.661510033381198</v>
      </c>
      <c r="AG3267" s="2">
        <f ca="1"/>
        <v>2.841840233337134E-2</v>
      </c>
      <c r="AH3267" s="2" t="str">
        <f ca="1"/>
        <v>Good</v>
      </c>
    </row>
    <row r="3268" spans="2:34" x14ac:dyDescent="0.2">
      <c r="B3268" s="2">
        <f ca="1"/>
        <v>0.60529424598408688</v>
      </c>
      <c r="O3268" s="2">
        <f ca="1"/>
        <v>1.1161496835722182</v>
      </c>
      <c r="X3268" s="2">
        <f ca="1"/>
        <v>39.293655090304682</v>
      </c>
      <c r="AG3268" s="2">
        <f ca="1"/>
        <v>0.61473254795573951</v>
      </c>
      <c r="AH3268" s="2" t="str">
        <f ca="1"/>
        <v>Bad</v>
      </c>
    </row>
    <row r="3269" spans="2:34" x14ac:dyDescent="0.2">
      <c r="B3269" s="2">
        <f ca="1"/>
        <v>0.19665275703690388</v>
      </c>
      <c r="O3269" s="2">
        <f ca="1"/>
        <v>-1.5037158286873606</v>
      </c>
      <c r="X3269" s="2">
        <f ca="1"/>
        <v>29.022578848143588</v>
      </c>
      <c r="AG3269" s="2">
        <f ca="1"/>
        <v>0.22752034992139181</v>
      </c>
      <c r="AH3269" s="2" t="str">
        <f ca="1"/>
        <v>OK</v>
      </c>
    </row>
    <row r="3270" spans="2:34" x14ac:dyDescent="0.2">
      <c r="B3270" s="2">
        <f ca="1"/>
        <v>8.2871119072709609E-2</v>
      </c>
      <c r="O3270" s="2">
        <f ca="1"/>
        <v>-0.593446147840615</v>
      </c>
      <c r="X3270" s="2">
        <f ca="1"/>
        <v>56.309913465626863</v>
      </c>
      <c r="AG3270" s="2">
        <f ca="1"/>
        <v>0.79581652921040069</v>
      </c>
      <c r="AH3270" s="2" t="str">
        <f ca="1"/>
        <v>Bad</v>
      </c>
    </row>
    <row r="3271" spans="2:34" x14ac:dyDescent="0.2">
      <c r="B3271" s="2">
        <f ca="1"/>
        <v>0.34341203233467588</v>
      </c>
      <c r="O3271" s="2">
        <f ca="1"/>
        <v>-1.2226291526654791</v>
      </c>
      <c r="X3271" s="2">
        <f ca="1"/>
        <v>55.158802961060104</v>
      </c>
      <c r="AG3271" s="2">
        <f ca="1"/>
        <v>0.36986010058265939</v>
      </c>
      <c r="AH3271" s="2" t="str">
        <f ca="1"/>
        <v>OK</v>
      </c>
    </row>
    <row r="3272" spans="2:34" x14ac:dyDescent="0.2">
      <c r="B3272" s="2">
        <f ca="1"/>
        <v>0.99864240177317165</v>
      </c>
      <c r="O3272" s="2">
        <f ca="1"/>
        <v>1.7668450288221795</v>
      </c>
      <c r="X3272" s="2">
        <f ca="1"/>
        <v>59.532070588741341</v>
      </c>
      <c r="AG3272" s="2">
        <f ca="1"/>
        <v>0.72630833556799668</v>
      </c>
      <c r="AH3272" s="2" t="str">
        <f ca="1"/>
        <v>Bad</v>
      </c>
    </row>
    <row r="3273" spans="2:34" x14ac:dyDescent="0.2">
      <c r="B3273" s="2">
        <f ca="1"/>
        <v>0.6256360902165754</v>
      </c>
      <c r="O3273" s="2">
        <f ca="1"/>
        <v>-0.53358056918973573</v>
      </c>
      <c r="X3273" s="2">
        <f ca="1"/>
        <v>60.514174029529755</v>
      </c>
      <c r="AG3273" s="2">
        <f ca="1"/>
        <v>0.38191205693890051</v>
      </c>
      <c r="AH3273" s="2" t="str">
        <f ca="1"/>
        <v>OK</v>
      </c>
    </row>
    <row r="3274" spans="2:34" x14ac:dyDescent="0.2">
      <c r="B3274" s="2">
        <f ca="1"/>
        <v>0.12492370354544513</v>
      </c>
      <c r="O3274" s="2">
        <f ca="1"/>
        <v>1.6429348687494876</v>
      </c>
      <c r="X3274" s="2">
        <f ca="1"/>
        <v>48.45690627789083</v>
      </c>
      <c r="AG3274" s="2">
        <f ca="1"/>
        <v>0.10751302153485409</v>
      </c>
      <c r="AH3274" s="2" t="str">
        <f ca="1"/>
        <v>OK</v>
      </c>
    </row>
    <row r="3275" spans="2:34" x14ac:dyDescent="0.2">
      <c r="B3275" s="2">
        <f ca="1"/>
        <v>0.18365998405464246</v>
      </c>
      <c r="O3275" s="2">
        <f ca="1"/>
        <v>-0.81890979361651395</v>
      </c>
      <c r="X3275" s="2">
        <f ca="1"/>
        <v>50.813887107297113</v>
      </c>
      <c r="AG3275" s="2">
        <f ca="1"/>
        <v>0.50053225698285142</v>
      </c>
      <c r="AH3275" s="2" t="str">
        <f ca="1"/>
        <v>Bad</v>
      </c>
    </row>
    <row r="3276" spans="2:34" x14ac:dyDescent="0.2">
      <c r="B3276" s="2">
        <f ca="1"/>
        <v>0.15954732768130953</v>
      </c>
      <c r="O3276" s="2">
        <f ca="1"/>
        <v>-0.29442299329295962</v>
      </c>
      <c r="X3276" s="2">
        <f ca="1"/>
        <v>49.789147895428826</v>
      </c>
      <c r="AG3276" s="2">
        <f ca="1"/>
        <v>5.2592594266276382E-3</v>
      </c>
      <c r="AH3276" s="2" t="str">
        <f ca="1"/>
        <v>Good</v>
      </c>
    </row>
    <row r="3277" spans="2:34" x14ac:dyDescent="0.2">
      <c r="B3277" s="2">
        <f ca="1"/>
        <v>0.5865071258942578</v>
      </c>
      <c r="O3277" s="2">
        <f ca="1"/>
        <v>-1.6693172370742011</v>
      </c>
      <c r="X3277" s="2">
        <f ca="1"/>
        <v>37.892515721494327</v>
      </c>
      <c r="AG3277" s="2">
        <f ca="1"/>
        <v>0.35671788333251486</v>
      </c>
      <c r="AH3277" s="2" t="str">
        <f ca="1"/>
        <v>OK</v>
      </c>
    </row>
    <row r="3278" spans="2:34" x14ac:dyDescent="0.2">
      <c r="B3278" s="2">
        <f ca="1"/>
        <v>0.37193231144298555</v>
      </c>
      <c r="O3278" s="2">
        <f ca="1"/>
        <v>0.82514152795646434</v>
      </c>
      <c r="X3278" s="2">
        <f ca="1"/>
        <v>55.324107971607575</v>
      </c>
      <c r="AG3278" s="2">
        <f ca="1"/>
        <v>0.13235889714893423</v>
      </c>
      <c r="AH3278" s="2" t="str">
        <f ca="1"/>
        <v>OK</v>
      </c>
    </row>
    <row r="3279" spans="2:34" x14ac:dyDescent="0.2">
      <c r="B3279" s="2">
        <f ca="1"/>
        <v>0.29956793682139926</v>
      </c>
      <c r="O3279" s="2">
        <f ca="1"/>
        <v>0.26087415877116188</v>
      </c>
      <c r="X3279" s="2">
        <f ca="1"/>
        <v>24.344585691866079</v>
      </c>
      <c r="AG3279" s="2">
        <f ca="1"/>
        <v>0.94510761246990804</v>
      </c>
      <c r="AH3279" s="2" t="str">
        <f ca="1"/>
        <v>Bad</v>
      </c>
    </row>
    <row r="3280" spans="2:34" x14ac:dyDescent="0.2">
      <c r="B3280" s="2">
        <f ca="1"/>
        <v>0.59490895616677264</v>
      </c>
      <c r="O3280" s="2">
        <f ca="1"/>
        <v>0.60832873808723276</v>
      </c>
      <c r="X3280" s="2">
        <f ca="1"/>
        <v>81.482284836871969</v>
      </c>
      <c r="AG3280" s="2">
        <f ca="1"/>
        <v>0.73847787717186786</v>
      </c>
      <c r="AH3280" s="2" t="str">
        <f ca="1"/>
        <v>Bad</v>
      </c>
    </row>
    <row r="3281" spans="2:34" x14ac:dyDescent="0.2">
      <c r="B3281" s="2">
        <f ca="1"/>
        <v>0.92998932249899657</v>
      </c>
      <c r="O3281" s="2">
        <f ca="1"/>
        <v>1.4481539413241842</v>
      </c>
      <c r="X3281" s="2">
        <f ca="1"/>
        <v>25.849039979630788</v>
      </c>
      <c r="AG3281" s="2">
        <f ca="1"/>
        <v>0.55572030062920286</v>
      </c>
      <c r="AH3281" s="2" t="str">
        <f ca="1"/>
        <v>Bad</v>
      </c>
    </row>
    <row r="3282" spans="2:34" x14ac:dyDescent="0.2">
      <c r="B3282" s="2">
        <f ca="1"/>
        <v>0.34895692092270081</v>
      </c>
      <c r="O3282" s="2">
        <f ca="1"/>
        <v>-0.39133361058674926</v>
      </c>
      <c r="X3282" s="2">
        <f ca="1"/>
        <v>55.608416516416995</v>
      </c>
      <c r="AG3282" s="2">
        <f ca="1"/>
        <v>0.99659189682425597</v>
      </c>
      <c r="AH3282" s="2" t="str">
        <f ca="1"/>
        <v>Bad</v>
      </c>
    </row>
    <row r="3283" spans="2:34" x14ac:dyDescent="0.2">
      <c r="B3283" s="2">
        <f ca="1"/>
        <v>0.88403556484160273</v>
      </c>
      <c r="O3283" s="2">
        <f ca="1"/>
        <v>0.26969916754932111</v>
      </c>
      <c r="X3283" s="2">
        <f ca="1"/>
        <v>112.06888585303705</v>
      </c>
      <c r="AG3283" s="2">
        <f ca="1"/>
        <v>0.39195167827884037</v>
      </c>
      <c r="AH3283" s="2" t="str">
        <f ca="1"/>
        <v>OK</v>
      </c>
    </row>
    <row r="3284" spans="2:34" x14ac:dyDescent="0.2">
      <c r="B3284" s="2">
        <f ca="1"/>
        <v>0.54998677092876314</v>
      </c>
      <c r="O3284" s="2">
        <f ca="1"/>
        <v>1.9939005615974752</v>
      </c>
      <c r="X3284" s="2">
        <f ca="1"/>
        <v>43.09365573006022</v>
      </c>
      <c r="AG3284" s="2">
        <f ca="1"/>
        <v>0.79916822148113087</v>
      </c>
      <c r="AH3284" s="2" t="str">
        <f ca="1"/>
        <v>Bad</v>
      </c>
    </row>
    <row r="3285" spans="2:34" x14ac:dyDescent="0.2">
      <c r="B3285" s="2">
        <f ca="1"/>
        <v>0.1688495378338315</v>
      </c>
      <c r="O3285" s="2">
        <f ca="1"/>
        <v>-0.67594088257183227</v>
      </c>
      <c r="X3285" s="2">
        <f ca="1"/>
        <v>41.130793556209923</v>
      </c>
      <c r="AG3285" s="2">
        <f ca="1"/>
        <v>0.96667459749457785</v>
      </c>
      <c r="AH3285" s="2" t="str">
        <f ca="1"/>
        <v>Bad</v>
      </c>
    </row>
    <row r="3286" spans="2:34" x14ac:dyDescent="0.2">
      <c r="B3286" s="2">
        <f ca="1"/>
        <v>0.90566877499131038</v>
      </c>
      <c r="O3286" s="2">
        <f ca="1"/>
        <v>-1.2461246224921845</v>
      </c>
      <c r="X3286" s="2">
        <f ca="1"/>
        <v>17.719990509478031</v>
      </c>
      <c r="AG3286" s="2">
        <f ca="1"/>
        <v>0.91968453175342835</v>
      </c>
      <c r="AH3286" s="2" t="str">
        <f ca="1"/>
        <v>Bad</v>
      </c>
    </row>
    <row r="3287" spans="2:34" x14ac:dyDescent="0.2">
      <c r="B3287" s="2">
        <f ca="1"/>
        <v>0.40555503074063259</v>
      </c>
      <c r="O3287" s="2">
        <f ca="1"/>
        <v>1.1540203714823001</v>
      </c>
      <c r="X3287" s="2">
        <f ca="1"/>
        <v>27.742430981334589</v>
      </c>
      <c r="AG3287" s="2">
        <f ca="1"/>
        <v>0.18292153193265825</v>
      </c>
      <c r="AH3287" s="2" t="str">
        <f ca="1"/>
        <v>OK</v>
      </c>
    </row>
    <row r="3288" spans="2:34" x14ac:dyDescent="0.2">
      <c r="B3288" s="2">
        <f ca="1"/>
        <v>0.14436557808483386</v>
      </c>
      <c r="O3288" s="2">
        <f ca="1"/>
        <v>-1.0126570370841703</v>
      </c>
      <c r="X3288" s="2">
        <f ca="1"/>
        <v>45.694667965914853</v>
      </c>
      <c r="AG3288" s="2">
        <f ca="1"/>
        <v>0.10636381061748157</v>
      </c>
      <c r="AH3288" s="2" t="str">
        <f ca="1"/>
        <v>OK</v>
      </c>
    </row>
    <row r="3289" spans="2:34" x14ac:dyDescent="0.2">
      <c r="B3289" s="2">
        <f ca="1"/>
        <v>0.1139829492851987</v>
      </c>
      <c r="O3289" s="2">
        <f ca="1"/>
        <v>0.61187438017022655</v>
      </c>
      <c r="X3289" s="2">
        <f ca="1"/>
        <v>47.64037631418897</v>
      </c>
      <c r="AG3289" s="2">
        <f ca="1"/>
        <v>0.89174569872817022</v>
      </c>
      <c r="AH3289" s="2" t="str">
        <f ca="1"/>
        <v>Bad</v>
      </c>
    </row>
    <row r="3290" spans="2:34" x14ac:dyDescent="0.2">
      <c r="B3290" s="2">
        <f ca="1"/>
        <v>0.46143455185324611</v>
      </c>
      <c r="O3290" s="2">
        <f ca="1"/>
        <v>0.21274851113170518</v>
      </c>
      <c r="X3290" s="2">
        <f ca="1"/>
        <v>63.921101262074714</v>
      </c>
      <c r="AG3290" s="2">
        <f ca="1"/>
        <v>6.4135363701045334E-2</v>
      </c>
      <c r="AH3290" s="2" t="str">
        <f ca="1"/>
        <v>OK</v>
      </c>
    </row>
    <row r="3291" spans="2:34" x14ac:dyDescent="0.2">
      <c r="B3291" s="2">
        <f ca="1"/>
        <v>0.99423421029936643</v>
      </c>
      <c r="O3291" s="2">
        <f ca="1"/>
        <v>0.21699306602813928</v>
      </c>
      <c r="X3291" s="2">
        <f ca="1"/>
        <v>50.541759360462379</v>
      </c>
      <c r="AG3291" s="2">
        <f ca="1"/>
        <v>0.34213988797928585</v>
      </c>
      <c r="AH3291" s="2" t="str">
        <f ca="1"/>
        <v>OK</v>
      </c>
    </row>
    <row r="3292" spans="2:34" x14ac:dyDescent="0.2">
      <c r="B3292" s="2">
        <f ca="1"/>
        <v>0.82891489370282212</v>
      </c>
      <c r="O3292" s="2">
        <f ca="1"/>
        <v>-2.4303651770346417</v>
      </c>
      <c r="X3292" s="2">
        <f ca="1"/>
        <v>33.20361007215589</v>
      </c>
      <c r="AG3292" s="2">
        <f ca="1"/>
        <v>0.86712076808507765</v>
      </c>
      <c r="AH3292" s="2" t="str">
        <f ca="1"/>
        <v>Bad</v>
      </c>
    </row>
    <row r="3293" spans="2:34" x14ac:dyDescent="0.2">
      <c r="B3293" s="2">
        <f ca="1"/>
        <v>0.71022739010880032</v>
      </c>
      <c r="O3293" s="2">
        <f ca="1"/>
        <v>0.5450223855251205</v>
      </c>
      <c r="X3293" s="2">
        <f ca="1"/>
        <v>33.962096362224102</v>
      </c>
      <c r="AG3293" s="2">
        <f ca="1"/>
        <v>0.11308779911735045</v>
      </c>
      <c r="AH3293" s="2" t="str">
        <f ca="1"/>
        <v>OK</v>
      </c>
    </row>
    <row r="3294" spans="2:34" x14ac:dyDescent="0.2">
      <c r="B3294" s="2">
        <f ca="1"/>
        <v>0.20414547911995595</v>
      </c>
      <c r="O3294" s="2">
        <f ca="1"/>
        <v>0.26768991131170644</v>
      </c>
      <c r="X3294" s="2">
        <f ca="1"/>
        <v>57.534510066621294</v>
      </c>
      <c r="AG3294" s="2">
        <f ca="1"/>
        <v>3.4034192767095961E-2</v>
      </c>
      <c r="AH3294" s="2" t="str">
        <f ca="1"/>
        <v>Good</v>
      </c>
    </row>
    <row r="3295" spans="2:34" x14ac:dyDescent="0.2">
      <c r="B3295" s="2">
        <f ca="1"/>
        <v>0.87437155986353288</v>
      </c>
      <c r="O3295" s="2">
        <f ca="1"/>
        <v>0.19914997454154137</v>
      </c>
      <c r="X3295" s="2">
        <f ca="1"/>
        <v>74.791862344357355</v>
      </c>
      <c r="AG3295" s="2">
        <f ca="1"/>
        <v>0.42025688425343444</v>
      </c>
      <c r="AH3295" s="2" t="str">
        <f ca="1"/>
        <v>Bad</v>
      </c>
    </row>
    <row r="3296" spans="2:34" x14ac:dyDescent="0.2">
      <c r="B3296" s="2">
        <f ca="1"/>
        <v>0.7572751151804511</v>
      </c>
      <c r="O3296" s="2">
        <f ca="1"/>
        <v>1.045303877787285</v>
      </c>
      <c r="X3296" s="2">
        <f ca="1"/>
        <v>36.002477186727184</v>
      </c>
      <c r="AG3296" s="2">
        <f ca="1"/>
        <v>0.98056246525576385</v>
      </c>
      <c r="AH3296" s="2" t="str">
        <f ca="1"/>
        <v>Bad</v>
      </c>
    </row>
    <row r="3297" spans="2:34" x14ac:dyDescent="0.2">
      <c r="B3297" s="2">
        <f ca="1"/>
        <v>0.15353326229530162</v>
      </c>
      <c r="O3297" s="2">
        <f ca="1"/>
        <v>0.11616110055676339</v>
      </c>
      <c r="X3297" s="2">
        <f ca="1"/>
        <v>58.344195272809863</v>
      </c>
      <c r="AG3297" s="2">
        <f ca="1"/>
        <v>0.7137995914120685</v>
      </c>
      <c r="AH3297" s="2" t="str">
        <f ca="1"/>
        <v>Bad</v>
      </c>
    </row>
    <row r="3298" spans="2:34" x14ac:dyDescent="0.2">
      <c r="B3298" s="2">
        <f ca="1"/>
        <v>0.65960149810619884</v>
      </c>
      <c r="O3298" s="2">
        <f ca="1"/>
        <v>0.83534353712847731</v>
      </c>
      <c r="X3298" s="2">
        <f ca="1"/>
        <v>25.163250447252025</v>
      </c>
      <c r="AG3298" s="2">
        <f ca="1"/>
        <v>2.0029543208947453E-2</v>
      </c>
      <c r="AH3298" s="2" t="str">
        <f ca="1"/>
        <v>Good</v>
      </c>
    </row>
    <row r="3299" spans="2:34" x14ac:dyDescent="0.2">
      <c r="B3299" s="2">
        <f ca="1"/>
        <v>0.77919885512948039</v>
      </c>
      <c r="O3299" s="2">
        <f ca="1"/>
        <v>-0.14326098751015642</v>
      </c>
      <c r="X3299" s="2">
        <f ca="1"/>
        <v>83.42671460095201</v>
      </c>
      <c r="AG3299" s="2">
        <f ca="1"/>
        <v>0.16790201083759815</v>
      </c>
      <c r="AH3299" s="2" t="str">
        <f ca="1"/>
        <v>OK</v>
      </c>
    </row>
    <row r="3300" spans="2:34" x14ac:dyDescent="0.2">
      <c r="B3300" s="2">
        <f ca="1"/>
        <v>0.30901526336598772</v>
      </c>
      <c r="O3300" s="2">
        <f ca="1"/>
        <v>-1.7424541547325172</v>
      </c>
      <c r="X3300" s="2">
        <f ca="1"/>
        <v>34.999412607083961</v>
      </c>
      <c r="AG3300" s="2">
        <f ca="1"/>
        <v>0.80577439244419113</v>
      </c>
      <c r="AH3300" s="2" t="str">
        <f ca="1"/>
        <v>Bad</v>
      </c>
    </row>
    <row r="3301" spans="2:34" x14ac:dyDescent="0.2">
      <c r="B3301" s="2">
        <f ca="1"/>
        <v>0.33379801111800811</v>
      </c>
      <c r="O3301" s="2">
        <f ca="1"/>
        <v>2.0886408647358925</v>
      </c>
      <c r="X3301" s="2">
        <f ca="1"/>
        <v>43.109925850415401</v>
      </c>
      <c r="AG3301" s="2">
        <f ca="1"/>
        <v>0.23617634570525015</v>
      </c>
      <c r="AH3301" s="2" t="str">
        <f ca="1"/>
        <v>OK</v>
      </c>
    </row>
    <row r="3302" spans="2:34" x14ac:dyDescent="0.2">
      <c r="B3302" s="2">
        <f ca="1"/>
        <v>0.47392545740845038</v>
      </c>
      <c r="O3302" s="2">
        <f ca="1"/>
        <v>-0.28650096969974059</v>
      </c>
      <c r="X3302" s="2">
        <f ca="1"/>
        <v>63.117352862296634</v>
      </c>
      <c r="AG3302" s="2">
        <f ca="1"/>
        <v>0.99081850962924189</v>
      </c>
      <c r="AH3302" s="2" t="str">
        <f ca="1"/>
        <v>Bad</v>
      </c>
    </row>
    <row r="3303" spans="2:34" x14ac:dyDescent="0.2">
      <c r="B3303" s="2">
        <f ca="1"/>
        <v>0.15953818412449317</v>
      </c>
      <c r="O3303" s="2">
        <f ca="1"/>
        <v>-0.33532192492498847</v>
      </c>
      <c r="X3303" s="2">
        <f ca="1"/>
        <v>64.241328021817282</v>
      </c>
      <c r="AG3303" s="2">
        <f ca="1"/>
        <v>0.68642066637801591</v>
      </c>
      <c r="AH3303" s="2" t="str">
        <f ca="1"/>
        <v>Bad</v>
      </c>
    </row>
    <row r="3304" spans="2:34" x14ac:dyDescent="0.2">
      <c r="B3304" s="2">
        <f ca="1"/>
        <v>0.31806618167484713</v>
      </c>
      <c r="O3304" s="2">
        <f ca="1"/>
        <v>-0.81315266304398059</v>
      </c>
      <c r="X3304" s="2">
        <f ca="1"/>
        <v>38.254240213314603</v>
      </c>
      <c r="AG3304" s="2">
        <f ca="1"/>
        <v>0.63742352439491756</v>
      </c>
      <c r="AH3304" s="2" t="str">
        <f ca="1"/>
        <v>Bad</v>
      </c>
    </row>
    <row r="3305" spans="2:34" x14ac:dyDescent="0.2">
      <c r="B3305" s="2">
        <f ca="1"/>
        <v>0.89410214194166149</v>
      </c>
      <c r="O3305" s="2">
        <f ca="1"/>
        <v>-0.57780408456398702</v>
      </c>
      <c r="X3305" s="2">
        <f ca="1"/>
        <v>53.909535449960103</v>
      </c>
      <c r="AG3305" s="2">
        <f ca="1"/>
        <v>0.57618678008106627</v>
      </c>
      <c r="AH3305" s="2" t="str">
        <f ca="1"/>
        <v>Bad</v>
      </c>
    </row>
    <row r="3306" spans="2:34" x14ac:dyDescent="0.2">
      <c r="B3306" s="2">
        <f ca="1"/>
        <v>0.60215578417048965</v>
      </c>
      <c r="O3306" s="2">
        <f ca="1"/>
        <v>1.0386975157592018</v>
      </c>
      <c r="X3306" s="2">
        <f ca="1"/>
        <v>59.189548899030093</v>
      </c>
      <c r="AG3306" s="2">
        <f ca="1"/>
        <v>8.2943232040823878E-2</v>
      </c>
      <c r="AH3306" s="2" t="str">
        <f ca="1"/>
        <v>OK</v>
      </c>
    </row>
    <row r="3307" spans="2:34" x14ac:dyDescent="0.2">
      <c r="B3307" s="2">
        <f ca="1"/>
        <v>0.12692671365938812</v>
      </c>
      <c r="O3307" s="2">
        <f ca="1"/>
        <v>0.48448721240892667</v>
      </c>
      <c r="X3307" s="2">
        <f ca="1"/>
        <v>52.88699220689854</v>
      </c>
      <c r="AG3307" s="2">
        <f ca="1"/>
        <v>0.95617498428289482</v>
      </c>
      <c r="AH3307" s="2" t="str">
        <f ca="1"/>
        <v>Bad</v>
      </c>
    </row>
    <row r="3308" spans="2:34" x14ac:dyDescent="0.2">
      <c r="B3308" s="2">
        <f ca="1"/>
        <v>0.65286103813477325</v>
      </c>
      <c r="O3308" s="2">
        <f ca="1"/>
        <v>-1.0045400729023655</v>
      </c>
      <c r="X3308" s="2">
        <f ca="1"/>
        <v>45.805773722757181</v>
      </c>
      <c r="AG3308" s="2">
        <f ca="1"/>
        <v>0.98396009028762244</v>
      </c>
      <c r="AH3308" s="2" t="str">
        <f ca="1"/>
        <v>Bad</v>
      </c>
    </row>
    <row r="3309" spans="2:34" x14ac:dyDescent="0.2">
      <c r="B3309" s="2">
        <f ca="1"/>
        <v>0.11946504780897804</v>
      </c>
      <c r="O3309" s="2">
        <f ca="1"/>
        <v>-1.0153370999998037</v>
      </c>
      <c r="X3309" s="2">
        <f ca="1"/>
        <v>47.96751154291649</v>
      </c>
      <c r="AG3309" s="2">
        <f ca="1"/>
        <v>0.44846962004596125</v>
      </c>
      <c r="AH3309" s="2" t="str">
        <f ca="1"/>
        <v>Bad</v>
      </c>
    </row>
    <row r="3310" spans="2:34" x14ac:dyDescent="0.2">
      <c r="B3310" s="2">
        <f ca="1"/>
        <v>0.31746458946974121</v>
      </c>
      <c r="O3310" s="2">
        <f ca="1"/>
        <v>0.57572354983750618</v>
      </c>
      <c r="X3310" s="2">
        <f ca="1"/>
        <v>60.508443136952714</v>
      </c>
      <c r="AG3310" s="2">
        <f ca="1"/>
        <v>0.28895688021244847</v>
      </c>
      <c r="AH3310" s="2" t="str">
        <f ca="1"/>
        <v>OK</v>
      </c>
    </row>
    <row r="3311" spans="2:34" x14ac:dyDescent="0.2">
      <c r="B3311" s="2">
        <f ca="1"/>
        <v>0.98928038620034631</v>
      </c>
      <c r="O3311" s="2">
        <f ca="1"/>
        <v>2.5373998125574788</v>
      </c>
      <c r="X3311" s="2">
        <f ca="1"/>
        <v>82.056341074185127</v>
      </c>
      <c r="AG3311" s="2">
        <f ca="1"/>
        <v>9.9554469618859498E-2</v>
      </c>
      <c r="AH3311" s="2" t="str">
        <f ca="1"/>
        <v>OK</v>
      </c>
    </row>
    <row r="3312" spans="2:34" x14ac:dyDescent="0.2">
      <c r="B3312" s="2">
        <f ca="1"/>
        <v>0.67017528323251896</v>
      </c>
      <c r="O3312" s="2">
        <f ca="1"/>
        <v>1.1957658671582874</v>
      </c>
      <c r="X3312" s="2">
        <f ca="1"/>
        <v>56.841445118716017</v>
      </c>
      <c r="AG3312" s="2">
        <f ca="1"/>
        <v>0.99853751572837712</v>
      </c>
      <c r="AH3312" s="2" t="str">
        <f ca="1"/>
        <v>Bad</v>
      </c>
    </row>
    <row r="3313" spans="2:34" x14ac:dyDescent="0.2">
      <c r="B3313" s="2">
        <f ca="1"/>
        <v>0.8947183493244264</v>
      </c>
      <c r="O3313" s="2">
        <f ca="1"/>
        <v>-0.44312965037836605</v>
      </c>
      <c r="X3313" s="2">
        <f ca="1"/>
        <v>46.809287458883574</v>
      </c>
      <c r="AG3313" s="2">
        <f ca="1"/>
        <v>0.38614385942055884</v>
      </c>
      <c r="AH3313" s="2" t="str">
        <f ca="1"/>
        <v>OK</v>
      </c>
    </row>
    <row r="3314" spans="2:34" x14ac:dyDescent="0.2">
      <c r="B3314" s="2">
        <f ca="1"/>
        <v>0.99092045237149895</v>
      </c>
      <c r="O3314" s="2">
        <f ca="1"/>
        <v>-0.49477700428276411</v>
      </c>
      <c r="X3314" s="2">
        <f ca="1"/>
        <v>23.019147079011887</v>
      </c>
      <c r="AG3314" s="2">
        <f ca="1"/>
        <v>0.34241183124172303</v>
      </c>
      <c r="AH3314" s="2" t="str">
        <f ca="1"/>
        <v>OK</v>
      </c>
    </row>
    <row r="3315" spans="2:34" x14ac:dyDescent="0.2">
      <c r="B3315" s="2">
        <f ca="1"/>
        <v>0.11210927744876908</v>
      </c>
      <c r="O3315" s="2">
        <f ca="1"/>
        <v>1.4358825243243647</v>
      </c>
      <c r="X3315" s="2">
        <f ca="1"/>
        <v>38.425669607071022</v>
      </c>
      <c r="AG3315" s="2">
        <f ca="1"/>
        <v>0.97250344992277649</v>
      </c>
      <c r="AH3315" s="2" t="str">
        <f ca="1"/>
        <v>Bad</v>
      </c>
    </row>
    <row r="3316" spans="2:34" x14ac:dyDescent="0.2">
      <c r="B3316" s="2">
        <f ca="1"/>
        <v>8.3646745933479982E-2</v>
      </c>
      <c r="O3316" s="2">
        <f ca="1"/>
        <v>-1.1618039502889643</v>
      </c>
      <c r="X3316" s="2">
        <f ca="1"/>
        <v>65.02139891990663</v>
      </c>
      <c r="AG3316" s="2">
        <f ca="1"/>
        <v>0.52530556525423799</v>
      </c>
      <c r="AH3316" s="2" t="str">
        <f ca="1"/>
        <v>Bad</v>
      </c>
    </row>
    <row r="3317" spans="2:34" x14ac:dyDescent="0.2">
      <c r="B3317" s="2">
        <f ca="1"/>
        <v>0.5175788151858578</v>
      </c>
      <c r="O3317" s="2">
        <f ca="1"/>
        <v>0.90795978823301782</v>
      </c>
      <c r="X3317" s="2">
        <f ca="1"/>
        <v>45.212574534791315</v>
      </c>
      <c r="AG3317" s="2">
        <f ca="1"/>
        <v>0.69038274629856544</v>
      </c>
      <c r="AH3317" s="2" t="str">
        <f ca="1"/>
        <v>Bad</v>
      </c>
    </row>
    <row r="3318" spans="2:34" x14ac:dyDescent="0.2">
      <c r="B3318" s="2">
        <f ca="1"/>
        <v>0.5845645003533444</v>
      </c>
      <c r="O3318" s="2">
        <f ca="1"/>
        <v>-0.88706610432985911</v>
      </c>
      <c r="X3318" s="2">
        <f ca="1"/>
        <v>34.356149881281922</v>
      </c>
      <c r="AG3318" s="2">
        <f ca="1"/>
        <v>0.95558076931755642</v>
      </c>
      <c r="AH3318" s="2" t="str">
        <f ca="1"/>
        <v>Bad</v>
      </c>
    </row>
    <row r="3319" spans="2:34" x14ac:dyDescent="0.2">
      <c r="B3319" s="2">
        <f ca="1"/>
        <v>0.28983257788570738</v>
      </c>
      <c r="O3319" s="2">
        <f ca="1"/>
        <v>0.74737540242810008</v>
      </c>
      <c r="X3319" s="2">
        <f ca="1"/>
        <v>58.91631346008019</v>
      </c>
      <c r="AG3319" s="2">
        <f ca="1"/>
        <v>0.2606339813750973</v>
      </c>
      <c r="AH3319" s="2" t="str">
        <f ca="1"/>
        <v>OK</v>
      </c>
    </row>
    <row r="3320" spans="2:34" x14ac:dyDescent="0.2">
      <c r="B3320" s="2">
        <f ca="1"/>
        <v>0.54168864534528716</v>
      </c>
      <c r="O3320" s="2">
        <f ca="1"/>
        <v>-0.66673857403199255</v>
      </c>
      <c r="X3320" s="2">
        <f ca="1"/>
        <v>47.210198180180363</v>
      </c>
      <c r="AG3320" s="2">
        <f ca="1"/>
        <v>0.57834514814235427</v>
      </c>
      <c r="AH3320" s="2" t="str">
        <f ca="1"/>
        <v>Bad</v>
      </c>
    </row>
    <row r="3321" spans="2:34" x14ac:dyDescent="0.2">
      <c r="B3321" s="2">
        <f ca="1"/>
        <v>0.31315918672399756</v>
      </c>
      <c r="O3321" s="2">
        <f ca="1"/>
        <v>0.79117796178259669</v>
      </c>
      <c r="X3321" s="2">
        <f ca="1"/>
        <v>41.900377527193264</v>
      </c>
      <c r="AG3321" s="2">
        <f ca="1"/>
        <v>0.1815713129028973</v>
      </c>
      <c r="AH3321" s="2" t="str">
        <f ca="1"/>
        <v>OK</v>
      </c>
    </row>
    <row r="3322" spans="2:34" x14ac:dyDescent="0.2">
      <c r="B3322" s="2">
        <f ca="1"/>
        <v>0.42612423795762733</v>
      </c>
      <c r="O3322" s="2">
        <f ca="1"/>
        <v>-2.7389424379181196E-2</v>
      </c>
      <c r="X3322" s="2">
        <f ca="1"/>
        <v>34.82922161525569</v>
      </c>
      <c r="AG3322" s="2">
        <f ca="1"/>
        <v>0.26105125326209033</v>
      </c>
      <c r="AH3322" s="2" t="str">
        <f ca="1"/>
        <v>OK</v>
      </c>
    </row>
    <row r="3323" spans="2:34" x14ac:dyDescent="0.2">
      <c r="B3323" s="2">
        <f ca="1"/>
        <v>0.83400651921320623</v>
      </c>
      <c r="O3323" s="2">
        <f ca="1"/>
        <v>1.161380255350847</v>
      </c>
      <c r="X3323" s="2">
        <f ca="1"/>
        <v>65.055559353238934</v>
      </c>
      <c r="AG3323" s="2">
        <f ca="1"/>
        <v>0.35069619190715229</v>
      </c>
      <c r="AH3323" s="2" t="str">
        <f ca="1"/>
        <v>OK</v>
      </c>
    </row>
    <row r="3324" spans="2:34" x14ac:dyDescent="0.2">
      <c r="B3324" s="2">
        <f ca="1"/>
        <v>0.88854262468909817</v>
      </c>
      <c r="O3324" s="2">
        <f ca="1"/>
        <v>-3.4063277027355605</v>
      </c>
      <c r="X3324" s="2">
        <f ca="1"/>
        <v>67.515388263906843</v>
      </c>
      <c r="AG3324" s="2">
        <f ca="1"/>
        <v>0.53207521244589095</v>
      </c>
      <c r="AH3324" s="2" t="str">
        <f ca="1"/>
        <v>Bad</v>
      </c>
    </row>
    <row r="3325" spans="2:34" x14ac:dyDescent="0.2">
      <c r="B3325" s="2">
        <f ca="1"/>
        <v>0.51242213599696607</v>
      </c>
      <c r="O3325" s="2">
        <f ca="1"/>
        <v>0.3256051663610014</v>
      </c>
      <c r="X3325" s="2">
        <f ca="1"/>
        <v>71.181303348829942</v>
      </c>
      <c r="AG3325" s="2">
        <f ca="1"/>
        <v>0.45484887224393344</v>
      </c>
      <c r="AH3325" s="2" t="str">
        <f ca="1"/>
        <v>Bad</v>
      </c>
    </row>
    <row r="3326" spans="2:34" x14ac:dyDescent="0.2">
      <c r="B3326" s="2">
        <f ca="1"/>
        <v>0.50187406635214971</v>
      </c>
      <c r="O3326" s="2">
        <f ca="1"/>
        <v>-0.4029383195923647</v>
      </c>
      <c r="X3326" s="2">
        <f ca="1"/>
        <v>40.693533190107793</v>
      </c>
      <c r="AG3326" s="2">
        <f ca="1"/>
        <v>0.73474947970768345</v>
      </c>
      <c r="AH3326" s="2" t="str">
        <f ca="1"/>
        <v>Bad</v>
      </c>
    </row>
    <row r="3327" spans="2:34" x14ac:dyDescent="0.2">
      <c r="B3327" s="2">
        <f ca="1"/>
        <v>0.38529767394914449</v>
      </c>
      <c r="O3327" s="2">
        <f ca="1"/>
        <v>0.19530437037437512</v>
      </c>
      <c r="X3327" s="2">
        <f ca="1"/>
        <v>65.506375920440291</v>
      </c>
      <c r="AG3327" s="2">
        <f ca="1"/>
        <v>0.78486727041734516</v>
      </c>
      <c r="AH3327" s="2" t="str">
        <f ca="1"/>
        <v>Bad</v>
      </c>
    </row>
    <row r="3328" spans="2:34" x14ac:dyDescent="0.2">
      <c r="B3328" s="2">
        <f ca="1"/>
        <v>0.33344762979855447</v>
      </c>
      <c r="O3328" s="2">
        <f ca="1"/>
        <v>-0.71320829742622516</v>
      </c>
      <c r="X3328" s="2">
        <f ca="1"/>
        <v>60.790956134837089</v>
      </c>
      <c r="AG3328" s="2">
        <f ca="1"/>
        <v>0.32262277098482883</v>
      </c>
      <c r="AH3328" s="2" t="str">
        <f ca="1"/>
        <v>OK</v>
      </c>
    </row>
    <row r="3329" spans="2:34" x14ac:dyDescent="0.2">
      <c r="B3329" s="2">
        <f ca="1"/>
        <v>0.57589097615199081</v>
      </c>
      <c r="O3329" s="2">
        <f ca="1"/>
        <v>-1.9522334398401321E-2</v>
      </c>
      <c r="X3329" s="2">
        <f ca="1"/>
        <v>26.729321709632046</v>
      </c>
      <c r="AG3329" s="2">
        <f ca="1"/>
        <v>0.56758459742014589</v>
      </c>
      <c r="AH3329" s="2" t="str">
        <f ca="1"/>
        <v>Bad</v>
      </c>
    </row>
    <row r="3330" spans="2:34" x14ac:dyDescent="0.2">
      <c r="B3330" s="2">
        <f ca="1"/>
        <v>0.38399046982873353</v>
      </c>
      <c r="O3330" s="2">
        <f ca="1"/>
        <v>1.1872578842786372</v>
      </c>
      <c r="X3330" s="2">
        <f ca="1"/>
        <v>51.096715596743437</v>
      </c>
      <c r="AG3330" s="2">
        <f ca="1"/>
        <v>0.35204375825073209</v>
      </c>
      <c r="AH3330" s="2" t="str">
        <f ca="1"/>
        <v>OK</v>
      </c>
    </row>
    <row r="3331" spans="2:34" x14ac:dyDescent="0.2">
      <c r="B3331" s="2">
        <f ca="1"/>
        <v>0.20890226332867523</v>
      </c>
      <c r="O3331" s="2">
        <f ca="1"/>
        <v>-0.6056645709966002</v>
      </c>
      <c r="X3331" s="2">
        <f ca="1"/>
        <v>38.562989257881391</v>
      </c>
      <c r="AG3331" s="2">
        <f ca="1"/>
        <v>0.91044173159854536</v>
      </c>
      <c r="AH3331" s="2" t="str">
        <f ca="1"/>
        <v>Bad</v>
      </c>
    </row>
    <row r="3332" spans="2:34" x14ac:dyDescent="0.2">
      <c r="B3332" s="2">
        <f ca="1"/>
        <v>0.10366260260714832</v>
      </c>
      <c r="O3332" s="2">
        <f ca="1"/>
        <v>-1.6662448647268708</v>
      </c>
      <c r="X3332" s="2">
        <f ca="1"/>
        <v>69.713013812925283</v>
      </c>
      <c r="AG3332" s="2">
        <f ca="1"/>
        <v>0.91317318502999001</v>
      </c>
      <c r="AH3332" s="2" t="str">
        <f ca="1"/>
        <v>Bad</v>
      </c>
    </row>
    <row r="3333" spans="2:34" x14ac:dyDescent="0.2">
      <c r="B3333" s="2">
        <f ca="1"/>
        <v>0.24125074446879857</v>
      </c>
      <c r="O3333" s="2">
        <f ca="1"/>
        <v>0.49561066594014019</v>
      </c>
      <c r="X3333" s="2">
        <f ca="1"/>
        <v>58.899497472824578</v>
      </c>
      <c r="AG3333" s="2">
        <f ca="1"/>
        <v>0.8306083365193202</v>
      </c>
      <c r="AH3333" s="2" t="str">
        <f ca="1"/>
        <v>Bad</v>
      </c>
    </row>
    <row r="3334" spans="2:34" x14ac:dyDescent="0.2">
      <c r="B3334" s="2">
        <f ca="1"/>
        <v>0.29560907735307196</v>
      </c>
      <c r="O3334" s="2">
        <f ca="1"/>
        <v>1.4522581872374885</v>
      </c>
      <c r="X3334" s="2">
        <f ca="1"/>
        <v>44.667585051526977</v>
      </c>
      <c r="AG3334" s="2">
        <f ca="1"/>
        <v>0.37211203627989398</v>
      </c>
      <c r="AH3334" s="2" t="str">
        <f ca="1"/>
        <v>OK</v>
      </c>
    </row>
    <row r="3335" spans="2:34" x14ac:dyDescent="0.2">
      <c r="B3335" s="2">
        <f ca="1"/>
        <v>0.72653089085569911</v>
      </c>
      <c r="O3335" s="2">
        <f ca="1"/>
        <v>-0.45356113264615877</v>
      </c>
      <c r="X3335" s="2">
        <f ca="1"/>
        <v>71.614467058073274</v>
      </c>
      <c r="AG3335" s="2">
        <f ca="1"/>
        <v>0.52234656392705925</v>
      </c>
      <c r="AH3335" s="2" t="str">
        <f ca="1"/>
        <v>Bad</v>
      </c>
    </row>
    <row r="3336" spans="2:34" x14ac:dyDescent="0.2">
      <c r="B3336" s="2">
        <f ca="1"/>
        <v>0.56618884638184319</v>
      </c>
      <c r="O3336" s="2">
        <f ca="1"/>
        <v>0.54105545576698322</v>
      </c>
      <c r="X3336" s="2">
        <f ca="1"/>
        <v>50.987004423365676</v>
      </c>
      <c r="AG3336" s="2">
        <f ca="1"/>
        <v>0.34552378942544459</v>
      </c>
      <c r="AH3336" s="2" t="str">
        <f ca="1"/>
        <v>OK</v>
      </c>
    </row>
    <row r="3337" spans="2:34" x14ac:dyDescent="0.2">
      <c r="B3337" s="2">
        <f ca="1"/>
        <v>0.66941189748301677</v>
      </c>
      <c r="O3337" s="2">
        <f ca="1"/>
        <v>-0.36238934958162444</v>
      </c>
      <c r="X3337" s="2">
        <f ca="1"/>
        <v>34.862143798203277</v>
      </c>
      <c r="AG3337" s="2">
        <f ca="1"/>
        <v>0.85622279755177177</v>
      </c>
      <c r="AH3337" s="2" t="str">
        <f ca="1"/>
        <v>Bad</v>
      </c>
    </row>
    <row r="3338" spans="2:34" x14ac:dyDescent="0.2">
      <c r="B3338" s="2">
        <f ca="1"/>
        <v>0.86091422602649037</v>
      </c>
      <c r="O3338" s="2">
        <f ca="1"/>
        <v>-0.70759104168808573</v>
      </c>
      <c r="X3338" s="2">
        <f ca="1"/>
        <v>81.508188493249335</v>
      </c>
      <c r="AG3338" s="2">
        <f ca="1"/>
        <v>0.39148039756884945</v>
      </c>
      <c r="AH3338" s="2" t="str">
        <f ca="1"/>
        <v>OK</v>
      </c>
    </row>
    <row r="3339" spans="2:34" x14ac:dyDescent="0.2">
      <c r="B3339" s="2">
        <f ca="1"/>
        <v>5.9780141165771239E-2</v>
      </c>
      <c r="O3339" s="2">
        <f ca="1"/>
        <v>0.15232972055976546</v>
      </c>
      <c r="X3339" s="2">
        <f ca="1"/>
        <v>49.299155219896456</v>
      </c>
      <c r="AG3339" s="2">
        <f ca="1"/>
        <v>0.37801078827841805</v>
      </c>
      <c r="AH3339" s="2" t="str">
        <f ca="1"/>
        <v>OK</v>
      </c>
    </row>
    <row r="3340" spans="2:34" x14ac:dyDescent="0.2">
      <c r="B3340" s="2">
        <f ca="1"/>
        <v>0.12809911473413838</v>
      </c>
      <c r="O3340" s="2">
        <f ca="1"/>
        <v>-0.998149110920169</v>
      </c>
      <c r="X3340" s="2">
        <f ca="1"/>
        <v>24.9268457107096</v>
      </c>
      <c r="AG3340" s="2">
        <f ca="1"/>
        <v>0.76296811644958584</v>
      </c>
      <c r="AH3340" s="2" t="str">
        <f ca="1"/>
        <v>Bad</v>
      </c>
    </row>
    <row r="3341" spans="2:34" x14ac:dyDescent="0.2">
      <c r="B3341" s="2">
        <f ca="1"/>
        <v>0.94782315755651392</v>
      </c>
      <c r="O3341" s="2">
        <f ca="1"/>
        <v>0.11443787110970943</v>
      </c>
      <c r="X3341" s="2">
        <f ca="1"/>
        <v>63.460073496871523</v>
      </c>
      <c r="AG3341" s="2">
        <f ca="1"/>
        <v>0.52964073089749464</v>
      </c>
      <c r="AH3341" s="2" t="str">
        <f ca="1"/>
        <v>Bad</v>
      </c>
    </row>
    <row r="3342" spans="2:34" x14ac:dyDescent="0.2">
      <c r="B3342" s="2">
        <f ca="1"/>
        <v>0.66893207183282644</v>
      </c>
      <c r="O3342" s="2">
        <f ca="1"/>
        <v>1.1043316192249122</v>
      </c>
      <c r="X3342" s="2">
        <f ca="1"/>
        <v>56.674959519378881</v>
      </c>
      <c r="AG3342" s="2">
        <f ca="1"/>
        <v>0.70302633880774401</v>
      </c>
      <c r="AH3342" s="2" t="str">
        <f ca="1"/>
        <v>Bad</v>
      </c>
    </row>
    <row r="3343" spans="2:34" x14ac:dyDescent="0.2">
      <c r="B3343" s="2">
        <f ca="1"/>
        <v>0.28807489919060081</v>
      </c>
      <c r="O3343" s="2">
        <f ca="1"/>
        <v>-1.4369896830884963</v>
      </c>
      <c r="X3343" s="2">
        <f ca="1"/>
        <v>42.539923497575813</v>
      </c>
      <c r="AG3343" s="2">
        <f ca="1"/>
        <v>0.99342555503042251</v>
      </c>
      <c r="AH3343" s="2" t="str">
        <f ca="1"/>
        <v>Bad</v>
      </c>
    </row>
    <row r="3344" spans="2:34" x14ac:dyDescent="0.2">
      <c r="B3344" s="2">
        <f ca="1"/>
        <v>0.58509425836566864</v>
      </c>
      <c r="O3344" s="2">
        <f ca="1"/>
        <v>-1.3553859667784827</v>
      </c>
      <c r="X3344" s="2">
        <f ca="1"/>
        <v>42.559445011441042</v>
      </c>
      <c r="AG3344" s="2">
        <f ca="1"/>
        <v>0.52316895742497516</v>
      </c>
      <c r="AH3344" s="2" t="str">
        <f ca="1"/>
        <v>Bad</v>
      </c>
    </row>
    <row r="3345" spans="2:34" x14ac:dyDescent="0.2">
      <c r="B3345" s="2">
        <f ca="1"/>
        <v>0.71621792666389794</v>
      </c>
      <c r="O3345" s="2">
        <f ca="1"/>
        <v>0.78391196359141491</v>
      </c>
      <c r="X3345" s="2">
        <f ca="1"/>
        <v>32.40478135835076</v>
      </c>
      <c r="AG3345" s="2">
        <f ca="1"/>
        <v>0.8125580613952077</v>
      </c>
      <c r="AH3345" s="2" t="str">
        <f ca="1"/>
        <v>Bad</v>
      </c>
    </row>
    <row r="3346" spans="2:34" x14ac:dyDescent="0.2">
      <c r="B3346" s="2">
        <f ca="1"/>
        <v>8.6674089819427147E-2</v>
      </c>
      <c r="O3346" s="2">
        <f ca="1"/>
        <v>0.96630616461177055</v>
      </c>
      <c r="X3346" s="2">
        <f ca="1"/>
        <v>29.741575262803288</v>
      </c>
      <c r="AG3346" s="2">
        <f ca="1"/>
        <v>8.9906642240935586E-3</v>
      </c>
      <c r="AH3346" s="2" t="str">
        <f ca="1"/>
        <v>Good</v>
      </c>
    </row>
    <row r="3347" spans="2:34" x14ac:dyDescent="0.2">
      <c r="B3347" s="2">
        <f ca="1"/>
        <v>0.88311669184094121</v>
      </c>
      <c r="O3347" s="2">
        <f ca="1"/>
        <v>0.84905828560319507</v>
      </c>
      <c r="X3347" s="2">
        <f ca="1"/>
        <v>53.89624551315385</v>
      </c>
      <c r="AG3347" s="2">
        <f ca="1"/>
        <v>0.69237601906115054</v>
      </c>
      <c r="AH3347" s="2" t="str">
        <f ca="1"/>
        <v>Bad</v>
      </c>
    </row>
    <row r="3348" spans="2:34" x14ac:dyDescent="0.2">
      <c r="B3348" s="2">
        <f ca="1"/>
        <v>0.64800842262745562</v>
      </c>
      <c r="O3348" s="2">
        <f ca="1"/>
        <v>0.20854079172017184</v>
      </c>
      <c r="X3348" s="2">
        <f ca="1"/>
        <v>45.478923039310445</v>
      </c>
      <c r="AG3348" s="2">
        <f ca="1"/>
        <v>0.19503392247388507</v>
      </c>
      <c r="AH3348" s="2" t="str">
        <f ca="1"/>
        <v>OK</v>
      </c>
    </row>
    <row r="3349" spans="2:34" x14ac:dyDescent="0.2">
      <c r="B3349" s="2">
        <f ca="1"/>
        <v>0.52812918315708313</v>
      </c>
      <c r="O3349" s="2">
        <f ca="1"/>
        <v>-0.26228719441275139</v>
      </c>
      <c r="X3349" s="2">
        <f ca="1"/>
        <v>59.99884241790209</v>
      </c>
      <c r="AG3349" s="2">
        <f ca="1"/>
        <v>0.44114784820362662</v>
      </c>
      <c r="AH3349" s="2" t="str">
        <f ca="1"/>
        <v>Bad</v>
      </c>
    </row>
    <row r="3350" spans="2:34" x14ac:dyDescent="0.2">
      <c r="B3350" s="2">
        <f ca="1"/>
        <v>0.69081508616154874</v>
      </c>
      <c r="O3350" s="2">
        <f ca="1"/>
        <v>-0.16838680749981394</v>
      </c>
      <c r="X3350" s="2">
        <f ca="1"/>
        <v>52.521015853390878</v>
      </c>
      <c r="AG3350" s="2">
        <f ca="1"/>
        <v>0.53760710776854226</v>
      </c>
      <c r="AH3350" s="2" t="str">
        <f ca="1"/>
        <v>Bad</v>
      </c>
    </row>
    <row r="3351" spans="2:34" x14ac:dyDescent="0.2">
      <c r="B3351" s="2">
        <f ca="1"/>
        <v>0.54724835444536901</v>
      </c>
      <c r="O3351" s="2">
        <f ca="1"/>
        <v>0.66858004137650573</v>
      </c>
      <c r="X3351" s="2">
        <f ca="1"/>
        <v>15.398434894360097</v>
      </c>
      <c r="AG3351" s="2">
        <f ca="1"/>
        <v>0.64587261110520999</v>
      </c>
      <c r="AH3351" s="2" t="str">
        <f ca="1"/>
        <v>Bad</v>
      </c>
    </row>
    <row r="3352" spans="2:34" x14ac:dyDescent="0.2">
      <c r="B3352" s="2">
        <f ca="1"/>
        <v>0.71919162258904201</v>
      </c>
      <c r="O3352" s="2">
        <f ca="1"/>
        <v>-1.0795164228896585</v>
      </c>
      <c r="X3352" s="2">
        <f ca="1"/>
        <v>52.625674502336643</v>
      </c>
      <c r="AG3352" s="2">
        <f ca="1"/>
        <v>0.42341543006501614</v>
      </c>
      <c r="AH3352" s="2" t="str">
        <f ca="1"/>
        <v>Bad</v>
      </c>
    </row>
    <row r="3353" spans="2:34" x14ac:dyDescent="0.2">
      <c r="B3353" s="2">
        <f ca="1"/>
        <v>0.28040310009352654</v>
      </c>
      <c r="O3353" s="2">
        <f ca="1"/>
        <v>-5.6951184314645596E-2</v>
      </c>
      <c r="X3353" s="2">
        <f ca="1"/>
        <v>48.551743159958988</v>
      </c>
      <c r="AG3353" s="2">
        <f ca="1"/>
        <v>0.70758811732764593</v>
      </c>
      <c r="AH3353" s="2" t="str">
        <f ca="1"/>
        <v>Bad</v>
      </c>
    </row>
    <row r="3354" spans="2:34" x14ac:dyDescent="0.2">
      <c r="B3354" s="2">
        <f ca="1"/>
        <v>0.85968304786404981</v>
      </c>
      <c r="O3354" s="2">
        <f ca="1"/>
        <v>-0.96092306191256971</v>
      </c>
      <c r="X3354" s="2">
        <f ca="1"/>
        <v>58.726637357985112</v>
      </c>
      <c r="AG3354" s="2">
        <f ca="1"/>
        <v>0.56494122947034153</v>
      </c>
      <c r="AH3354" s="2" t="str">
        <f ca="1"/>
        <v>Bad</v>
      </c>
    </row>
    <row r="3355" spans="2:34" x14ac:dyDescent="0.2">
      <c r="B3355" s="2">
        <f ca="1"/>
        <v>0.60865277713285892</v>
      </c>
      <c r="O3355" s="2">
        <f ca="1"/>
        <v>-0.63629143566415247</v>
      </c>
      <c r="X3355" s="2">
        <f ca="1"/>
        <v>65.475801603668216</v>
      </c>
      <c r="AG3355" s="2">
        <f ca="1"/>
        <v>0.10113579121197325</v>
      </c>
      <c r="AH3355" s="2" t="str">
        <f ca="1"/>
        <v>OK</v>
      </c>
    </row>
    <row r="3356" spans="2:34" x14ac:dyDescent="0.2">
      <c r="B3356" s="2">
        <f ca="1"/>
        <v>0.26940327264471864</v>
      </c>
      <c r="O3356" s="2">
        <f ca="1"/>
        <v>1.3609096453443394</v>
      </c>
      <c r="X3356" s="2">
        <f ca="1"/>
        <v>43.373987244224296</v>
      </c>
      <c r="AG3356" s="2">
        <f ca="1"/>
        <v>0.53724887453405867</v>
      </c>
      <c r="AH3356" s="2" t="str">
        <f ca="1"/>
        <v>Bad</v>
      </c>
    </row>
    <row r="3357" spans="2:34" x14ac:dyDescent="0.2">
      <c r="B3357" s="2">
        <f ca="1"/>
        <v>0.15055372390365207</v>
      </c>
      <c r="O3357" s="2">
        <f ca="1"/>
        <v>0.4372147978875206</v>
      </c>
      <c r="X3357" s="2">
        <f ca="1"/>
        <v>53.003842903889932</v>
      </c>
      <c r="AG3357" s="2">
        <f ca="1"/>
        <v>0.13411436572373758</v>
      </c>
      <c r="AH3357" s="2" t="str">
        <f ca="1"/>
        <v>OK</v>
      </c>
    </row>
    <row r="3358" spans="2:34" x14ac:dyDescent="0.2">
      <c r="B3358" s="2">
        <f ca="1"/>
        <v>0.18438087617939902</v>
      </c>
      <c r="O3358" s="2">
        <f ca="1"/>
        <v>4.4282464099369416E-2</v>
      </c>
      <c r="X3358" s="2">
        <f ca="1"/>
        <v>47.252860980789592</v>
      </c>
      <c r="AG3358" s="2">
        <f ca="1"/>
        <v>0.48751448567742628</v>
      </c>
      <c r="AH3358" s="2" t="str">
        <f ca="1"/>
        <v>Bad</v>
      </c>
    </row>
    <row r="3359" spans="2:34" x14ac:dyDescent="0.2">
      <c r="B3359" s="2">
        <f ca="1"/>
        <v>0.8774052942569035</v>
      </c>
      <c r="O3359" s="2">
        <f ca="1"/>
        <v>0.22738870979499604</v>
      </c>
      <c r="X3359" s="2">
        <f ca="1"/>
        <v>75.835227603116877</v>
      </c>
      <c r="AG3359" s="2">
        <f ca="1"/>
        <v>7.3148634555824321E-2</v>
      </c>
      <c r="AH3359" s="2" t="str">
        <f ca="1"/>
        <v>OK</v>
      </c>
    </row>
    <row r="3360" spans="2:34" x14ac:dyDescent="0.2">
      <c r="B3360" s="2">
        <f ca="1"/>
        <v>0.98192305194559015</v>
      </c>
      <c r="O3360" s="2">
        <f ca="1"/>
        <v>-0.92602938982244098</v>
      </c>
      <c r="X3360" s="2">
        <f ca="1"/>
        <v>36.337536657451977</v>
      </c>
      <c r="AG3360" s="2">
        <f ca="1"/>
        <v>0.33335892218654983</v>
      </c>
      <c r="AH3360" s="2" t="str">
        <f ca="1"/>
        <v>OK</v>
      </c>
    </row>
    <row r="3361" spans="2:34" x14ac:dyDescent="0.2">
      <c r="B3361" s="2">
        <f ca="1"/>
        <v>0.83951580796953884</v>
      </c>
      <c r="O3361" s="2">
        <f ca="1"/>
        <v>0.45519626446238048</v>
      </c>
      <c r="X3361" s="2">
        <f ca="1"/>
        <v>29.180949697018587</v>
      </c>
      <c r="AG3361" s="2">
        <f ca="1"/>
        <v>0.97933894110395436</v>
      </c>
      <c r="AH3361" s="2" t="str">
        <f ca="1"/>
        <v>Bad</v>
      </c>
    </row>
    <row r="3362" spans="2:34" x14ac:dyDescent="0.2">
      <c r="B3362" s="2">
        <f ca="1"/>
        <v>1.6213011244560649E-2</v>
      </c>
      <c r="O3362" s="2">
        <f ca="1"/>
        <v>0.68873235272601396</v>
      </c>
      <c r="X3362" s="2">
        <f ca="1"/>
        <v>28.550783757270636</v>
      </c>
      <c r="AG3362" s="2">
        <f ca="1"/>
        <v>0.38160974162291161</v>
      </c>
      <c r="AH3362" s="2" t="str">
        <f ca="1"/>
        <v>OK</v>
      </c>
    </row>
    <row r="3363" spans="2:34" x14ac:dyDescent="0.2">
      <c r="B3363" s="2">
        <f ca="1"/>
        <v>0.53909622583533956</v>
      </c>
      <c r="O3363" s="2">
        <f ca="1"/>
        <v>-0.39132652557405612</v>
      </c>
      <c r="X3363" s="2">
        <f ca="1"/>
        <v>33.505261274359206</v>
      </c>
      <c r="AG3363" s="2">
        <f ca="1"/>
        <v>0.99603723714411463</v>
      </c>
      <c r="AH3363" s="2" t="str">
        <f ca="1"/>
        <v>Bad</v>
      </c>
    </row>
    <row r="3364" spans="2:34" x14ac:dyDescent="0.2">
      <c r="B3364" s="2">
        <f ca="1"/>
        <v>0.50906550925636496</v>
      </c>
      <c r="O3364" s="2">
        <f ca="1"/>
        <v>-0.63982079572408745</v>
      </c>
      <c r="X3364" s="2">
        <f ca="1"/>
        <v>71.980436377945807</v>
      </c>
      <c r="AG3364" s="2">
        <f ca="1"/>
        <v>0.48494069402703244</v>
      </c>
      <c r="AH3364" s="2" t="str">
        <f ca="1"/>
        <v>Bad</v>
      </c>
    </row>
    <row r="3365" spans="2:34" x14ac:dyDescent="0.2">
      <c r="B3365" s="2">
        <f ca="1"/>
        <v>0.73242886479783054</v>
      </c>
      <c r="O3365" s="2">
        <f ca="1"/>
        <v>0.80015569240061202</v>
      </c>
      <c r="X3365" s="2">
        <f ca="1"/>
        <v>56.405129917780847</v>
      </c>
      <c r="AG3365" s="2">
        <f ca="1"/>
        <v>0.5534617811344229</v>
      </c>
      <c r="AH3365" s="2" t="str">
        <f ca="1"/>
        <v>Bad</v>
      </c>
    </row>
    <row r="3366" spans="2:34" x14ac:dyDescent="0.2">
      <c r="B3366" s="2">
        <f ca="1"/>
        <v>0.34438115024653326</v>
      </c>
      <c r="O3366" s="2">
        <f ca="1"/>
        <v>-1.3503504356485057</v>
      </c>
      <c r="X3366" s="2">
        <f ca="1"/>
        <v>38.921753632020874</v>
      </c>
      <c r="AG3366" s="2">
        <f ca="1"/>
        <v>0.45068740099436133</v>
      </c>
      <c r="AH3366" s="2" t="str">
        <f ca="1"/>
        <v>Bad</v>
      </c>
    </row>
    <row r="3367" spans="2:34" x14ac:dyDescent="0.2">
      <c r="B3367" s="2">
        <f ca="1"/>
        <v>0.4650071592645344</v>
      </c>
      <c r="O3367" s="2">
        <f ca="1"/>
        <v>-7.4466216044110856E-2</v>
      </c>
      <c r="X3367" s="2">
        <f ca="1"/>
        <v>36.37289083678295</v>
      </c>
      <c r="AG3367" s="2">
        <f ca="1"/>
        <v>0.69983297815540557</v>
      </c>
      <c r="AH3367" s="2" t="str">
        <f ca="1"/>
        <v>Bad</v>
      </c>
    </row>
    <row r="3368" spans="2:34" x14ac:dyDescent="0.2">
      <c r="B3368" s="2">
        <f ca="1"/>
        <v>0.25989622714514105</v>
      </c>
      <c r="O3368" s="2">
        <f ca="1"/>
        <v>0.6057648395823978</v>
      </c>
      <c r="X3368" s="2">
        <f ca="1"/>
        <v>41.66005529875239</v>
      </c>
      <c r="AG3368" s="2">
        <f ca="1"/>
        <v>0.59926980052481316</v>
      </c>
      <c r="AH3368" s="2" t="str">
        <f ca="1"/>
        <v>Bad</v>
      </c>
    </row>
    <row r="3369" spans="2:34" x14ac:dyDescent="0.2">
      <c r="B3369" s="2">
        <f ca="1"/>
        <v>0.29787329117454564</v>
      </c>
      <c r="O3369" s="2">
        <f ca="1"/>
        <v>-0.25500159725011812</v>
      </c>
      <c r="X3369" s="2">
        <f ca="1"/>
        <v>42.85570546729523</v>
      </c>
      <c r="AG3369" s="2">
        <f ca="1"/>
        <v>0.39858425308998457</v>
      </c>
      <c r="AH3369" s="2" t="str">
        <f ca="1"/>
        <v>OK</v>
      </c>
    </row>
    <row r="3370" spans="2:34" x14ac:dyDescent="0.2">
      <c r="B3370" s="2">
        <f ca="1"/>
        <v>0.71760718008130087</v>
      </c>
      <c r="O3370" s="2">
        <f ca="1"/>
        <v>-0.20576925007868288</v>
      </c>
      <c r="X3370" s="2">
        <f ca="1"/>
        <v>32.49788313070222</v>
      </c>
      <c r="AG3370" s="2">
        <f ca="1"/>
        <v>0.39014957603610823</v>
      </c>
      <c r="AH3370" s="2" t="str">
        <f ca="1"/>
        <v>OK</v>
      </c>
    </row>
    <row r="3371" spans="2:34" x14ac:dyDescent="0.2">
      <c r="B3371" s="2">
        <f ca="1"/>
        <v>1.1471951309891981E-2</v>
      </c>
      <c r="O3371" s="2">
        <f ca="1"/>
        <v>0.95378721784796472</v>
      </c>
      <c r="X3371" s="2">
        <f ca="1"/>
        <v>49.357228123769161</v>
      </c>
      <c r="AG3371" s="2">
        <f ca="1"/>
        <v>0.33406229872434934</v>
      </c>
      <c r="AH3371" s="2" t="str">
        <f ca="1"/>
        <v>OK</v>
      </c>
    </row>
    <row r="3372" spans="2:34" x14ac:dyDescent="0.2">
      <c r="B3372" s="2">
        <f ca="1"/>
        <v>0.77080613343915272</v>
      </c>
      <c r="O3372" s="2">
        <f ca="1"/>
        <v>-0.14237609693621658</v>
      </c>
      <c r="X3372" s="2">
        <f ca="1"/>
        <v>38.733691126766871</v>
      </c>
      <c r="AG3372" s="2">
        <f ca="1"/>
        <v>0.89480340727746177</v>
      </c>
      <c r="AH3372" s="2" t="str">
        <f ca="1"/>
        <v>Bad</v>
      </c>
    </row>
    <row r="3373" spans="2:34" x14ac:dyDescent="0.2">
      <c r="B3373" s="2">
        <f ca="1"/>
        <v>0.39470483003779999</v>
      </c>
      <c r="O3373" s="2">
        <f ca="1"/>
        <v>1.0115116411985068</v>
      </c>
      <c r="X3373" s="2">
        <f ca="1"/>
        <v>46.259295346632648</v>
      </c>
      <c r="AG3373" s="2">
        <f ca="1"/>
        <v>1.5364649771365091E-2</v>
      </c>
      <c r="AH3373" s="2" t="str">
        <f ca="1"/>
        <v>Good</v>
      </c>
    </row>
    <row r="3374" spans="2:34" x14ac:dyDescent="0.2">
      <c r="B3374" s="2">
        <f ca="1"/>
        <v>0.14013432699346495</v>
      </c>
      <c r="O3374" s="2">
        <f ca="1"/>
        <v>1.3008836597665761</v>
      </c>
      <c r="X3374" s="2">
        <f ca="1"/>
        <v>71.688488012675123</v>
      </c>
      <c r="AG3374" s="2">
        <f ca="1"/>
        <v>0.88737699806165038</v>
      </c>
      <c r="AH3374" s="2" t="str">
        <f ca="1"/>
        <v>Bad</v>
      </c>
    </row>
    <row r="3375" spans="2:34" x14ac:dyDescent="0.2">
      <c r="B3375" s="2">
        <f ca="1"/>
        <v>0.27750289324853816</v>
      </c>
      <c r="O3375" s="2">
        <f ca="1"/>
        <v>2.2619012662656344E-2</v>
      </c>
      <c r="X3375" s="2">
        <f ca="1"/>
        <v>56.805327544601802</v>
      </c>
      <c r="AG3375" s="2">
        <f ca="1"/>
        <v>6.2977586997630786E-2</v>
      </c>
      <c r="AH3375" s="2" t="str">
        <f ca="1"/>
        <v>OK</v>
      </c>
    </row>
    <row r="3376" spans="2:34" x14ac:dyDescent="0.2">
      <c r="B3376" s="2">
        <f ca="1"/>
        <v>0.81187419845039144</v>
      </c>
      <c r="O3376" s="2">
        <f ca="1"/>
        <v>1.8123019485012752</v>
      </c>
      <c r="X3376" s="2">
        <f ca="1"/>
        <v>42.337576469253449</v>
      </c>
      <c r="AG3376" s="2">
        <f ca="1"/>
        <v>0.65637099082601691</v>
      </c>
      <c r="AH3376" s="2" t="str">
        <f ca="1"/>
        <v>Bad</v>
      </c>
    </row>
    <row r="3377" spans="2:34" x14ac:dyDescent="0.2">
      <c r="B3377" s="2">
        <f ca="1"/>
        <v>1.238467540334276E-2</v>
      </c>
      <c r="O3377" s="2">
        <f ca="1"/>
        <v>-0.84387557627413978</v>
      </c>
      <c r="X3377" s="2">
        <f ca="1"/>
        <v>37.758831380464969</v>
      </c>
      <c r="AG3377" s="2">
        <f ca="1"/>
        <v>0.69980115713471958</v>
      </c>
      <c r="AH3377" s="2" t="str">
        <f ca="1"/>
        <v>Bad</v>
      </c>
    </row>
    <row r="3378" spans="2:34" x14ac:dyDescent="0.2">
      <c r="B3378" s="2">
        <f ca="1"/>
        <v>0.10976639103144081</v>
      </c>
      <c r="O3378" s="2">
        <f ca="1"/>
        <v>-1.7743568060299102</v>
      </c>
      <c r="X3378" s="2">
        <f ca="1"/>
        <v>35.935916809378078</v>
      </c>
      <c r="AG3378" s="2">
        <f ca="1"/>
        <v>0.84974917486795798</v>
      </c>
      <c r="AH3378" s="2" t="str">
        <f ca="1"/>
        <v>Bad</v>
      </c>
    </row>
    <row r="3379" spans="2:34" x14ac:dyDescent="0.2">
      <c r="B3379" s="2">
        <f ca="1"/>
        <v>7.9054075471211682E-2</v>
      </c>
      <c r="O3379" s="2">
        <f ca="1"/>
        <v>1.0783089439045384</v>
      </c>
      <c r="X3379" s="2">
        <f ca="1"/>
        <v>19.302752227736836</v>
      </c>
      <c r="AG3379" s="2">
        <f ca="1"/>
        <v>0.4726645527207054</v>
      </c>
      <c r="AH3379" s="2" t="str">
        <f ca="1"/>
        <v>Bad</v>
      </c>
    </row>
    <row r="3380" spans="2:34" x14ac:dyDescent="0.2">
      <c r="B3380" s="2">
        <f ca="1"/>
        <v>0.99717169603827061</v>
      </c>
      <c r="O3380" s="2">
        <f ca="1"/>
        <v>0.51306218685233185</v>
      </c>
      <c r="X3380" s="2">
        <f ca="1"/>
        <v>57.335909610336593</v>
      </c>
      <c r="AG3380" s="2">
        <f ca="1"/>
        <v>0.41920005461495635</v>
      </c>
      <c r="AH3380" s="2" t="str">
        <f ca="1"/>
        <v>Bad</v>
      </c>
    </row>
    <row r="3381" spans="2:34" x14ac:dyDescent="0.2">
      <c r="B3381" s="2">
        <f ca="1"/>
        <v>0.4150667141113551</v>
      </c>
      <c r="O3381" s="2">
        <f ca="1"/>
        <v>1.4808089247774017</v>
      </c>
      <c r="X3381" s="2">
        <f ca="1"/>
        <v>33.839002732914828</v>
      </c>
      <c r="AG3381" s="2">
        <f ca="1"/>
        <v>0.76292216391875889</v>
      </c>
      <c r="AH3381" s="2" t="str">
        <f ca="1"/>
        <v>Bad</v>
      </c>
    </row>
    <row r="3382" spans="2:34" x14ac:dyDescent="0.2">
      <c r="B3382" s="2">
        <f ca="1"/>
        <v>0.74359827369501597</v>
      </c>
      <c r="O3382" s="2">
        <f ca="1"/>
        <v>0.45336761686504606</v>
      </c>
      <c r="X3382" s="2">
        <f ca="1"/>
        <v>18.804621004384721</v>
      </c>
      <c r="AG3382" s="2">
        <f ca="1"/>
        <v>0.81410953281970744</v>
      </c>
      <c r="AH3382" s="2" t="str">
        <f ca="1"/>
        <v>Bad</v>
      </c>
    </row>
    <row r="3383" spans="2:34" x14ac:dyDescent="0.2">
      <c r="B3383" s="2">
        <f ca="1"/>
        <v>0.71731254280389267</v>
      </c>
      <c r="O3383" s="2">
        <f ca="1"/>
        <v>-2.7725911363001736</v>
      </c>
      <c r="X3383" s="2">
        <f ca="1"/>
        <v>78.258535228887084</v>
      </c>
      <c r="AG3383" s="2">
        <f ca="1"/>
        <v>0.40672141859745103</v>
      </c>
      <c r="AH3383" s="2" t="str">
        <f ca="1"/>
        <v>Bad</v>
      </c>
    </row>
    <row r="3384" spans="2:34" x14ac:dyDescent="0.2">
      <c r="B3384" s="2">
        <f ca="1"/>
        <v>8.1494260021758747E-2</v>
      </c>
      <c r="O3384" s="2">
        <f ca="1"/>
        <v>-0.81583201527241733</v>
      </c>
      <c r="X3384" s="2">
        <f ca="1"/>
        <v>60.253010298492057</v>
      </c>
      <c r="AG3384" s="2">
        <f ca="1"/>
        <v>0.35304437861542093</v>
      </c>
      <c r="AH3384" s="2" t="str">
        <f ca="1"/>
        <v>OK</v>
      </c>
    </row>
    <row r="3385" spans="2:34" x14ac:dyDescent="0.2">
      <c r="B3385" s="2">
        <f ca="1"/>
        <v>0.8220104517111142</v>
      </c>
      <c r="O3385" s="2">
        <f ca="1"/>
        <v>1.3328352021956298</v>
      </c>
      <c r="X3385" s="2">
        <f ca="1"/>
        <v>61.253007969406042</v>
      </c>
      <c r="AG3385" s="2">
        <f ca="1"/>
        <v>0.18226138899157407</v>
      </c>
      <c r="AH3385" s="2" t="str">
        <f ca="1"/>
        <v>OK</v>
      </c>
    </row>
    <row r="3386" spans="2:34" x14ac:dyDescent="0.2">
      <c r="B3386" s="2">
        <f ca="1"/>
        <v>0.52883100091550572</v>
      </c>
      <c r="O3386" s="2">
        <f ca="1"/>
        <v>0.46275213990092651</v>
      </c>
      <c r="X3386" s="2">
        <f ca="1"/>
        <v>60.178473927127563</v>
      </c>
      <c r="AG3386" s="2">
        <f ca="1"/>
        <v>0.22704446284872692</v>
      </c>
      <c r="AH3386" s="2" t="str">
        <f ca="1"/>
        <v>OK</v>
      </c>
    </row>
    <row r="3387" spans="2:34" x14ac:dyDescent="0.2">
      <c r="B3387" s="2">
        <f ca="1"/>
        <v>0.17717377667221523</v>
      </c>
      <c r="O3387" s="2">
        <f ca="1"/>
        <v>0.10982702673322341</v>
      </c>
      <c r="X3387" s="2">
        <f ca="1"/>
        <v>35.615904493606209</v>
      </c>
      <c r="AG3387" s="2">
        <f ca="1"/>
        <v>0.86432517861655245</v>
      </c>
      <c r="AH3387" s="2" t="str">
        <f ca="1"/>
        <v>Bad</v>
      </c>
    </row>
    <row r="3388" spans="2:34" x14ac:dyDescent="0.2">
      <c r="B3388" s="2">
        <f ca="1"/>
        <v>0.43835531369761327</v>
      </c>
      <c r="O3388" s="2">
        <f ca="1"/>
        <v>-0.91631017858673958</v>
      </c>
      <c r="X3388" s="2">
        <f ca="1"/>
        <v>67.311991338027909</v>
      </c>
      <c r="AG3388" s="2">
        <f ca="1"/>
        <v>0.32504050911500726</v>
      </c>
      <c r="AH3388" s="2" t="str">
        <f ca="1"/>
        <v>OK</v>
      </c>
    </row>
    <row r="3389" spans="2:34" x14ac:dyDescent="0.2">
      <c r="B3389" s="2">
        <f ca="1"/>
        <v>0.73257779933429523</v>
      </c>
      <c r="O3389" s="2">
        <f ca="1"/>
        <v>1.3459196869456616</v>
      </c>
      <c r="X3389" s="2">
        <f ca="1"/>
        <v>38.770588970172327</v>
      </c>
      <c r="AG3389" s="2">
        <f ca="1"/>
        <v>0.21925010212488383</v>
      </c>
      <c r="AH3389" s="2" t="str">
        <f ca="1"/>
        <v>OK</v>
      </c>
    </row>
    <row r="3390" spans="2:34" x14ac:dyDescent="0.2">
      <c r="B3390" s="2">
        <f ca="1"/>
        <v>0.10991094721046357</v>
      </c>
      <c r="O3390" s="2">
        <f ca="1"/>
        <v>1.3831705963475112</v>
      </c>
      <c r="X3390" s="2">
        <f ca="1"/>
        <v>37.898588708036584</v>
      </c>
      <c r="AG3390" s="2">
        <f ca="1"/>
        <v>0.35146541188196601</v>
      </c>
      <c r="AH3390" s="2" t="str">
        <f ca="1"/>
        <v>OK</v>
      </c>
    </row>
    <row r="3391" spans="2:34" x14ac:dyDescent="0.2">
      <c r="B3391" s="2">
        <f ca="1"/>
        <v>0.47604432092034776</v>
      </c>
      <c r="O3391" s="2">
        <f ca="1"/>
        <v>-1.0463259586141382</v>
      </c>
      <c r="X3391" s="2">
        <f ca="1"/>
        <v>58.627125719229369</v>
      </c>
      <c r="AG3391" s="2">
        <f ca="1"/>
        <v>0.6558201678062161</v>
      </c>
      <c r="AH3391" s="2" t="str">
        <f ca="1"/>
        <v>Bad</v>
      </c>
    </row>
    <row r="3392" spans="2:34" x14ac:dyDescent="0.2">
      <c r="B3392" s="2">
        <f ca="1"/>
        <v>0.79674985800763376</v>
      </c>
      <c r="O3392" s="2">
        <f ca="1"/>
        <v>-0.92455360277283449</v>
      </c>
      <c r="X3392" s="2">
        <f ca="1"/>
        <v>64.958889791228572</v>
      </c>
      <c r="AG3392" s="2">
        <f ca="1"/>
        <v>0.50748269601945228</v>
      </c>
      <c r="AH3392" s="2" t="str">
        <f ca="1"/>
        <v>Bad</v>
      </c>
    </row>
    <row r="3393" spans="2:34" x14ac:dyDescent="0.2">
      <c r="B3393" s="2">
        <f ca="1"/>
        <v>0.6245215977354297</v>
      </c>
      <c r="O3393" s="2">
        <f ca="1"/>
        <v>1.3226095787020757</v>
      </c>
      <c r="X3393" s="2">
        <f ca="1"/>
        <v>31.549807175376259</v>
      </c>
      <c r="AG3393" s="2">
        <f ca="1"/>
        <v>0.22767204612091496</v>
      </c>
      <c r="AH3393" s="2" t="str">
        <f ca="1"/>
        <v>OK</v>
      </c>
    </row>
    <row r="3394" spans="2:34" x14ac:dyDescent="0.2">
      <c r="B3394" s="2">
        <f ca="1"/>
        <v>7.1343690812807781E-2</v>
      </c>
      <c r="O3394" s="2">
        <f ca="1"/>
        <v>-2.1544441165614283</v>
      </c>
      <c r="X3394" s="2">
        <f ca="1"/>
        <v>30.484609300339574</v>
      </c>
      <c r="AG3394" s="2">
        <f ca="1"/>
        <v>0.34516372168513954</v>
      </c>
      <c r="AH3394" s="2" t="str">
        <f ca="1"/>
        <v>OK</v>
      </c>
    </row>
    <row r="3395" spans="2:34" x14ac:dyDescent="0.2">
      <c r="B3395" s="2">
        <f ca="1"/>
        <v>0.83258843410542904</v>
      </c>
      <c r="O3395" s="2">
        <f ca="1"/>
        <v>-0.13853089373993652</v>
      </c>
      <c r="X3395" s="2">
        <f ca="1"/>
        <v>58.158831204379176</v>
      </c>
      <c r="AG3395" s="2">
        <f ca="1"/>
        <v>0.74756505653010819</v>
      </c>
      <c r="AH3395" s="2" t="str">
        <f ca="1"/>
        <v>Bad</v>
      </c>
    </row>
    <row r="3396" spans="2:34" x14ac:dyDescent="0.2">
      <c r="B3396" s="2">
        <f ca="1"/>
        <v>0.8592630136225301</v>
      </c>
      <c r="O3396" s="2">
        <f ca="1"/>
        <v>0.5903480988398464</v>
      </c>
      <c r="X3396" s="2">
        <f ca="1"/>
        <v>48.2320002471414</v>
      </c>
      <c r="AG3396" s="2">
        <f ca="1"/>
        <v>0.71851000518476771</v>
      </c>
      <c r="AH3396" s="2" t="str">
        <f ca="1"/>
        <v>Bad</v>
      </c>
    </row>
    <row r="3397" spans="2:34" x14ac:dyDescent="0.2">
      <c r="B3397" s="2">
        <f ca="1"/>
        <v>0.22719730585668629</v>
      </c>
      <c r="O3397" s="2">
        <f ca="1"/>
        <v>-0.46043619214121334</v>
      </c>
      <c r="X3397" s="2">
        <f ca="1"/>
        <v>73.119043133099126</v>
      </c>
      <c r="AG3397" s="2">
        <f ca="1"/>
        <v>0.95040950902431232</v>
      </c>
      <c r="AH3397" s="2" t="str">
        <f ca="1"/>
        <v>Bad</v>
      </c>
    </row>
    <row r="3398" spans="2:34" x14ac:dyDescent="0.2">
      <c r="B3398" s="2">
        <f ca="1"/>
        <v>0.22716339822145137</v>
      </c>
      <c r="O3398" s="2">
        <f ca="1"/>
        <v>-0.27812873801226684</v>
      </c>
      <c r="X3398" s="2">
        <f ca="1"/>
        <v>36.287160045525077</v>
      </c>
      <c r="AG3398" s="2">
        <f ca="1"/>
        <v>0.88317613757087354</v>
      </c>
      <c r="AH3398" s="2" t="str">
        <f ca="1"/>
        <v>Bad</v>
      </c>
    </row>
    <row r="3399" spans="2:34" x14ac:dyDescent="0.2">
      <c r="B3399" s="2">
        <f ca="1"/>
        <v>0.31962129442871956</v>
      </c>
      <c r="O3399" s="2">
        <f ca="1"/>
        <v>0.13565293577055682</v>
      </c>
      <c r="X3399" s="2">
        <f ca="1"/>
        <v>53.581267257811909</v>
      </c>
      <c r="AG3399" s="2">
        <f ca="1"/>
        <v>0.4259189809545465</v>
      </c>
      <c r="AH3399" s="2" t="str">
        <f ca="1"/>
        <v>Bad</v>
      </c>
    </row>
    <row r="3400" spans="2:34" x14ac:dyDescent="0.2">
      <c r="B3400" s="2">
        <f ca="1"/>
        <v>0.46341088412325959</v>
      </c>
      <c r="O3400" s="2">
        <f ca="1"/>
        <v>2.1494384386662873</v>
      </c>
      <c r="X3400" s="2">
        <f ca="1"/>
        <v>25.43731682855368</v>
      </c>
      <c r="AG3400" s="2">
        <f ca="1"/>
        <v>0.56576189566991308</v>
      </c>
      <c r="AH3400" s="2" t="str">
        <f ca="1"/>
        <v>Bad</v>
      </c>
    </row>
    <row r="3401" spans="2:34" x14ac:dyDescent="0.2">
      <c r="B3401" s="2">
        <f ca="1"/>
        <v>9.1097287914174041E-2</v>
      </c>
      <c r="O3401" s="2">
        <f ca="1"/>
        <v>-0.90693556841438194</v>
      </c>
      <c r="X3401" s="2">
        <f ca="1"/>
        <v>46.667405958241226</v>
      </c>
      <c r="AG3401" s="2">
        <f ca="1"/>
        <v>0.87036563328309624</v>
      </c>
      <c r="AH3401" s="2" t="str">
        <f ca="1"/>
        <v>Bad</v>
      </c>
    </row>
    <row r="3402" spans="2:34" x14ac:dyDescent="0.2">
      <c r="B3402" s="2">
        <f ca="1"/>
        <v>0.98494616291524184</v>
      </c>
      <c r="O3402" s="2">
        <f ca="1"/>
        <v>-1.6398101343469296</v>
      </c>
      <c r="X3402" s="2">
        <f ca="1"/>
        <v>45.244704347851801</v>
      </c>
      <c r="AG3402" s="2">
        <f ca="1"/>
        <v>5.8488740774671477E-2</v>
      </c>
      <c r="AH3402" s="2" t="str">
        <f ca="1"/>
        <v>OK</v>
      </c>
    </row>
    <row r="3403" spans="2:34" x14ac:dyDescent="0.2">
      <c r="B3403" s="2">
        <f ca="1"/>
        <v>0.61378202397356407</v>
      </c>
      <c r="O3403" s="2">
        <f ca="1"/>
        <v>-0.29971571866179542</v>
      </c>
      <c r="X3403" s="2">
        <f ca="1"/>
        <v>70.034954649294221</v>
      </c>
      <c r="AG3403" s="2">
        <f ca="1"/>
        <v>0.20093400040004572</v>
      </c>
      <c r="AH3403" s="2" t="str">
        <f ca="1"/>
        <v>OK</v>
      </c>
    </row>
    <row r="3404" spans="2:34" x14ac:dyDescent="0.2">
      <c r="B3404" s="2">
        <f ca="1"/>
        <v>0.53150309727782852</v>
      </c>
      <c r="O3404" s="2">
        <f ca="1"/>
        <v>-1.5048137191383653</v>
      </c>
      <c r="X3404" s="2">
        <f ca="1"/>
        <v>38.063195778050712</v>
      </c>
      <c r="AG3404" s="2">
        <f ca="1"/>
        <v>0.47630294494699088</v>
      </c>
      <c r="AH3404" s="2" t="str">
        <f ca="1"/>
        <v>Bad</v>
      </c>
    </row>
    <row r="3405" spans="2:34" x14ac:dyDescent="0.2">
      <c r="B3405" s="2">
        <f ca="1"/>
        <v>0.88477344873570463</v>
      </c>
      <c r="O3405" s="2">
        <f ca="1"/>
        <v>-5.4649216017643852E-2</v>
      </c>
      <c r="X3405" s="2">
        <f ca="1"/>
        <v>41.659934311544411</v>
      </c>
      <c r="AG3405" s="2">
        <f ca="1"/>
        <v>0.63514040794681859</v>
      </c>
      <c r="AH3405" s="2" t="str">
        <f ca="1"/>
        <v>Bad</v>
      </c>
    </row>
    <row r="3406" spans="2:34" x14ac:dyDescent="0.2">
      <c r="B3406" s="2">
        <f ca="1"/>
        <v>0.49545619487820303</v>
      </c>
      <c r="O3406" s="2">
        <f ca="1"/>
        <v>1.4912991117222854</v>
      </c>
      <c r="X3406" s="2">
        <f ca="1"/>
        <v>54.825336498517736</v>
      </c>
      <c r="AG3406" s="2">
        <f ca="1"/>
        <v>0.4249318106350195</v>
      </c>
      <c r="AH3406" s="2" t="str">
        <f ca="1"/>
        <v>Bad</v>
      </c>
    </row>
    <row r="3407" spans="2:34" x14ac:dyDescent="0.2">
      <c r="B3407" s="2">
        <f ca="1"/>
        <v>0.85814716783087808</v>
      </c>
      <c r="O3407" s="2">
        <f ca="1"/>
        <v>1.5324566138889248</v>
      </c>
      <c r="X3407" s="2">
        <f ca="1"/>
        <v>58.136347621452565</v>
      </c>
      <c r="AG3407" s="2">
        <f ca="1"/>
        <v>0.67898287233900101</v>
      </c>
      <c r="AH3407" s="2" t="str">
        <f ca="1"/>
        <v>Bad</v>
      </c>
    </row>
    <row r="3408" spans="2:34" x14ac:dyDescent="0.2">
      <c r="B3408" s="2">
        <f ca="1"/>
        <v>0.60171029824038214</v>
      </c>
      <c r="O3408" s="2">
        <f ca="1"/>
        <v>1.0294999351425096</v>
      </c>
      <c r="X3408" s="2">
        <f ca="1"/>
        <v>103.75206179474543</v>
      </c>
      <c r="AG3408" s="2">
        <f ca="1"/>
        <v>0.21986326998299344</v>
      </c>
      <c r="AH3408" s="2" t="str">
        <f ca="1"/>
        <v>OK</v>
      </c>
    </row>
    <row r="3409" spans="2:34" x14ac:dyDescent="0.2">
      <c r="B3409" s="2">
        <f ca="1"/>
        <v>0.35395285518616126</v>
      </c>
      <c r="O3409" s="2">
        <f ca="1"/>
        <v>1.4689023388156939</v>
      </c>
      <c r="X3409" s="2">
        <f ca="1"/>
        <v>48.212704335293168</v>
      </c>
      <c r="AG3409" s="2">
        <f ca="1"/>
        <v>1.3674926903819218E-2</v>
      </c>
      <c r="AH3409" s="2" t="str">
        <f ca="1"/>
        <v>Good</v>
      </c>
    </row>
    <row r="3410" spans="2:34" x14ac:dyDescent="0.2">
      <c r="B3410" s="2">
        <f ca="1"/>
        <v>0.47728259636021986</v>
      </c>
      <c r="O3410" s="2">
        <f ca="1"/>
        <v>-0.29683205902238113</v>
      </c>
      <c r="X3410" s="2">
        <f ca="1"/>
        <v>28.92042116976296</v>
      </c>
      <c r="AG3410" s="2">
        <f ca="1"/>
        <v>0.55440030432536203</v>
      </c>
      <c r="AH3410" s="2" t="str">
        <f ca="1"/>
        <v>Bad</v>
      </c>
    </row>
    <row r="3411" spans="2:34" x14ac:dyDescent="0.2">
      <c r="B3411" s="2">
        <f ca="1"/>
        <v>0.28720236877153593</v>
      </c>
      <c r="O3411" s="2">
        <f ca="1"/>
        <v>0.75148325488086321</v>
      </c>
      <c r="X3411" s="2">
        <f ca="1"/>
        <v>29.394940091037927</v>
      </c>
      <c r="AG3411" s="2">
        <f ca="1"/>
        <v>0.175819956867727</v>
      </c>
      <c r="AH3411" s="2" t="str">
        <f ca="1"/>
        <v>OK</v>
      </c>
    </row>
    <row r="3412" spans="2:34" x14ac:dyDescent="0.2">
      <c r="B3412" s="2">
        <f ca="1"/>
        <v>0.20520729113150815</v>
      </c>
      <c r="O3412" s="2">
        <f ca="1"/>
        <v>0.24871758049363341</v>
      </c>
      <c r="X3412" s="2">
        <f ca="1"/>
        <v>68.181976465906388</v>
      </c>
      <c r="AG3412" s="2">
        <f ca="1"/>
        <v>0.90871697656390582</v>
      </c>
      <c r="AH3412" s="2" t="str">
        <f ca="1"/>
        <v>Bad</v>
      </c>
    </row>
    <row r="3413" spans="2:34" x14ac:dyDescent="0.2">
      <c r="B3413" s="2">
        <f ca="1"/>
        <v>0.25063012631100667</v>
      </c>
      <c r="O3413" s="2">
        <f ca="1"/>
        <v>-0.47017885090362405</v>
      </c>
      <c r="X3413" s="2">
        <f ca="1"/>
        <v>80.7960270785197</v>
      </c>
      <c r="AG3413" s="2">
        <f ca="1"/>
        <v>3.9197602559144284E-2</v>
      </c>
      <c r="AH3413" s="2" t="str">
        <f ca="1"/>
        <v>Good</v>
      </c>
    </row>
    <row r="3414" spans="2:34" x14ac:dyDescent="0.2">
      <c r="B3414" s="2">
        <f ca="1"/>
        <v>0.59655645997182161</v>
      </c>
      <c r="O3414" s="2">
        <f ca="1"/>
        <v>-1.8854900791330536</v>
      </c>
      <c r="X3414" s="2">
        <f ca="1"/>
        <v>19.522171592025028</v>
      </c>
      <c r="AG3414" s="2">
        <f ca="1"/>
        <v>0.68633434967930551</v>
      </c>
      <c r="AH3414" s="2" t="str">
        <f ca="1"/>
        <v>Bad</v>
      </c>
    </row>
    <row r="3415" spans="2:34" x14ac:dyDescent="0.2">
      <c r="B3415" s="2">
        <f ca="1"/>
        <v>0.68023481865710766</v>
      </c>
      <c r="O3415" s="2">
        <f ca="1"/>
        <v>-0.67696134063198321</v>
      </c>
      <c r="X3415" s="2">
        <f ca="1"/>
        <v>45.550109339712023</v>
      </c>
      <c r="AG3415" s="2">
        <f ca="1"/>
        <v>9.201277725919299E-2</v>
      </c>
      <c r="AH3415" s="2" t="str">
        <f ca="1"/>
        <v>OK</v>
      </c>
    </row>
    <row r="3416" spans="2:34" x14ac:dyDescent="0.2">
      <c r="B3416" s="2">
        <f ca="1"/>
        <v>0.96326052102928017</v>
      </c>
      <c r="O3416" s="2">
        <f ca="1"/>
        <v>-1.1704514184932255</v>
      </c>
      <c r="X3416" s="2">
        <f ca="1"/>
        <v>34.291368096360557</v>
      </c>
      <c r="AG3416" s="2">
        <f ca="1"/>
        <v>0.75399454443069525</v>
      </c>
      <c r="AH3416" s="2" t="str">
        <f ca="1"/>
        <v>Bad</v>
      </c>
    </row>
    <row r="3417" spans="2:34" x14ac:dyDescent="0.2">
      <c r="B3417" s="2">
        <f ca="1"/>
        <v>0.94473114335164676</v>
      </c>
      <c r="O3417" s="2">
        <f ca="1"/>
        <v>-0.61690502213257692</v>
      </c>
      <c r="X3417" s="2">
        <f ca="1"/>
        <v>33.323763515271622</v>
      </c>
      <c r="AG3417" s="2">
        <f ca="1"/>
        <v>0.76786101364508474</v>
      </c>
      <c r="AH3417" s="2" t="str">
        <f ca="1"/>
        <v>Bad</v>
      </c>
    </row>
    <row r="3418" spans="2:34" x14ac:dyDescent="0.2">
      <c r="B3418" s="2">
        <f ca="1"/>
        <v>0.84593885164846738</v>
      </c>
      <c r="O3418" s="2">
        <f ca="1"/>
        <v>-2.1083418854952325</v>
      </c>
      <c r="X3418" s="2">
        <f ca="1"/>
        <v>48.784317276598017</v>
      </c>
      <c r="AG3418" s="2">
        <f ca="1"/>
        <v>0.33133171065177591</v>
      </c>
      <c r="AH3418" s="2" t="str">
        <f ca="1"/>
        <v>OK</v>
      </c>
    </row>
    <row r="3419" spans="2:34" x14ac:dyDescent="0.2">
      <c r="B3419" s="2">
        <f ca="1"/>
        <v>3.4924641028262871E-2</v>
      </c>
      <c r="O3419" s="2">
        <f ca="1"/>
        <v>0.13512468260486113</v>
      </c>
      <c r="X3419" s="2">
        <f ca="1"/>
        <v>35.75506319836731</v>
      </c>
      <c r="AG3419" s="2">
        <f ca="1"/>
        <v>0.48713408481725895</v>
      </c>
      <c r="AH3419" s="2" t="str">
        <f ca="1"/>
        <v>Bad</v>
      </c>
    </row>
    <row r="3420" spans="2:34" x14ac:dyDescent="0.2">
      <c r="B3420" s="2">
        <f ca="1"/>
        <v>0.20040789457469965</v>
      </c>
      <c r="O3420" s="2">
        <f ca="1"/>
        <v>-1.8374986300254019</v>
      </c>
      <c r="X3420" s="2">
        <f ca="1"/>
        <v>58.76149316959544</v>
      </c>
      <c r="AG3420" s="2">
        <f ca="1"/>
        <v>0.5022179344207276</v>
      </c>
      <c r="AH3420" s="2" t="str">
        <f ca="1"/>
        <v>Bad</v>
      </c>
    </row>
    <row r="3421" spans="2:34" x14ac:dyDescent="0.2">
      <c r="B3421" s="2">
        <f ca="1"/>
        <v>0.74115673965128104</v>
      </c>
      <c r="O3421" s="2">
        <f ca="1"/>
        <v>-0.41885648016986027</v>
      </c>
      <c r="X3421" s="2">
        <f ca="1"/>
        <v>63.97597256575807</v>
      </c>
      <c r="AG3421" s="2">
        <f ca="1"/>
        <v>0.79808443010116537</v>
      </c>
      <c r="AH3421" s="2" t="str">
        <f ca="1"/>
        <v>Bad</v>
      </c>
    </row>
    <row r="3422" spans="2:34" x14ac:dyDescent="0.2">
      <c r="B3422" s="2">
        <f ca="1"/>
        <v>0.901507337871718</v>
      </c>
      <c r="O3422" s="2">
        <f ca="1"/>
        <v>-1.1819781420506676</v>
      </c>
      <c r="X3422" s="2">
        <f ca="1"/>
        <v>38.559835089811834</v>
      </c>
      <c r="AG3422" s="2">
        <f ca="1"/>
        <v>0.85613470842477324</v>
      </c>
      <c r="AH3422" s="2" t="str">
        <f ca="1"/>
        <v>Bad</v>
      </c>
    </row>
    <row r="3423" spans="2:34" x14ac:dyDescent="0.2">
      <c r="B3423" s="2">
        <f ca="1"/>
        <v>1.0374532328851771E-3</v>
      </c>
      <c r="O3423" s="2">
        <f ca="1"/>
        <v>-0.37269867954315783</v>
      </c>
      <c r="X3423" s="2">
        <f ca="1"/>
        <v>37.775216303561379</v>
      </c>
      <c r="AG3423" s="2">
        <f ca="1"/>
        <v>0.34203129880317817</v>
      </c>
      <c r="AH3423" s="2" t="str">
        <f ca="1"/>
        <v>OK</v>
      </c>
    </row>
    <row r="3424" spans="2:34" x14ac:dyDescent="0.2">
      <c r="B3424" s="2">
        <f ca="1"/>
        <v>0.38491751820214426</v>
      </c>
      <c r="O3424" s="2">
        <f ca="1"/>
        <v>-0.66948468529337413</v>
      </c>
      <c r="X3424" s="2">
        <f ca="1"/>
        <v>34.826333809213281</v>
      </c>
      <c r="AG3424" s="2">
        <f ca="1"/>
        <v>0.81716763501183998</v>
      </c>
      <c r="AH3424" s="2" t="str">
        <f ca="1"/>
        <v>Bad</v>
      </c>
    </row>
    <row r="3425" spans="2:34" x14ac:dyDescent="0.2">
      <c r="B3425" s="2">
        <f ca="1"/>
        <v>0.66184538929818171</v>
      </c>
      <c r="O3425" s="2">
        <f ca="1"/>
        <v>0.69974853536266723</v>
      </c>
      <c r="X3425" s="2">
        <f ca="1"/>
        <v>49.984586491784981</v>
      </c>
      <c r="AG3425" s="2">
        <f ca="1"/>
        <v>0.69107511753945494</v>
      </c>
      <c r="AH3425" s="2" t="str">
        <f ca="1"/>
        <v>Bad</v>
      </c>
    </row>
    <row r="3426" spans="2:34" x14ac:dyDescent="0.2">
      <c r="B3426" s="2">
        <f ca="1"/>
        <v>7.3591739089833519E-2</v>
      </c>
      <c r="O3426" s="2">
        <f ca="1"/>
        <v>0.36256754671160063</v>
      </c>
      <c r="X3426" s="2">
        <f ca="1"/>
        <v>52.74928027827567</v>
      </c>
      <c r="AG3426" s="2">
        <f ca="1"/>
        <v>0.12580586854513243</v>
      </c>
      <c r="AH3426" s="2" t="str">
        <f ca="1"/>
        <v>OK</v>
      </c>
    </row>
    <row r="3427" spans="2:34" x14ac:dyDescent="0.2">
      <c r="B3427" s="2">
        <f ca="1"/>
        <v>0.9960955697225693</v>
      </c>
      <c r="O3427" s="2">
        <f ca="1"/>
        <v>1.2300965156065056</v>
      </c>
      <c r="X3427" s="2">
        <f ca="1"/>
        <v>93.386748524589152</v>
      </c>
      <c r="AG3427" s="2">
        <f ca="1"/>
        <v>0.54196613083658085</v>
      </c>
      <c r="AH3427" s="2" t="str">
        <f ca="1"/>
        <v>Bad</v>
      </c>
    </row>
    <row r="3428" spans="2:34" x14ac:dyDescent="0.2">
      <c r="B3428" s="2">
        <f ca="1"/>
        <v>0.29485922964526123</v>
      </c>
      <c r="O3428" s="2">
        <f ca="1"/>
        <v>-1.3688345573835161</v>
      </c>
      <c r="X3428" s="2">
        <f ca="1"/>
        <v>40.331469705380549</v>
      </c>
      <c r="AG3428" s="2">
        <f ca="1"/>
        <v>0.16549951047615652</v>
      </c>
      <c r="AH3428" s="2" t="str">
        <f ca="1"/>
        <v>OK</v>
      </c>
    </row>
    <row r="3429" spans="2:34" x14ac:dyDescent="0.2">
      <c r="B3429" s="2">
        <f ca="1"/>
        <v>0.39748666405265243</v>
      </c>
      <c r="O3429" s="2">
        <f ca="1"/>
        <v>-1.2759422697829872</v>
      </c>
      <c r="X3429" s="2">
        <f ca="1"/>
        <v>53.732364657417897</v>
      </c>
      <c r="AG3429" s="2">
        <f ca="1"/>
        <v>0.58327165642305978</v>
      </c>
      <c r="AH3429" s="2" t="str">
        <f ca="1"/>
        <v>Bad</v>
      </c>
    </row>
    <row r="3430" spans="2:34" x14ac:dyDescent="0.2">
      <c r="B3430" s="2">
        <f ca="1"/>
        <v>0.92459401771123573</v>
      </c>
      <c r="O3430" s="2">
        <f ca="1"/>
        <v>-0.53510544478150046</v>
      </c>
      <c r="X3430" s="2">
        <f ca="1"/>
        <v>27.283562758855542</v>
      </c>
      <c r="AG3430" s="2">
        <f ca="1"/>
        <v>0.35368432752350532</v>
      </c>
      <c r="AH3430" s="2" t="str">
        <f ca="1"/>
        <v>OK</v>
      </c>
    </row>
    <row r="3431" spans="2:34" x14ac:dyDescent="0.2">
      <c r="B3431" s="2">
        <f ca="1"/>
        <v>0.91993209174280599</v>
      </c>
      <c r="O3431" s="2">
        <f ca="1"/>
        <v>1.6077466349484566</v>
      </c>
      <c r="X3431" s="2">
        <f ca="1"/>
        <v>30.454894786690254</v>
      </c>
      <c r="AG3431" s="2">
        <f ca="1"/>
        <v>0.80520353205055839</v>
      </c>
      <c r="AH3431" s="2" t="str">
        <f ca="1"/>
        <v>Bad</v>
      </c>
    </row>
    <row r="3432" spans="2:34" x14ac:dyDescent="0.2">
      <c r="B3432" s="2">
        <f ca="1"/>
        <v>0.55995222068842909</v>
      </c>
      <c r="O3432" s="2">
        <f ca="1"/>
        <v>0.66522535108970759</v>
      </c>
      <c r="X3432" s="2">
        <f ca="1"/>
        <v>71.756836700279379</v>
      </c>
      <c r="AG3432" s="2">
        <f ca="1"/>
        <v>0.12581575498168251</v>
      </c>
      <c r="AH3432" s="2" t="str">
        <f ca="1"/>
        <v>OK</v>
      </c>
    </row>
    <row r="3433" spans="2:34" x14ac:dyDescent="0.2">
      <c r="B3433" s="2">
        <f ca="1"/>
        <v>0.16897514701906169</v>
      </c>
      <c r="O3433" s="2">
        <f ca="1"/>
        <v>-1.7591966904372929</v>
      </c>
      <c r="X3433" s="2">
        <f ca="1"/>
        <v>39.311181929565656</v>
      </c>
      <c r="AG3433" s="2">
        <f ca="1"/>
        <v>0.93990294030909238</v>
      </c>
      <c r="AH3433" s="2" t="str">
        <f ca="1"/>
        <v>Bad</v>
      </c>
    </row>
    <row r="3434" spans="2:34" x14ac:dyDescent="0.2">
      <c r="B3434" s="2">
        <f ca="1"/>
        <v>0.87636907194363478</v>
      </c>
      <c r="O3434" s="2">
        <f ca="1"/>
        <v>0.58577518299380393</v>
      </c>
      <c r="X3434" s="2">
        <f ca="1"/>
        <v>52.058995928523125</v>
      </c>
      <c r="AG3434" s="2">
        <f ca="1"/>
        <v>0.49914624551978304</v>
      </c>
      <c r="AH3434" s="2" t="str">
        <f ca="1"/>
        <v>Bad</v>
      </c>
    </row>
    <row r="3435" spans="2:34" x14ac:dyDescent="0.2">
      <c r="B3435" s="2">
        <f ca="1"/>
        <v>0.12073387163181115</v>
      </c>
      <c r="O3435" s="2">
        <f ca="1"/>
        <v>7.7483943692927326E-2</v>
      </c>
      <c r="X3435" s="2">
        <f ca="1"/>
        <v>66.528297073850226</v>
      </c>
      <c r="AG3435" s="2">
        <f ca="1"/>
        <v>0.7100983063815749</v>
      </c>
      <c r="AH3435" s="2" t="str">
        <f ca="1"/>
        <v>Bad</v>
      </c>
    </row>
    <row r="3436" spans="2:34" x14ac:dyDescent="0.2">
      <c r="B3436" s="2">
        <f ca="1"/>
        <v>0.83359614126943438</v>
      </c>
      <c r="O3436" s="2">
        <f ca="1"/>
        <v>-1.1082834332099605</v>
      </c>
      <c r="X3436" s="2">
        <f ca="1"/>
        <v>39.549062892002425</v>
      </c>
      <c r="AG3436" s="2">
        <f ca="1"/>
        <v>0.88958247364738297</v>
      </c>
      <c r="AH3436" s="2" t="str">
        <f ca="1"/>
        <v>Bad</v>
      </c>
    </row>
    <row r="3437" spans="2:34" x14ac:dyDescent="0.2">
      <c r="B3437" s="2">
        <f ca="1"/>
        <v>0.77609653573295301</v>
      </c>
      <c r="O3437" s="2">
        <f ca="1"/>
        <v>-1.3017792135261732</v>
      </c>
      <c r="X3437" s="2">
        <f ca="1"/>
        <v>36.922304586907835</v>
      </c>
      <c r="AG3437" s="2">
        <f ca="1"/>
        <v>2.8790496066529503E-2</v>
      </c>
      <c r="AH3437" s="2" t="str">
        <f ca="1"/>
        <v>Good</v>
      </c>
    </row>
    <row r="3438" spans="2:34" x14ac:dyDescent="0.2">
      <c r="B3438" s="2">
        <f ca="1"/>
        <v>0.60451501612776593</v>
      </c>
      <c r="O3438" s="2">
        <f ca="1"/>
        <v>1.2101323087747526</v>
      </c>
      <c r="X3438" s="2">
        <f ca="1"/>
        <v>54.474770132473239</v>
      </c>
      <c r="AG3438" s="2">
        <f ca="1"/>
        <v>0.71608490683004522</v>
      </c>
      <c r="AH3438" s="2" t="str">
        <f ca="1"/>
        <v>Bad</v>
      </c>
    </row>
    <row r="3439" spans="2:34" x14ac:dyDescent="0.2">
      <c r="B3439" s="2">
        <f ca="1"/>
        <v>0.39694500827907642</v>
      </c>
      <c r="O3439" s="2">
        <f ca="1"/>
        <v>-1.0003188073549829</v>
      </c>
      <c r="X3439" s="2">
        <f ca="1"/>
        <v>51.223268794006991</v>
      </c>
      <c r="AG3439" s="2">
        <f ca="1"/>
        <v>0.23668717050802535</v>
      </c>
      <c r="AH3439" s="2" t="str">
        <f ca="1"/>
        <v>OK</v>
      </c>
    </row>
    <row r="3440" spans="2:34" x14ac:dyDescent="0.2">
      <c r="B3440" s="2">
        <f ca="1"/>
        <v>0.79711545876539813</v>
      </c>
      <c r="O3440" s="2">
        <f ca="1"/>
        <v>1.082052234213885</v>
      </c>
      <c r="X3440" s="2">
        <f ca="1"/>
        <v>83.686894578962438</v>
      </c>
      <c r="AG3440" s="2">
        <f ca="1"/>
        <v>0.77790185150450175</v>
      </c>
      <c r="AH3440" s="2" t="str">
        <f ca="1"/>
        <v>Bad</v>
      </c>
    </row>
    <row r="3441" spans="2:34" x14ac:dyDescent="0.2">
      <c r="B3441" s="2">
        <f ca="1"/>
        <v>0.58407318243970829</v>
      </c>
      <c r="O3441" s="2">
        <f ca="1"/>
        <v>0.53839217839881015</v>
      </c>
      <c r="X3441" s="2">
        <f ca="1"/>
        <v>42.669498245397676</v>
      </c>
      <c r="AG3441" s="2">
        <f ca="1"/>
        <v>0.93802931423888847</v>
      </c>
      <c r="AH3441" s="2" t="str">
        <f ca="1"/>
        <v>Bad</v>
      </c>
    </row>
    <row r="3442" spans="2:34" x14ac:dyDescent="0.2">
      <c r="B3442" s="2">
        <f ca="1"/>
        <v>0.10763945378802564</v>
      </c>
      <c r="O3442" s="2">
        <f ca="1"/>
        <v>0.37661809755267389</v>
      </c>
      <c r="X3442" s="2">
        <f ca="1"/>
        <v>41.829638862181362</v>
      </c>
      <c r="AG3442" s="2">
        <f ca="1"/>
        <v>0.82986641167575925</v>
      </c>
      <c r="AH3442" s="2" t="str">
        <f ca="1"/>
        <v>Bad</v>
      </c>
    </row>
    <row r="3443" spans="2:34" x14ac:dyDescent="0.2">
      <c r="B3443" s="2">
        <f ca="1"/>
        <v>0.75266483217686364</v>
      </c>
      <c r="O3443" s="2">
        <f ca="1"/>
        <v>0.6562986647041309</v>
      </c>
      <c r="X3443" s="2">
        <f ca="1"/>
        <v>51.747330047252554</v>
      </c>
      <c r="AG3443" s="2">
        <f ca="1"/>
        <v>0.32898948894170599</v>
      </c>
      <c r="AH3443" s="2" t="str">
        <f ca="1"/>
        <v>OK</v>
      </c>
    </row>
    <row r="3444" spans="2:34" x14ac:dyDescent="0.2">
      <c r="B3444" s="2">
        <f ca="1"/>
        <v>0.39710088899534401</v>
      </c>
      <c r="O3444" s="2">
        <f ca="1"/>
        <v>-1.394251929421773</v>
      </c>
      <c r="X3444" s="2">
        <f ca="1"/>
        <v>27.103628844455589</v>
      </c>
      <c r="AG3444" s="2">
        <f ca="1"/>
        <v>0.95670944217145859</v>
      </c>
      <c r="AH3444" s="2" t="str">
        <f ca="1"/>
        <v>Bad</v>
      </c>
    </row>
    <row r="3445" spans="2:34" x14ac:dyDescent="0.2">
      <c r="B3445" s="2">
        <f ca="1"/>
        <v>1.0169064262349981E-2</v>
      </c>
      <c r="O3445" s="2">
        <f ca="1"/>
        <v>-2.5925641153477068</v>
      </c>
      <c r="X3445" s="2">
        <f ca="1"/>
        <v>32.730772126897584</v>
      </c>
      <c r="AG3445" s="2">
        <f ca="1"/>
        <v>0.63310866743481653</v>
      </c>
      <c r="AH3445" s="2" t="str">
        <f ca="1"/>
        <v>Bad</v>
      </c>
    </row>
    <row r="3446" spans="2:34" x14ac:dyDescent="0.2">
      <c r="B3446" s="2">
        <f ca="1"/>
        <v>0.4401015528368839</v>
      </c>
      <c r="O3446" s="2">
        <f ca="1"/>
        <v>0.29966244868088293</v>
      </c>
      <c r="X3446" s="2">
        <f ca="1"/>
        <v>82.357065200529874</v>
      </c>
      <c r="AG3446" s="2">
        <f ca="1"/>
        <v>0.93480764390881177</v>
      </c>
      <c r="AH3446" s="2" t="str">
        <f ca="1"/>
        <v>Bad</v>
      </c>
    </row>
    <row r="3447" spans="2:34" x14ac:dyDescent="0.2">
      <c r="B3447" s="2">
        <f ca="1"/>
        <v>0.75165770394384257</v>
      </c>
      <c r="O3447" s="2">
        <f ca="1"/>
        <v>0.6281302439417964</v>
      </c>
      <c r="X3447" s="2">
        <f ca="1"/>
        <v>51.882228385613004</v>
      </c>
      <c r="AG3447" s="2">
        <f ca="1"/>
        <v>0.70090363214267404</v>
      </c>
      <c r="AH3447" s="2" t="str">
        <f ca="1"/>
        <v>Bad</v>
      </c>
    </row>
    <row r="3448" spans="2:34" x14ac:dyDescent="0.2">
      <c r="B3448" s="2">
        <f ca="1"/>
        <v>0.56774885272667652</v>
      </c>
      <c r="O3448" s="2">
        <f ca="1"/>
        <v>-0.59765653216160541</v>
      </c>
      <c r="X3448" s="2">
        <f ca="1"/>
        <v>82.806801147820423</v>
      </c>
      <c r="AG3448" s="2">
        <f ca="1"/>
        <v>0.20715838690937605</v>
      </c>
      <c r="AH3448" s="2" t="str">
        <f ca="1"/>
        <v>OK</v>
      </c>
    </row>
    <row r="3449" spans="2:34" x14ac:dyDescent="0.2">
      <c r="B3449" s="2">
        <f ca="1"/>
        <v>0.88575892698456449</v>
      </c>
      <c r="O3449" s="2">
        <f ca="1"/>
        <v>-8.6112151461750011E-2</v>
      </c>
      <c r="X3449" s="2">
        <f ca="1"/>
        <v>61.864138488088329</v>
      </c>
      <c r="AG3449" s="2">
        <f ca="1"/>
        <v>0.95278571975612691</v>
      </c>
      <c r="AH3449" s="2" t="str">
        <f ca="1"/>
        <v>Bad</v>
      </c>
    </row>
    <row r="3450" spans="2:34" x14ac:dyDescent="0.2">
      <c r="B3450" s="2">
        <f ca="1"/>
        <v>0.49481629821761608</v>
      </c>
      <c r="O3450" s="2">
        <f ca="1"/>
        <v>0.9984332630695425</v>
      </c>
      <c r="X3450" s="2">
        <f ca="1"/>
        <v>71.817395223794392</v>
      </c>
      <c r="AG3450" s="2">
        <f ca="1"/>
        <v>5.6647777142871059E-2</v>
      </c>
      <c r="AH3450" s="2" t="str">
        <f ca="1"/>
        <v>OK</v>
      </c>
    </row>
    <row r="3451" spans="2:34" x14ac:dyDescent="0.2">
      <c r="B3451" s="2">
        <f ca="1"/>
        <v>0.10527692994993476</v>
      </c>
      <c r="O3451" s="2">
        <f ca="1"/>
        <v>-0.13443530938260978</v>
      </c>
      <c r="X3451" s="2">
        <f ca="1"/>
        <v>61.870651251511291</v>
      </c>
      <c r="AG3451" s="2">
        <f ca="1"/>
        <v>6.2660148149161099E-2</v>
      </c>
      <c r="AH3451" s="2" t="str">
        <f ca="1"/>
        <v>OK</v>
      </c>
    </row>
    <row r="3452" spans="2:34" x14ac:dyDescent="0.2">
      <c r="B3452" s="2">
        <f ca="1"/>
        <v>0.84027405008421407</v>
      </c>
      <c r="O3452" s="2">
        <f ca="1"/>
        <v>0.91901188041641124</v>
      </c>
      <c r="X3452" s="2">
        <f ca="1"/>
        <v>65.658421124559283</v>
      </c>
      <c r="AG3452" s="2">
        <f ca="1"/>
        <v>0.75484007271837505</v>
      </c>
      <c r="AH3452" s="2" t="str">
        <f ca="1"/>
        <v>Bad</v>
      </c>
    </row>
    <row r="3453" spans="2:34" x14ac:dyDescent="0.2">
      <c r="B3453" s="2">
        <f ca="1"/>
        <v>0.85434779640121472</v>
      </c>
      <c r="O3453" s="2">
        <f ca="1"/>
        <v>0.49469705419097521</v>
      </c>
      <c r="X3453" s="2">
        <f ca="1"/>
        <v>26.324119789087057</v>
      </c>
      <c r="AG3453" s="2">
        <f ca="1"/>
        <v>0.15580885657243515</v>
      </c>
      <c r="AH3453" s="2" t="str">
        <f ca="1"/>
        <v>OK</v>
      </c>
    </row>
    <row r="3454" spans="2:34" x14ac:dyDescent="0.2">
      <c r="B3454" s="2">
        <f ca="1"/>
        <v>0.63286703912931808</v>
      </c>
      <c r="O3454" s="2">
        <f ca="1"/>
        <v>1.4569777428477423E-2</v>
      </c>
      <c r="X3454" s="2">
        <f ca="1"/>
        <v>44.978912848085827</v>
      </c>
      <c r="AG3454" s="2">
        <f ca="1"/>
        <v>0.78910303687497962</v>
      </c>
      <c r="AH3454" s="2" t="str">
        <f ca="1"/>
        <v>Bad</v>
      </c>
    </row>
    <row r="3455" spans="2:34" x14ac:dyDescent="0.2">
      <c r="B3455" s="2">
        <f ca="1"/>
        <v>0.61418700793285308</v>
      </c>
      <c r="O3455" s="2">
        <f ca="1"/>
        <v>0.8832885061533724</v>
      </c>
      <c r="X3455" s="2">
        <f ca="1"/>
        <v>50.611356581210416</v>
      </c>
      <c r="AG3455" s="2">
        <f ca="1"/>
        <v>3.5768051965962E-2</v>
      </c>
      <c r="AH3455" s="2" t="str">
        <f ca="1"/>
        <v>Good</v>
      </c>
    </row>
    <row r="3456" spans="2:34" x14ac:dyDescent="0.2">
      <c r="B3456" s="2">
        <f ca="1"/>
        <v>0.65994757287397254</v>
      </c>
      <c r="O3456" s="2">
        <f ca="1"/>
        <v>-1.8218701207933712</v>
      </c>
      <c r="X3456" s="2">
        <f ca="1"/>
        <v>32.759522489267795</v>
      </c>
      <c r="AG3456" s="2">
        <f ca="1"/>
        <v>5.3162796427874692E-2</v>
      </c>
      <c r="AH3456" s="2" t="str">
        <f ca="1"/>
        <v>OK</v>
      </c>
    </row>
    <row r="3457" spans="2:34" x14ac:dyDescent="0.2">
      <c r="B3457" s="2">
        <f ca="1"/>
        <v>0.20392114553638518</v>
      </c>
      <c r="O3457" s="2">
        <f ca="1"/>
        <v>-0.44899297532284488</v>
      </c>
      <c r="X3457" s="2">
        <f ca="1"/>
        <v>38.993926084642354</v>
      </c>
      <c r="AG3457" s="2">
        <f ca="1"/>
        <v>0.933316846750607</v>
      </c>
      <c r="AH3457" s="2" t="str">
        <f ca="1"/>
        <v>Bad</v>
      </c>
    </row>
    <row r="3458" spans="2:34" x14ac:dyDescent="0.2">
      <c r="B3458" s="2">
        <f ca="1"/>
        <v>1.3801703331689286E-2</v>
      </c>
      <c r="O3458" s="2">
        <f ca="1"/>
        <v>0.44463738401142705</v>
      </c>
      <c r="X3458" s="2">
        <f ca="1"/>
        <v>26.059675924827346</v>
      </c>
      <c r="AG3458" s="2">
        <f ca="1"/>
        <v>0.25828363987937242</v>
      </c>
      <c r="AH3458" s="2" t="str">
        <f ca="1"/>
        <v>OK</v>
      </c>
    </row>
    <row r="3459" spans="2:34" x14ac:dyDescent="0.2">
      <c r="B3459" s="2">
        <f ca="1"/>
        <v>0.46778987719066056</v>
      </c>
      <c r="O3459" s="2">
        <f ca="1"/>
        <v>7.0996774018119921E-2</v>
      </c>
      <c r="X3459" s="2">
        <f ca="1"/>
        <v>61.420901164071097</v>
      </c>
      <c r="AG3459" s="2">
        <f ca="1"/>
        <v>0.2678696203804003</v>
      </c>
      <c r="AH3459" s="2" t="str">
        <f ca="1"/>
        <v>OK</v>
      </c>
    </row>
    <row r="3460" spans="2:34" x14ac:dyDescent="0.2">
      <c r="B3460" s="2">
        <f ca="1"/>
        <v>0.78447037110688633</v>
      </c>
      <c r="O3460" s="2">
        <f ca="1"/>
        <v>-0.13276315833647806</v>
      </c>
      <c r="X3460" s="2">
        <f ca="1"/>
        <v>36.500408363756165</v>
      </c>
      <c r="AG3460" s="2">
        <f ca="1"/>
        <v>0.61228567599972883</v>
      </c>
      <c r="AH3460" s="2" t="str">
        <f ca="1"/>
        <v>Bad</v>
      </c>
    </row>
    <row r="3461" spans="2:34" x14ac:dyDescent="0.2">
      <c r="B3461" s="2">
        <f ca="1"/>
        <v>0.35149496142618553</v>
      </c>
      <c r="O3461" s="2">
        <f ca="1"/>
        <v>1.1664581489829393</v>
      </c>
      <c r="X3461" s="2">
        <f ca="1"/>
        <v>29.426862789141687</v>
      </c>
      <c r="AG3461" s="2">
        <f ca="1"/>
        <v>0.57970974320975599</v>
      </c>
      <c r="AH3461" s="2" t="str">
        <f ca="1"/>
        <v>Bad</v>
      </c>
    </row>
    <row r="3462" spans="2:34" x14ac:dyDescent="0.2">
      <c r="B3462" s="2">
        <f ca="1"/>
        <v>0.15250695006988657</v>
      </c>
      <c r="O3462" s="2">
        <f ca="1"/>
        <v>-1.260144649081576</v>
      </c>
      <c r="X3462" s="2">
        <f ca="1"/>
        <v>23.747113630872153</v>
      </c>
      <c r="AG3462" s="2">
        <f ca="1"/>
        <v>0.27188032865293321</v>
      </c>
      <c r="AH3462" s="2" t="str">
        <f ca="1"/>
        <v>OK</v>
      </c>
    </row>
    <row r="3463" spans="2:34" x14ac:dyDescent="0.2">
      <c r="B3463" s="2">
        <f ca="1"/>
        <v>0.57121345210286179</v>
      </c>
      <c r="O3463" s="2">
        <f ca="1"/>
        <v>0.74763391373929211</v>
      </c>
      <c r="X3463" s="2">
        <f ca="1"/>
        <v>46.600983544115181</v>
      </c>
      <c r="AG3463" s="2">
        <f ca="1"/>
        <v>0.3647532851676849</v>
      </c>
      <c r="AH3463" s="2" t="str">
        <f ca="1"/>
        <v>OK</v>
      </c>
    </row>
    <row r="3464" spans="2:34" x14ac:dyDescent="0.2">
      <c r="B3464" s="2">
        <f ca="1"/>
        <v>0.47281417242003809</v>
      </c>
      <c r="O3464" s="2">
        <f ca="1"/>
        <v>0.79859669424078794</v>
      </c>
      <c r="X3464" s="2">
        <f ca="1"/>
        <v>77.623586470169727</v>
      </c>
      <c r="AG3464" s="2">
        <f ca="1"/>
        <v>0.32479098493117431</v>
      </c>
      <c r="AH3464" s="2" t="str">
        <f ca="1"/>
        <v>OK</v>
      </c>
    </row>
    <row r="3465" spans="2:34" x14ac:dyDescent="0.2">
      <c r="B3465" s="2">
        <f ca="1"/>
        <v>0.73121414908527238</v>
      </c>
      <c r="O3465" s="2">
        <f ca="1"/>
        <v>0.97750536731785553</v>
      </c>
      <c r="X3465" s="2">
        <f ca="1"/>
        <v>34.371846232564451</v>
      </c>
      <c r="AG3465" s="2">
        <f ca="1"/>
        <v>0.59404383817666306</v>
      </c>
      <c r="AH3465" s="2" t="str">
        <f ca="1"/>
        <v>Bad</v>
      </c>
    </row>
    <row r="3466" spans="2:34" x14ac:dyDescent="0.2">
      <c r="B3466" s="2">
        <f ca="1"/>
        <v>0.38489002438869147</v>
      </c>
      <c r="O3466" s="2">
        <f ca="1"/>
        <v>0.12976979928874252</v>
      </c>
      <c r="X3466" s="2">
        <f ca="1"/>
        <v>54.006152779568538</v>
      </c>
      <c r="AG3466" s="2">
        <f ca="1"/>
        <v>0.17050610525406174</v>
      </c>
      <c r="AH3466" s="2" t="str">
        <f ca="1"/>
        <v>OK</v>
      </c>
    </row>
    <row r="3467" spans="2:34" x14ac:dyDescent="0.2">
      <c r="B3467" s="2">
        <f ca="1"/>
        <v>0.24933577501250492</v>
      </c>
      <c r="O3467" s="2">
        <f ca="1"/>
        <v>0.41349997971282371</v>
      </c>
      <c r="X3467" s="2">
        <f ca="1"/>
        <v>52.155668582950092</v>
      </c>
      <c r="AG3467" s="2">
        <f ca="1"/>
        <v>0.89430744967958842</v>
      </c>
      <c r="AH3467" s="2" t="str">
        <f ca="1"/>
        <v>Bad</v>
      </c>
    </row>
    <row r="3468" spans="2:34" x14ac:dyDescent="0.2">
      <c r="B3468" s="2">
        <f ca="1"/>
        <v>3.4360666390056194E-2</v>
      </c>
      <c r="O3468" s="2">
        <f ca="1"/>
        <v>-0.48719845103293791</v>
      </c>
      <c r="X3468" s="2">
        <f ca="1"/>
        <v>39.865034331195844</v>
      </c>
      <c r="AG3468" s="2">
        <f ca="1"/>
        <v>0.89272083568643401</v>
      </c>
      <c r="AH3468" s="2" t="str">
        <f ca="1"/>
        <v>Bad</v>
      </c>
    </row>
    <row r="3469" spans="2:34" x14ac:dyDescent="0.2">
      <c r="B3469" s="2">
        <f ca="1"/>
        <v>0.12982153265634411</v>
      </c>
      <c r="O3469" s="2">
        <f ca="1"/>
        <v>-0.50465847613783921</v>
      </c>
      <c r="X3469" s="2">
        <f ca="1"/>
        <v>52.632431304502305</v>
      </c>
      <c r="AG3469" s="2">
        <f ca="1"/>
        <v>0.62621999604800505</v>
      </c>
      <c r="AH3469" s="2" t="str">
        <f ca="1"/>
        <v>Bad</v>
      </c>
    </row>
    <row r="3470" spans="2:34" x14ac:dyDescent="0.2">
      <c r="B3470" s="2">
        <f ca="1"/>
        <v>0.71224782558662092</v>
      </c>
      <c r="O3470" s="2">
        <f ca="1"/>
        <v>-1.1334129339073824</v>
      </c>
      <c r="X3470" s="2">
        <f ca="1"/>
        <v>35.250348907547696</v>
      </c>
      <c r="AG3470" s="2">
        <f ca="1"/>
        <v>0.79431506261851026</v>
      </c>
      <c r="AH3470" s="2" t="str">
        <f ca="1"/>
        <v>Bad</v>
      </c>
    </row>
    <row r="3471" spans="2:34" x14ac:dyDescent="0.2">
      <c r="B3471" s="2">
        <f ca="1"/>
        <v>0.10423780179343534</v>
      </c>
      <c r="O3471" s="2">
        <f ca="1"/>
        <v>-1.1361864087194693</v>
      </c>
      <c r="X3471" s="2">
        <f ca="1"/>
        <v>54.173671152772151</v>
      </c>
      <c r="AG3471" s="2">
        <f ca="1"/>
        <v>7.4191648007197575E-2</v>
      </c>
      <c r="AH3471" s="2" t="str">
        <f ca="1"/>
        <v>OK</v>
      </c>
    </row>
    <row r="3472" spans="2:34" x14ac:dyDescent="0.2">
      <c r="B3472" s="2">
        <f ca="1"/>
        <v>7.6850903211738819E-2</v>
      </c>
      <c r="O3472" s="2">
        <f ca="1"/>
        <v>0.23338098902350121</v>
      </c>
      <c r="X3472" s="2">
        <f ca="1"/>
        <v>29.612514391598683</v>
      </c>
      <c r="AG3472" s="2">
        <f ca="1"/>
        <v>0.526259621445343</v>
      </c>
      <c r="AH3472" s="2" t="str">
        <f ca="1"/>
        <v>Bad</v>
      </c>
    </row>
    <row r="3473" spans="2:34" x14ac:dyDescent="0.2">
      <c r="B3473" s="2">
        <f ca="1"/>
        <v>0.72893791590535062</v>
      </c>
      <c r="O3473" s="2">
        <f ca="1"/>
        <v>1.3010949716774731</v>
      </c>
      <c r="X3473" s="2">
        <f ca="1"/>
        <v>28.999302302277542</v>
      </c>
      <c r="AG3473" s="2">
        <f ca="1"/>
        <v>0.19003336489425871</v>
      </c>
      <c r="AH3473" s="2" t="str">
        <f ca="1"/>
        <v>OK</v>
      </c>
    </row>
    <row r="3474" spans="2:34" x14ac:dyDescent="0.2">
      <c r="B3474" s="2">
        <f ca="1"/>
        <v>0.22789841688429924</v>
      </c>
      <c r="O3474" s="2">
        <f ca="1"/>
        <v>-0.39718701026861786</v>
      </c>
      <c r="X3474" s="2">
        <f ca="1"/>
        <v>58.275054300528417</v>
      </c>
      <c r="AG3474" s="2">
        <f ca="1"/>
        <v>0.93177512464683465</v>
      </c>
      <c r="AH3474" s="2" t="str">
        <f ca="1"/>
        <v>Bad</v>
      </c>
    </row>
    <row r="3475" spans="2:34" x14ac:dyDescent="0.2">
      <c r="B3475" s="2">
        <f ca="1"/>
        <v>7.4998538992852026E-2</v>
      </c>
      <c r="O3475" s="2">
        <f ca="1"/>
        <v>-0.50257097454323918</v>
      </c>
      <c r="X3475" s="2">
        <f ca="1"/>
        <v>52.398408624083231</v>
      </c>
      <c r="AG3475" s="2">
        <f ca="1"/>
        <v>0.4964545472136519</v>
      </c>
      <c r="AH3475" s="2" t="str">
        <f ca="1"/>
        <v>Bad</v>
      </c>
    </row>
    <row r="3476" spans="2:34" x14ac:dyDescent="0.2">
      <c r="B3476" s="2">
        <f ca="1"/>
        <v>0.7831445315588772</v>
      </c>
      <c r="O3476" s="2">
        <f ca="1"/>
        <v>-1.7472694678615042</v>
      </c>
      <c r="X3476" s="2">
        <f ca="1"/>
        <v>34.576347221352719</v>
      </c>
      <c r="AG3476" s="2">
        <f ca="1"/>
        <v>0.93234587387391143</v>
      </c>
      <c r="AH3476" s="2" t="str">
        <f ca="1"/>
        <v>Bad</v>
      </c>
    </row>
    <row r="3477" spans="2:34" x14ac:dyDescent="0.2">
      <c r="B3477" s="2">
        <f ca="1"/>
        <v>2.8303965136721398E-2</v>
      </c>
      <c r="O3477" s="2">
        <f ca="1"/>
        <v>1.3854059431788763</v>
      </c>
      <c r="X3477" s="2">
        <f ca="1"/>
        <v>28.973681649473441</v>
      </c>
      <c r="AG3477" s="2">
        <f ca="1"/>
        <v>0.29112752678296405</v>
      </c>
      <c r="AH3477" s="2" t="str">
        <f ca="1"/>
        <v>OK</v>
      </c>
    </row>
    <row r="3478" spans="2:34" x14ac:dyDescent="0.2">
      <c r="B3478" s="2">
        <f ca="1"/>
        <v>0.60278112513162907</v>
      </c>
      <c r="O3478" s="2">
        <f ca="1"/>
        <v>0.21057035000204183</v>
      </c>
      <c r="X3478" s="2">
        <f ca="1"/>
        <v>27.256624323745037</v>
      </c>
      <c r="AG3478" s="2">
        <f ca="1"/>
        <v>0.8208199151018809</v>
      </c>
      <c r="AH3478" s="2" t="str">
        <f ca="1"/>
        <v>Bad</v>
      </c>
    </row>
    <row r="3479" spans="2:34" x14ac:dyDescent="0.2">
      <c r="B3479" s="2">
        <f ca="1"/>
        <v>6.6844433623924893E-2</v>
      </c>
      <c r="O3479" s="2">
        <f ca="1"/>
        <v>0.21476097719351583</v>
      </c>
      <c r="X3479" s="2">
        <f ca="1"/>
        <v>74.073603064465175</v>
      </c>
      <c r="AG3479" s="2">
        <f ca="1"/>
        <v>0.46152934959266667</v>
      </c>
      <c r="AH3479" s="2" t="str">
        <f ca="1"/>
        <v>Bad</v>
      </c>
    </row>
    <row r="3480" spans="2:34" x14ac:dyDescent="0.2">
      <c r="B3480" s="2">
        <f ca="1"/>
        <v>0.65858771435126462</v>
      </c>
      <c r="O3480" s="2">
        <f ca="1"/>
        <v>0.71663744948453934</v>
      </c>
      <c r="X3480" s="2">
        <f ca="1"/>
        <v>21.667689345842419</v>
      </c>
      <c r="AG3480" s="2">
        <f ca="1"/>
        <v>0.69437569710669234</v>
      </c>
      <c r="AH3480" s="2" t="str">
        <f ca="1"/>
        <v>Bad</v>
      </c>
    </row>
    <row r="3481" spans="2:34" x14ac:dyDescent="0.2">
      <c r="B3481" s="2">
        <f ca="1"/>
        <v>0.73070569395938789</v>
      </c>
      <c r="O3481" s="2">
        <f ca="1"/>
        <v>0.7128606037761166</v>
      </c>
      <c r="X3481" s="2">
        <f ca="1"/>
        <v>35.953783114862752</v>
      </c>
      <c r="AG3481" s="2">
        <f ca="1"/>
        <v>0.33885117150773825</v>
      </c>
      <c r="AH3481" s="2" t="str">
        <f ca="1"/>
        <v>OK</v>
      </c>
    </row>
    <row r="3482" spans="2:34" x14ac:dyDescent="0.2">
      <c r="B3482" s="2">
        <f ca="1"/>
        <v>0.88626011890966838</v>
      </c>
      <c r="O3482" s="2">
        <f ca="1"/>
        <v>-1.3472257646282146</v>
      </c>
      <c r="X3482" s="2">
        <f ca="1"/>
        <v>52.541539165603261</v>
      </c>
      <c r="AG3482" s="2">
        <f ca="1"/>
        <v>0.83863139639782092</v>
      </c>
      <c r="AH3482" s="2" t="str">
        <f ca="1"/>
        <v>Bad</v>
      </c>
    </row>
    <row r="3483" spans="2:34" x14ac:dyDescent="0.2">
      <c r="B3483" s="2">
        <f ca="1"/>
        <v>8.0599832699814966E-2</v>
      </c>
      <c r="O3483" s="2">
        <f ca="1"/>
        <v>-0.86177156697906854</v>
      </c>
      <c r="X3483" s="2">
        <f ca="1"/>
        <v>45.111294150994567</v>
      </c>
      <c r="AG3483" s="2">
        <f ca="1"/>
        <v>0.18253398252666031</v>
      </c>
      <c r="AH3483" s="2" t="str">
        <f ca="1"/>
        <v>OK</v>
      </c>
    </row>
    <row r="3484" spans="2:34" x14ac:dyDescent="0.2">
      <c r="B3484" s="2">
        <f ca="1"/>
        <v>0.28785748120561871</v>
      </c>
      <c r="O3484" s="2">
        <f ca="1"/>
        <v>1.0262623494985992</v>
      </c>
      <c r="X3484" s="2">
        <f ca="1"/>
        <v>24.04461542320022</v>
      </c>
      <c r="AG3484" s="2">
        <f ca="1"/>
        <v>0.49782545943559353</v>
      </c>
      <c r="AH3484" s="2" t="str">
        <f ca="1"/>
        <v>Bad</v>
      </c>
    </row>
    <row r="3485" spans="2:34" x14ac:dyDescent="0.2">
      <c r="B3485" s="2">
        <f ca="1"/>
        <v>0.58344910458441901</v>
      </c>
      <c r="O3485" s="2">
        <f ca="1"/>
        <v>-0.50009437446110139</v>
      </c>
      <c r="X3485" s="2">
        <f ca="1"/>
        <v>38.858318079982418</v>
      </c>
      <c r="AG3485" s="2">
        <f ca="1"/>
        <v>0.90439104198671094</v>
      </c>
      <c r="AH3485" s="2" t="str">
        <f ca="1"/>
        <v>Bad</v>
      </c>
    </row>
    <row r="3486" spans="2:34" x14ac:dyDescent="0.2">
      <c r="B3486" s="2">
        <f ca="1"/>
        <v>0.62636294948329918</v>
      </c>
      <c r="O3486" s="2">
        <f ca="1"/>
        <v>-0.43623017276003706</v>
      </c>
      <c r="X3486" s="2">
        <f ca="1"/>
        <v>47.691995427353646</v>
      </c>
      <c r="AG3486" s="2">
        <f ca="1"/>
        <v>0.1696503681025352</v>
      </c>
      <c r="AH3486" s="2" t="str">
        <f ca="1"/>
        <v>OK</v>
      </c>
    </row>
    <row r="3487" spans="2:34" x14ac:dyDescent="0.2">
      <c r="B3487" s="2">
        <f ca="1"/>
        <v>0.33025863116118881</v>
      </c>
      <c r="O3487" s="2">
        <f ca="1"/>
        <v>-0.18695807582704782</v>
      </c>
      <c r="X3487" s="2">
        <f ca="1"/>
        <v>61.754490830482254</v>
      </c>
      <c r="AG3487" s="2">
        <f ca="1"/>
        <v>0.7558447632102212</v>
      </c>
      <c r="AH3487" s="2" t="str">
        <f ca="1"/>
        <v>Bad</v>
      </c>
    </row>
    <row r="3488" spans="2:34" x14ac:dyDescent="0.2">
      <c r="B3488" s="2">
        <f ca="1"/>
        <v>0.7911155452673222</v>
      </c>
      <c r="O3488" s="2">
        <f ca="1"/>
        <v>-0.73967491529582718</v>
      </c>
      <c r="X3488" s="2">
        <f ca="1"/>
        <v>22.309334811858999</v>
      </c>
      <c r="AG3488" s="2">
        <f ca="1"/>
        <v>0.19667083869395707</v>
      </c>
      <c r="AH3488" s="2" t="str">
        <f ca="1"/>
        <v>OK</v>
      </c>
    </row>
    <row r="3489" spans="2:34" x14ac:dyDescent="0.2">
      <c r="B3489" s="2">
        <f ca="1"/>
        <v>0.96242960453491921</v>
      </c>
      <c r="O3489" s="2">
        <f ca="1"/>
        <v>0.65201707066134285</v>
      </c>
      <c r="X3489" s="2">
        <f ca="1"/>
        <v>37.643114395989755</v>
      </c>
      <c r="AG3489" s="2">
        <f ca="1"/>
        <v>0.36290663262921985</v>
      </c>
      <c r="AH3489" s="2" t="str">
        <f ca="1"/>
        <v>OK</v>
      </c>
    </row>
    <row r="3490" spans="2:34" x14ac:dyDescent="0.2">
      <c r="B3490" s="2">
        <f ca="1"/>
        <v>0.11068381383080617</v>
      </c>
      <c r="O3490" s="2">
        <f ca="1"/>
        <v>-0.3530548296394162</v>
      </c>
      <c r="X3490" s="2">
        <f ca="1"/>
        <v>51.347940763441791</v>
      </c>
      <c r="AG3490" s="2">
        <f ca="1"/>
        <v>0.79488478575648758</v>
      </c>
      <c r="AH3490" s="2" t="str">
        <f ca="1"/>
        <v>Bad</v>
      </c>
    </row>
    <row r="3491" spans="2:34" x14ac:dyDescent="0.2">
      <c r="B3491" s="2">
        <f ca="1"/>
        <v>0.8060044434667506</v>
      </c>
      <c r="O3491" s="2">
        <f ca="1"/>
        <v>-0.26035496190077967</v>
      </c>
      <c r="X3491" s="2">
        <f ca="1"/>
        <v>31.479923594350062</v>
      </c>
      <c r="AG3491" s="2">
        <f ca="1"/>
        <v>0.21907126158936174</v>
      </c>
      <c r="AH3491" s="2" t="str">
        <f ca="1"/>
        <v>OK</v>
      </c>
    </row>
    <row r="3492" spans="2:34" x14ac:dyDescent="0.2">
      <c r="B3492" s="2">
        <f ca="1"/>
        <v>3.8920524876979945E-2</v>
      </c>
      <c r="O3492" s="2">
        <f ca="1"/>
        <v>-0.15587757944855996</v>
      </c>
      <c r="X3492" s="2">
        <f ca="1"/>
        <v>58.251346398482141</v>
      </c>
      <c r="AG3492" s="2">
        <f ca="1"/>
        <v>0.13692775021438042</v>
      </c>
      <c r="AH3492" s="2" t="str">
        <f ca="1"/>
        <v>OK</v>
      </c>
    </row>
    <row r="3493" spans="2:34" x14ac:dyDescent="0.2">
      <c r="B3493" s="2">
        <f ca="1"/>
        <v>0.44460336629234476</v>
      </c>
      <c r="O3493" s="2">
        <f ca="1"/>
        <v>-0.98654689775394777</v>
      </c>
      <c r="X3493" s="2">
        <f ca="1"/>
        <v>43.510959740971344</v>
      </c>
      <c r="AG3493" s="2">
        <f ca="1"/>
        <v>0.34669631010527602</v>
      </c>
      <c r="AH3493" s="2" t="str">
        <f ca="1"/>
        <v>OK</v>
      </c>
    </row>
    <row r="3494" spans="2:34" x14ac:dyDescent="0.2">
      <c r="B3494" s="2">
        <f ca="1"/>
        <v>0.18719408697257167</v>
      </c>
      <c r="O3494" s="2">
        <f ca="1"/>
        <v>-0.50227181775438512</v>
      </c>
      <c r="X3494" s="2">
        <f ca="1"/>
        <v>36.18810871684407</v>
      </c>
      <c r="AG3494" s="2">
        <f ca="1"/>
        <v>0.51635636619257297</v>
      </c>
      <c r="AH3494" s="2" t="str">
        <f ca="1"/>
        <v>Bad</v>
      </c>
    </row>
    <row r="3495" spans="2:34" x14ac:dyDescent="0.2">
      <c r="B3495" s="2">
        <f ca="1"/>
        <v>0.86041322269037335</v>
      </c>
      <c r="O3495" s="2">
        <f ca="1"/>
        <v>-0.80218606906051071</v>
      </c>
      <c r="X3495" s="2">
        <f ca="1"/>
        <v>48.461247914044804</v>
      </c>
      <c r="AG3495" s="2">
        <f ca="1"/>
        <v>0.29633473694819923</v>
      </c>
      <c r="AH3495" s="2" t="str">
        <f ca="1"/>
        <v>OK</v>
      </c>
    </row>
    <row r="3496" spans="2:34" x14ac:dyDescent="0.2">
      <c r="B3496" s="2">
        <f ca="1"/>
        <v>0.56518455290334746</v>
      </c>
      <c r="O3496" s="2">
        <f ca="1"/>
        <v>-0.71404612470395068</v>
      </c>
      <c r="X3496" s="2">
        <f ca="1"/>
        <v>81.665813403607473</v>
      </c>
      <c r="AG3496" s="2">
        <f ca="1"/>
        <v>0.52045579608750381</v>
      </c>
      <c r="AH3496" s="2" t="str">
        <f ca="1"/>
        <v>Bad</v>
      </c>
    </row>
    <row r="3497" spans="2:34" x14ac:dyDescent="0.2">
      <c r="B3497" s="2">
        <f ca="1"/>
        <v>0.13599149879258654</v>
      </c>
      <c r="O3497" s="2">
        <f ca="1"/>
        <v>0.26550542153177115</v>
      </c>
      <c r="X3497" s="2">
        <f ca="1"/>
        <v>59.508275901270096</v>
      </c>
      <c r="AG3497" s="2">
        <f ca="1"/>
        <v>0.42022990342800881</v>
      </c>
      <c r="AH3497" s="2" t="str">
        <f ca="1"/>
        <v>Bad</v>
      </c>
    </row>
    <row r="3498" spans="2:34" x14ac:dyDescent="0.2">
      <c r="B3498" s="2">
        <f ca="1"/>
        <v>4.0497523336579633E-2</v>
      </c>
      <c r="O3498" s="2">
        <f ca="1"/>
        <v>0.22424267769088693</v>
      </c>
      <c r="X3498" s="2">
        <f ca="1"/>
        <v>57.824745357129288</v>
      </c>
      <c r="AG3498" s="2">
        <f ca="1"/>
        <v>2.54190545725268E-2</v>
      </c>
      <c r="AH3498" s="2" t="str">
        <f ca="1"/>
        <v>Good</v>
      </c>
    </row>
    <row r="3499" spans="2:34" x14ac:dyDescent="0.2">
      <c r="B3499" s="2">
        <f ca="1"/>
        <v>0.21916613675712693</v>
      </c>
      <c r="O3499" s="2">
        <f ca="1"/>
        <v>-0.26377123699071264</v>
      </c>
      <c r="X3499" s="2">
        <f ca="1"/>
        <v>64.816085762527592</v>
      </c>
      <c r="AG3499" s="2">
        <f ca="1"/>
        <v>0.45453789167126124</v>
      </c>
      <c r="AH3499" s="2" t="str">
        <f ca="1"/>
        <v>Bad</v>
      </c>
    </row>
    <row r="3500" spans="2:34" x14ac:dyDescent="0.2">
      <c r="B3500" s="2">
        <f ca="1"/>
        <v>0.22012254758591432</v>
      </c>
      <c r="O3500" s="2">
        <f ca="1"/>
        <v>-0.67958828025851892</v>
      </c>
      <c r="X3500" s="2">
        <f ca="1"/>
        <v>50.185226043554607</v>
      </c>
      <c r="AG3500" s="2">
        <f ca="1"/>
        <v>3.3837242213698993E-2</v>
      </c>
      <c r="AH3500" s="2" t="str">
        <f ca="1"/>
        <v>Good</v>
      </c>
    </row>
    <row r="3501" spans="2:34" x14ac:dyDescent="0.2">
      <c r="B3501" s="2">
        <f ca="1"/>
        <v>0.11723595120753516</v>
      </c>
      <c r="O3501" s="2">
        <f ca="1"/>
        <v>2.1141622829076128</v>
      </c>
      <c r="X3501" s="2">
        <f ca="1"/>
        <v>74.065113201023706</v>
      </c>
      <c r="AG3501" s="2">
        <f ca="1"/>
        <v>0.15440724432891462</v>
      </c>
      <c r="AH3501" s="2" t="str">
        <f ca="1"/>
        <v>OK</v>
      </c>
    </row>
    <row r="3502" spans="2:34" x14ac:dyDescent="0.2">
      <c r="B3502" s="2">
        <f ca="1"/>
        <v>0.78062266191272389</v>
      </c>
      <c r="O3502" s="2">
        <f ca="1"/>
        <v>7.5215172076213782E-2</v>
      </c>
      <c r="X3502" s="2">
        <f ca="1"/>
        <v>63.3156368226105</v>
      </c>
      <c r="AG3502" s="2">
        <f ca="1"/>
        <v>0.65186911929793734</v>
      </c>
      <c r="AH3502" s="2" t="str">
        <f ca="1"/>
        <v>Bad</v>
      </c>
    </row>
    <row r="3503" spans="2:34" x14ac:dyDescent="0.2">
      <c r="B3503" s="2">
        <f ca="1"/>
        <v>0.86483491659848966</v>
      </c>
      <c r="O3503" s="2">
        <f ca="1"/>
        <v>-0.31795892893046385</v>
      </c>
      <c r="X3503" s="2">
        <f ca="1"/>
        <v>62.087935768331008</v>
      </c>
      <c r="AG3503" s="2">
        <f ca="1"/>
        <v>0.83247118664865294</v>
      </c>
      <c r="AH3503" s="2" t="str">
        <f ca="1"/>
        <v>Bad</v>
      </c>
    </row>
    <row r="3504" spans="2:34" x14ac:dyDescent="0.2">
      <c r="B3504" s="2">
        <f ca="1"/>
        <v>0.93844157889685675</v>
      </c>
      <c r="O3504" s="2">
        <f ca="1"/>
        <v>-0.17847233149931099</v>
      </c>
      <c r="X3504" s="2">
        <f ca="1"/>
        <v>91.504172264107297</v>
      </c>
      <c r="AG3504" s="2">
        <f ca="1"/>
        <v>5.8315183212154231E-2</v>
      </c>
      <c r="AH3504" s="2" t="str">
        <f ca="1"/>
        <v>OK</v>
      </c>
    </row>
    <row r="3505" spans="2:34" x14ac:dyDescent="0.2">
      <c r="B3505" s="2">
        <f ca="1"/>
        <v>0.93844432853060389</v>
      </c>
      <c r="O3505" s="2">
        <f ca="1"/>
        <v>0.59568912695619758</v>
      </c>
      <c r="X3505" s="2">
        <f ca="1"/>
        <v>41.540940963577953</v>
      </c>
      <c r="AG3505" s="2">
        <f ca="1"/>
        <v>0.28139785614552126</v>
      </c>
      <c r="AH3505" s="2" t="str">
        <f ca="1"/>
        <v>OK</v>
      </c>
    </row>
    <row r="3506" spans="2:34" x14ac:dyDescent="0.2">
      <c r="B3506" s="2">
        <f ca="1"/>
        <v>0.71748426206811611</v>
      </c>
      <c r="O3506" s="2">
        <f ca="1"/>
        <v>-0.42572581378252777</v>
      </c>
      <c r="X3506" s="2">
        <f ca="1"/>
        <v>51.080686654368826</v>
      </c>
      <c r="AG3506" s="2">
        <f ca="1"/>
        <v>0.76066903501149929</v>
      </c>
      <c r="AH3506" s="2" t="str">
        <f ca="1"/>
        <v>Bad</v>
      </c>
    </row>
    <row r="3507" spans="2:34" x14ac:dyDescent="0.2">
      <c r="B3507" s="2">
        <f ca="1"/>
        <v>0.42696177877725283</v>
      </c>
      <c r="O3507" s="2">
        <f ca="1"/>
        <v>-0.55141951756518381</v>
      </c>
      <c r="X3507" s="2">
        <f ca="1"/>
        <v>52.428007300782667</v>
      </c>
      <c r="AG3507" s="2">
        <f ca="1"/>
        <v>0.17845723382387946</v>
      </c>
      <c r="AH3507" s="2" t="str">
        <f ca="1"/>
        <v>OK</v>
      </c>
    </row>
    <row r="3508" spans="2:34" x14ac:dyDescent="0.2">
      <c r="B3508" s="2">
        <f ca="1"/>
        <v>0.94568045048471783</v>
      </c>
      <c r="O3508" s="2">
        <f ca="1"/>
        <v>-1.384933623341092</v>
      </c>
      <c r="X3508" s="2">
        <f ca="1"/>
        <v>34.706210469380238</v>
      </c>
      <c r="AG3508" s="2">
        <f ca="1"/>
        <v>0.40712132027296488</v>
      </c>
      <c r="AH3508" s="2" t="str">
        <f ca="1"/>
        <v>Bad</v>
      </c>
    </row>
    <row r="3509" spans="2:34" x14ac:dyDescent="0.2">
      <c r="B3509" s="2">
        <f ca="1"/>
        <v>0.80353368332007635</v>
      </c>
      <c r="O3509" s="2">
        <f ca="1"/>
        <v>1.6481250772198426</v>
      </c>
      <c r="X3509" s="2">
        <f ca="1"/>
        <v>30.411935862794376</v>
      </c>
      <c r="AG3509" s="2">
        <f ca="1"/>
        <v>0.83801115165899698</v>
      </c>
      <c r="AH3509" s="2" t="str">
        <f ca="1"/>
        <v>Bad</v>
      </c>
    </row>
    <row r="3510" spans="2:34" x14ac:dyDescent="0.2">
      <c r="B3510" s="2">
        <f ca="1"/>
        <v>0.99660131030404209</v>
      </c>
      <c r="O3510" s="2">
        <f ca="1"/>
        <v>0.36641021617962827</v>
      </c>
      <c r="X3510" s="2">
        <f ca="1"/>
        <v>55.413341048465519</v>
      </c>
      <c r="AG3510" s="2">
        <f ca="1"/>
        <v>0.27324277702892563</v>
      </c>
      <c r="AH3510" s="2" t="str">
        <f ca="1"/>
        <v>OK</v>
      </c>
    </row>
    <row r="3511" spans="2:34" x14ac:dyDescent="0.2">
      <c r="B3511" s="2">
        <f ca="1"/>
        <v>0.66291778980717342</v>
      </c>
      <c r="O3511" s="2">
        <f ca="1"/>
        <v>-0.64085314344749911</v>
      </c>
      <c r="X3511" s="2">
        <f ca="1"/>
        <v>69.633154136719085</v>
      </c>
      <c r="AG3511" s="2">
        <f ca="1"/>
        <v>6.0379798806126539E-2</v>
      </c>
      <c r="AH3511" s="2" t="str">
        <f ca="1"/>
        <v>OK</v>
      </c>
    </row>
    <row r="3512" spans="2:34" x14ac:dyDescent="0.2">
      <c r="B3512" s="2">
        <f ca="1"/>
        <v>0.97002608398746926</v>
      </c>
      <c r="O3512" s="2">
        <f ca="1"/>
        <v>0.44134498845356912</v>
      </c>
      <c r="X3512" s="2">
        <f ca="1"/>
        <v>47.365792730208312</v>
      </c>
      <c r="AG3512" s="2">
        <f ca="1"/>
        <v>0.32848131062042696</v>
      </c>
      <c r="AH3512" s="2" t="str">
        <f ca="1"/>
        <v>OK</v>
      </c>
    </row>
    <row r="3513" spans="2:34" x14ac:dyDescent="0.2">
      <c r="B3513" s="2">
        <f ca="1"/>
        <v>3.5178231550301975E-2</v>
      </c>
      <c r="O3513" s="2">
        <f ca="1"/>
        <v>-0.32877937601577956</v>
      </c>
      <c r="X3513" s="2">
        <f ca="1"/>
        <v>57.674665504275367</v>
      </c>
      <c r="AG3513" s="2">
        <f ca="1"/>
        <v>0.36638908847617624</v>
      </c>
      <c r="AH3513" s="2" t="str">
        <f ca="1"/>
        <v>OK</v>
      </c>
    </row>
    <row r="3514" spans="2:34" x14ac:dyDescent="0.2">
      <c r="B3514" s="2">
        <f ca="1"/>
        <v>0.86098552279435725</v>
      </c>
      <c r="O3514" s="2">
        <f ca="1"/>
        <v>0.10581906644551303</v>
      </c>
      <c r="X3514" s="2">
        <f ca="1"/>
        <v>72.660598437549908</v>
      </c>
      <c r="AG3514" s="2">
        <f ca="1"/>
        <v>7.7676697647472537E-2</v>
      </c>
      <c r="AH3514" s="2" t="str">
        <f ca="1"/>
        <v>OK</v>
      </c>
    </row>
    <row r="3515" spans="2:34" x14ac:dyDescent="0.2">
      <c r="B3515" s="2">
        <f ca="1"/>
        <v>0.14411789775919281</v>
      </c>
      <c r="O3515" s="2">
        <f ca="1"/>
        <v>-0.37363654429246257</v>
      </c>
      <c r="X3515" s="2">
        <f ca="1"/>
        <v>53.752668374020573</v>
      </c>
      <c r="AG3515" s="2">
        <f ca="1"/>
        <v>0.74377278307547501</v>
      </c>
      <c r="AH3515" s="2" t="str">
        <f ca="1"/>
        <v>Bad</v>
      </c>
    </row>
    <row r="3516" spans="2:34" x14ac:dyDescent="0.2">
      <c r="B3516" s="2">
        <f ca="1"/>
        <v>0.20783425323748395</v>
      </c>
      <c r="O3516" s="2">
        <f ca="1"/>
        <v>1.1258819463655521</v>
      </c>
      <c r="X3516" s="2">
        <f ca="1"/>
        <v>81.333186499300695</v>
      </c>
      <c r="AG3516" s="2">
        <f ca="1"/>
        <v>0.87789557224642811</v>
      </c>
      <c r="AH3516" s="2" t="str">
        <f ca="1"/>
        <v>Bad</v>
      </c>
    </row>
    <row r="3517" spans="2:34" x14ac:dyDescent="0.2">
      <c r="B3517" s="2">
        <f ca="1"/>
        <v>0.88948211045854864</v>
      </c>
      <c r="O3517" s="2">
        <f ca="1"/>
        <v>1.5094123982899119</v>
      </c>
      <c r="X3517" s="2">
        <f ca="1"/>
        <v>51.651648447138257</v>
      </c>
      <c r="AG3517" s="2">
        <f ca="1"/>
        <v>0.71918787413301866</v>
      </c>
      <c r="AH3517" s="2" t="str">
        <f ca="1"/>
        <v>Bad</v>
      </c>
    </row>
    <row r="3518" spans="2:34" x14ac:dyDescent="0.2">
      <c r="B3518" s="2">
        <f ca="1"/>
        <v>0.66845101256463346</v>
      </c>
      <c r="O3518" s="2">
        <f ca="1"/>
        <v>1.2558809034901515</v>
      </c>
      <c r="X3518" s="2">
        <f ca="1"/>
        <v>46.065553361837424</v>
      </c>
      <c r="AG3518" s="2">
        <f ca="1"/>
        <v>0.87439865071137479</v>
      </c>
      <c r="AH3518" s="2" t="str">
        <f ca="1"/>
        <v>Bad</v>
      </c>
    </row>
    <row r="3519" spans="2:34" x14ac:dyDescent="0.2">
      <c r="B3519" s="2">
        <f ca="1"/>
        <v>0.46770368030123932</v>
      </c>
      <c r="O3519" s="2">
        <f ca="1"/>
        <v>-0.6743201768912197</v>
      </c>
      <c r="X3519" s="2">
        <f ca="1"/>
        <v>29.65877498710654</v>
      </c>
      <c r="AG3519" s="2">
        <f ca="1"/>
        <v>0.69431208485502371</v>
      </c>
      <c r="AH3519" s="2" t="str">
        <f ca="1"/>
        <v>Bad</v>
      </c>
    </row>
    <row r="3520" spans="2:34" x14ac:dyDescent="0.2">
      <c r="B3520" s="2">
        <f ca="1"/>
        <v>0.30111633063139864</v>
      </c>
      <c r="O3520" s="2">
        <f ca="1"/>
        <v>0.20771026860201861</v>
      </c>
      <c r="X3520" s="2">
        <f ca="1"/>
        <v>57.484796745589733</v>
      </c>
      <c r="AG3520" s="2">
        <f ca="1"/>
        <v>0.43483147071160144</v>
      </c>
      <c r="AH3520" s="2" t="str">
        <f ca="1"/>
        <v>Bad</v>
      </c>
    </row>
    <row r="3521" spans="2:34" x14ac:dyDescent="0.2">
      <c r="B3521" s="2">
        <f ca="1"/>
        <v>0.21078066995057965</v>
      </c>
      <c r="O3521" s="2">
        <f ca="1"/>
        <v>-0.67698851301599205</v>
      </c>
      <c r="X3521" s="2">
        <f ca="1"/>
        <v>28.66160180697716</v>
      </c>
      <c r="AG3521" s="2">
        <f ca="1"/>
        <v>8.7880545351872952E-2</v>
      </c>
      <c r="AH3521" s="2" t="str">
        <f ca="1"/>
        <v>OK</v>
      </c>
    </row>
    <row r="3522" spans="2:34" x14ac:dyDescent="0.2">
      <c r="B3522" s="2">
        <f ca="1"/>
        <v>0.81684418964705952</v>
      </c>
      <c r="O3522" s="2">
        <f ca="1"/>
        <v>0.66778297109405749</v>
      </c>
      <c r="X3522" s="2">
        <f ca="1"/>
        <v>42.771693936088411</v>
      </c>
      <c r="AG3522" s="2">
        <f ca="1"/>
        <v>0.93381670558260721</v>
      </c>
      <c r="AH3522" s="2" t="str">
        <f ca="1"/>
        <v>Bad</v>
      </c>
    </row>
    <row r="3523" spans="2:34" x14ac:dyDescent="0.2">
      <c r="B3523" s="2">
        <f ca="1"/>
        <v>0.17953223465462842</v>
      </c>
      <c r="O3523" s="2">
        <f ca="1"/>
        <v>-1.4825052029547499</v>
      </c>
      <c r="X3523" s="2">
        <f ca="1"/>
        <v>50.974113813569119</v>
      </c>
      <c r="AG3523" s="2">
        <f ca="1"/>
        <v>0.12334196272219944</v>
      </c>
      <c r="AH3523" s="2" t="str">
        <f ca="1"/>
        <v>OK</v>
      </c>
    </row>
    <row r="3524" spans="2:34" x14ac:dyDescent="0.2">
      <c r="B3524" s="2">
        <f ca="1"/>
        <v>0.12928764799416914</v>
      </c>
      <c r="O3524" s="2">
        <f ca="1"/>
        <v>0.22085648360574828</v>
      </c>
      <c r="X3524" s="2">
        <f ca="1"/>
        <v>54.012693399933326</v>
      </c>
      <c r="AG3524" s="2">
        <f ca="1"/>
        <v>0.50739830388043194</v>
      </c>
      <c r="AH3524" s="2" t="str">
        <f ca="1"/>
        <v>Bad</v>
      </c>
    </row>
    <row r="3525" spans="2:34" x14ac:dyDescent="0.2">
      <c r="B3525" s="2">
        <f ca="1"/>
        <v>0.37207134409242548</v>
      </c>
      <c r="O3525" s="2">
        <f ca="1"/>
        <v>0.62482191438990198</v>
      </c>
      <c r="X3525" s="2">
        <f ca="1"/>
        <v>49.675574702139457</v>
      </c>
      <c r="AG3525" s="2">
        <f ca="1"/>
        <v>0.90646328369883178</v>
      </c>
      <c r="AH3525" s="2" t="str">
        <f ca="1"/>
        <v>Bad</v>
      </c>
    </row>
    <row r="3526" spans="2:34" x14ac:dyDescent="0.2">
      <c r="B3526" s="2">
        <f ca="1"/>
        <v>0.47404892574574498</v>
      </c>
      <c r="O3526" s="2">
        <f ca="1"/>
        <v>-1.0486714389920375</v>
      </c>
      <c r="X3526" s="2">
        <f ca="1"/>
        <v>42.740135868672759</v>
      </c>
      <c r="AG3526" s="2">
        <f ca="1"/>
        <v>0.18942511325476796</v>
      </c>
      <c r="AH3526" s="2" t="str">
        <f ca="1"/>
        <v>OK</v>
      </c>
    </row>
    <row r="3527" spans="2:34" x14ac:dyDescent="0.2">
      <c r="B3527" s="2">
        <f ca="1"/>
        <v>0.32060486170937463</v>
      </c>
      <c r="O3527" s="2">
        <f ca="1"/>
        <v>0.23077355213169393</v>
      </c>
      <c r="X3527" s="2">
        <f ca="1"/>
        <v>46.664248217038029</v>
      </c>
      <c r="AG3527" s="2">
        <f ca="1"/>
        <v>0.57638166256213608</v>
      </c>
      <c r="AH3527" s="2" t="str">
        <f ca="1"/>
        <v>Bad</v>
      </c>
    </row>
    <row r="3528" spans="2:34" x14ac:dyDescent="0.2">
      <c r="B3528" s="2">
        <f ca="1"/>
        <v>0.76678872519114116</v>
      </c>
      <c r="O3528" s="2">
        <f ca="1"/>
        <v>0.98070251194020241</v>
      </c>
      <c r="X3528" s="2">
        <f ca="1"/>
        <v>21.920651019912452</v>
      </c>
      <c r="AG3528" s="2">
        <f ca="1"/>
        <v>0.66881100958392836</v>
      </c>
      <c r="AH3528" s="2" t="str">
        <f ca="1"/>
        <v>Bad</v>
      </c>
    </row>
    <row r="3529" spans="2:34" x14ac:dyDescent="0.2">
      <c r="B3529" s="2">
        <f ca="1"/>
        <v>0.55363515875020353</v>
      </c>
      <c r="O3529" s="2">
        <f ca="1"/>
        <v>1.0263237267859904</v>
      </c>
      <c r="X3529" s="2">
        <f ca="1"/>
        <v>64.065813231062975</v>
      </c>
      <c r="AG3529" s="2">
        <f ca="1"/>
        <v>0.50051384952845757</v>
      </c>
      <c r="AH3529" s="2" t="str">
        <f ca="1"/>
        <v>Bad</v>
      </c>
    </row>
    <row r="3530" spans="2:34" x14ac:dyDescent="0.2">
      <c r="B3530" s="2">
        <f ca="1"/>
        <v>0.781395400753923</v>
      </c>
      <c r="O3530" s="2">
        <f ca="1"/>
        <v>0.7102266378666211</v>
      </c>
      <c r="X3530" s="2">
        <f ca="1"/>
        <v>48.409517203526875</v>
      </c>
      <c r="AG3530" s="2">
        <f ca="1"/>
        <v>0.13156614330551797</v>
      </c>
      <c r="AH3530" s="2" t="str">
        <f ca="1"/>
        <v>OK</v>
      </c>
    </row>
    <row r="3531" spans="2:34" x14ac:dyDescent="0.2">
      <c r="B3531" s="2">
        <f ca="1"/>
        <v>0.2805468819964223</v>
      </c>
      <c r="O3531" s="2">
        <f ca="1"/>
        <v>2.2773455133301796</v>
      </c>
      <c r="X3531" s="2">
        <f ca="1"/>
        <v>46.067541865122841</v>
      </c>
      <c r="AG3531" s="2">
        <f ca="1"/>
        <v>0.24362333663909119</v>
      </c>
      <c r="AH3531" s="2" t="str">
        <f ca="1"/>
        <v>OK</v>
      </c>
    </row>
    <row r="3532" spans="2:34" x14ac:dyDescent="0.2">
      <c r="B3532" s="2">
        <f ca="1"/>
        <v>0.3651180758525896</v>
      </c>
      <c r="O3532" s="2">
        <f ca="1"/>
        <v>-0.76968819788398557</v>
      </c>
      <c r="X3532" s="2">
        <f ca="1"/>
        <v>48.591427930887576</v>
      </c>
      <c r="AG3532" s="2">
        <f ca="1"/>
        <v>0.7754247419080551</v>
      </c>
      <c r="AH3532" s="2" t="str">
        <f ca="1"/>
        <v>Bad</v>
      </c>
    </row>
    <row r="3533" spans="2:34" x14ac:dyDescent="0.2">
      <c r="B3533" s="2">
        <f ca="1"/>
        <v>0.13276381434039908</v>
      </c>
      <c r="O3533" s="2">
        <f ca="1"/>
        <v>1.7141770678545978</v>
      </c>
      <c r="X3533" s="2">
        <f ca="1"/>
        <v>39.548365713094427</v>
      </c>
      <c r="AG3533" s="2">
        <f ca="1"/>
        <v>0.32945913404290517</v>
      </c>
      <c r="AH3533" s="2" t="str">
        <f ca="1"/>
        <v>OK</v>
      </c>
    </row>
    <row r="3534" spans="2:34" x14ac:dyDescent="0.2">
      <c r="B3534" s="2">
        <f ca="1"/>
        <v>0.60507399931542349</v>
      </c>
      <c r="O3534" s="2">
        <f ca="1"/>
        <v>-1.5142442897198867</v>
      </c>
      <c r="X3534" s="2">
        <f ca="1"/>
        <v>56.318192721220626</v>
      </c>
      <c r="AG3534" s="2">
        <f ca="1"/>
        <v>0.53770897292532704</v>
      </c>
      <c r="AH3534" s="2" t="str">
        <f ca="1"/>
        <v>Bad</v>
      </c>
    </row>
    <row r="3535" spans="2:34" x14ac:dyDescent="0.2">
      <c r="B3535" s="2">
        <f ca="1"/>
        <v>0.29838105696542994</v>
      </c>
      <c r="O3535" s="2">
        <f ca="1"/>
        <v>1.5784322025436255</v>
      </c>
      <c r="X3535" s="2">
        <f ca="1"/>
        <v>60.415070946390117</v>
      </c>
      <c r="AG3535" s="2">
        <f ca="1"/>
        <v>0.76056759070783997</v>
      </c>
      <c r="AH3535" s="2" t="str">
        <f ca="1"/>
        <v>Bad</v>
      </c>
    </row>
    <row r="3536" spans="2:34" x14ac:dyDescent="0.2">
      <c r="B3536" s="2">
        <f ca="1"/>
        <v>0.46295614504714755</v>
      </c>
      <c r="O3536" s="2">
        <f ca="1"/>
        <v>-0.21250644884702827</v>
      </c>
      <c r="X3536" s="2">
        <f ca="1"/>
        <v>39.22153302495073</v>
      </c>
      <c r="AG3536" s="2">
        <f ca="1"/>
        <v>0.29670281405062604</v>
      </c>
      <c r="AH3536" s="2" t="str">
        <f ca="1"/>
        <v>OK</v>
      </c>
    </row>
    <row r="3537" spans="2:34" x14ac:dyDescent="0.2">
      <c r="B3537" s="2">
        <f ca="1"/>
        <v>0.26204268981988066</v>
      </c>
      <c r="O3537" s="2">
        <f ca="1"/>
        <v>1.0396371133696163</v>
      </c>
      <c r="X3537" s="2">
        <f ca="1"/>
        <v>112.51265559033226</v>
      </c>
      <c r="AG3537" s="2">
        <f ca="1"/>
        <v>3.9812098638059235E-2</v>
      </c>
      <c r="AH3537" s="2" t="str">
        <f ca="1"/>
        <v>Good</v>
      </c>
    </row>
    <row r="3538" spans="2:34" x14ac:dyDescent="0.2">
      <c r="B3538" s="2">
        <f ca="1"/>
        <v>0.66213072874209944</v>
      </c>
      <c r="O3538" s="2">
        <f ca="1"/>
        <v>0.12760049241459559</v>
      </c>
      <c r="X3538" s="2">
        <f ca="1"/>
        <v>33.210260900165764</v>
      </c>
      <c r="AG3538" s="2">
        <f ca="1"/>
        <v>0.51429343077346323</v>
      </c>
      <c r="AH3538" s="2" t="str">
        <f ca="1"/>
        <v>Bad</v>
      </c>
    </row>
    <row r="3539" spans="2:34" x14ac:dyDescent="0.2">
      <c r="B3539" s="2">
        <f ca="1"/>
        <v>0.28645268413937863</v>
      </c>
      <c r="O3539" s="2">
        <f ca="1"/>
        <v>0.45111705553700887</v>
      </c>
      <c r="X3539" s="2">
        <f ca="1"/>
        <v>64.856516772264854</v>
      </c>
      <c r="AG3539" s="2">
        <f ca="1"/>
        <v>0.75482191587843883</v>
      </c>
      <c r="AH3539" s="2" t="str">
        <f ca="1"/>
        <v>Bad</v>
      </c>
    </row>
    <row r="3540" spans="2:34" x14ac:dyDescent="0.2">
      <c r="B3540" s="2">
        <f ca="1"/>
        <v>0.15343385967996892</v>
      </c>
      <c r="O3540" s="2">
        <f ca="1"/>
        <v>-1.4642837300945184</v>
      </c>
      <c r="X3540" s="2">
        <f ca="1"/>
        <v>27.805422392948991</v>
      </c>
      <c r="AG3540" s="2">
        <f ca="1"/>
        <v>0.93655351224522332</v>
      </c>
      <c r="AH3540" s="2" t="str">
        <f ca="1"/>
        <v>Bad</v>
      </c>
    </row>
    <row r="3541" spans="2:34" x14ac:dyDescent="0.2">
      <c r="B3541" s="2">
        <f ca="1"/>
        <v>0.77849827143146344</v>
      </c>
      <c r="O3541" s="2">
        <f ca="1"/>
        <v>0.94215798693592145</v>
      </c>
      <c r="X3541" s="2">
        <f ca="1"/>
        <v>59.472446782266069</v>
      </c>
      <c r="AG3541" s="2">
        <f ca="1"/>
        <v>0.52001424951872699</v>
      </c>
      <c r="AH3541" s="2" t="str">
        <f ca="1"/>
        <v>Bad</v>
      </c>
    </row>
    <row r="3542" spans="2:34" x14ac:dyDescent="0.2">
      <c r="B3542" s="2">
        <f ca="1"/>
        <v>0.45106062557553117</v>
      </c>
      <c r="O3542" s="2">
        <f ca="1"/>
        <v>-2.2760631397797333</v>
      </c>
      <c r="X3542" s="2">
        <f ca="1"/>
        <v>41.153564912919464</v>
      </c>
      <c r="AG3542" s="2">
        <f ca="1"/>
        <v>0.50098589574029617</v>
      </c>
      <c r="AH3542" s="2" t="str">
        <f ca="1"/>
        <v>Bad</v>
      </c>
    </row>
    <row r="3543" spans="2:34" x14ac:dyDescent="0.2">
      <c r="B3543" s="2">
        <f ca="1"/>
        <v>0.88096697347264352</v>
      </c>
      <c r="O3543" s="2">
        <f ca="1"/>
        <v>-1.3930479100000812</v>
      </c>
      <c r="X3543" s="2">
        <f ca="1"/>
        <v>63.301167616646907</v>
      </c>
      <c r="AG3543" s="2">
        <f ca="1"/>
        <v>0.69119043133943081</v>
      </c>
      <c r="AH3543" s="2" t="str">
        <f ca="1"/>
        <v>Bad</v>
      </c>
    </row>
    <row r="3544" spans="2:34" x14ac:dyDescent="0.2">
      <c r="B3544" s="2">
        <f ca="1"/>
        <v>0.98148752426048413</v>
      </c>
      <c r="O3544" s="2">
        <f ca="1"/>
        <v>-0.77971384565821966</v>
      </c>
      <c r="X3544" s="2">
        <f ca="1"/>
        <v>64.334884037106789</v>
      </c>
      <c r="AG3544" s="2">
        <f ca="1"/>
        <v>0.75451541825386115</v>
      </c>
      <c r="AH3544" s="2" t="str">
        <f ca="1"/>
        <v>Bad</v>
      </c>
    </row>
    <row r="3545" spans="2:34" x14ac:dyDescent="0.2">
      <c r="B3545" s="2">
        <f ca="1"/>
        <v>0.73177439256997867</v>
      </c>
      <c r="O3545" s="2">
        <f ca="1"/>
        <v>0.87167763637379203</v>
      </c>
      <c r="X3545" s="2">
        <f ca="1"/>
        <v>46.94996068509446</v>
      </c>
      <c r="AG3545" s="2">
        <f ca="1"/>
        <v>0.50005768768631587</v>
      </c>
      <c r="AH3545" s="2" t="str">
        <f ca="1"/>
        <v>Bad</v>
      </c>
    </row>
    <row r="3546" spans="2:34" x14ac:dyDescent="0.2">
      <c r="B3546" s="2">
        <f ca="1"/>
        <v>0.65434413716080742</v>
      </c>
      <c r="O3546" s="2">
        <f ca="1"/>
        <v>0.97689583645957223</v>
      </c>
      <c r="X3546" s="2">
        <f ca="1"/>
        <v>52.834472063002679</v>
      </c>
      <c r="AG3546" s="2">
        <f ca="1"/>
        <v>0.73960238001575629</v>
      </c>
      <c r="AH3546" s="2" t="str">
        <f ca="1"/>
        <v>Bad</v>
      </c>
    </row>
    <row r="3547" spans="2:34" x14ac:dyDescent="0.2">
      <c r="B3547" s="2">
        <f ca="1"/>
        <v>0.71566819268354998</v>
      </c>
      <c r="O3547" s="2">
        <f ca="1"/>
        <v>0.14843978206903816</v>
      </c>
      <c r="X3547" s="2">
        <f ca="1"/>
        <v>62.197716866314451</v>
      </c>
      <c r="AG3547" s="2">
        <f ca="1"/>
        <v>0.90576138263018868</v>
      </c>
      <c r="AH3547" s="2" t="str">
        <f ca="1"/>
        <v>Bad</v>
      </c>
    </row>
    <row r="3548" spans="2:34" x14ac:dyDescent="0.2">
      <c r="B3548" s="2">
        <f ca="1"/>
        <v>0.7111904487246492</v>
      </c>
      <c r="O3548" s="2">
        <f ca="1"/>
        <v>0.69177529370147761</v>
      </c>
      <c r="X3548" s="2">
        <f ca="1"/>
        <v>69.136102992481995</v>
      </c>
      <c r="AG3548" s="2">
        <f ca="1"/>
        <v>0.85459772318710292</v>
      </c>
      <c r="AH3548" s="2" t="str">
        <f ca="1"/>
        <v>Bad</v>
      </c>
    </row>
    <row r="3549" spans="2:34" x14ac:dyDescent="0.2">
      <c r="B3549" s="2">
        <f ca="1"/>
        <v>0.46428003847581722</v>
      </c>
      <c r="O3549" s="2">
        <f ca="1"/>
        <v>1.0208634612102734</v>
      </c>
      <c r="X3549" s="2">
        <f ca="1"/>
        <v>45.286544685253325</v>
      </c>
      <c r="AG3549" s="2">
        <f ca="1"/>
        <v>0.23299403106595018</v>
      </c>
      <c r="AH3549" s="2" t="str">
        <f ca="1"/>
        <v>OK</v>
      </c>
    </row>
    <row r="3550" spans="2:34" x14ac:dyDescent="0.2">
      <c r="B3550" s="2">
        <f ca="1"/>
        <v>0.5840932035384605</v>
      </c>
      <c r="O3550" s="2">
        <f ca="1"/>
        <v>-0.6881150557879554</v>
      </c>
      <c r="X3550" s="2">
        <f ca="1"/>
        <v>34.097008179512869</v>
      </c>
      <c r="AG3550" s="2">
        <f ca="1"/>
        <v>0.68115946108511727</v>
      </c>
      <c r="AH3550" s="2" t="str">
        <f ca="1"/>
        <v>Bad</v>
      </c>
    </row>
    <row r="3551" spans="2:34" x14ac:dyDescent="0.2">
      <c r="B3551" s="2">
        <f ca="1"/>
        <v>0.61073322470296976</v>
      </c>
      <c r="O3551" s="2">
        <f ca="1"/>
        <v>-1.4065234469921311</v>
      </c>
      <c r="X3551" s="2">
        <f ca="1"/>
        <v>58.282848447402237</v>
      </c>
      <c r="AG3551" s="2">
        <f ca="1"/>
        <v>0.96007114131467453</v>
      </c>
      <c r="AH3551" s="2" t="str">
        <f ca="1"/>
        <v>Bad</v>
      </c>
    </row>
    <row r="3552" spans="2:34" x14ac:dyDescent="0.2">
      <c r="B3552" s="2">
        <f ca="1"/>
        <v>9.6604567648298945E-2</v>
      </c>
      <c r="O3552" s="2">
        <f ca="1"/>
        <v>-1.0606943213970057</v>
      </c>
      <c r="X3552" s="2">
        <f ca="1"/>
        <v>36.642255507264693</v>
      </c>
      <c r="AG3552" s="2">
        <f ca="1"/>
        <v>0.55359804767418885</v>
      </c>
      <c r="AH3552" s="2" t="str">
        <f ca="1"/>
        <v>Bad</v>
      </c>
    </row>
    <row r="3553" spans="2:34" x14ac:dyDescent="0.2">
      <c r="B3553" s="2">
        <f ca="1"/>
        <v>0.16856980316408077</v>
      </c>
      <c r="O3553" s="2">
        <f ca="1"/>
        <v>-0.65505332478068523</v>
      </c>
      <c r="X3553" s="2">
        <f ca="1"/>
        <v>42.483769570000121</v>
      </c>
      <c r="AG3553" s="2">
        <f ca="1"/>
        <v>0.5109144565792143</v>
      </c>
      <c r="AH3553" s="2" t="str">
        <f ca="1"/>
        <v>Bad</v>
      </c>
    </row>
    <row r="3554" spans="2:34" x14ac:dyDescent="0.2">
      <c r="B3554" s="2">
        <f ca="1"/>
        <v>0.25041716158847649</v>
      </c>
      <c r="O3554" s="2">
        <f ca="1"/>
        <v>-0.76223060322688596</v>
      </c>
      <c r="X3554" s="2">
        <f ca="1"/>
        <v>42.699299764510322</v>
      </c>
      <c r="AG3554" s="2">
        <f ca="1"/>
        <v>2.0129154695174067E-2</v>
      </c>
      <c r="AH3554" s="2" t="str">
        <f ca="1"/>
        <v>Good</v>
      </c>
    </row>
    <row r="3555" spans="2:34" x14ac:dyDescent="0.2">
      <c r="B3555" s="2">
        <f ca="1"/>
        <v>0.66691394064271114</v>
      </c>
      <c r="O3555" s="2">
        <f ca="1"/>
        <v>-0.53763897780993009</v>
      </c>
      <c r="X3555" s="2">
        <f ca="1"/>
        <v>36.089637212242273</v>
      </c>
      <c r="AG3555" s="2">
        <f ca="1"/>
        <v>0.19121995787618884</v>
      </c>
      <c r="AH3555" s="2" t="str">
        <f ca="1"/>
        <v>OK</v>
      </c>
    </row>
    <row r="3556" spans="2:34" x14ac:dyDescent="0.2">
      <c r="B3556" s="2">
        <f ca="1"/>
        <v>0.62424151159954655</v>
      </c>
      <c r="O3556" s="2">
        <f ca="1"/>
        <v>-0.63738994965172224</v>
      </c>
      <c r="X3556" s="2">
        <f ca="1"/>
        <v>36.022360533361194</v>
      </c>
      <c r="AG3556" s="2">
        <f ca="1"/>
        <v>0.24654756629940344</v>
      </c>
      <c r="AH3556" s="2" t="str">
        <f ca="1"/>
        <v>OK</v>
      </c>
    </row>
    <row r="3557" spans="2:34" x14ac:dyDescent="0.2">
      <c r="B3557" s="2">
        <f ca="1"/>
        <v>0.31570766714591669</v>
      </c>
      <c r="O3557" s="2">
        <f ca="1"/>
        <v>-1.399746471816121</v>
      </c>
      <c r="X3557" s="2">
        <f ca="1"/>
        <v>43.064770014141672</v>
      </c>
      <c r="AG3557" s="2">
        <f ca="1"/>
        <v>0.51754859747684812</v>
      </c>
      <c r="AH3557" s="2" t="str">
        <f ca="1"/>
        <v>Bad</v>
      </c>
    </row>
    <row r="3558" spans="2:34" x14ac:dyDescent="0.2">
      <c r="B3558" s="2">
        <f ca="1"/>
        <v>0.22244111668063549</v>
      </c>
      <c r="O3558" s="2">
        <f ca="1"/>
        <v>-0.12145989236436627</v>
      </c>
      <c r="X3558" s="2">
        <f ca="1"/>
        <v>60.431242689303197</v>
      </c>
      <c r="AG3558" s="2">
        <f ca="1"/>
        <v>9.2068612937919569E-2</v>
      </c>
      <c r="AH3558" s="2" t="str">
        <f ca="1"/>
        <v>OK</v>
      </c>
    </row>
    <row r="3559" spans="2:34" x14ac:dyDescent="0.2">
      <c r="B3559" s="2">
        <f ca="1"/>
        <v>0.34660749063045748</v>
      </c>
      <c r="O3559" s="2">
        <f ca="1"/>
        <v>-9.3253467595924552E-2</v>
      </c>
      <c r="X3559" s="2">
        <f ca="1"/>
        <v>37.267099387196616</v>
      </c>
      <c r="AG3559" s="2">
        <f ca="1"/>
        <v>6.0562791846086039E-2</v>
      </c>
      <c r="AH3559" s="2" t="str">
        <f ca="1"/>
        <v>OK</v>
      </c>
    </row>
    <row r="3560" spans="2:34" x14ac:dyDescent="0.2">
      <c r="B3560" s="2">
        <f ca="1"/>
        <v>0.59512009261499288</v>
      </c>
      <c r="O3560" s="2">
        <f ca="1"/>
        <v>-0.33190192541976887</v>
      </c>
      <c r="X3560" s="2">
        <f ca="1"/>
        <v>78.899762911207148</v>
      </c>
      <c r="AG3560" s="2">
        <f ca="1"/>
        <v>5.4407899882925603E-2</v>
      </c>
      <c r="AH3560" s="2" t="str">
        <f ca="1"/>
        <v>OK</v>
      </c>
    </row>
    <row r="3561" spans="2:34" x14ac:dyDescent="0.2">
      <c r="B3561" s="2">
        <f ca="1"/>
        <v>0.92072890319678602</v>
      </c>
      <c r="O3561" s="2">
        <f ca="1"/>
        <v>-0.20902594091115465</v>
      </c>
      <c r="X3561" s="2">
        <f ca="1"/>
        <v>45.090370644509832</v>
      </c>
      <c r="AG3561" s="2">
        <f ca="1"/>
        <v>0.71164838068908387</v>
      </c>
      <c r="AH3561" s="2" t="str">
        <f ca="1"/>
        <v>Bad</v>
      </c>
    </row>
    <row r="3562" spans="2:34" x14ac:dyDescent="0.2">
      <c r="B3562" s="2">
        <f ca="1"/>
        <v>0.6787491498462741</v>
      </c>
      <c r="O3562" s="2">
        <f ca="1"/>
        <v>-0.32352869005027496</v>
      </c>
      <c r="X3562" s="2">
        <f ca="1"/>
        <v>50.179729835338598</v>
      </c>
      <c r="AG3562" s="2">
        <f ca="1"/>
        <v>0.88241809791610293</v>
      </c>
      <c r="AH3562" s="2" t="str">
        <f ca="1"/>
        <v>Bad</v>
      </c>
    </row>
    <row r="3563" spans="2:34" x14ac:dyDescent="0.2">
      <c r="B3563" s="2">
        <f ca="1"/>
        <v>0.26787256694796846</v>
      </c>
      <c r="O3563" s="2">
        <f ca="1"/>
        <v>-0.85513267441769736</v>
      </c>
      <c r="X3563" s="2">
        <f ca="1"/>
        <v>59.24802634016757</v>
      </c>
      <c r="AG3563" s="2">
        <f ca="1"/>
        <v>0.46695971630527788</v>
      </c>
      <c r="AH3563" s="2" t="str">
        <f ca="1"/>
        <v>Bad</v>
      </c>
    </row>
    <row r="3564" spans="2:34" x14ac:dyDescent="0.2">
      <c r="B3564" s="2">
        <f ca="1"/>
        <v>0.62715248993361916</v>
      </c>
      <c r="O3564" s="2">
        <f ca="1"/>
        <v>1.6983231656872653</v>
      </c>
      <c r="X3564" s="2">
        <f ca="1"/>
        <v>66.396142666896708</v>
      </c>
      <c r="AG3564" s="2">
        <f ca="1"/>
        <v>0.99683342699686595</v>
      </c>
      <c r="AH3564" s="2" t="str">
        <f ca="1"/>
        <v>Bad</v>
      </c>
    </row>
    <row r="3565" spans="2:34" x14ac:dyDescent="0.2">
      <c r="B3565" s="2">
        <f ca="1"/>
        <v>0.47480390266202321</v>
      </c>
      <c r="O3565" s="2">
        <f ca="1"/>
        <v>-0.84681631751324082</v>
      </c>
      <c r="X3565" s="2">
        <f ca="1"/>
        <v>39.667425029900244</v>
      </c>
      <c r="AG3565" s="2">
        <f ca="1"/>
        <v>0.25698731949597153</v>
      </c>
      <c r="AH3565" s="2" t="str">
        <f ca="1"/>
        <v>OK</v>
      </c>
    </row>
    <row r="3566" spans="2:34" x14ac:dyDescent="0.2">
      <c r="B3566" s="2">
        <f ca="1"/>
        <v>0.81224193554743818</v>
      </c>
      <c r="O3566" s="2">
        <f ca="1"/>
        <v>-6.3845356062567957E-2</v>
      </c>
      <c r="X3566" s="2">
        <f ca="1"/>
        <v>31.187215078381335</v>
      </c>
      <c r="AG3566" s="2">
        <f ca="1"/>
        <v>0.30139313750580921</v>
      </c>
      <c r="AH3566" s="2" t="str">
        <f ca="1"/>
        <v>OK</v>
      </c>
    </row>
    <row r="3567" spans="2:34" x14ac:dyDescent="0.2">
      <c r="B3567" s="2">
        <f ca="1"/>
        <v>0.20605062818977538</v>
      </c>
      <c r="O3567" s="2">
        <f ca="1"/>
        <v>3.1841422821805701E-2</v>
      </c>
      <c r="X3567" s="2">
        <f ca="1"/>
        <v>32.485760516395771</v>
      </c>
      <c r="AG3567" s="2">
        <f ca="1"/>
        <v>0.52009194099357003</v>
      </c>
      <c r="AH3567" s="2" t="str">
        <f ca="1"/>
        <v>Bad</v>
      </c>
    </row>
    <row r="3568" spans="2:34" x14ac:dyDescent="0.2">
      <c r="B3568" s="2">
        <f ca="1"/>
        <v>0.40862615414183079</v>
      </c>
      <c r="O3568" s="2">
        <f ca="1"/>
        <v>-1.5981724351621609</v>
      </c>
      <c r="X3568" s="2">
        <f ca="1"/>
        <v>26.064067997604269</v>
      </c>
      <c r="AG3568" s="2">
        <f ca="1"/>
        <v>0.88397738053829866</v>
      </c>
      <c r="AH3568" s="2" t="str">
        <f ca="1"/>
        <v>Bad</v>
      </c>
    </row>
    <row r="3569" spans="2:34" x14ac:dyDescent="0.2">
      <c r="B3569" s="2">
        <f ca="1"/>
        <v>0.92570163218085488</v>
      </c>
      <c r="O3569" s="2">
        <f ca="1"/>
        <v>-0.22001431455788273</v>
      </c>
      <c r="X3569" s="2">
        <f ca="1"/>
        <v>24.789113457913217</v>
      </c>
      <c r="AG3569" s="2">
        <f ca="1"/>
        <v>0.90857332515226163</v>
      </c>
      <c r="AH3569" s="2" t="str">
        <f ca="1"/>
        <v>Bad</v>
      </c>
    </row>
    <row r="3570" spans="2:34" x14ac:dyDescent="0.2">
      <c r="B3570" s="2">
        <f ca="1"/>
        <v>0.48756241952532409</v>
      </c>
      <c r="O3570" s="2">
        <f ca="1"/>
        <v>1.3378305329080711</v>
      </c>
      <c r="X3570" s="2">
        <f ca="1"/>
        <v>33.714237078690978</v>
      </c>
      <c r="AG3570" s="2">
        <f ca="1"/>
        <v>0.68246470339293852</v>
      </c>
      <c r="AH3570" s="2" t="str">
        <f ca="1"/>
        <v>Bad</v>
      </c>
    </row>
    <row r="3571" spans="2:34" x14ac:dyDescent="0.2">
      <c r="B3571" s="2">
        <f ca="1"/>
        <v>0.3064980191100235</v>
      </c>
      <c r="O3571" s="2">
        <f ca="1"/>
        <v>0.84989353175670779</v>
      </c>
      <c r="X3571" s="2">
        <f ca="1"/>
        <v>46.486971425332548</v>
      </c>
      <c r="AG3571" s="2">
        <f ca="1"/>
        <v>0.99946109677975947</v>
      </c>
      <c r="AH3571" s="2" t="str">
        <f ca="1"/>
        <v>Bad</v>
      </c>
    </row>
    <row r="3572" spans="2:34" x14ac:dyDescent="0.2">
      <c r="B3572" s="2">
        <f ca="1"/>
        <v>0.11229821898840164</v>
      </c>
      <c r="O3572" s="2">
        <f ca="1"/>
        <v>-0.33401545839581298</v>
      </c>
      <c r="X3572" s="2">
        <f ca="1"/>
        <v>61.587798833396299</v>
      </c>
      <c r="AG3572" s="2">
        <f ca="1"/>
        <v>0.79029124763361525</v>
      </c>
      <c r="AH3572" s="2" t="str">
        <f ca="1"/>
        <v>Bad</v>
      </c>
    </row>
    <row r="3573" spans="2:34" x14ac:dyDescent="0.2">
      <c r="B3573" s="2">
        <f ca="1"/>
        <v>0.30098725349045319</v>
      </c>
      <c r="O3573" s="2">
        <f ca="1"/>
        <v>0.26295806994361026</v>
      </c>
      <c r="X3573" s="2">
        <f ca="1"/>
        <v>62.581429491651036</v>
      </c>
      <c r="AG3573" s="2">
        <f ca="1"/>
        <v>0.55578149659392539</v>
      </c>
      <c r="AH3573" s="2" t="str">
        <f ca="1"/>
        <v>Bad</v>
      </c>
    </row>
    <row r="3574" spans="2:34" x14ac:dyDescent="0.2">
      <c r="B3574" s="2">
        <f ca="1"/>
        <v>0.28649684765284555</v>
      </c>
      <c r="O3574" s="2">
        <f ca="1"/>
        <v>-0.24237309923121633</v>
      </c>
      <c r="X3574" s="2">
        <f ca="1"/>
        <v>35.721948888638593</v>
      </c>
      <c r="AG3574" s="2">
        <f ca="1"/>
        <v>0.37997389582760444</v>
      </c>
      <c r="AH3574" s="2" t="str">
        <f ca="1"/>
        <v>OK</v>
      </c>
    </row>
    <row r="3575" spans="2:34" x14ac:dyDescent="0.2">
      <c r="B3575" s="2">
        <f ca="1"/>
        <v>0.77127610198547147</v>
      </c>
      <c r="O3575" s="2">
        <f ca="1"/>
        <v>0.3416663111406546</v>
      </c>
      <c r="X3575" s="2">
        <f ca="1"/>
        <v>29.836291843516207</v>
      </c>
      <c r="AG3575" s="2">
        <f ca="1"/>
        <v>0.20543707943030287</v>
      </c>
      <c r="AH3575" s="2" t="str">
        <f ca="1"/>
        <v>OK</v>
      </c>
    </row>
    <row r="3576" spans="2:34" x14ac:dyDescent="0.2">
      <c r="B3576" s="2">
        <f ca="1"/>
        <v>4.4246860352626483E-2</v>
      </c>
      <c r="O3576" s="2">
        <f ca="1"/>
        <v>-2.6128549964424798E-2</v>
      </c>
      <c r="X3576" s="2">
        <f ca="1"/>
        <v>51.154593808839131</v>
      </c>
      <c r="AG3576" s="2">
        <f ca="1"/>
        <v>0.39885744173018689</v>
      </c>
      <c r="AH3576" s="2" t="str">
        <f ca="1"/>
        <v>OK</v>
      </c>
    </row>
    <row r="3577" spans="2:34" x14ac:dyDescent="0.2">
      <c r="B3577" s="2">
        <f ca="1"/>
        <v>0.44945460397715675</v>
      </c>
      <c r="O3577" s="2">
        <f ca="1"/>
        <v>-0.41545716195323412</v>
      </c>
      <c r="X3577" s="2">
        <f ca="1"/>
        <v>51.034343917765753</v>
      </c>
      <c r="AG3577" s="2">
        <f ca="1"/>
        <v>0.72470013142703826</v>
      </c>
      <c r="AH3577" s="2" t="str">
        <f ca="1"/>
        <v>Bad</v>
      </c>
    </row>
    <row r="3578" spans="2:34" x14ac:dyDescent="0.2">
      <c r="B3578" s="2">
        <f ca="1"/>
        <v>0.38244857871049143</v>
      </c>
      <c r="O3578" s="2">
        <f ca="1"/>
        <v>-0.1008359444661866</v>
      </c>
      <c r="X3578" s="2">
        <f ca="1"/>
        <v>28.396692323395641</v>
      </c>
      <c r="AG3578" s="2">
        <f ca="1"/>
        <v>0.88502495690128757</v>
      </c>
      <c r="AH3578" s="2" t="str">
        <f ca="1"/>
        <v>Bad</v>
      </c>
    </row>
    <row r="3579" spans="2:34" x14ac:dyDescent="0.2">
      <c r="B3579" s="2">
        <f ca="1"/>
        <v>0.87885589134759545</v>
      </c>
      <c r="O3579" s="2">
        <f ca="1"/>
        <v>0.38961513851900409</v>
      </c>
      <c r="X3579" s="2">
        <f ca="1"/>
        <v>27.468270618876186</v>
      </c>
      <c r="AG3579" s="2">
        <f ca="1"/>
        <v>0.50434953334409394</v>
      </c>
      <c r="AH3579" s="2" t="str">
        <f ca="1"/>
        <v>Bad</v>
      </c>
    </row>
    <row r="3580" spans="2:34" x14ac:dyDescent="0.2">
      <c r="B3580" s="2">
        <f ca="1"/>
        <v>0.24698652684094835</v>
      </c>
      <c r="O3580" s="2">
        <f ca="1"/>
        <v>0.1584541820345732</v>
      </c>
      <c r="X3580" s="2">
        <f ca="1"/>
        <v>37.142080803616977</v>
      </c>
      <c r="AG3580" s="2">
        <f ca="1"/>
        <v>0.11881512402839589</v>
      </c>
      <c r="AH3580" s="2" t="str">
        <f ca="1"/>
        <v>OK</v>
      </c>
    </row>
    <row r="3581" spans="2:34" x14ac:dyDescent="0.2">
      <c r="B3581" s="2">
        <f ca="1"/>
        <v>0.38551291458753711</v>
      </c>
      <c r="O3581" s="2">
        <f ca="1"/>
        <v>-0.82249629063047069</v>
      </c>
      <c r="X3581" s="2">
        <f ca="1"/>
        <v>43.546396306523718</v>
      </c>
      <c r="AG3581" s="2">
        <f ca="1"/>
        <v>0.21830383151883348</v>
      </c>
      <c r="AH3581" s="2" t="str">
        <f ca="1"/>
        <v>OK</v>
      </c>
    </row>
    <row r="3582" spans="2:34" x14ac:dyDescent="0.2">
      <c r="B3582" s="2">
        <f ca="1"/>
        <v>0.69732012639997065</v>
      </c>
      <c r="O3582" s="2">
        <f ca="1"/>
        <v>0.97722461067419075</v>
      </c>
      <c r="X3582" s="2">
        <f ca="1"/>
        <v>37.738465624582105</v>
      </c>
      <c r="AG3582" s="2">
        <f ca="1"/>
        <v>0.8565384124304487</v>
      </c>
      <c r="AH3582" s="2" t="str">
        <f ca="1"/>
        <v>Bad</v>
      </c>
    </row>
    <row r="3583" spans="2:34" x14ac:dyDescent="0.2">
      <c r="B3583" s="2">
        <f ca="1"/>
        <v>0.31774363026029939</v>
      </c>
      <c r="O3583" s="2">
        <f ca="1"/>
        <v>0.16059252908749325</v>
      </c>
      <c r="X3583" s="2">
        <f ca="1"/>
        <v>68.885373029029878</v>
      </c>
      <c r="AG3583" s="2">
        <f ca="1"/>
        <v>0.1506886235442122</v>
      </c>
      <c r="AH3583" s="2" t="str">
        <f ca="1"/>
        <v>OK</v>
      </c>
    </row>
    <row r="3584" spans="2:34" x14ac:dyDescent="0.2">
      <c r="B3584" s="2">
        <f ca="1"/>
        <v>0.13755225525558301</v>
      </c>
      <c r="O3584" s="2">
        <f ca="1"/>
        <v>0.7629749954564522</v>
      </c>
      <c r="X3584" s="2">
        <f ca="1"/>
        <v>38.862702249541542</v>
      </c>
      <c r="AG3584" s="2">
        <f ca="1"/>
        <v>0.74569437162470953</v>
      </c>
      <c r="AH3584" s="2" t="str">
        <f ca="1"/>
        <v>Bad</v>
      </c>
    </row>
    <row r="3585" spans="2:34" x14ac:dyDescent="0.2">
      <c r="B3585" s="2">
        <f ca="1"/>
        <v>0.79230809102411248</v>
      </c>
      <c r="O3585" s="2">
        <f ca="1"/>
        <v>-0.69998435621080191</v>
      </c>
      <c r="X3585" s="2">
        <f ca="1"/>
        <v>43.748881417249521</v>
      </c>
      <c r="AG3585" s="2">
        <f ca="1"/>
        <v>0.7377507382442352</v>
      </c>
      <c r="AH3585" s="2" t="str">
        <f ca="1"/>
        <v>Bad</v>
      </c>
    </row>
    <row r="3586" spans="2:34" x14ac:dyDescent="0.2">
      <c r="B3586" s="2">
        <f ca="1"/>
        <v>0.18991871663454374</v>
      </c>
      <c r="O3586" s="2">
        <f ca="1"/>
        <v>1.4794602923545996</v>
      </c>
      <c r="X3586" s="2">
        <f ca="1"/>
        <v>51.196284110850989</v>
      </c>
      <c r="AG3586" s="2">
        <f ca="1"/>
        <v>0.33130731015869141</v>
      </c>
      <c r="AH3586" s="2" t="str">
        <f ca="1"/>
        <v>OK</v>
      </c>
    </row>
    <row r="3587" spans="2:34" x14ac:dyDescent="0.2">
      <c r="B3587" s="2">
        <f ca="1"/>
        <v>0.2895785555503767</v>
      </c>
      <c r="O3587" s="2">
        <f ca="1"/>
        <v>0.75375297384284246</v>
      </c>
      <c r="X3587" s="2">
        <f ca="1"/>
        <v>51.227041219006644</v>
      </c>
      <c r="AG3587" s="2">
        <f ca="1"/>
        <v>0.57752195597573852</v>
      </c>
      <c r="AH3587" s="2" t="str">
        <f ca="1"/>
        <v>Bad</v>
      </c>
    </row>
    <row r="3588" spans="2:34" x14ac:dyDescent="0.2">
      <c r="B3588" s="2">
        <f ca="1"/>
        <v>0.41617305392410642</v>
      </c>
      <c r="O3588" s="2">
        <f ca="1"/>
        <v>-0.50839181709675418</v>
      </c>
      <c r="X3588" s="2">
        <f ca="1"/>
        <v>25.965034344745398</v>
      </c>
      <c r="AG3588" s="2">
        <f ca="1"/>
        <v>0.48917208046142679</v>
      </c>
      <c r="AH3588" s="2" t="str">
        <f ca="1"/>
        <v>Bad</v>
      </c>
    </row>
    <row r="3589" spans="2:34" x14ac:dyDescent="0.2">
      <c r="B3589" s="2">
        <f ca="1"/>
        <v>0.2580977255925152</v>
      </c>
      <c r="O3589" s="2">
        <f ca="1"/>
        <v>0.31216636302572048</v>
      </c>
      <c r="X3589" s="2">
        <f ca="1"/>
        <v>31.097130694268316</v>
      </c>
      <c r="AG3589" s="2">
        <f ca="1"/>
        <v>0.11363537731881124</v>
      </c>
      <c r="AH3589" s="2" t="str">
        <f ca="1"/>
        <v>OK</v>
      </c>
    </row>
    <row r="3590" spans="2:34" x14ac:dyDescent="0.2">
      <c r="B3590" s="2">
        <f ca="1"/>
        <v>0.96894763051054134</v>
      </c>
      <c r="O3590" s="2">
        <f ca="1"/>
        <v>0.65324836249850893</v>
      </c>
      <c r="X3590" s="2">
        <f ca="1"/>
        <v>44.058438352199481</v>
      </c>
      <c r="AG3590" s="2">
        <f ca="1"/>
        <v>0.73802353963879308</v>
      </c>
      <c r="AH3590" s="2" t="str">
        <f ca="1"/>
        <v>Bad</v>
      </c>
    </row>
    <row r="3591" spans="2:34" x14ac:dyDescent="0.2">
      <c r="B3591" s="2">
        <f ca="1"/>
        <v>0.58343000058162198</v>
      </c>
      <c r="O3591" s="2">
        <f ca="1"/>
        <v>-1.7132470299622158</v>
      </c>
      <c r="X3591" s="2">
        <f ca="1"/>
        <v>77.528946875110961</v>
      </c>
      <c r="AG3591" s="2">
        <f ca="1"/>
        <v>5.6288002290656225E-2</v>
      </c>
      <c r="AH3591" s="2" t="str">
        <f ca="1"/>
        <v>OK</v>
      </c>
    </row>
    <row r="3592" spans="2:34" x14ac:dyDescent="0.2">
      <c r="B3592" s="2">
        <f ca="1"/>
        <v>9.5219239765981678E-2</v>
      </c>
      <c r="O3592" s="2">
        <f ca="1"/>
        <v>-0.28551890384523948</v>
      </c>
      <c r="X3592" s="2">
        <f ca="1"/>
        <v>81.353693504832705</v>
      </c>
      <c r="AG3592" s="2">
        <f ca="1"/>
        <v>0.16658634831566799</v>
      </c>
      <c r="AH3592" s="2" t="str">
        <f ca="1"/>
        <v>OK</v>
      </c>
    </row>
    <row r="3593" spans="2:34" x14ac:dyDescent="0.2">
      <c r="B3593" s="2">
        <f ca="1"/>
        <v>0.78430530043729241</v>
      </c>
      <c r="O3593" s="2">
        <f ca="1"/>
        <v>-1.1589399444356263</v>
      </c>
      <c r="X3593" s="2">
        <f ca="1"/>
        <v>48.101432790301885</v>
      </c>
      <c r="AG3593" s="2">
        <f ca="1"/>
        <v>0.83070508635952178</v>
      </c>
      <c r="AH3593" s="2" t="str">
        <f ca="1"/>
        <v>Bad</v>
      </c>
    </row>
    <row r="3594" spans="2:34" x14ac:dyDescent="0.2">
      <c r="B3594" s="2">
        <f ca="1"/>
        <v>0.49618348359527853</v>
      </c>
      <c r="O3594" s="2">
        <f ca="1"/>
        <v>0.17487890924059685</v>
      </c>
      <c r="X3594" s="2">
        <f ca="1"/>
        <v>24.917938172041545</v>
      </c>
      <c r="AG3594" s="2">
        <f ca="1"/>
        <v>4.1934014049815893E-2</v>
      </c>
      <c r="AH3594" s="2" t="str">
        <f ca="1"/>
        <v>Good</v>
      </c>
    </row>
    <row r="3595" spans="2:34" x14ac:dyDescent="0.2">
      <c r="B3595" s="2">
        <f ca="1"/>
        <v>0.71736271757671233</v>
      </c>
      <c r="O3595" s="2">
        <f ca="1"/>
        <v>0.52150573994673566</v>
      </c>
      <c r="X3595" s="2">
        <f ca="1"/>
        <v>55.538522979704069</v>
      </c>
      <c r="AG3595" s="2">
        <f ca="1"/>
        <v>0.98969169379937516</v>
      </c>
      <c r="AH3595" s="2" t="str">
        <f ca="1"/>
        <v>Bad</v>
      </c>
    </row>
    <row r="3596" spans="2:34" x14ac:dyDescent="0.2">
      <c r="B3596" s="2">
        <f ca="1"/>
        <v>0.47886362578186592</v>
      </c>
      <c r="O3596" s="2">
        <f ca="1"/>
        <v>0.11212414166722816</v>
      </c>
      <c r="X3596" s="2">
        <f ca="1"/>
        <v>34.90374887630977</v>
      </c>
      <c r="AG3596" s="2">
        <f ca="1"/>
        <v>0.95611425421437746</v>
      </c>
      <c r="AH3596" s="2" t="str">
        <f ca="1"/>
        <v>Bad</v>
      </c>
    </row>
    <row r="3597" spans="2:34" x14ac:dyDescent="0.2">
      <c r="B3597" s="2">
        <f ca="1"/>
        <v>0.9576418926231407</v>
      </c>
      <c r="O3597" s="2">
        <f ca="1"/>
        <v>0.40306500843713272</v>
      </c>
      <c r="X3597" s="2">
        <f ca="1"/>
        <v>24.831009389799725</v>
      </c>
      <c r="AG3597" s="2">
        <f ca="1"/>
        <v>0.19006314694085003</v>
      </c>
      <c r="AH3597" s="2" t="str">
        <f ca="1"/>
        <v>OK</v>
      </c>
    </row>
    <row r="3598" spans="2:34" x14ac:dyDescent="0.2">
      <c r="B3598" s="2">
        <f ca="1"/>
        <v>0.41086486181597448</v>
      </c>
      <c r="O3598" s="2">
        <f ca="1"/>
        <v>1.8834443258004425</v>
      </c>
      <c r="X3598" s="2">
        <f ca="1"/>
        <v>84.192352348678554</v>
      </c>
      <c r="AG3598" s="2">
        <f ca="1"/>
        <v>0.7478103466904471</v>
      </c>
      <c r="AH3598" s="2" t="str">
        <f ca="1"/>
        <v>Bad</v>
      </c>
    </row>
    <row r="3599" spans="2:34" x14ac:dyDescent="0.2">
      <c r="B3599" s="2">
        <f ca="1"/>
        <v>0.86880642424383692</v>
      </c>
      <c r="O3599" s="2">
        <f ca="1"/>
        <v>-1.5020252769655327</v>
      </c>
      <c r="X3599" s="2">
        <f ca="1"/>
        <v>54.518270386211789</v>
      </c>
      <c r="AG3599" s="2">
        <f ca="1"/>
        <v>0.86244495973491087</v>
      </c>
      <c r="AH3599" s="2" t="str">
        <f ca="1"/>
        <v>Bad</v>
      </c>
    </row>
    <row r="3600" spans="2:34" x14ac:dyDescent="0.2">
      <c r="B3600" s="2">
        <f ca="1"/>
        <v>0.87610041853470633</v>
      </c>
      <c r="O3600" s="2">
        <f ca="1"/>
        <v>0.26261164858100206</v>
      </c>
      <c r="X3600" s="2">
        <f ca="1"/>
        <v>55.068177364955758</v>
      </c>
      <c r="AG3600" s="2">
        <f ca="1"/>
        <v>0.94144675361957586</v>
      </c>
      <c r="AH3600" s="2" t="str">
        <f ca="1"/>
        <v>Bad</v>
      </c>
    </row>
    <row r="3601" spans="2:34" x14ac:dyDescent="0.2">
      <c r="B3601" s="2">
        <f ca="1"/>
        <v>0.37991172486578595</v>
      </c>
      <c r="O3601" s="2">
        <f ca="1"/>
        <v>-1.3275118461054318</v>
      </c>
      <c r="X3601" s="2">
        <f ca="1"/>
        <v>33.552612415564631</v>
      </c>
      <c r="AG3601" s="2">
        <f ca="1"/>
        <v>0.47483700186297928</v>
      </c>
      <c r="AH3601" s="2" t="str">
        <f ca="1"/>
        <v>Bad</v>
      </c>
    </row>
    <row r="3602" spans="2:34" x14ac:dyDescent="0.2">
      <c r="B3602" s="2">
        <f ca="1"/>
        <v>6.1430579382533157E-2</v>
      </c>
      <c r="O3602" s="2">
        <f ca="1"/>
        <v>0.22042390572857343</v>
      </c>
      <c r="X3602" s="2">
        <f ca="1"/>
        <v>58.977633648145435</v>
      </c>
      <c r="AG3602" s="2">
        <f ca="1"/>
        <v>0.23412276120112696</v>
      </c>
      <c r="AH3602" s="2" t="str">
        <f ca="1"/>
        <v>OK</v>
      </c>
    </row>
    <row r="3603" spans="2:34" x14ac:dyDescent="0.2">
      <c r="B3603" s="2">
        <f ca="1"/>
        <v>0.84366186090626338</v>
      </c>
      <c r="O3603" s="2">
        <f ca="1"/>
        <v>0.59302883601991085</v>
      </c>
      <c r="X3603" s="2">
        <f ca="1"/>
        <v>64.246908970764466</v>
      </c>
      <c r="AG3603" s="2">
        <f ca="1"/>
        <v>8.3469297627782879E-2</v>
      </c>
      <c r="AH3603" s="2" t="str">
        <f ca="1"/>
        <v>OK</v>
      </c>
    </row>
    <row r="3604" spans="2:34" x14ac:dyDescent="0.2">
      <c r="B3604" s="2">
        <f ca="1"/>
        <v>0.82008663173961405</v>
      </c>
      <c r="O3604" s="2">
        <f ca="1"/>
        <v>-0.26432935639666638</v>
      </c>
      <c r="X3604" s="2">
        <f ca="1"/>
        <v>35.500304940728668</v>
      </c>
      <c r="AG3604" s="2">
        <f ca="1"/>
        <v>0.76553024768974653</v>
      </c>
      <c r="AH3604" s="2" t="str">
        <f ca="1"/>
        <v>Bad</v>
      </c>
    </row>
    <row r="3605" spans="2:34" x14ac:dyDescent="0.2">
      <c r="B3605" s="2">
        <f ca="1"/>
        <v>0.79231945769370937</v>
      </c>
      <c r="O3605" s="2">
        <f ca="1"/>
        <v>-0.67016316090369554</v>
      </c>
      <c r="X3605" s="2">
        <f ca="1"/>
        <v>37.913438987440571</v>
      </c>
      <c r="AG3605" s="2">
        <f ca="1"/>
        <v>0.17096907633933522</v>
      </c>
      <c r="AH3605" s="2" t="str">
        <f ca="1"/>
        <v>OK</v>
      </c>
    </row>
    <row r="3606" spans="2:34" x14ac:dyDescent="0.2">
      <c r="B3606" s="2">
        <f ca="1"/>
        <v>0.66175812038401838</v>
      </c>
      <c r="O3606" s="2">
        <f ca="1"/>
        <v>0.42458410391190127</v>
      </c>
      <c r="X3606" s="2">
        <f ca="1"/>
        <v>47.627626330812305</v>
      </c>
      <c r="AG3606" s="2">
        <f ca="1"/>
        <v>0.54530936871425584</v>
      </c>
      <c r="AH3606" s="2" t="str">
        <f ca="1"/>
        <v>Bad</v>
      </c>
    </row>
    <row r="3607" spans="2:34" x14ac:dyDescent="0.2">
      <c r="B3607" s="2">
        <f ca="1"/>
        <v>0.69896822264410541</v>
      </c>
      <c r="O3607" s="2">
        <f ca="1"/>
        <v>0.47587449428440687</v>
      </c>
      <c r="X3607" s="2">
        <f ca="1"/>
        <v>19.318661128008337</v>
      </c>
      <c r="AG3607" s="2">
        <f ca="1"/>
        <v>0.55697796925841447</v>
      </c>
      <c r="AH3607" s="2" t="str">
        <f ca="1"/>
        <v>Bad</v>
      </c>
    </row>
    <row r="3608" spans="2:34" x14ac:dyDescent="0.2">
      <c r="B3608" s="2">
        <f ca="1"/>
        <v>0.19909951222285804</v>
      </c>
      <c r="O3608" s="2">
        <f ca="1"/>
        <v>0.8045619316462912</v>
      </c>
      <c r="X3608" s="2">
        <f ca="1"/>
        <v>35.011609873848791</v>
      </c>
      <c r="AG3608" s="2">
        <f ca="1"/>
        <v>0.36685039538484454</v>
      </c>
      <c r="AH3608" s="2" t="str">
        <f ca="1"/>
        <v>OK</v>
      </c>
    </row>
    <row r="3609" spans="2:34" x14ac:dyDescent="0.2">
      <c r="B3609" s="2">
        <f ca="1"/>
        <v>0.53521096642324406</v>
      </c>
      <c r="O3609" s="2">
        <f ca="1"/>
        <v>-0.17822838532052826</v>
      </c>
      <c r="X3609" s="2">
        <f ca="1"/>
        <v>35.016615909074751</v>
      </c>
      <c r="AG3609" s="2">
        <f ca="1"/>
        <v>0.72731086087178354</v>
      </c>
      <c r="AH3609" s="2" t="str">
        <f ca="1"/>
        <v>Bad</v>
      </c>
    </row>
    <row r="3610" spans="2:34" x14ac:dyDescent="0.2">
      <c r="B3610" s="2">
        <f ca="1"/>
        <v>0.89849027981335094</v>
      </c>
      <c r="O3610" s="2">
        <f ca="1"/>
        <v>0.90259489237255541</v>
      </c>
      <c r="X3610" s="2">
        <f ca="1"/>
        <v>34.487556208299821</v>
      </c>
      <c r="AG3610" s="2">
        <f ca="1"/>
        <v>0.6174723719868469</v>
      </c>
      <c r="AH3610" s="2" t="str">
        <f ca="1"/>
        <v>Bad</v>
      </c>
    </row>
    <row r="3611" spans="2:34" x14ac:dyDescent="0.2">
      <c r="B3611" s="2">
        <f ca="1"/>
        <v>0.16734335427857827</v>
      </c>
      <c r="O3611" s="2">
        <f ca="1"/>
        <v>0.51622425030915009</v>
      </c>
      <c r="X3611" s="2">
        <f ca="1"/>
        <v>54.190017236915466</v>
      </c>
      <c r="AG3611" s="2">
        <f ca="1"/>
        <v>0.27770035526887904</v>
      </c>
      <c r="AH3611" s="2" t="str">
        <f ca="1"/>
        <v>OK</v>
      </c>
    </row>
    <row r="3612" spans="2:34" x14ac:dyDescent="0.2">
      <c r="B3612" s="2">
        <f ca="1"/>
        <v>0.2493317458619313</v>
      </c>
      <c r="O3612" s="2">
        <f ca="1"/>
        <v>-0.52525703985706917</v>
      </c>
      <c r="X3612" s="2">
        <f ca="1"/>
        <v>71.187670042327454</v>
      </c>
      <c r="AG3612" s="2">
        <f ca="1"/>
        <v>6.8608457355219032E-2</v>
      </c>
      <c r="AH3612" s="2" t="str">
        <f ca="1"/>
        <v>OK</v>
      </c>
    </row>
    <row r="3613" spans="2:34" x14ac:dyDescent="0.2">
      <c r="B3613" s="2">
        <f ca="1"/>
        <v>0.71046600888761979</v>
      </c>
      <c r="O3613" s="2">
        <f ca="1"/>
        <v>-0.61483473838293956</v>
      </c>
      <c r="X3613" s="2">
        <f ca="1"/>
        <v>46.412316612492674</v>
      </c>
      <c r="AG3613" s="2">
        <f ca="1"/>
        <v>0.37313746521987401</v>
      </c>
      <c r="AH3613" s="2" t="str">
        <f ca="1"/>
        <v>OK</v>
      </c>
    </row>
    <row r="3614" spans="2:34" x14ac:dyDescent="0.2">
      <c r="B3614" s="2">
        <f ca="1"/>
        <v>0.50937384427618126</v>
      </c>
      <c r="O3614" s="2">
        <f ca="1"/>
        <v>0.95431219706075787</v>
      </c>
      <c r="X3614" s="2">
        <f ca="1"/>
        <v>51.450607548808023</v>
      </c>
      <c r="AG3614" s="2">
        <f ca="1"/>
        <v>0.42302371402054884</v>
      </c>
      <c r="AH3614" s="2" t="str">
        <f ca="1"/>
        <v>Bad</v>
      </c>
    </row>
    <row r="3615" spans="2:34" x14ac:dyDescent="0.2">
      <c r="B3615" s="2">
        <f ca="1"/>
        <v>0.15490210004994109</v>
      </c>
      <c r="O3615" s="2">
        <f ca="1"/>
        <v>-0.73864375412772887</v>
      </c>
      <c r="X3615" s="2">
        <f ca="1"/>
        <v>77.030696119184029</v>
      </c>
      <c r="AG3615" s="2">
        <f ca="1"/>
        <v>0.66582287748472324</v>
      </c>
      <c r="AH3615" s="2" t="str">
        <f ca="1"/>
        <v>Bad</v>
      </c>
    </row>
    <row r="3616" spans="2:34" x14ac:dyDescent="0.2">
      <c r="B3616" s="2">
        <f ca="1"/>
        <v>0.68866617452491452</v>
      </c>
      <c r="O3616" s="2">
        <f ca="1"/>
        <v>-1.7995788889920388</v>
      </c>
      <c r="X3616" s="2">
        <f ca="1"/>
        <v>52.988897680570886</v>
      </c>
      <c r="AG3616" s="2">
        <f ca="1"/>
        <v>8.4642531517039377E-2</v>
      </c>
      <c r="AH3616" s="2" t="str">
        <f ca="1"/>
        <v>OK</v>
      </c>
    </row>
    <row r="3617" spans="2:34" x14ac:dyDescent="0.2">
      <c r="B3617" s="2">
        <f ca="1"/>
        <v>0.23458283023259208</v>
      </c>
      <c r="O3617" s="2">
        <f ca="1"/>
        <v>0.55491625008044754</v>
      </c>
      <c r="X3617" s="2">
        <f ca="1"/>
        <v>65.926559934895749</v>
      </c>
      <c r="AG3617" s="2">
        <f ca="1"/>
        <v>0.25942536601714372</v>
      </c>
      <c r="AH3617" s="2" t="str">
        <f ca="1"/>
        <v>OK</v>
      </c>
    </row>
    <row r="3618" spans="2:34" x14ac:dyDescent="0.2">
      <c r="B3618" s="2">
        <f ca="1"/>
        <v>0.75526105790774589</v>
      </c>
      <c r="O3618" s="2">
        <f ca="1"/>
        <v>-0.98268139073286664</v>
      </c>
      <c r="X3618" s="2">
        <f ca="1"/>
        <v>34.07943293767385</v>
      </c>
      <c r="AG3618" s="2">
        <f ca="1"/>
        <v>0.41620542816155459</v>
      </c>
      <c r="AH3618" s="2" t="str">
        <f ca="1"/>
        <v>Bad</v>
      </c>
    </row>
    <row r="3619" spans="2:34" x14ac:dyDescent="0.2">
      <c r="B3619" s="2">
        <f ca="1"/>
        <v>0.47725610529638818</v>
      </c>
      <c r="O3619" s="2">
        <f ca="1"/>
        <v>1.816450641372346</v>
      </c>
      <c r="X3619" s="2">
        <f ca="1"/>
        <v>45.304599672928234</v>
      </c>
      <c r="AG3619" s="2">
        <f ca="1"/>
        <v>0.11155983049282492</v>
      </c>
      <c r="AH3619" s="2" t="str">
        <f ca="1"/>
        <v>OK</v>
      </c>
    </row>
    <row r="3620" spans="2:34" x14ac:dyDescent="0.2">
      <c r="B3620" s="2">
        <f ca="1"/>
        <v>0.24372978957354641</v>
      </c>
      <c r="O3620" s="2">
        <f ca="1"/>
        <v>0.63450347751570724</v>
      </c>
      <c r="X3620" s="2">
        <f ca="1"/>
        <v>67.034406992529881</v>
      </c>
      <c r="AG3620" s="2">
        <f ca="1"/>
        <v>0.72065781332227741</v>
      </c>
      <c r="AH3620" s="2" t="str">
        <f ca="1"/>
        <v>Bad</v>
      </c>
    </row>
    <row r="3621" spans="2:34" x14ac:dyDescent="0.2">
      <c r="B3621" s="2">
        <f ca="1"/>
        <v>0.96349486889437164</v>
      </c>
      <c r="O3621" s="2">
        <f ca="1"/>
        <v>-2.9231785768263088E-2</v>
      </c>
      <c r="X3621" s="2">
        <f ca="1"/>
        <v>50.196962114316179</v>
      </c>
      <c r="AG3621" s="2">
        <f ca="1"/>
        <v>0.35244570730065172</v>
      </c>
      <c r="AH3621" s="2" t="str">
        <f ca="1"/>
        <v>OK</v>
      </c>
    </row>
    <row r="3622" spans="2:34" x14ac:dyDescent="0.2">
      <c r="B3622" s="2">
        <f ca="1"/>
        <v>4.8918775789851932E-2</v>
      </c>
      <c r="O3622" s="2">
        <f ca="1"/>
        <v>0.79984141654426189</v>
      </c>
      <c r="X3622" s="2">
        <f ca="1"/>
        <v>58.76543508937705</v>
      </c>
      <c r="AG3622" s="2">
        <f ca="1"/>
        <v>0.56430791619723353</v>
      </c>
      <c r="AH3622" s="2" t="str">
        <f ca="1"/>
        <v>Bad</v>
      </c>
    </row>
    <row r="3623" spans="2:34" x14ac:dyDescent="0.2">
      <c r="B3623" s="2">
        <f ca="1"/>
        <v>0.97521141887501228</v>
      </c>
      <c r="O3623" s="2">
        <f ca="1"/>
        <v>1.5717113382870791</v>
      </c>
      <c r="X3623" s="2">
        <f ca="1"/>
        <v>59.189560679072208</v>
      </c>
      <c r="AG3623" s="2">
        <f ca="1"/>
        <v>0.72024855521000797</v>
      </c>
      <c r="AH3623" s="2" t="str">
        <f ca="1"/>
        <v>Bad</v>
      </c>
    </row>
    <row r="3624" spans="2:34" x14ac:dyDescent="0.2">
      <c r="B3624" s="2">
        <f ca="1"/>
        <v>0.99739180497756852</v>
      </c>
      <c r="O3624" s="2">
        <f ca="1"/>
        <v>0.44274067789031157</v>
      </c>
      <c r="X3624" s="2">
        <f ca="1"/>
        <v>47.124370470634325</v>
      </c>
      <c r="AG3624" s="2">
        <f ca="1"/>
        <v>0.64969403527661629</v>
      </c>
      <c r="AH3624" s="2" t="str">
        <f ca="1"/>
        <v>Bad</v>
      </c>
    </row>
    <row r="3625" spans="2:34" x14ac:dyDescent="0.2">
      <c r="B3625" s="2">
        <f ca="1"/>
        <v>0.5448479002002824</v>
      </c>
      <c r="O3625" s="2">
        <f ca="1"/>
        <v>-1.4453869360032392</v>
      </c>
      <c r="X3625" s="2">
        <f ca="1"/>
        <v>79.547668805975576</v>
      </c>
      <c r="AG3625" s="2">
        <f ca="1"/>
        <v>0.6946988537862524</v>
      </c>
      <c r="AH3625" s="2" t="str">
        <f ca="1"/>
        <v>Bad</v>
      </c>
    </row>
    <row r="3626" spans="2:34" x14ac:dyDescent="0.2">
      <c r="B3626" s="2">
        <f ca="1"/>
        <v>0.90427878198134515</v>
      </c>
      <c r="O3626" s="2">
        <f ca="1"/>
        <v>-0.77263955405928941</v>
      </c>
      <c r="X3626" s="2">
        <f ca="1"/>
        <v>78.486606214097208</v>
      </c>
      <c r="AG3626" s="2">
        <f ca="1"/>
        <v>0.29460963335593005</v>
      </c>
      <c r="AH3626" s="2" t="str">
        <f ca="1"/>
        <v>OK</v>
      </c>
    </row>
    <row r="3627" spans="2:34" x14ac:dyDescent="0.2">
      <c r="B3627" s="2">
        <f ca="1"/>
        <v>0.10954500621296726</v>
      </c>
      <c r="O3627" s="2">
        <f ca="1"/>
        <v>-1.4944963049945084</v>
      </c>
      <c r="X3627" s="2">
        <f ca="1"/>
        <v>49.979715176316944</v>
      </c>
      <c r="AG3627" s="2">
        <f ca="1"/>
        <v>0.21208783676941745</v>
      </c>
      <c r="AH3627" s="2" t="str">
        <f ca="1"/>
        <v>OK</v>
      </c>
    </row>
    <row r="3628" spans="2:34" x14ac:dyDescent="0.2">
      <c r="B3628" s="2">
        <f ca="1"/>
        <v>5.6833364582694168E-2</v>
      </c>
      <c r="O3628" s="2">
        <f ca="1"/>
        <v>-3.0051024794934995</v>
      </c>
      <c r="X3628" s="2">
        <f ca="1"/>
        <v>35.61727812420667</v>
      </c>
      <c r="AG3628" s="2">
        <f ca="1"/>
        <v>0.51318295846202133</v>
      </c>
      <c r="AH3628" s="2" t="str">
        <f ca="1"/>
        <v>Bad</v>
      </c>
    </row>
    <row r="3629" spans="2:34" x14ac:dyDescent="0.2">
      <c r="B3629" s="2">
        <f ca="1"/>
        <v>0.45493874677985446</v>
      </c>
      <c r="O3629" s="2">
        <f ca="1"/>
        <v>-1.3171553073013877</v>
      </c>
      <c r="X3629" s="2">
        <f ca="1"/>
        <v>39.79781211758096</v>
      </c>
      <c r="AG3629" s="2">
        <f ca="1"/>
        <v>0.38816874588817107</v>
      </c>
      <c r="AH3629" s="2" t="str">
        <f ca="1"/>
        <v>OK</v>
      </c>
    </row>
    <row r="3630" spans="2:34" x14ac:dyDescent="0.2">
      <c r="B3630" s="2">
        <f ca="1"/>
        <v>0.52109478484550231</v>
      </c>
      <c r="O3630" s="2">
        <f ca="1"/>
        <v>1.566615112306095</v>
      </c>
      <c r="X3630" s="2">
        <f ca="1"/>
        <v>57.158752440976528</v>
      </c>
      <c r="AG3630" s="2">
        <f ca="1"/>
        <v>0.29796154659322038</v>
      </c>
      <c r="AH3630" s="2" t="str">
        <f ca="1"/>
        <v>OK</v>
      </c>
    </row>
    <row r="3631" spans="2:34" x14ac:dyDescent="0.2">
      <c r="B3631" s="2">
        <f ca="1"/>
        <v>0.42434125689549584</v>
      </c>
      <c r="O3631" s="2">
        <f ca="1"/>
        <v>3.1454604981307581E-2</v>
      </c>
      <c r="X3631" s="2">
        <f ca="1"/>
        <v>58.493529384854448</v>
      </c>
      <c r="AG3631" s="2">
        <f ca="1"/>
        <v>0.11479056225679174</v>
      </c>
      <c r="AH3631" s="2" t="str">
        <f ca="1"/>
        <v>OK</v>
      </c>
    </row>
    <row r="3632" spans="2:34" x14ac:dyDescent="0.2">
      <c r="B3632" s="2">
        <f ca="1"/>
        <v>0.64325880375078892</v>
      </c>
      <c r="O3632" s="2">
        <f ca="1"/>
        <v>0.28608124768905185</v>
      </c>
      <c r="X3632" s="2">
        <f ca="1"/>
        <v>77.098330207414548</v>
      </c>
      <c r="AG3632" s="2">
        <f ca="1"/>
        <v>0.62708600663087233</v>
      </c>
      <c r="AH3632" s="2" t="str">
        <f ca="1"/>
        <v>Bad</v>
      </c>
    </row>
    <row r="3633" spans="2:34" x14ac:dyDescent="0.2">
      <c r="B3633" s="2">
        <f ca="1"/>
        <v>0.80816789286123214</v>
      </c>
      <c r="O3633" s="2">
        <f ca="1"/>
        <v>0.14917441868781245</v>
      </c>
      <c r="X3633" s="2">
        <f ca="1"/>
        <v>78.737669381250043</v>
      </c>
      <c r="AG3633" s="2">
        <f ca="1"/>
        <v>0.66543586007866873</v>
      </c>
      <c r="AH3633" s="2" t="str">
        <f ca="1"/>
        <v>Bad</v>
      </c>
    </row>
    <row r="3634" spans="2:34" x14ac:dyDescent="0.2">
      <c r="B3634" s="2">
        <f ca="1"/>
        <v>0.38500199864553863</v>
      </c>
      <c r="O3634" s="2">
        <f ca="1"/>
        <v>1.2119959789994839</v>
      </c>
      <c r="X3634" s="2">
        <f ca="1"/>
        <v>45.736271906868417</v>
      </c>
      <c r="AG3634" s="2">
        <f ca="1"/>
        <v>0.17535352999445819</v>
      </c>
      <c r="AH3634" s="2" t="str">
        <f ca="1"/>
        <v>OK</v>
      </c>
    </row>
    <row r="3635" spans="2:34" x14ac:dyDescent="0.2">
      <c r="B3635" s="2">
        <f ca="1"/>
        <v>4.4459358612510824E-2</v>
      </c>
      <c r="O3635" s="2">
        <f ca="1"/>
        <v>-2.2712175991224877</v>
      </c>
      <c r="X3635" s="2">
        <f ca="1"/>
        <v>66.903293364968377</v>
      </c>
      <c r="AG3635" s="2">
        <f ca="1"/>
        <v>0.80925703148383654</v>
      </c>
      <c r="AH3635" s="2" t="str">
        <f ca="1"/>
        <v>Bad</v>
      </c>
    </row>
    <row r="3636" spans="2:34" x14ac:dyDescent="0.2">
      <c r="B3636" s="2">
        <f ca="1"/>
        <v>0.36313217397137532</v>
      </c>
      <c r="O3636" s="2">
        <f ca="1"/>
        <v>-1.7275763419085183E-2</v>
      </c>
      <c r="X3636" s="2">
        <f ca="1"/>
        <v>58.29450158728158</v>
      </c>
      <c r="AG3636" s="2">
        <f ca="1"/>
        <v>0.50025112857896814</v>
      </c>
      <c r="AH3636" s="2" t="str">
        <f ca="1"/>
        <v>Bad</v>
      </c>
    </row>
    <row r="3637" spans="2:34" x14ac:dyDescent="0.2">
      <c r="B3637" s="2">
        <f ca="1"/>
        <v>0.28814827529581755</v>
      </c>
      <c r="O3637" s="2">
        <f ca="1"/>
        <v>-1.3536387201083182</v>
      </c>
      <c r="X3637" s="2">
        <f ca="1"/>
        <v>69.328746472798258</v>
      </c>
      <c r="AG3637" s="2">
        <f ca="1"/>
        <v>0.17879676735994354</v>
      </c>
      <c r="AH3637" s="2" t="str">
        <f ca="1"/>
        <v>OK</v>
      </c>
    </row>
    <row r="3638" spans="2:34" x14ac:dyDescent="0.2">
      <c r="B3638" s="2">
        <f ca="1"/>
        <v>0.56817080747626192</v>
      </c>
      <c r="O3638" s="2">
        <f ca="1"/>
        <v>0.33818235839835636</v>
      </c>
      <c r="X3638" s="2">
        <f ca="1"/>
        <v>117.50024163837006</v>
      </c>
      <c r="AG3638" s="2">
        <f ca="1"/>
        <v>6.8532098343738745E-3</v>
      </c>
      <c r="AH3638" s="2" t="str">
        <f ca="1"/>
        <v>Good</v>
      </c>
    </row>
    <row r="3639" spans="2:34" x14ac:dyDescent="0.2">
      <c r="B3639" s="2">
        <f ca="1"/>
        <v>0.50787034706796041</v>
      </c>
      <c r="O3639" s="2">
        <f ca="1"/>
        <v>0.99398881474412637</v>
      </c>
      <c r="X3639" s="2">
        <f ca="1"/>
        <v>59.302469828738573</v>
      </c>
      <c r="AG3639" s="2">
        <f ca="1"/>
        <v>4.1633202549521853E-2</v>
      </c>
      <c r="AH3639" s="2" t="str">
        <f ca="1"/>
        <v>Good</v>
      </c>
    </row>
    <row r="3640" spans="2:34" x14ac:dyDescent="0.2">
      <c r="B3640" s="2">
        <f ca="1"/>
        <v>0.13255801620091812</v>
      </c>
      <c r="O3640" s="2">
        <f ca="1"/>
        <v>-0.95467254869151585</v>
      </c>
      <c r="X3640" s="2">
        <f ca="1"/>
        <v>67.974490705259612</v>
      </c>
      <c r="AG3640" s="2">
        <f ca="1"/>
        <v>0.55888376185761079</v>
      </c>
      <c r="AH3640" s="2" t="str">
        <f ca="1"/>
        <v>Bad</v>
      </c>
    </row>
    <row r="3641" spans="2:34" x14ac:dyDescent="0.2">
      <c r="B3641" s="2">
        <f ca="1"/>
        <v>0.96354282275448488</v>
      </c>
      <c r="O3641" s="2">
        <f ca="1"/>
        <v>-0.57212093657578456</v>
      </c>
      <c r="X3641" s="2">
        <f ca="1"/>
        <v>59.824043009976478</v>
      </c>
      <c r="AG3641" s="2">
        <f ca="1"/>
        <v>0.34426237691373851</v>
      </c>
      <c r="AH3641" s="2" t="str">
        <f ca="1"/>
        <v>OK</v>
      </c>
    </row>
    <row r="3642" spans="2:34" x14ac:dyDescent="0.2">
      <c r="B3642" s="2">
        <f ca="1"/>
        <v>0.98858220560869059</v>
      </c>
      <c r="O3642" s="2">
        <f ca="1"/>
        <v>-1.139105922813836</v>
      </c>
      <c r="X3642" s="2">
        <f ca="1"/>
        <v>58.472599503615442</v>
      </c>
      <c r="AG3642" s="2">
        <f ca="1"/>
        <v>0.43143384411630925</v>
      </c>
      <c r="AH3642" s="2" t="str">
        <f ca="1"/>
        <v>Bad</v>
      </c>
    </row>
    <row r="3643" spans="2:34" x14ac:dyDescent="0.2">
      <c r="B3643" s="2">
        <f ca="1"/>
        <v>0.37335210146786735</v>
      </c>
      <c r="O3643" s="2">
        <f ca="1"/>
        <v>-1.1465161433365805</v>
      </c>
      <c r="X3643" s="2">
        <f ca="1"/>
        <v>66.931611639227938</v>
      </c>
      <c r="AG3643" s="2">
        <f ca="1"/>
        <v>0.78206601618015492</v>
      </c>
      <c r="AH3643" s="2" t="str">
        <f ca="1"/>
        <v>Bad</v>
      </c>
    </row>
    <row r="3644" spans="2:34" x14ac:dyDescent="0.2">
      <c r="B3644" s="2">
        <f ca="1"/>
        <v>0.39718074674420012</v>
      </c>
      <c r="O3644" s="2">
        <f ca="1"/>
        <v>0.25349613254845454</v>
      </c>
      <c r="X3644" s="2">
        <f ca="1"/>
        <v>56.40694939369655</v>
      </c>
      <c r="AG3644" s="2">
        <f ca="1"/>
        <v>0.49648433973375083</v>
      </c>
      <c r="AH3644" s="2" t="str">
        <f ca="1"/>
        <v>Bad</v>
      </c>
    </row>
    <row r="3645" spans="2:34" x14ac:dyDescent="0.2">
      <c r="B3645" s="2">
        <f ca="1"/>
        <v>0.71946394018133208</v>
      </c>
      <c r="O3645" s="2">
        <f ca="1"/>
        <v>-1.5752840706058364</v>
      </c>
      <c r="X3645" s="2">
        <f ca="1"/>
        <v>61.986579754235144</v>
      </c>
      <c r="AG3645" s="2">
        <f ca="1"/>
        <v>0.93987704864240484</v>
      </c>
      <c r="AH3645" s="2" t="str">
        <f ca="1"/>
        <v>Bad</v>
      </c>
    </row>
    <row r="3646" spans="2:34" x14ac:dyDescent="0.2">
      <c r="B3646" s="2">
        <f ca="1"/>
        <v>0.27430884613423312</v>
      </c>
      <c r="O3646" s="2">
        <f ca="1"/>
        <v>0.34763153191759044</v>
      </c>
      <c r="X3646" s="2">
        <f ca="1"/>
        <v>40.509440342135122</v>
      </c>
      <c r="AG3646" s="2">
        <f ca="1"/>
        <v>0.26867799049812779</v>
      </c>
      <c r="AH3646" s="2" t="str">
        <f ca="1"/>
        <v>OK</v>
      </c>
    </row>
    <row r="3647" spans="2:34" x14ac:dyDescent="0.2">
      <c r="B3647" s="2">
        <f ca="1"/>
        <v>0.68327702935490131</v>
      </c>
      <c r="O3647" s="2">
        <f ca="1"/>
        <v>-0.6709566013649888</v>
      </c>
      <c r="X3647" s="2">
        <f ca="1"/>
        <v>62.118184561167794</v>
      </c>
      <c r="AG3647" s="2">
        <f ca="1"/>
        <v>0.88384538823207737</v>
      </c>
      <c r="AH3647" s="2" t="str">
        <f ca="1"/>
        <v>Bad</v>
      </c>
    </row>
    <row r="3648" spans="2:34" x14ac:dyDescent="0.2">
      <c r="B3648" s="2">
        <f ca="1"/>
        <v>9.2480056016919887E-2</v>
      </c>
      <c r="O3648" s="2">
        <f ca="1"/>
        <v>-0.84991257957435729</v>
      </c>
      <c r="X3648" s="2">
        <f ca="1"/>
        <v>41.290723761968508</v>
      </c>
      <c r="AG3648" s="2">
        <f ca="1"/>
        <v>0.77022580773570137</v>
      </c>
      <c r="AH3648" s="2" t="str">
        <f ca="1"/>
        <v>Bad</v>
      </c>
    </row>
    <row r="3649" spans="2:34" x14ac:dyDescent="0.2">
      <c r="B3649" s="2">
        <f ca="1"/>
        <v>9.8850929306606883E-2</v>
      </c>
      <c r="O3649" s="2">
        <f ca="1"/>
        <v>0.49638590618243089</v>
      </c>
      <c r="X3649" s="2">
        <f ca="1"/>
        <v>65.136753395004192</v>
      </c>
      <c r="AG3649" s="2">
        <f ca="1"/>
        <v>0.52421117339761047</v>
      </c>
      <c r="AH3649" s="2" t="str">
        <f ca="1"/>
        <v>Bad</v>
      </c>
    </row>
    <row r="3650" spans="2:34" x14ac:dyDescent="0.2">
      <c r="B3650" s="2">
        <f ca="1"/>
        <v>0.19426846285863242</v>
      </c>
      <c r="O3650" s="2">
        <f ca="1"/>
        <v>-0.58634555923946619</v>
      </c>
      <c r="X3650" s="2">
        <f ca="1"/>
        <v>84.175699814218575</v>
      </c>
      <c r="AG3650" s="2">
        <f ca="1"/>
        <v>0.34630963243238155</v>
      </c>
      <c r="AH3650" s="2" t="str">
        <f ca="1"/>
        <v>OK</v>
      </c>
    </row>
    <row r="3651" spans="2:34" x14ac:dyDescent="0.2">
      <c r="B3651" s="2">
        <f ca="1"/>
        <v>0.20626611024418273</v>
      </c>
      <c r="O3651" s="2">
        <f ca="1"/>
        <v>-0.87280850188296411</v>
      </c>
      <c r="X3651" s="2">
        <f ca="1"/>
        <v>34.617704944943746</v>
      </c>
      <c r="AG3651" s="2">
        <f ca="1"/>
        <v>0.28883989085307449</v>
      </c>
      <c r="AH3651" s="2" t="str">
        <f ca="1"/>
        <v>OK</v>
      </c>
    </row>
    <row r="3652" spans="2:34" x14ac:dyDescent="0.2">
      <c r="B3652" s="2">
        <f ca="1"/>
        <v>0.96488952801772254</v>
      </c>
      <c r="O3652" s="2">
        <f ca="1"/>
        <v>-1.1445530701870921</v>
      </c>
      <c r="X3652" s="2">
        <f ca="1"/>
        <v>55.325407955113882</v>
      </c>
      <c r="AG3652" s="2">
        <f ca="1"/>
        <v>0.89532219291817228</v>
      </c>
      <c r="AH3652" s="2" t="str">
        <f ca="1"/>
        <v>Bad</v>
      </c>
    </row>
    <row r="3653" spans="2:34" x14ac:dyDescent="0.2">
      <c r="B3653" s="2">
        <f ca="1"/>
        <v>0.45553934931394457</v>
      </c>
      <c r="O3653" s="2">
        <f ca="1"/>
        <v>-0.83048049900583121</v>
      </c>
      <c r="X3653" s="2">
        <f ca="1"/>
        <v>33.377480535384208</v>
      </c>
      <c r="AG3653" s="2">
        <f ca="1"/>
        <v>0.55753113585150516</v>
      </c>
      <c r="AH3653" s="2" t="str">
        <f ca="1"/>
        <v>Bad</v>
      </c>
    </row>
    <row r="3654" spans="2:34" x14ac:dyDescent="0.2">
      <c r="B3654" s="2">
        <f ca="1"/>
        <v>7.2815786233050739E-2</v>
      </c>
      <c r="O3654" s="2">
        <f ca="1"/>
        <v>0.37484049900381605</v>
      </c>
      <c r="X3654" s="2">
        <f ca="1"/>
        <v>54.169577530599923</v>
      </c>
      <c r="AG3654" s="2">
        <f ca="1"/>
        <v>0.37514683912404534</v>
      </c>
      <c r="AH3654" s="2" t="str">
        <f ca="1"/>
        <v>OK</v>
      </c>
    </row>
    <row r="3655" spans="2:34" x14ac:dyDescent="0.2">
      <c r="B3655" s="2">
        <f ca="1"/>
        <v>9.6754434480054163E-2</v>
      </c>
      <c r="O3655" s="2">
        <f ca="1"/>
        <v>1.5335481716798518</v>
      </c>
      <c r="X3655" s="2">
        <f ca="1"/>
        <v>62.842607786769527</v>
      </c>
      <c r="AG3655" s="2">
        <f ca="1"/>
        <v>0.84597191769091484</v>
      </c>
      <c r="AH3655" s="2" t="str">
        <f ca="1"/>
        <v>Bad</v>
      </c>
    </row>
    <row r="3656" spans="2:34" x14ac:dyDescent="0.2">
      <c r="B3656" s="2">
        <f ca="1"/>
        <v>0.67433979695008928</v>
      </c>
      <c r="O3656" s="2">
        <f ca="1"/>
        <v>-0.50582468313796913</v>
      </c>
      <c r="X3656" s="2">
        <f ca="1"/>
        <v>47.909899757277955</v>
      </c>
      <c r="AG3656" s="2">
        <f ca="1"/>
        <v>0.43313141159752133</v>
      </c>
      <c r="AH3656" s="2" t="str">
        <f ca="1"/>
        <v>Bad</v>
      </c>
    </row>
    <row r="3657" spans="2:34" x14ac:dyDescent="0.2">
      <c r="B3657" s="2">
        <f ca="1"/>
        <v>0.23903506633511062</v>
      </c>
      <c r="O3657" s="2">
        <f ca="1"/>
        <v>-1.0048140768761171</v>
      </c>
      <c r="X3657" s="2">
        <f ca="1"/>
        <v>37.904053496195104</v>
      </c>
      <c r="AG3657" s="2">
        <f ca="1"/>
        <v>0.37232330868233721</v>
      </c>
      <c r="AH3657" s="2" t="str">
        <f ca="1"/>
        <v>OK</v>
      </c>
    </row>
    <row r="3658" spans="2:34" x14ac:dyDescent="0.2">
      <c r="B3658" s="2">
        <f ca="1"/>
        <v>0.8811387518352003</v>
      </c>
      <c r="O3658" s="2">
        <f ca="1"/>
        <v>-1.4702312339469836</v>
      </c>
      <c r="X3658" s="2">
        <f ca="1"/>
        <v>26.311094379753939</v>
      </c>
      <c r="AG3658" s="2">
        <f ca="1"/>
        <v>0.80334248762478944</v>
      </c>
      <c r="AH3658" s="2" t="str">
        <f ca="1"/>
        <v>Bad</v>
      </c>
    </row>
    <row r="3659" spans="2:34" x14ac:dyDescent="0.2">
      <c r="B3659" s="2">
        <f ca="1"/>
        <v>0.4574857346581005</v>
      </c>
      <c r="O3659" s="2">
        <f ca="1"/>
        <v>0.93499766383865257</v>
      </c>
      <c r="X3659" s="2">
        <f ca="1"/>
        <v>55.571537987071807</v>
      </c>
      <c r="AG3659" s="2">
        <f ca="1"/>
        <v>0.65138149156983971</v>
      </c>
      <c r="AH3659" s="2" t="str">
        <f ca="1"/>
        <v>Bad</v>
      </c>
    </row>
    <row r="3660" spans="2:34" x14ac:dyDescent="0.2">
      <c r="B3660" s="2">
        <f ca="1"/>
        <v>0.48611360991800812</v>
      </c>
      <c r="O3660" s="2">
        <f ca="1"/>
        <v>0.45330030065235</v>
      </c>
      <c r="X3660" s="2">
        <f ca="1"/>
        <v>36.087697315229775</v>
      </c>
      <c r="AG3660" s="2">
        <f ca="1"/>
        <v>0.66710983145789249</v>
      </c>
      <c r="AH3660" s="2" t="str">
        <f ca="1"/>
        <v>Bad</v>
      </c>
    </row>
    <row r="3661" spans="2:34" x14ac:dyDescent="0.2">
      <c r="B3661" s="2">
        <f ca="1"/>
        <v>0.76148530660038305</v>
      </c>
      <c r="O3661" s="2">
        <f ca="1"/>
        <v>1.659636235915225</v>
      </c>
      <c r="X3661" s="2">
        <f ca="1"/>
        <v>55.819265326685581</v>
      </c>
      <c r="AG3661" s="2">
        <f ca="1"/>
        <v>1.7895342565411587E-2</v>
      </c>
      <c r="AH3661" s="2" t="str">
        <f ca="1"/>
        <v>Good</v>
      </c>
    </row>
    <row r="3662" spans="2:34" x14ac:dyDescent="0.2">
      <c r="B3662" s="2">
        <f ca="1"/>
        <v>0.64022926582303863</v>
      </c>
      <c r="O3662" s="2">
        <f ca="1"/>
        <v>-0.20998236016662841</v>
      </c>
      <c r="X3662" s="2">
        <f ca="1"/>
        <v>72.098304761682954</v>
      </c>
      <c r="AG3662" s="2">
        <f ca="1"/>
        <v>0.88752680289677732</v>
      </c>
      <c r="AH3662" s="2" t="str">
        <f ca="1"/>
        <v>Bad</v>
      </c>
    </row>
    <row r="3663" spans="2:34" x14ac:dyDescent="0.2">
      <c r="B3663" s="2">
        <f ca="1"/>
        <v>0.66550069882705865</v>
      </c>
      <c r="O3663" s="2">
        <f ca="1"/>
        <v>-1.4358400918582883</v>
      </c>
      <c r="X3663" s="2">
        <f ca="1"/>
        <v>83.621944492469026</v>
      </c>
      <c r="AG3663" s="2">
        <f ca="1"/>
        <v>0.71859796002152199</v>
      </c>
      <c r="AH3663" s="2" t="str">
        <f ca="1"/>
        <v>Bad</v>
      </c>
    </row>
    <row r="3664" spans="2:34" x14ac:dyDescent="0.2">
      <c r="B3664" s="2">
        <f ca="1"/>
        <v>0.99346491420729555</v>
      </c>
      <c r="O3664" s="2">
        <f ca="1"/>
        <v>0.10533277685313197</v>
      </c>
      <c r="X3664" s="2">
        <f ca="1"/>
        <v>56.939256105436378</v>
      </c>
      <c r="AG3664" s="2">
        <f ca="1"/>
        <v>0.99211762945420356</v>
      </c>
      <c r="AH3664" s="2" t="str">
        <f ca="1"/>
        <v>Bad</v>
      </c>
    </row>
    <row r="3665" spans="2:34" x14ac:dyDescent="0.2">
      <c r="B3665" s="2">
        <f ca="1"/>
        <v>0.5181388185660718</v>
      </c>
      <c r="O3665" s="2">
        <f ca="1"/>
        <v>4.5146782481800221E-2</v>
      </c>
      <c r="X3665" s="2">
        <f ca="1"/>
        <v>48.418207564979753</v>
      </c>
      <c r="AG3665" s="2">
        <f ca="1"/>
        <v>0.20756760733097868</v>
      </c>
      <c r="AH3665" s="2" t="str">
        <f ca="1"/>
        <v>OK</v>
      </c>
    </row>
    <row r="3666" spans="2:34" x14ac:dyDescent="0.2">
      <c r="B3666" s="2">
        <f ca="1"/>
        <v>0.12408078771453934</v>
      </c>
      <c r="O3666" s="2">
        <f ca="1"/>
        <v>3.0656979696103748</v>
      </c>
      <c r="X3666" s="2">
        <f ca="1"/>
        <v>44.388362495138736</v>
      </c>
      <c r="AG3666" s="2">
        <f ca="1"/>
        <v>0.21069486894876355</v>
      </c>
      <c r="AH3666" s="2" t="str">
        <f ca="1"/>
        <v>OK</v>
      </c>
    </row>
    <row r="3667" spans="2:34" x14ac:dyDescent="0.2">
      <c r="B3667" s="2">
        <f ca="1"/>
        <v>0.11069236064061605</v>
      </c>
      <c r="O3667" s="2">
        <f ca="1"/>
        <v>0.98399333697005309</v>
      </c>
      <c r="X3667" s="2">
        <f ca="1"/>
        <v>50.417839410205552</v>
      </c>
      <c r="AG3667" s="2">
        <f ca="1"/>
        <v>0.31000319853009417</v>
      </c>
      <c r="AH3667" s="2" t="str">
        <f ca="1"/>
        <v>OK</v>
      </c>
    </row>
    <row r="3668" spans="2:34" x14ac:dyDescent="0.2">
      <c r="B3668" s="2">
        <f ca="1"/>
        <v>0.87681456791378243</v>
      </c>
      <c r="O3668" s="2">
        <f ca="1"/>
        <v>1.3117289842962152</v>
      </c>
      <c r="X3668" s="2">
        <f ca="1"/>
        <v>29.155530838726182</v>
      </c>
      <c r="AG3668" s="2">
        <f ca="1"/>
        <v>0.1390434726618035</v>
      </c>
      <c r="AH3668" s="2" t="str">
        <f ca="1"/>
        <v>OK</v>
      </c>
    </row>
    <row r="3669" spans="2:34" x14ac:dyDescent="0.2">
      <c r="B3669" s="2">
        <f ca="1"/>
        <v>5.7172135819752778E-2</v>
      </c>
      <c r="O3669" s="2">
        <f ca="1"/>
        <v>-2.5921910418194062E-2</v>
      </c>
      <c r="X3669" s="2">
        <f ca="1"/>
        <v>67.190985440562002</v>
      </c>
      <c r="AG3669" s="2">
        <f ca="1"/>
        <v>0.55434610686330332</v>
      </c>
      <c r="AH3669" s="2" t="str">
        <f ca="1"/>
        <v>Bad</v>
      </c>
    </row>
    <row r="3670" spans="2:34" x14ac:dyDescent="0.2">
      <c r="B3670" s="2">
        <f ca="1"/>
        <v>0.73651213440828922</v>
      </c>
      <c r="O3670" s="2">
        <f ca="1"/>
        <v>-1.0115575842354001</v>
      </c>
      <c r="X3670" s="2">
        <f ca="1"/>
        <v>39.781973284810007</v>
      </c>
      <c r="AG3670" s="2">
        <f ca="1"/>
        <v>0.53987467217155816</v>
      </c>
      <c r="AH3670" s="2" t="str">
        <f ca="1"/>
        <v>Bad</v>
      </c>
    </row>
    <row r="3671" spans="2:34" x14ac:dyDescent="0.2">
      <c r="B3671" s="2">
        <f ca="1"/>
        <v>0.73042963622303136</v>
      </c>
      <c r="O3671" s="2">
        <f ca="1"/>
        <v>0.6048317598340357</v>
      </c>
      <c r="X3671" s="2">
        <f ca="1"/>
        <v>28.293852362886312</v>
      </c>
      <c r="AG3671" s="2">
        <f ca="1"/>
        <v>0.98239187201462541</v>
      </c>
      <c r="AH3671" s="2" t="str">
        <f ca="1"/>
        <v>Bad</v>
      </c>
    </row>
    <row r="3672" spans="2:34" x14ac:dyDescent="0.2">
      <c r="B3672" s="2">
        <f ca="1"/>
        <v>0.8951223123824108</v>
      </c>
      <c r="O3672" s="2">
        <f ca="1"/>
        <v>0.74234663218147134</v>
      </c>
      <c r="X3672" s="2">
        <f ca="1"/>
        <v>31.551584702229682</v>
      </c>
      <c r="AG3672" s="2">
        <f ca="1"/>
        <v>0.76186958982028763</v>
      </c>
      <c r="AH3672" s="2" t="str">
        <f ca="1"/>
        <v>Bad</v>
      </c>
    </row>
    <row r="3673" spans="2:34" x14ac:dyDescent="0.2">
      <c r="B3673" s="2">
        <f ca="1"/>
        <v>0.33335468102037624</v>
      </c>
      <c r="O3673" s="2">
        <f ca="1"/>
        <v>0.20361929113240038</v>
      </c>
      <c r="X3673" s="2">
        <f ca="1"/>
        <v>32.904952553870814</v>
      </c>
      <c r="AG3673" s="2">
        <f ca="1"/>
        <v>5.6642459856949934E-2</v>
      </c>
      <c r="AH3673" s="2" t="str">
        <f ca="1"/>
        <v>OK</v>
      </c>
    </row>
    <row r="3674" spans="2:34" x14ac:dyDescent="0.2">
      <c r="B3674" s="2">
        <f ca="1"/>
        <v>0.86240089119449959</v>
      </c>
      <c r="O3674" s="2">
        <f ca="1"/>
        <v>-0.99128296234566315</v>
      </c>
      <c r="X3674" s="2">
        <f ca="1"/>
        <v>56.782890701972313</v>
      </c>
      <c r="AG3674" s="2">
        <f ca="1"/>
        <v>0.87340287795373173</v>
      </c>
      <c r="AH3674" s="2" t="str">
        <f ca="1"/>
        <v>Bad</v>
      </c>
    </row>
    <row r="3675" spans="2:34" x14ac:dyDescent="0.2">
      <c r="B3675" s="2">
        <f ca="1"/>
        <v>0.38028655424228464</v>
      </c>
      <c r="O3675" s="2">
        <f ca="1"/>
        <v>-0.68781525130521337</v>
      </c>
      <c r="X3675" s="2">
        <f ca="1"/>
        <v>56.978987645064038</v>
      </c>
      <c r="AG3675" s="2">
        <f ca="1"/>
        <v>0.25495534242806084</v>
      </c>
      <c r="AH3675" s="2" t="str">
        <f ca="1"/>
        <v>OK</v>
      </c>
    </row>
    <row r="3676" spans="2:34" x14ac:dyDescent="0.2">
      <c r="B3676" s="2">
        <f ca="1"/>
        <v>0.77301905568669671</v>
      </c>
      <c r="O3676" s="2">
        <f ca="1"/>
        <v>1.1396782931538187</v>
      </c>
      <c r="X3676" s="2">
        <f ca="1"/>
        <v>44.114649540064114</v>
      </c>
      <c r="AG3676" s="2">
        <f ca="1"/>
        <v>0.9180378693190101</v>
      </c>
      <c r="AH3676" s="2" t="str">
        <f ca="1"/>
        <v>Bad</v>
      </c>
    </row>
    <row r="3677" spans="2:34" x14ac:dyDescent="0.2">
      <c r="B3677" s="2">
        <f ca="1"/>
        <v>0.44111197222489418</v>
      </c>
      <c r="O3677" s="2">
        <f ca="1"/>
        <v>-1.3420434085893556</v>
      </c>
      <c r="X3677" s="2">
        <f ca="1"/>
        <v>40.494865717711889</v>
      </c>
      <c r="AG3677" s="2">
        <f ca="1"/>
        <v>0.87476150410919296</v>
      </c>
      <c r="AH3677" s="2" t="str">
        <f ca="1"/>
        <v>Bad</v>
      </c>
    </row>
    <row r="3678" spans="2:34" x14ac:dyDescent="0.2">
      <c r="B3678" s="2">
        <f ca="1"/>
        <v>0.93132878577500744</v>
      </c>
      <c r="O3678" s="2">
        <f ca="1"/>
        <v>-0.40940303705229536</v>
      </c>
      <c r="X3678" s="2">
        <f ca="1"/>
        <v>46.310548136268807</v>
      </c>
      <c r="AG3678" s="2">
        <f ca="1"/>
        <v>0.70617466412015961</v>
      </c>
      <c r="AH3678" s="2" t="str">
        <f ca="1"/>
        <v>Bad</v>
      </c>
    </row>
    <row r="3679" spans="2:34" x14ac:dyDescent="0.2">
      <c r="B3679" s="2">
        <f ca="1"/>
        <v>0.20263059754713564</v>
      </c>
      <c r="O3679" s="2">
        <f ca="1"/>
        <v>0.3092739991688801</v>
      </c>
      <c r="X3679" s="2">
        <f ca="1"/>
        <v>59.972712087927526</v>
      </c>
      <c r="AG3679" s="2">
        <f ca="1"/>
        <v>0.52170583175091001</v>
      </c>
      <c r="AH3679" s="2" t="str">
        <f ca="1"/>
        <v>Bad</v>
      </c>
    </row>
    <row r="3680" spans="2:34" x14ac:dyDescent="0.2">
      <c r="B3680" s="2">
        <f ca="1"/>
        <v>0.86796290670921006</v>
      </c>
      <c r="O3680" s="2">
        <f ca="1"/>
        <v>-1.8198143609575703</v>
      </c>
      <c r="X3680" s="2">
        <f ca="1"/>
        <v>46.747615934780846</v>
      </c>
      <c r="AG3680" s="2">
        <f ca="1"/>
        <v>0.55012925581722127</v>
      </c>
      <c r="AH3680" s="2" t="str">
        <f ca="1"/>
        <v>Bad</v>
      </c>
    </row>
    <row r="3681" spans="2:34" x14ac:dyDescent="0.2">
      <c r="B3681" s="2">
        <f ca="1"/>
        <v>0.60447474638427745</v>
      </c>
      <c r="O3681" s="2">
        <f ca="1"/>
        <v>-0.16509080870456194</v>
      </c>
      <c r="X3681" s="2">
        <f ca="1"/>
        <v>26.745827195295821</v>
      </c>
      <c r="AG3681" s="2">
        <f ca="1"/>
        <v>9.9024355297125277E-2</v>
      </c>
      <c r="AH3681" s="2" t="str">
        <f ca="1"/>
        <v>OK</v>
      </c>
    </row>
    <row r="3682" spans="2:34" x14ac:dyDescent="0.2">
      <c r="B3682" s="2">
        <f ca="1"/>
        <v>0.57382165058860601</v>
      </c>
      <c r="O3682" s="2">
        <f ca="1"/>
        <v>0.99349635761195054</v>
      </c>
      <c r="X3682" s="2">
        <f ca="1"/>
        <v>65.90427589054552</v>
      </c>
      <c r="AG3682" s="2">
        <f ca="1"/>
        <v>2.7718269848516552E-2</v>
      </c>
      <c r="AH3682" s="2" t="str">
        <f ca="1"/>
        <v>Good</v>
      </c>
    </row>
    <row r="3683" spans="2:34" x14ac:dyDescent="0.2">
      <c r="B3683" s="2">
        <f ca="1"/>
        <v>0.21284654060278285</v>
      </c>
      <c r="O3683" s="2">
        <f ca="1"/>
        <v>1.2430292113328276</v>
      </c>
      <c r="X3683" s="2">
        <f ca="1"/>
        <v>61.726975634849566</v>
      </c>
      <c r="AG3683" s="2">
        <f ca="1"/>
        <v>6.6090409420811014E-2</v>
      </c>
      <c r="AH3683" s="2" t="str">
        <f ca="1"/>
        <v>OK</v>
      </c>
    </row>
    <row r="3684" spans="2:34" x14ac:dyDescent="0.2">
      <c r="B3684" s="2">
        <f ca="1"/>
        <v>0.96640549882762738</v>
      </c>
      <c r="O3684" s="2">
        <f ca="1"/>
        <v>-1.4739187207243207</v>
      </c>
      <c r="X3684" s="2">
        <f ca="1"/>
        <v>37.944492291261867</v>
      </c>
      <c r="AG3684" s="2">
        <f ca="1"/>
        <v>0.22121332812065253</v>
      </c>
      <c r="AH3684" s="2" t="str">
        <f ca="1"/>
        <v>OK</v>
      </c>
    </row>
    <row r="3685" spans="2:34" x14ac:dyDescent="0.2">
      <c r="B3685" s="2">
        <f ca="1"/>
        <v>0.81182938221768075</v>
      </c>
      <c r="O3685" s="2">
        <f ca="1"/>
        <v>-0.67183757424303392</v>
      </c>
      <c r="X3685" s="2">
        <f ca="1"/>
        <v>38.099901944502207</v>
      </c>
      <c r="AG3685" s="2">
        <f ca="1"/>
        <v>0.5666918180023206</v>
      </c>
      <c r="AH3685" s="2" t="str">
        <f ca="1"/>
        <v>Bad</v>
      </c>
    </row>
    <row r="3686" spans="2:34" x14ac:dyDescent="0.2">
      <c r="B3686" s="2">
        <f ca="1"/>
        <v>0.43573928996021571</v>
      </c>
      <c r="O3686" s="2">
        <f ca="1"/>
        <v>-0.70878825122469469</v>
      </c>
      <c r="X3686" s="2">
        <f ca="1"/>
        <v>36.311848345635489</v>
      </c>
      <c r="AG3686" s="2">
        <f ca="1"/>
        <v>0.74773841571465582</v>
      </c>
      <c r="AH3686" s="2" t="str">
        <f ca="1"/>
        <v>Bad</v>
      </c>
    </row>
    <row r="3687" spans="2:34" x14ac:dyDescent="0.2">
      <c r="B3687" s="2">
        <f ca="1"/>
        <v>0.77773984693815001</v>
      </c>
      <c r="O3687" s="2">
        <f ca="1"/>
        <v>0.8975571314719446</v>
      </c>
      <c r="X3687" s="2">
        <f ca="1"/>
        <v>50.154172997922899</v>
      </c>
      <c r="AG3687" s="2">
        <f ca="1"/>
        <v>5.5891543828117118E-3</v>
      </c>
      <c r="AH3687" s="2" t="str">
        <f ca="1"/>
        <v>Good</v>
      </c>
    </row>
    <row r="3688" spans="2:34" x14ac:dyDescent="0.2">
      <c r="B3688" s="2">
        <f ca="1"/>
        <v>0.42838085447760132</v>
      </c>
      <c r="O3688" s="2">
        <f ca="1"/>
        <v>0.96026930425564605</v>
      </c>
      <c r="X3688" s="2">
        <f ca="1"/>
        <v>48.866812689399637</v>
      </c>
      <c r="AG3688" s="2">
        <f ca="1"/>
        <v>0.98617837992670676</v>
      </c>
      <c r="AH3688" s="2" t="str">
        <f ca="1"/>
        <v>Bad</v>
      </c>
    </row>
    <row r="3689" spans="2:34" x14ac:dyDescent="0.2">
      <c r="B3689" s="2">
        <f ca="1"/>
        <v>0.62583513184427386</v>
      </c>
      <c r="O3689" s="2">
        <f ca="1"/>
        <v>1.1529238293387964</v>
      </c>
      <c r="X3689" s="2">
        <f ca="1"/>
        <v>43.100027565258586</v>
      </c>
      <c r="AG3689" s="2">
        <f ca="1"/>
        <v>0.7722870419638157</v>
      </c>
      <c r="AH3689" s="2" t="str">
        <f ca="1"/>
        <v>Bad</v>
      </c>
    </row>
    <row r="3690" spans="2:34" x14ac:dyDescent="0.2">
      <c r="B3690" s="2">
        <f ca="1"/>
        <v>0.87672338378615966</v>
      </c>
      <c r="O3690" s="2">
        <f ca="1"/>
        <v>-0.19903885774673297</v>
      </c>
      <c r="X3690" s="2">
        <f ca="1"/>
        <v>30.152358864873882</v>
      </c>
      <c r="AG3690" s="2">
        <f ca="1"/>
        <v>0.28117361063971558</v>
      </c>
      <c r="AH3690" s="2" t="str">
        <f ca="1"/>
        <v>OK</v>
      </c>
    </row>
    <row r="3691" spans="2:34" x14ac:dyDescent="0.2">
      <c r="B3691" s="2">
        <f ca="1"/>
        <v>0.71326535695031024</v>
      </c>
      <c r="O3691" s="2">
        <f ca="1"/>
        <v>-1.4114883881111637</v>
      </c>
      <c r="X3691" s="2">
        <f ca="1"/>
        <v>58.530125776217815</v>
      </c>
      <c r="AG3691" s="2">
        <f ca="1"/>
        <v>0.63978001810062146</v>
      </c>
      <c r="AH3691" s="2" t="str">
        <f ca="1"/>
        <v>Bad</v>
      </c>
    </row>
    <row r="3692" spans="2:34" x14ac:dyDescent="0.2">
      <c r="B3692" s="2">
        <f ca="1"/>
        <v>0.93144914118828193</v>
      </c>
      <c r="O3692" s="2">
        <f ca="1"/>
        <v>0.74350898667280285</v>
      </c>
      <c r="X3692" s="2">
        <f ca="1"/>
        <v>67.406282544004398</v>
      </c>
      <c r="AG3692" s="2">
        <f ca="1"/>
        <v>0.119858336078841</v>
      </c>
      <c r="AH3692" s="2" t="str">
        <f ca="1"/>
        <v>OK</v>
      </c>
    </row>
    <row r="3693" spans="2:34" x14ac:dyDescent="0.2">
      <c r="B3693" s="2">
        <f ca="1"/>
        <v>0.89068034898051041</v>
      </c>
      <c r="O3693" s="2">
        <f ca="1"/>
        <v>1.4376341872294667</v>
      </c>
      <c r="X3693" s="2">
        <f ca="1"/>
        <v>52.732884730118165</v>
      </c>
      <c r="AG3693" s="2">
        <f ca="1"/>
        <v>8.2051106122560835E-2</v>
      </c>
      <c r="AH3693" s="2" t="str">
        <f ca="1"/>
        <v>OK</v>
      </c>
    </row>
    <row r="3694" spans="2:34" x14ac:dyDescent="0.2">
      <c r="B3694" s="2">
        <f ca="1"/>
        <v>0.18933926577460292</v>
      </c>
      <c r="O3694" s="2">
        <f ca="1"/>
        <v>0.35625561450431192</v>
      </c>
      <c r="X3694" s="2">
        <f ca="1"/>
        <v>28.089889679348076</v>
      </c>
      <c r="AG3694" s="2">
        <f ca="1"/>
        <v>0.60854906600129066</v>
      </c>
      <c r="AH3694" s="2" t="str">
        <f ca="1"/>
        <v>Bad</v>
      </c>
    </row>
    <row r="3695" spans="2:34" x14ac:dyDescent="0.2">
      <c r="B3695" s="2">
        <f ca="1"/>
        <v>0.35569648996234116</v>
      </c>
      <c r="O3695" s="2">
        <f ca="1"/>
        <v>0.77953177387023664</v>
      </c>
      <c r="X3695" s="2">
        <f ca="1"/>
        <v>23.700829327783129</v>
      </c>
      <c r="AG3695" s="2">
        <f ca="1"/>
        <v>0.92508134239557327</v>
      </c>
      <c r="AH3695" s="2" t="str">
        <f ca="1"/>
        <v>Bad</v>
      </c>
    </row>
    <row r="3696" spans="2:34" x14ac:dyDescent="0.2">
      <c r="B3696" s="2">
        <f ca="1"/>
        <v>0.45905996203916755</v>
      </c>
      <c r="O3696" s="2">
        <f ca="1"/>
        <v>0.29171221670584929</v>
      </c>
      <c r="X3696" s="2">
        <f ca="1"/>
        <v>43.105157663399858</v>
      </c>
      <c r="AG3696" s="2">
        <f ca="1"/>
        <v>0.68237279807597728</v>
      </c>
      <c r="AH3696" s="2" t="str">
        <f ca="1"/>
        <v>Bad</v>
      </c>
    </row>
    <row r="3697" spans="2:34" x14ac:dyDescent="0.2">
      <c r="B3697" s="2">
        <f ca="1"/>
        <v>0.64760771536533857</v>
      </c>
      <c r="O3697" s="2">
        <f ca="1"/>
        <v>0.54722619961903152</v>
      </c>
      <c r="X3697" s="2">
        <f ca="1"/>
        <v>66.898051303610075</v>
      </c>
      <c r="AG3697" s="2">
        <f ca="1"/>
        <v>0.54088777318798997</v>
      </c>
      <c r="AH3697" s="2" t="str">
        <f ca="1"/>
        <v>Bad</v>
      </c>
    </row>
    <row r="3698" spans="2:34" x14ac:dyDescent="0.2">
      <c r="B3698" s="2">
        <f ca="1"/>
        <v>0.72339692137343903</v>
      </c>
      <c r="O3698" s="2">
        <f ca="1"/>
        <v>-1.2953341043510069</v>
      </c>
      <c r="X3698" s="2">
        <f ca="1"/>
        <v>32.975305503445654</v>
      </c>
      <c r="AG3698" s="2">
        <f ca="1"/>
        <v>0.70010294040038024</v>
      </c>
      <c r="AH3698" s="2" t="str">
        <f ca="1"/>
        <v>Bad</v>
      </c>
    </row>
    <row r="3699" spans="2:34" x14ac:dyDescent="0.2">
      <c r="B3699" s="2">
        <f ca="1"/>
        <v>0.86578347100853459</v>
      </c>
      <c r="O3699" s="2">
        <f ca="1"/>
        <v>-1.0748682830864309</v>
      </c>
      <c r="X3699" s="2">
        <f ca="1"/>
        <v>20.612179657297549</v>
      </c>
      <c r="AG3699" s="2">
        <f ca="1"/>
        <v>0.72906530439580197</v>
      </c>
      <c r="AH3699" s="2" t="str">
        <f ca="1"/>
        <v>Bad</v>
      </c>
    </row>
    <row r="3700" spans="2:34" x14ac:dyDescent="0.2">
      <c r="B3700" s="2">
        <f ca="1"/>
        <v>0.33039651738254361</v>
      </c>
      <c r="O3700" s="2">
        <f ca="1"/>
        <v>-0.73980363150063089</v>
      </c>
      <c r="X3700" s="2">
        <f ca="1"/>
        <v>45.352019146752916</v>
      </c>
      <c r="AG3700" s="2">
        <f ca="1"/>
        <v>0.14684988453719194</v>
      </c>
      <c r="AH3700" s="2" t="str">
        <f ca="1"/>
        <v>OK</v>
      </c>
    </row>
    <row r="3701" spans="2:34" x14ac:dyDescent="0.2">
      <c r="B3701" s="2">
        <f ca="1"/>
        <v>0.71778988762475726</v>
      </c>
      <c r="O3701" s="2">
        <f ca="1"/>
        <v>0.50805022415324419</v>
      </c>
      <c r="X3701" s="2">
        <f ca="1"/>
        <v>46.534835997402332</v>
      </c>
      <c r="AG3701" s="2">
        <f ca="1"/>
        <v>0.39666843514135852</v>
      </c>
      <c r="AH3701" s="2" t="str">
        <f ca="1"/>
        <v>OK</v>
      </c>
    </row>
    <row r="3702" spans="2:34" x14ac:dyDescent="0.2">
      <c r="B3702" s="2">
        <f ca="1"/>
        <v>0.88668372753801861</v>
      </c>
      <c r="O3702" s="2">
        <f ca="1"/>
        <v>-0.42914964446420251</v>
      </c>
      <c r="X3702" s="2">
        <f ca="1"/>
        <v>50.335451331383723</v>
      </c>
      <c r="AG3702" s="2">
        <f ca="1"/>
        <v>1.0728281580496546E-2</v>
      </c>
      <c r="AH3702" s="2" t="str">
        <f ca="1"/>
        <v>Good</v>
      </c>
    </row>
    <row r="3703" spans="2:34" x14ac:dyDescent="0.2">
      <c r="B3703" s="2">
        <f ca="1"/>
        <v>0.90486050494410541</v>
      </c>
      <c r="O3703" s="2">
        <f ca="1"/>
        <v>-0.53988935132548488</v>
      </c>
      <c r="X3703" s="2">
        <f ca="1"/>
        <v>43.664944718121617</v>
      </c>
      <c r="AG3703" s="2">
        <f ca="1"/>
        <v>0.1197624983601524</v>
      </c>
      <c r="AH3703" s="2" t="str">
        <f ca="1"/>
        <v>OK</v>
      </c>
    </row>
    <row r="3704" spans="2:34" x14ac:dyDescent="0.2">
      <c r="B3704" s="2">
        <f ca="1"/>
        <v>0.23258445798070904</v>
      </c>
      <c r="O3704" s="2">
        <f ca="1"/>
        <v>-1.0390719670327646</v>
      </c>
      <c r="X3704" s="2">
        <f ca="1"/>
        <v>76.751342276575684</v>
      </c>
      <c r="AG3704" s="2">
        <f ca="1"/>
        <v>0.67848540411484537</v>
      </c>
      <c r="AH3704" s="2" t="str">
        <f ca="1"/>
        <v>Bad</v>
      </c>
    </row>
    <row r="3705" spans="2:34" x14ac:dyDescent="0.2">
      <c r="B3705" s="2">
        <f ca="1"/>
        <v>0.43612350203317884</v>
      </c>
      <c r="O3705" s="2">
        <f ca="1"/>
        <v>1.4247614328350027</v>
      </c>
      <c r="X3705" s="2">
        <f ca="1"/>
        <v>44.166894800044531</v>
      </c>
      <c r="AG3705" s="2">
        <f ca="1"/>
        <v>0.42858506107360994</v>
      </c>
      <c r="AH3705" s="2" t="str">
        <f ca="1"/>
        <v>Bad</v>
      </c>
    </row>
    <row r="3706" spans="2:34" x14ac:dyDescent="0.2">
      <c r="B3706" s="2">
        <f ca="1"/>
        <v>0.16562779215082113</v>
      </c>
      <c r="O3706" s="2">
        <f ca="1"/>
        <v>0.51461602826225084</v>
      </c>
      <c r="X3706" s="2">
        <f ca="1"/>
        <v>44.027037493443231</v>
      </c>
      <c r="AG3706" s="2">
        <f ca="1"/>
        <v>0.64282427051629343</v>
      </c>
      <c r="AH3706" s="2" t="str">
        <f ca="1"/>
        <v>Bad</v>
      </c>
    </row>
    <row r="3707" spans="2:34" x14ac:dyDescent="0.2">
      <c r="B3707" s="2">
        <f ca="1"/>
        <v>0.67982305012920907</v>
      </c>
      <c r="O3707" s="2">
        <f ca="1"/>
        <v>0.27272109209220469</v>
      </c>
      <c r="X3707" s="2">
        <f ca="1"/>
        <v>30.802866079437084</v>
      </c>
      <c r="AG3707" s="2">
        <f ca="1"/>
        <v>5.7846526587176594E-2</v>
      </c>
      <c r="AH3707" s="2" t="str">
        <f ca="1"/>
        <v>OK</v>
      </c>
    </row>
    <row r="3708" spans="2:34" x14ac:dyDescent="0.2">
      <c r="B3708" s="2">
        <f ca="1"/>
        <v>0.1449598383975228</v>
      </c>
      <c r="O3708" s="2">
        <f ca="1"/>
        <v>-1.1228519377291006</v>
      </c>
      <c r="X3708" s="2">
        <f ca="1"/>
        <v>59.346042397037451</v>
      </c>
      <c r="AG3708" s="2">
        <f ca="1"/>
        <v>0.30060839016240726</v>
      </c>
      <c r="AH3708" s="2" t="str">
        <f ca="1"/>
        <v>OK</v>
      </c>
    </row>
    <row r="3709" spans="2:34" x14ac:dyDescent="0.2">
      <c r="B3709" s="2">
        <f ca="1"/>
        <v>5.9946457767158012E-2</v>
      </c>
      <c r="O3709" s="2">
        <f ca="1"/>
        <v>-0.10651853049173829</v>
      </c>
      <c r="X3709" s="2">
        <f ca="1"/>
        <v>82.526797385610251</v>
      </c>
      <c r="AG3709" s="2">
        <f ca="1"/>
        <v>0.66711831440824487</v>
      </c>
      <c r="AH3709" s="2" t="str">
        <f ca="1"/>
        <v>Bad</v>
      </c>
    </row>
    <row r="3710" spans="2:34" x14ac:dyDescent="0.2">
      <c r="B3710" s="2">
        <f ca="1"/>
        <v>0.99336796411196304</v>
      </c>
      <c r="O3710" s="2">
        <f ca="1"/>
        <v>-0.70333722383651265</v>
      </c>
      <c r="X3710" s="2">
        <f ca="1"/>
        <v>45.370486869289586</v>
      </c>
      <c r="AG3710" s="2">
        <f ca="1"/>
        <v>0.42845605834451206</v>
      </c>
      <c r="AH3710" s="2" t="str">
        <f ca="1"/>
        <v>Bad</v>
      </c>
    </row>
    <row r="3711" spans="2:34" x14ac:dyDescent="0.2">
      <c r="B3711" s="2">
        <f ca="1"/>
        <v>0.87547431734570402</v>
      </c>
      <c r="O3711" s="2">
        <f ca="1"/>
        <v>-1.1103754265356016</v>
      </c>
      <c r="X3711" s="2">
        <f ca="1"/>
        <v>46.483615520332442</v>
      </c>
      <c r="AG3711" s="2">
        <f ca="1"/>
        <v>0.89538778686558773</v>
      </c>
      <c r="AH3711" s="2" t="str">
        <f ca="1"/>
        <v>Bad</v>
      </c>
    </row>
    <row r="3712" spans="2:34" x14ac:dyDescent="0.2">
      <c r="B3712" s="2">
        <f ca="1"/>
        <v>0.32997753399046559</v>
      </c>
      <c r="O3712" s="2">
        <f ca="1"/>
        <v>-0.28392370565166064</v>
      </c>
      <c r="X3712" s="2">
        <f ca="1"/>
        <v>46.397209020449978</v>
      </c>
      <c r="AG3712" s="2">
        <f ca="1"/>
        <v>0.52431881760343479</v>
      </c>
      <c r="AH3712" s="2" t="str">
        <f ca="1"/>
        <v>Bad</v>
      </c>
    </row>
    <row r="3713" spans="2:34" x14ac:dyDescent="0.2">
      <c r="B3713" s="2">
        <f ca="1"/>
        <v>0.42899396062238115</v>
      </c>
      <c r="O3713" s="2">
        <f ca="1"/>
        <v>3.6765407584532714E-2</v>
      </c>
      <c r="X3713" s="2">
        <f ca="1"/>
        <v>48.546667937742221</v>
      </c>
      <c r="AG3713" s="2">
        <f ca="1"/>
        <v>3.3268837177915289E-2</v>
      </c>
      <c r="AH3713" s="2" t="str">
        <f ca="1"/>
        <v>Good</v>
      </c>
    </row>
    <row r="3714" spans="2:34" x14ac:dyDescent="0.2">
      <c r="B3714" s="2">
        <f ca="1"/>
        <v>0.76200089294869566</v>
      </c>
      <c r="O3714" s="2">
        <f ca="1"/>
        <v>0.62706536740846219</v>
      </c>
      <c r="X3714" s="2">
        <f ca="1"/>
        <v>52.579795267606436</v>
      </c>
      <c r="AG3714" s="2">
        <f ca="1"/>
        <v>0.92504771721400081</v>
      </c>
      <c r="AH3714" s="2" t="str">
        <f ca="1"/>
        <v>Bad</v>
      </c>
    </row>
    <row r="3715" spans="2:34" x14ac:dyDescent="0.2">
      <c r="B3715" s="2">
        <f ca="1"/>
        <v>0.24746487922868887</v>
      </c>
      <c r="O3715" s="2">
        <f ca="1"/>
        <v>1.4808172659323382</v>
      </c>
      <c r="X3715" s="2">
        <f ca="1"/>
        <v>47.514655056448035</v>
      </c>
      <c r="AG3715" s="2">
        <f ca="1"/>
        <v>0.53638579983315915</v>
      </c>
      <c r="AH3715" s="2" t="str">
        <f ca="1"/>
        <v>Bad</v>
      </c>
    </row>
    <row r="3716" spans="2:34" x14ac:dyDescent="0.2">
      <c r="B3716" s="2">
        <f ca="1"/>
        <v>0.42718320335933746</v>
      </c>
      <c r="O3716" s="2">
        <f ca="1"/>
        <v>0.20024677977033029</v>
      </c>
      <c r="X3716" s="2">
        <f ca="1"/>
        <v>46.790766997370142</v>
      </c>
      <c r="AG3716" s="2">
        <f ca="1"/>
        <v>0.62192484740548548</v>
      </c>
      <c r="AH3716" s="2" t="str">
        <f ca="1"/>
        <v>Bad</v>
      </c>
    </row>
    <row r="3717" spans="2:34" x14ac:dyDescent="0.2">
      <c r="B3717" s="2">
        <f ca="1"/>
        <v>0.35554229604219501</v>
      </c>
      <c r="O3717" s="2">
        <f ca="1"/>
        <v>0.79036938138371005</v>
      </c>
      <c r="X3717" s="2">
        <f ca="1"/>
        <v>28.912469737213634</v>
      </c>
      <c r="AG3717" s="2">
        <f ca="1"/>
        <v>0.64433300018460749</v>
      </c>
      <c r="AH3717" s="2" t="str">
        <f ca="1"/>
        <v>Bad</v>
      </c>
    </row>
    <row r="3718" spans="2:34" x14ac:dyDescent="0.2">
      <c r="B3718" s="2">
        <f ca="1"/>
        <v>0.11099506203699838</v>
      </c>
      <c r="O3718" s="2">
        <f ca="1"/>
        <v>-2.2625947653191405</v>
      </c>
      <c r="X3718" s="2">
        <f ca="1"/>
        <v>28.332435892712216</v>
      </c>
      <c r="AG3718" s="2">
        <f ca="1"/>
        <v>6.3297746960532919E-2</v>
      </c>
      <c r="AH3718" s="2" t="str">
        <f ca="1"/>
        <v>OK</v>
      </c>
    </row>
    <row r="3719" spans="2:34" x14ac:dyDescent="0.2">
      <c r="B3719" s="2">
        <f ca="1"/>
        <v>0.76055620408076807</v>
      </c>
      <c r="O3719" s="2">
        <f ca="1"/>
        <v>4.0969517581640594E-2</v>
      </c>
      <c r="X3719" s="2">
        <f ca="1"/>
        <v>39.106194878838124</v>
      </c>
      <c r="AG3719" s="2">
        <f ca="1"/>
        <v>0.57767937919632284</v>
      </c>
      <c r="AH3719" s="2" t="str">
        <f ca="1"/>
        <v>Bad</v>
      </c>
    </row>
    <row r="3720" spans="2:34" x14ac:dyDescent="0.2">
      <c r="B3720" s="2">
        <f ca="1"/>
        <v>0.71777182271718787</v>
      </c>
      <c r="O3720" s="2">
        <f ca="1"/>
        <v>1.8969837529755254</v>
      </c>
      <c r="X3720" s="2">
        <f ca="1"/>
        <v>57.394385413553344</v>
      </c>
      <c r="AG3720" s="2">
        <f ca="1"/>
        <v>0.38620821262194083</v>
      </c>
      <c r="AH3720" s="2" t="str">
        <f ca="1"/>
        <v>OK</v>
      </c>
    </row>
    <row r="3721" spans="2:34" x14ac:dyDescent="0.2">
      <c r="B3721" s="2">
        <f ca="1"/>
        <v>0.72301475546719551</v>
      </c>
      <c r="O3721" s="2">
        <f ca="1"/>
        <v>-1.213664749470075</v>
      </c>
      <c r="X3721" s="2">
        <f ca="1"/>
        <v>53.569376719776898</v>
      </c>
      <c r="AG3721" s="2">
        <f ca="1"/>
        <v>0.80313119539481059</v>
      </c>
      <c r="AH3721" s="2" t="str">
        <f ca="1"/>
        <v>Bad</v>
      </c>
    </row>
    <row r="3722" spans="2:34" x14ac:dyDescent="0.2">
      <c r="B3722" s="2">
        <f ca="1"/>
        <v>0.14656502286239537</v>
      </c>
      <c r="O3722" s="2">
        <f ca="1"/>
        <v>1.0605588209124723</v>
      </c>
      <c r="X3722" s="2">
        <f ca="1"/>
        <v>78.514540576793451</v>
      </c>
      <c r="AG3722" s="2">
        <f ca="1"/>
        <v>0.3759330138703636</v>
      </c>
      <c r="AH3722" s="2" t="str">
        <f ca="1"/>
        <v>OK</v>
      </c>
    </row>
    <row r="3723" spans="2:34" x14ac:dyDescent="0.2">
      <c r="B3723" s="2">
        <f ca="1"/>
        <v>0.15207874021951739</v>
      </c>
      <c r="O3723" s="2">
        <f ca="1"/>
        <v>-1.7200802068065117</v>
      </c>
      <c r="X3723" s="2">
        <f ca="1"/>
        <v>60.991673313000589</v>
      </c>
      <c r="AG3723" s="2">
        <f ca="1"/>
        <v>0.60331284488408121</v>
      </c>
      <c r="AH3723" s="2" t="str">
        <f ca="1"/>
        <v>Bad</v>
      </c>
    </row>
    <row r="3724" spans="2:34" x14ac:dyDescent="0.2">
      <c r="B3724" s="2">
        <f ca="1"/>
        <v>0.43298504932220272</v>
      </c>
      <c r="O3724" s="2">
        <f ca="1"/>
        <v>0.17747647951814774</v>
      </c>
      <c r="X3724" s="2">
        <f ca="1"/>
        <v>68.354421527110986</v>
      </c>
      <c r="AG3724" s="2">
        <f ca="1"/>
        <v>0.65804336035662403</v>
      </c>
      <c r="AH3724" s="2" t="str">
        <f ca="1"/>
        <v>Bad</v>
      </c>
    </row>
    <row r="3725" spans="2:34" x14ac:dyDescent="0.2">
      <c r="B3725" s="2">
        <f ca="1"/>
        <v>0.60337875230732263</v>
      </c>
      <c r="O3725" s="2">
        <f ca="1"/>
        <v>1.2268118019870202</v>
      </c>
      <c r="X3725" s="2">
        <f ca="1"/>
        <v>45.196506490640843</v>
      </c>
      <c r="AG3725" s="2">
        <f ca="1"/>
        <v>0.53297481571028937</v>
      </c>
      <c r="AH3725" s="2" t="str">
        <f ca="1"/>
        <v>Bad</v>
      </c>
    </row>
    <row r="3726" spans="2:34" x14ac:dyDescent="0.2">
      <c r="B3726" s="2">
        <f ca="1"/>
        <v>6.9339248420542843E-2</v>
      </c>
      <c r="O3726" s="2">
        <f ca="1"/>
        <v>0.59103217861385926</v>
      </c>
      <c r="X3726" s="2">
        <f ca="1"/>
        <v>40.022517159280611</v>
      </c>
      <c r="AG3726" s="2">
        <f ca="1"/>
        <v>7.0879622522199037E-2</v>
      </c>
      <c r="AH3726" s="2" t="str">
        <f ca="1"/>
        <v>OK</v>
      </c>
    </row>
    <row r="3727" spans="2:34" x14ac:dyDescent="0.2">
      <c r="B3727" s="2">
        <f ca="1"/>
        <v>0.90473538887351679</v>
      </c>
      <c r="O3727" s="2">
        <f ca="1"/>
        <v>1.5672310013538755</v>
      </c>
      <c r="X3727" s="2">
        <f ca="1"/>
        <v>58.637079573684325</v>
      </c>
      <c r="AG3727" s="2">
        <f ca="1"/>
        <v>0.57565515958516622</v>
      </c>
      <c r="AH3727" s="2" t="str">
        <f ca="1"/>
        <v>Bad</v>
      </c>
    </row>
    <row r="3728" spans="2:34" x14ac:dyDescent="0.2">
      <c r="B3728" s="2">
        <f ca="1"/>
        <v>0.2697290990012986</v>
      </c>
      <c r="O3728" s="2">
        <f ca="1"/>
        <v>0.74228713480375452</v>
      </c>
      <c r="X3728" s="2">
        <f ca="1"/>
        <v>48.112392316162477</v>
      </c>
      <c r="AG3728" s="2">
        <f ca="1"/>
        <v>0.22263051218142826</v>
      </c>
      <c r="AH3728" s="2" t="str">
        <f ca="1"/>
        <v>OK</v>
      </c>
    </row>
    <row r="3729" spans="2:34" x14ac:dyDescent="0.2">
      <c r="B3729" s="2">
        <f ca="1"/>
        <v>0.9342015003918811</v>
      </c>
      <c r="O3729" s="2">
        <f ca="1"/>
        <v>1.2072011396986428</v>
      </c>
      <c r="X3729" s="2">
        <f ca="1"/>
        <v>88.329916055630463</v>
      </c>
      <c r="AG3729" s="2">
        <f ca="1"/>
        <v>0.7288423882512769</v>
      </c>
      <c r="AH3729" s="2" t="str">
        <f ca="1"/>
        <v>Bad</v>
      </c>
    </row>
    <row r="3730" spans="2:34" x14ac:dyDescent="0.2">
      <c r="B3730" s="2">
        <f ca="1"/>
        <v>0.3725166709971437</v>
      </c>
      <c r="O3730" s="2">
        <f ca="1"/>
        <v>0.65250494199255071</v>
      </c>
      <c r="X3730" s="2">
        <f ca="1"/>
        <v>56.043387648606362</v>
      </c>
      <c r="AG3730" s="2">
        <f ca="1"/>
        <v>1.243821254219668E-2</v>
      </c>
      <c r="AH3730" s="2" t="str">
        <f ca="1"/>
        <v>Good</v>
      </c>
    </row>
    <row r="3731" spans="2:34" x14ac:dyDescent="0.2">
      <c r="B3731" s="2">
        <f ca="1"/>
        <v>0.7720591442894098</v>
      </c>
      <c r="O3731" s="2">
        <f ca="1"/>
        <v>0.64720036575026718</v>
      </c>
      <c r="X3731" s="2">
        <f ca="1"/>
        <v>48.12893161535689</v>
      </c>
      <c r="AG3731" s="2">
        <f ca="1"/>
        <v>3.755316206286774E-2</v>
      </c>
      <c r="AH3731" s="2" t="str">
        <f ca="1"/>
        <v>Good</v>
      </c>
    </row>
    <row r="3732" spans="2:34" x14ac:dyDescent="0.2">
      <c r="B3732" s="2">
        <f ca="1"/>
        <v>6.6723360651730568E-2</v>
      </c>
      <c r="O3732" s="2">
        <f ca="1"/>
        <v>-0.62036024137201884</v>
      </c>
      <c r="X3732" s="2">
        <f ca="1"/>
        <v>45.936206577522888</v>
      </c>
      <c r="AG3732" s="2">
        <f ca="1"/>
        <v>0.25213298327695588</v>
      </c>
      <c r="AH3732" s="2" t="str">
        <f ca="1"/>
        <v>OK</v>
      </c>
    </row>
    <row r="3733" spans="2:34" x14ac:dyDescent="0.2">
      <c r="B3733" s="2">
        <f ca="1"/>
        <v>0.7723540203783652</v>
      </c>
      <c r="O3733" s="2">
        <f ca="1"/>
        <v>0.13486155881354467</v>
      </c>
      <c r="X3733" s="2">
        <f ca="1"/>
        <v>50.040221624904994</v>
      </c>
      <c r="AG3733" s="2">
        <f ca="1"/>
        <v>0.14636604497582439</v>
      </c>
      <c r="AH3733" s="2" t="str">
        <f ca="1"/>
        <v>OK</v>
      </c>
    </row>
    <row r="3734" spans="2:34" x14ac:dyDescent="0.2">
      <c r="B3734" s="2">
        <f ca="1"/>
        <v>0.20851875977443335</v>
      </c>
      <c r="O3734" s="2">
        <f ca="1"/>
        <v>1.1732340105613694</v>
      </c>
      <c r="X3734" s="2">
        <f ca="1"/>
        <v>41.829006618987776</v>
      </c>
      <c r="AG3734" s="2">
        <f ca="1"/>
        <v>0.70810770487443175</v>
      </c>
      <c r="AH3734" s="2" t="str">
        <f ca="1"/>
        <v>Bad</v>
      </c>
    </row>
    <row r="3735" spans="2:34" x14ac:dyDescent="0.2">
      <c r="B3735" s="2">
        <f ca="1"/>
        <v>0.65388095451314987</v>
      </c>
      <c r="O3735" s="2">
        <f ca="1"/>
        <v>-0.58056866140327024</v>
      </c>
      <c r="X3735" s="2">
        <f ca="1"/>
        <v>76.680095285670035</v>
      </c>
      <c r="AG3735" s="2">
        <f ca="1"/>
        <v>0.64006917957848541</v>
      </c>
      <c r="AH3735" s="2" t="str">
        <f ca="1"/>
        <v>Bad</v>
      </c>
    </row>
    <row r="3736" spans="2:34" x14ac:dyDescent="0.2">
      <c r="B3736" s="2">
        <f ca="1"/>
        <v>0.95039707330659784</v>
      </c>
      <c r="O3736" s="2">
        <f ca="1"/>
        <v>-1.3277932430272561</v>
      </c>
      <c r="X3736" s="2">
        <f ca="1"/>
        <v>46.853087362224031</v>
      </c>
      <c r="AG3736" s="2">
        <f ca="1"/>
        <v>0.97783000032977774</v>
      </c>
      <c r="AH3736" s="2" t="str">
        <f ca="1"/>
        <v>Bad</v>
      </c>
    </row>
    <row r="3737" spans="2:34" x14ac:dyDescent="0.2">
      <c r="B3737" s="2">
        <f ca="1"/>
        <v>0.8446084704140302</v>
      </c>
      <c r="O3737" s="2">
        <f ca="1"/>
        <v>0.72610996400268857</v>
      </c>
      <c r="X3737" s="2">
        <f ca="1"/>
        <v>50.691597268390836</v>
      </c>
      <c r="AG3737" s="2">
        <f ca="1"/>
        <v>0.10759620978837203</v>
      </c>
      <c r="AH3737" s="2" t="str">
        <f ca="1"/>
        <v>OK</v>
      </c>
    </row>
    <row r="3738" spans="2:34" x14ac:dyDescent="0.2">
      <c r="B3738" s="2">
        <f ca="1"/>
        <v>0.56991470762881846</v>
      </c>
      <c r="O3738" s="2">
        <f ca="1"/>
        <v>-0.90267954195145561</v>
      </c>
      <c r="X3738" s="2">
        <f ca="1"/>
        <v>28.440470236027853</v>
      </c>
      <c r="AG3738" s="2">
        <f ca="1"/>
        <v>0.58311180958907105</v>
      </c>
      <c r="AH3738" s="2" t="str">
        <f ca="1"/>
        <v>Bad</v>
      </c>
    </row>
    <row r="3739" spans="2:34" x14ac:dyDescent="0.2">
      <c r="B3739" s="2">
        <f ca="1"/>
        <v>0.46166301698864864</v>
      </c>
      <c r="O3739" s="2">
        <f ca="1"/>
        <v>1.2802568469514797</v>
      </c>
      <c r="X3739" s="2">
        <f ca="1"/>
        <v>71.713274644343713</v>
      </c>
      <c r="AG3739" s="2">
        <f ca="1"/>
        <v>0.78087584139798372</v>
      </c>
      <c r="AH3739" s="2" t="str">
        <f ca="1"/>
        <v>Bad</v>
      </c>
    </row>
    <row r="3740" spans="2:34" x14ac:dyDescent="0.2">
      <c r="B3740" s="2">
        <f ca="1"/>
        <v>0.26175874366050023</v>
      </c>
      <c r="O3740" s="2">
        <f ca="1"/>
        <v>0.34710687987730415</v>
      </c>
      <c r="X3740" s="2">
        <f ca="1"/>
        <v>59.131860451981709</v>
      </c>
      <c r="AG3740" s="2">
        <f ca="1"/>
        <v>1.7623347479819307E-2</v>
      </c>
      <c r="AH3740" s="2" t="str">
        <f ca="1"/>
        <v>Good</v>
      </c>
    </row>
    <row r="3741" spans="2:34" x14ac:dyDescent="0.2">
      <c r="B3741" s="2">
        <f ca="1"/>
        <v>0.84243124726031038</v>
      </c>
      <c r="O3741" s="2">
        <f ca="1"/>
        <v>1.1194574039694793</v>
      </c>
      <c r="X3741" s="2">
        <f ca="1"/>
        <v>49.937426924116544</v>
      </c>
      <c r="AG3741" s="2">
        <f ca="1"/>
        <v>0.67222013296917527</v>
      </c>
      <c r="AH3741" s="2" t="str">
        <f ca="1"/>
        <v>Bad</v>
      </c>
    </row>
    <row r="3742" spans="2:34" x14ac:dyDescent="0.2">
      <c r="B3742" s="2">
        <f ca="1"/>
        <v>0.34509655937383932</v>
      </c>
      <c r="O3742" s="2">
        <f ca="1"/>
        <v>1.9773449391446518</v>
      </c>
      <c r="X3742" s="2">
        <f ca="1"/>
        <v>50.40151630607852</v>
      </c>
      <c r="AG3742" s="2">
        <f ca="1"/>
        <v>2.4917923031183342E-2</v>
      </c>
      <c r="AH3742" s="2" t="str">
        <f ca="1"/>
        <v>Good</v>
      </c>
    </row>
    <row r="3743" spans="2:34" x14ac:dyDescent="0.2">
      <c r="B3743" s="2">
        <f ca="1"/>
        <v>0.5181194977275867</v>
      </c>
      <c r="O3743" s="2">
        <f ca="1"/>
        <v>0.65096645741565484</v>
      </c>
      <c r="X3743" s="2">
        <f ca="1"/>
        <v>44.124326346126217</v>
      </c>
      <c r="AG3743" s="2">
        <f ca="1"/>
        <v>0.93293732178103306</v>
      </c>
      <c r="AH3743" s="2" t="str">
        <f ca="1"/>
        <v>Bad</v>
      </c>
    </row>
    <row r="3744" spans="2:34" x14ac:dyDescent="0.2">
      <c r="B3744" s="2">
        <f ca="1"/>
        <v>0.16925230773173672</v>
      </c>
      <c r="O3744" s="2">
        <f ca="1"/>
        <v>-0.14962998826672316</v>
      </c>
      <c r="X3744" s="2">
        <f ca="1"/>
        <v>34.771947196504094</v>
      </c>
      <c r="AG3744" s="2">
        <f ca="1"/>
        <v>0.10659209316398544</v>
      </c>
      <c r="AH3744" s="2" t="str">
        <f ca="1"/>
        <v>OK</v>
      </c>
    </row>
    <row r="3745" spans="2:34" x14ac:dyDescent="0.2">
      <c r="B3745" s="2">
        <f ca="1"/>
        <v>0.47841434101282809</v>
      </c>
      <c r="O3745" s="2">
        <f ca="1"/>
        <v>0.30686436499205616</v>
      </c>
      <c r="X3745" s="2">
        <f ca="1"/>
        <v>58.447982349669687</v>
      </c>
      <c r="AG3745" s="2">
        <f ca="1"/>
        <v>0.22438357996729619</v>
      </c>
      <c r="AH3745" s="2" t="str">
        <f ca="1"/>
        <v>OK</v>
      </c>
    </row>
    <row r="3746" spans="2:34" x14ac:dyDescent="0.2">
      <c r="B3746" s="2">
        <f ca="1"/>
        <v>0.72783581793564034</v>
      </c>
      <c r="O3746" s="2">
        <f ca="1"/>
        <v>-0.71718131097012194</v>
      </c>
      <c r="X3746" s="2">
        <f ca="1"/>
        <v>57.162370707233279</v>
      </c>
      <c r="AG3746" s="2">
        <f ca="1"/>
        <v>0.839857109605052</v>
      </c>
      <c r="AH3746" s="2" t="str">
        <f ca="1"/>
        <v>Bad</v>
      </c>
    </row>
    <row r="3747" spans="2:34" x14ac:dyDescent="0.2">
      <c r="B3747" s="2">
        <f ca="1"/>
        <v>0.44993271060560236</v>
      </c>
      <c r="O3747" s="2">
        <f ca="1"/>
        <v>0.45660532880756421</v>
      </c>
      <c r="X3747" s="2">
        <f ca="1"/>
        <v>37.825818634572023</v>
      </c>
      <c r="AG3747" s="2">
        <f ca="1"/>
        <v>0.62171876722961983</v>
      </c>
      <c r="AH3747" s="2" t="str">
        <f ca="1"/>
        <v>Bad</v>
      </c>
    </row>
    <row r="3748" spans="2:34" x14ac:dyDescent="0.2">
      <c r="B3748" s="2">
        <f ca="1"/>
        <v>0.2835253068392003</v>
      </c>
      <c r="O3748" s="2">
        <f ca="1"/>
        <v>1.4387132864934478</v>
      </c>
      <c r="X3748" s="2">
        <f ca="1"/>
        <v>27.716181583708163</v>
      </c>
      <c r="AG3748" s="2">
        <f ca="1"/>
        <v>0.69374469022567187</v>
      </c>
      <c r="AH3748" s="2" t="str">
        <f ca="1"/>
        <v>Bad</v>
      </c>
    </row>
    <row r="3749" spans="2:34" x14ac:dyDescent="0.2">
      <c r="B3749" s="2">
        <f ca="1"/>
        <v>0.50120391332760028</v>
      </c>
      <c r="O3749" s="2">
        <f ca="1"/>
        <v>-0.37288978181232968</v>
      </c>
      <c r="X3749" s="2">
        <f ca="1"/>
        <v>40.292831663182</v>
      </c>
      <c r="AG3749" s="2">
        <f ca="1"/>
        <v>4.5386375915885235E-2</v>
      </c>
      <c r="AH3749" s="2" t="str">
        <f ca="1"/>
        <v>Good</v>
      </c>
    </row>
    <row r="3750" spans="2:34" x14ac:dyDescent="0.2">
      <c r="B3750" s="2">
        <f ca="1"/>
        <v>0.38552846715763534</v>
      </c>
      <c r="O3750" s="2">
        <f ca="1"/>
        <v>0.60126936915482976</v>
      </c>
      <c r="X3750" s="2">
        <f ca="1"/>
        <v>42.862184293252767</v>
      </c>
      <c r="AG3750" s="2">
        <f ca="1"/>
        <v>7.899670865234687E-2</v>
      </c>
      <c r="AH3750" s="2" t="str">
        <f ca="1"/>
        <v>OK</v>
      </c>
    </row>
    <row r="3751" spans="2:34" x14ac:dyDescent="0.2">
      <c r="B3751" s="2">
        <f ca="1"/>
        <v>0.31454066115969925</v>
      </c>
      <c r="O3751" s="2">
        <f ca="1"/>
        <v>-1.7807086378425689</v>
      </c>
      <c r="X3751" s="2">
        <f ca="1"/>
        <v>51.27873809320598</v>
      </c>
      <c r="AG3751" s="2">
        <f ca="1"/>
        <v>0.48713224511487319</v>
      </c>
      <c r="AH3751" s="2" t="str">
        <f ca="1"/>
        <v>Bad</v>
      </c>
    </row>
    <row r="3752" spans="2:34" x14ac:dyDescent="0.2">
      <c r="B3752" s="2">
        <f ca="1"/>
        <v>0.22941835277797074</v>
      </c>
      <c r="O3752" s="2">
        <f ca="1"/>
        <v>-0.17142179301503283</v>
      </c>
      <c r="X3752" s="2">
        <f ca="1"/>
        <v>57.891404521647686</v>
      </c>
      <c r="AG3752" s="2">
        <f ca="1"/>
        <v>3.6306803479043692E-2</v>
      </c>
      <c r="AH3752" s="2" t="str">
        <f ca="1"/>
        <v>Good</v>
      </c>
    </row>
    <row r="3753" spans="2:34" x14ac:dyDescent="0.2">
      <c r="B3753" s="2">
        <f ca="1"/>
        <v>0.57966059645319579</v>
      </c>
      <c r="O3753" s="2">
        <f ca="1"/>
        <v>2.124458567228392</v>
      </c>
      <c r="X3753" s="2">
        <f ca="1"/>
        <v>45.338914639640073</v>
      </c>
      <c r="AG3753" s="2">
        <f ca="1"/>
        <v>0.57748411207910477</v>
      </c>
      <c r="AH3753" s="2" t="str">
        <f ca="1"/>
        <v>Bad</v>
      </c>
    </row>
    <row r="3754" spans="2:34" x14ac:dyDescent="0.2">
      <c r="B3754" s="2">
        <f ca="1"/>
        <v>0.99152123361468547</v>
      </c>
      <c r="O3754" s="2">
        <f ca="1"/>
        <v>0.83008853824138573</v>
      </c>
      <c r="X3754" s="2">
        <f ca="1"/>
        <v>22.934670608160481</v>
      </c>
      <c r="AG3754" s="2">
        <f ca="1"/>
        <v>0.57254122364528848</v>
      </c>
      <c r="AH3754" s="2" t="str">
        <f ca="1"/>
        <v>Bad</v>
      </c>
    </row>
    <row r="3755" spans="2:34" x14ac:dyDescent="0.2">
      <c r="B3755" s="2">
        <f ca="1"/>
        <v>0.98177015982483851</v>
      </c>
      <c r="O3755" s="2">
        <f ca="1"/>
        <v>0.84661505270708115</v>
      </c>
      <c r="X3755" s="2">
        <f ca="1"/>
        <v>50.554111585092656</v>
      </c>
      <c r="AG3755" s="2">
        <f ca="1"/>
        <v>0.12605563259854402</v>
      </c>
      <c r="AH3755" s="2" t="str">
        <f ca="1"/>
        <v>OK</v>
      </c>
    </row>
    <row r="3756" spans="2:34" x14ac:dyDescent="0.2">
      <c r="B3756" s="2">
        <f ca="1"/>
        <v>0.40713111316513495</v>
      </c>
      <c r="O3756" s="2">
        <f ca="1"/>
        <v>-2.409707602785041</v>
      </c>
      <c r="X3756" s="2">
        <f ca="1"/>
        <v>39.751960465091955</v>
      </c>
      <c r="AG3756" s="2">
        <f ca="1"/>
        <v>0.95318526042685559</v>
      </c>
      <c r="AH3756" s="2" t="str">
        <f ca="1"/>
        <v>Bad</v>
      </c>
    </row>
    <row r="3757" spans="2:34" x14ac:dyDescent="0.2">
      <c r="B3757" s="2">
        <f ca="1"/>
        <v>0.82347219644923086</v>
      </c>
      <c r="O3757" s="2">
        <f ca="1"/>
        <v>0.24619044084792485</v>
      </c>
      <c r="X3757" s="2">
        <f ca="1"/>
        <v>32.05120952620193</v>
      </c>
      <c r="AG3757" s="2">
        <f ca="1"/>
        <v>0.16820092873582904</v>
      </c>
      <c r="AH3757" s="2" t="str">
        <f ca="1"/>
        <v>OK</v>
      </c>
    </row>
    <row r="3758" spans="2:34" x14ac:dyDescent="0.2">
      <c r="B3758" s="2">
        <f ca="1"/>
        <v>0.21082818747318166</v>
      </c>
      <c r="O3758" s="2">
        <f ca="1"/>
        <v>-0.86960536014864553</v>
      </c>
      <c r="X3758" s="2">
        <f ca="1"/>
        <v>71.68960011762951</v>
      </c>
      <c r="AG3758" s="2">
        <f ca="1"/>
        <v>0.90813317698835716</v>
      </c>
      <c r="AH3758" s="2" t="str">
        <f ca="1"/>
        <v>Bad</v>
      </c>
    </row>
    <row r="3759" spans="2:34" x14ac:dyDescent="0.2">
      <c r="B3759" s="2">
        <f ca="1"/>
        <v>0.77181644209212985</v>
      </c>
      <c r="O3759" s="2">
        <f ca="1"/>
        <v>-0.13637590978163436</v>
      </c>
      <c r="X3759" s="2">
        <f ca="1"/>
        <v>71.488049188518204</v>
      </c>
      <c r="AG3759" s="2">
        <f ca="1"/>
        <v>3.4399732424365004E-2</v>
      </c>
      <c r="AH3759" s="2" t="str">
        <f ca="1"/>
        <v>Good</v>
      </c>
    </row>
    <row r="3760" spans="2:34" x14ac:dyDescent="0.2">
      <c r="B3760" s="2">
        <f ca="1"/>
        <v>0.63143836042982815</v>
      </c>
      <c r="O3760" s="2">
        <f ca="1"/>
        <v>0.94678736644847927</v>
      </c>
      <c r="X3760" s="2">
        <f ca="1"/>
        <v>50.210995871263364</v>
      </c>
      <c r="AG3760" s="2">
        <f ca="1"/>
        <v>0.23469687387877092</v>
      </c>
      <c r="AH3760" s="2" t="str">
        <f ca="1"/>
        <v>OK</v>
      </c>
    </row>
    <row r="3761" spans="2:34" x14ac:dyDescent="0.2">
      <c r="B3761" s="2">
        <f ca="1"/>
        <v>7.0181515513871195E-2</v>
      </c>
      <c r="O3761" s="2">
        <f ca="1"/>
        <v>-0.15924410124391927</v>
      </c>
      <c r="X3761" s="2">
        <f ca="1"/>
        <v>25.23191862873281</v>
      </c>
      <c r="AG3761" s="2">
        <f ca="1"/>
        <v>0.23387100202884481</v>
      </c>
      <c r="AH3761" s="2" t="str">
        <f ca="1"/>
        <v>OK</v>
      </c>
    </row>
    <row r="3762" spans="2:34" x14ac:dyDescent="0.2">
      <c r="B3762" s="2">
        <f ca="1"/>
        <v>0.10317583428678789</v>
      </c>
      <c r="O3762" s="2">
        <f ca="1"/>
        <v>-0.46637447067816956</v>
      </c>
      <c r="X3762" s="2">
        <f ca="1"/>
        <v>52.976428448109203</v>
      </c>
      <c r="AG3762" s="2">
        <f ca="1"/>
        <v>0.62653404394023293</v>
      </c>
      <c r="AH3762" s="2" t="str">
        <f ca="1"/>
        <v>Bad</v>
      </c>
    </row>
    <row r="3763" spans="2:34" x14ac:dyDescent="0.2">
      <c r="B3763" s="2">
        <f ca="1"/>
        <v>0.50510499031328515</v>
      </c>
      <c r="O3763" s="2">
        <f ca="1"/>
        <v>-0.50887698491734856</v>
      </c>
      <c r="X3763" s="2">
        <f ca="1"/>
        <v>47.091967598566583</v>
      </c>
      <c r="AG3763" s="2">
        <f ca="1"/>
        <v>0.21791635316632396</v>
      </c>
      <c r="AH3763" s="2" t="str">
        <f ca="1"/>
        <v>OK</v>
      </c>
    </row>
    <row r="3764" spans="2:34" x14ac:dyDescent="0.2">
      <c r="B3764" s="2">
        <f ca="1"/>
        <v>0.19054313276725954</v>
      </c>
      <c r="O3764" s="2">
        <f ca="1"/>
        <v>1.0338739147987435</v>
      </c>
      <c r="X3764" s="2">
        <f ca="1"/>
        <v>44.859164021008112</v>
      </c>
      <c r="AG3764" s="2">
        <f ca="1"/>
        <v>9.6535707382191749E-2</v>
      </c>
      <c r="AH3764" s="2" t="str">
        <f ca="1"/>
        <v>OK</v>
      </c>
    </row>
    <row r="3765" spans="2:34" x14ac:dyDescent="0.2">
      <c r="B3765" s="2">
        <f ca="1"/>
        <v>0.10486465745743212</v>
      </c>
      <c r="O3765" s="2">
        <f ca="1"/>
        <v>-0.35331949473146329</v>
      </c>
      <c r="X3765" s="2">
        <f ca="1"/>
        <v>34.329540687922517</v>
      </c>
      <c r="AG3765" s="2">
        <f ca="1"/>
        <v>0.36152695353912634</v>
      </c>
      <c r="AH3765" s="2" t="str">
        <f ca="1"/>
        <v>OK</v>
      </c>
    </row>
    <row r="3766" spans="2:34" x14ac:dyDescent="0.2">
      <c r="B3766" s="2">
        <f ca="1"/>
        <v>0.61051543879824877</v>
      </c>
      <c r="O3766" s="2">
        <f ca="1"/>
        <v>-1.2999257087610629</v>
      </c>
      <c r="X3766" s="2">
        <f ca="1"/>
        <v>55.982002675306113</v>
      </c>
      <c r="AG3766" s="2">
        <f ca="1"/>
        <v>0.11479652449917133</v>
      </c>
      <c r="AH3766" s="2" t="str">
        <f ca="1"/>
        <v>OK</v>
      </c>
    </row>
    <row r="3767" spans="2:34" x14ac:dyDescent="0.2">
      <c r="B3767" s="2">
        <f ca="1"/>
        <v>0.85148425479272616</v>
      </c>
      <c r="O3767" s="2">
        <f ca="1"/>
        <v>-0.96174167721206272</v>
      </c>
      <c r="X3767" s="2">
        <f ca="1"/>
        <v>32.768017868663804</v>
      </c>
      <c r="AG3767" s="2">
        <f ca="1"/>
        <v>0.42250064053385694</v>
      </c>
      <c r="AH3767" s="2" t="str">
        <f ca="1"/>
        <v>Bad</v>
      </c>
    </row>
    <row r="3768" spans="2:34" x14ac:dyDescent="0.2">
      <c r="B3768" s="2">
        <f ca="1"/>
        <v>0.80361756120568906</v>
      </c>
      <c r="O3768" s="2">
        <f ca="1"/>
        <v>-0.21439174414076423</v>
      </c>
      <c r="X3768" s="2">
        <f ca="1"/>
        <v>69.217624488387656</v>
      </c>
      <c r="AG3768" s="2">
        <f ca="1"/>
        <v>0.70842341884443649</v>
      </c>
      <c r="AH3768" s="2" t="str">
        <f ca="1"/>
        <v>Bad</v>
      </c>
    </row>
    <row r="3769" spans="2:34" x14ac:dyDescent="0.2">
      <c r="B3769" s="2">
        <f ca="1"/>
        <v>0.89434477467814122</v>
      </c>
      <c r="O3769" s="2">
        <f ca="1"/>
        <v>-0.72846192985064462</v>
      </c>
      <c r="X3769" s="2">
        <f ca="1"/>
        <v>33.417534431171461</v>
      </c>
      <c r="AG3769" s="2">
        <f ca="1"/>
        <v>4.274320376993912E-2</v>
      </c>
      <c r="AH3769" s="2" t="str">
        <f ca="1"/>
        <v>Good</v>
      </c>
    </row>
    <row r="3770" spans="2:34" x14ac:dyDescent="0.2">
      <c r="B3770" s="2">
        <f ca="1"/>
        <v>0.17827366538831591</v>
      </c>
      <c r="O3770" s="2">
        <f ca="1"/>
        <v>1.0910104654670163</v>
      </c>
      <c r="X3770" s="2">
        <f ca="1"/>
        <v>46.398255831925219</v>
      </c>
      <c r="AG3770" s="2">
        <f ca="1"/>
        <v>0.85734057139287967</v>
      </c>
      <c r="AH3770" s="2" t="str">
        <f ca="1"/>
        <v>Bad</v>
      </c>
    </row>
    <row r="3771" spans="2:34" x14ac:dyDescent="0.2">
      <c r="B3771" s="2">
        <f ca="1"/>
        <v>0.6144364192806826</v>
      </c>
      <c r="O3771" s="2">
        <f ca="1"/>
        <v>-1.8435071512197889</v>
      </c>
      <c r="X3771" s="2">
        <f ca="1"/>
        <v>47.230287570488201</v>
      </c>
      <c r="AG3771" s="2">
        <f ca="1"/>
        <v>0.89082289030024708</v>
      </c>
      <c r="AH3771" s="2" t="str">
        <f ca="1"/>
        <v>Bad</v>
      </c>
    </row>
    <row r="3772" spans="2:34" x14ac:dyDescent="0.2">
      <c r="B3772" s="2">
        <f ca="1"/>
        <v>0.11786378694763022</v>
      </c>
      <c r="O3772" s="2">
        <f ca="1"/>
        <v>1.3497737409932393</v>
      </c>
      <c r="X3772" s="2">
        <f ca="1"/>
        <v>58.763397290778727</v>
      </c>
      <c r="AG3772" s="2">
        <f ca="1"/>
        <v>0.1811374032736015</v>
      </c>
      <c r="AH3772" s="2" t="str">
        <f ca="1"/>
        <v>OK</v>
      </c>
    </row>
    <row r="3773" spans="2:34" x14ac:dyDescent="0.2">
      <c r="B3773" s="2">
        <f ca="1"/>
        <v>0.68953323516489218</v>
      </c>
      <c r="O3773" s="2">
        <f ca="1"/>
        <v>0.367943365812745</v>
      </c>
      <c r="X3773" s="2">
        <f ca="1"/>
        <v>38.873298173290173</v>
      </c>
      <c r="AG3773" s="2">
        <f ca="1"/>
        <v>0.18663454944170921</v>
      </c>
      <c r="AH3773" s="2" t="str">
        <f ca="1"/>
        <v>OK</v>
      </c>
    </row>
    <row r="3774" spans="2:34" x14ac:dyDescent="0.2">
      <c r="B3774" s="2">
        <f ca="1"/>
        <v>0.1684234941774021</v>
      </c>
      <c r="O3774" s="2">
        <f ca="1"/>
        <v>-0.81021126377084873</v>
      </c>
      <c r="X3774" s="2">
        <f ca="1"/>
        <v>26.762380684027043</v>
      </c>
      <c r="AG3774" s="2">
        <f ca="1"/>
        <v>0.45576121305295936</v>
      </c>
      <c r="AH3774" s="2" t="str">
        <f ca="1"/>
        <v>Bad</v>
      </c>
    </row>
    <row r="3775" spans="2:34" x14ac:dyDescent="0.2">
      <c r="B3775" s="2">
        <f ca="1"/>
        <v>0.40289113437915014</v>
      </c>
      <c r="O3775" s="2">
        <f ca="1"/>
        <v>-0.54615254818754744</v>
      </c>
      <c r="X3775" s="2">
        <f ca="1"/>
        <v>45.483703764363213</v>
      </c>
      <c r="AG3775" s="2">
        <f ca="1"/>
        <v>0.90376471568708583</v>
      </c>
      <c r="AH3775" s="2" t="str">
        <f ca="1"/>
        <v>Bad</v>
      </c>
    </row>
    <row r="3776" spans="2:34" x14ac:dyDescent="0.2">
      <c r="B3776" s="2">
        <f ca="1"/>
        <v>0.56616857417182342</v>
      </c>
      <c r="O3776" s="2">
        <f ca="1"/>
        <v>-0.70853994179991098</v>
      </c>
      <c r="X3776" s="2">
        <f ca="1"/>
        <v>68.287227333704195</v>
      </c>
      <c r="AG3776" s="2">
        <f ca="1"/>
        <v>0.28683103839038337</v>
      </c>
      <c r="AH3776" s="2" t="str">
        <f ca="1"/>
        <v>OK</v>
      </c>
    </row>
    <row r="3777" spans="2:34" x14ac:dyDescent="0.2">
      <c r="B3777" s="2">
        <f ca="1"/>
        <v>0.9912434538997168</v>
      </c>
      <c r="O3777" s="2">
        <f ca="1"/>
        <v>-1.3441907958275061</v>
      </c>
      <c r="X3777" s="2">
        <f ca="1"/>
        <v>15.823355148190934</v>
      </c>
      <c r="AG3777" s="2">
        <f ca="1"/>
        <v>0.66501566834194392</v>
      </c>
      <c r="AH3777" s="2" t="str">
        <f ca="1"/>
        <v>Bad</v>
      </c>
    </row>
    <row r="3778" spans="2:34" x14ac:dyDescent="0.2">
      <c r="B3778" s="2">
        <f ca="1"/>
        <v>0.31554042141651717</v>
      </c>
      <c r="O3778" s="2">
        <f ca="1"/>
        <v>-0.51306366306040274</v>
      </c>
      <c r="X3778" s="2">
        <f ca="1"/>
        <v>30.947848840774345</v>
      </c>
      <c r="AG3778" s="2">
        <f ca="1"/>
        <v>0.1396628531327273</v>
      </c>
      <c r="AH3778" s="2" t="str">
        <f ca="1"/>
        <v>OK</v>
      </c>
    </row>
    <row r="3779" spans="2:34" x14ac:dyDescent="0.2">
      <c r="B3779" s="2">
        <f ca="1"/>
        <v>0.20126256975578927</v>
      </c>
      <c r="O3779" s="2">
        <f ca="1"/>
        <v>-0.4671779951631358</v>
      </c>
      <c r="X3779" s="2">
        <f ca="1"/>
        <v>66.732944534567437</v>
      </c>
      <c r="AG3779" s="2">
        <f ca="1"/>
        <v>8.5533791261234171E-2</v>
      </c>
      <c r="AH3779" s="2" t="str">
        <f ca="1"/>
        <v>OK</v>
      </c>
    </row>
    <row r="3780" spans="2:34" x14ac:dyDescent="0.2">
      <c r="B3780" s="2">
        <f ca="1"/>
        <v>3.3774794590582857E-2</v>
      </c>
      <c r="O3780" s="2">
        <f ca="1"/>
        <v>0.93063604042195758</v>
      </c>
      <c r="X3780" s="2">
        <f ca="1"/>
        <v>49.767309872502651</v>
      </c>
      <c r="AG3780" s="2">
        <f ca="1"/>
        <v>0.63145183279833761</v>
      </c>
      <c r="AH3780" s="2" t="str">
        <f ca="1"/>
        <v>Bad</v>
      </c>
    </row>
    <row r="3781" spans="2:34" x14ac:dyDescent="0.2">
      <c r="B3781" s="2">
        <f ca="1"/>
        <v>0.79229240514498867</v>
      </c>
      <c r="O3781" s="2">
        <f ca="1"/>
        <v>1.0189391432648087</v>
      </c>
      <c r="X3781" s="2">
        <f ca="1"/>
        <v>70.512284621943522</v>
      </c>
      <c r="AG3781" s="2">
        <f ca="1"/>
        <v>0.4466548209781076</v>
      </c>
      <c r="AH3781" s="2" t="str">
        <f ca="1"/>
        <v>Bad</v>
      </c>
    </row>
    <row r="3782" spans="2:34" x14ac:dyDescent="0.2">
      <c r="B3782" s="2">
        <f ca="1"/>
        <v>0.25165921962832827</v>
      </c>
      <c r="O3782" s="2">
        <f ca="1"/>
        <v>0.43557756146487103</v>
      </c>
      <c r="X3782" s="2">
        <f ca="1"/>
        <v>67.366906862666468</v>
      </c>
      <c r="AG3782" s="2">
        <f ca="1"/>
        <v>2.817108358152165E-2</v>
      </c>
      <c r="AH3782" s="2" t="str">
        <f ca="1"/>
        <v>Good</v>
      </c>
    </row>
    <row r="3783" spans="2:34" x14ac:dyDescent="0.2">
      <c r="B3783" s="2">
        <f ca="1"/>
        <v>0.27221902980712653</v>
      </c>
      <c r="O3783" s="2">
        <f ca="1"/>
        <v>0.40628577529578408</v>
      </c>
      <c r="X3783" s="2">
        <f ca="1"/>
        <v>27.601999044652462</v>
      </c>
      <c r="AG3783" s="2">
        <f ca="1"/>
        <v>0.21657123899984709</v>
      </c>
      <c r="AH3783" s="2" t="str">
        <f ca="1"/>
        <v>OK</v>
      </c>
    </row>
    <row r="3784" spans="2:34" x14ac:dyDescent="0.2">
      <c r="B3784" s="2">
        <f ca="1"/>
        <v>0.85411580405994947</v>
      </c>
      <c r="O3784" s="2">
        <f ca="1"/>
        <v>-0.60579199784948534</v>
      </c>
      <c r="X3784" s="2">
        <f ca="1"/>
        <v>41.184294175175893</v>
      </c>
      <c r="AG3784" s="2">
        <f ca="1"/>
        <v>0.93704154111611349</v>
      </c>
      <c r="AH3784" s="2" t="str">
        <f ca="1"/>
        <v>Bad</v>
      </c>
    </row>
    <row r="3785" spans="2:34" x14ac:dyDescent="0.2">
      <c r="B3785" s="2">
        <f ca="1"/>
        <v>0.57135104182101393</v>
      </c>
      <c r="O3785" s="2">
        <f ca="1"/>
        <v>0.91491811860907124</v>
      </c>
      <c r="X3785" s="2">
        <f ca="1"/>
        <v>58.632029048560163</v>
      </c>
      <c r="AG3785" s="2">
        <f ca="1"/>
        <v>0.69846944248927567</v>
      </c>
      <c r="AH3785" s="2" t="str">
        <f ca="1"/>
        <v>Bad</v>
      </c>
    </row>
    <row r="3786" spans="2:34" x14ac:dyDescent="0.2">
      <c r="B3786" s="2">
        <f ca="1"/>
        <v>0.18256801571358383</v>
      </c>
      <c r="O3786" s="2">
        <f ca="1"/>
        <v>-0.86397518070621249</v>
      </c>
      <c r="X3786" s="2">
        <f ca="1"/>
        <v>66.737212783603496</v>
      </c>
      <c r="AG3786" s="2">
        <f ca="1"/>
        <v>0.96146731193366231</v>
      </c>
      <c r="AH3786" s="2" t="str">
        <f ca="1"/>
        <v>Bad</v>
      </c>
    </row>
    <row r="3787" spans="2:34" x14ac:dyDescent="0.2">
      <c r="B3787" s="2">
        <f ca="1"/>
        <v>0.25028402322919252</v>
      </c>
      <c r="O3787" s="2">
        <f ca="1"/>
        <v>-0.45068113249580877</v>
      </c>
      <c r="X3787" s="2">
        <f ca="1"/>
        <v>45.142764742884005</v>
      </c>
      <c r="AG3787" s="2">
        <f ca="1"/>
        <v>0.5540658565213783</v>
      </c>
      <c r="AH3787" s="2" t="str">
        <f ca="1"/>
        <v>Bad</v>
      </c>
    </row>
    <row r="3788" spans="2:34" x14ac:dyDescent="0.2">
      <c r="B3788" s="2">
        <f ca="1"/>
        <v>0.62223035300054064</v>
      </c>
      <c r="O3788" s="2">
        <f ca="1"/>
        <v>0.38371949957147294</v>
      </c>
      <c r="X3788" s="2">
        <f ca="1"/>
        <v>56.611686745790983</v>
      </c>
      <c r="AG3788" s="2">
        <f ca="1"/>
        <v>0.69624082660013276</v>
      </c>
      <c r="AH3788" s="2" t="str">
        <f ca="1"/>
        <v>Bad</v>
      </c>
    </row>
    <row r="3789" spans="2:34" x14ac:dyDescent="0.2">
      <c r="B3789" s="2">
        <f ca="1"/>
        <v>0.14647230901057862</v>
      </c>
      <c r="O3789" s="2">
        <f ca="1"/>
        <v>0.25841826718361177</v>
      </c>
      <c r="X3789" s="2">
        <f ca="1"/>
        <v>31.589231455203159</v>
      </c>
      <c r="AG3789" s="2">
        <f ca="1"/>
        <v>0.85294157000515392</v>
      </c>
      <c r="AH3789" s="2" t="str">
        <f ca="1"/>
        <v>Bad</v>
      </c>
    </row>
    <row r="3790" spans="2:34" x14ac:dyDescent="0.2">
      <c r="B3790" s="2">
        <f ca="1"/>
        <v>0.2143921616020481</v>
      </c>
      <c r="O3790" s="2">
        <f ca="1"/>
        <v>0.70252751338079933</v>
      </c>
      <c r="X3790" s="2">
        <f ca="1"/>
        <v>36.010776171103728</v>
      </c>
      <c r="AG3790" s="2">
        <f ca="1"/>
        <v>0.12025043734625585</v>
      </c>
      <c r="AH3790" s="2" t="str">
        <f ca="1"/>
        <v>OK</v>
      </c>
    </row>
    <row r="3791" spans="2:34" x14ac:dyDescent="0.2">
      <c r="B3791" s="2">
        <f ca="1"/>
        <v>0.19189960714947651</v>
      </c>
      <c r="O3791" s="2">
        <f ca="1"/>
        <v>0.8699857752353507</v>
      </c>
      <c r="X3791" s="2">
        <f ca="1"/>
        <v>44.630758409541016</v>
      </c>
      <c r="AG3791" s="2">
        <f ca="1"/>
        <v>0.14782715990715611</v>
      </c>
      <c r="AH3791" s="2" t="str">
        <f ca="1"/>
        <v>OK</v>
      </c>
    </row>
    <row r="3792" spans="2:34" x14ac:dyDescent="0.2">
      <c r="B3792" s="2">
        <f ca="1"/>
        <v>9.5469457418587034E-2</v>
      </c>
      <c r="O3792" s="2">
        <f ca="1"/>
        <v>-0.15470098070839394</v>
      </c>
      <c r="X3792" s="2">
        <f ca="1"/>
        <v>49.12860032256458</v>
      </c>
      <c r="AG3792" s="2">
        <f ca="1"/>
        <v>0.62157366155218052</v>
      </c>
      <c r="AH3792" s="2" t="str">
        <f ca="1"/>
        <v>Bad</v>
      </c>
    </row>
    <row r="3793" spans="2:34" x14ac:dyDescent="0.2">
      <c r="B3793" s="2">
        <f ca="1"/>
        <v>0.34627960182818374</v>
      </c>
      <c r="O3793" s="2">
        <f ca="1"/>
        <v>-0.18402519780686513</v>
      </c>
      <c r="X3793" s="2">
        <f ca="1"/>
        <v>39.423047394639255</v>
      </c>
      <c r="AG3793" s="2">
        <f ca="1"/>
        <v>0.7309424169955554</v>
      </c>
      <c r="AH3793" s="2" t="str">
        <f ca="1"/>
        <v>Bad</v>
      </c>
    </row>
    <row r="3794" spans="2:34" x14ac:dyDescent="0.2">
      <c r="B3794" s="2">
        <f ca="1"/>
        <v>0.51078971054707556</v>
      </c>
      <c r="O3794" s="2">
        <f ca="1"/>
        <v>-0.92292423158278247</v>
      </c>
      <c r="X3794" s="2">
        <f ca="1"/>
        <v>75.057798225869803</v>
      </c>
      <c r="AG3794" s="2">
        <f ca="1"/>
        <v>0.73301996365565025</v>
      </c>
      <c r="AH3794" s="2" t="str">
        <f ca="1"/>
        <v>Bad</v>
      </c>
    </row>
    <row r="3795" spans="2:34" x14ac:dyDescent="0.2">
      <c r="B3795" s="2">
        <f ca="1"/>
        <v>0.43004767973358526</v>
      </c>
      <c r="O3795" s="2">
        <f ca="1"/>
        <v>-1.1903092511848594</v>
      </c>
      <c r="X3795" s="2">
        <f ca="1"/>
        <v>66.310345031525131</v>
      </c>
      <c r="AG3795" s="2">
        <f ca="1"/>
        <v>5.3040723162613101E-2</v>
      </c>
      <c r="AH3795" s="2" t="str">
        <f ca="1"/>
        <v>OK</v>
      </c>
    </row>
    <row r="3796" spans="2:34" x14ac:dyDescent="0.2">
      <c r="B3796" s="2">
        <f ca="1"/>
        <v>0.30861230839706533</v>
      </c>
      <c r="O3796" s="2">
        <f ca="1"/>
        <v>0.40707114122737303</v>
      </c>
      <c r="X3796" s="2">
        <f ca="1"/>
        <v>50.381387145515475</v>
      </c>
      <c r="AG3796" s="2">
        <f ca="1"/>
        <v>0.9534739073762537</v>
      </c>
      <c r="AH3796" s="2" t="str">
        <f ca="1"/>
        <v>Bad</v>
      </c>
    </row>
    <row r="3797" spans="2:34" x14ac:dyDescent="0.2">
      <c r="B3797" s="2">
        <f ca="1"/>
        <v>4.6022802154584541E-2</v>
      </c>
      <c r="O3797" s="2">
        <f ca="1"/>
        <v>-1.2527429221465092</v>
      </c>
      <c r="X3797" s="2">
        <f ca="1"/>
        <v>66.677514745649844</v>
      </c>
      <c r="AG3797" s="2">
        <f ca="1"/>
        <v>0.73356694124646049</v>
      </c>
      <c r="AH3797" s="2" t="str">
        <f ca="1"/>
        <v>Bad</v>
      </c>
    </row>
    <row r="3798" spans="2:34" x14ac:dyDescent="0.2">
      <c r="B3798" s="2">
        <f ca="1"/>
        <v>0.85004967580650947</v>
      </c>
      <c r="O3798" s="2">
        <f ca="1"/>
        <v>0.80040462768566711</v>
      </c>
      <c r="X3798" s="2">
        <f ca="1"/>
        <v>66.991268348614852</v>
      </c>
      <c r="AG3798" s="2">
        <f ca="1"/>
        <v>0.87928789255594131</v>
      </c>
      <c r="AH3798" s="2" t="str">
        <f ca="1"/>
        <v>Bad</v>
      </c>
    </row>
    <row r="3799" spans="2:34" x14ac:dyDescent="0.2">
      <c r="B3799" s="2">
        <f ca="1"/>
        <v>0.28420395008167065</v>
      </c>
      <c r="O3799" s="2">
        <f ca="1"/>
        <v>-0.89816087892331797</v>
      </c>
      <c r="X3799" s="2">
        <f ca="1"/>
        <v>48.366397673554992</v>
      </c>
      <c r="AG3799" s="2">
        <f ca="1"/>
        <v>0.48695210983731263</v>
      </c>
      <c r="AH3799" s="2" t="str">
        <f ca="1"/>
        <v>Bad</v>
      </c>
    </row>
    <row r="3800" spans="2:34" x14ac:dyDescent="0.2">
      <c r="B3800" s="2">
        <f ca="1"/>
        <v>0.23005833598344916</v>
      </c>
      <c r="O3800" s="2">
        <f ca="1"/>
        <v>0.44460496463738269</v>
      </c>
      <c r="X3800" s="2">
        <f ca="1"/>
        <v>30.846904469507223</v>
      </c>
      <c r="AG3800" s="2">
        <f ca="1"/>
        <v>0.70644580506301802</v>
      </c>
      <c r="AH3800" s="2" t="str">
        <f ca="1"/>
        <v>Bad</v>
      </c>
    </row>
    <row r="3801" spans="2:34" x14ac:dyDescent="0.2">
      <c r="B3801" s="2">
        <f ca="1"/>
        <v>0.99354039034487296</v>
      </c>
      <c r="O3801" s="2">
        <f ca="1"/>
        <v>-0.79200320906278754</v>
      </c>
      <c r="X3801" s="2">
        <f ca="1"/>
        <v>61.831072676435255</v>
      </c>
      <c r="AG3801" s="2">
        <f ca="1"/>
        <v>0.49059539469586211</v>
      </c>
      <c r="AH3801" s="2" t="str">
        <f ca="1"/>
        <v>Bad</v>
      </c>
    </row>
    <row r="3802" spans="2:34" x14ac:dyDescent="0.2">
      <c r="B3802" s="2">
        <f ca="1"/>
        <v>0.6657045919219946</v>
      </c>
      <c r="O3802" s="2">
        <f ca="1"/>
        <v>-0.6235371763131311</v>
      </c>
      <c r="X3802" s="2">
        <f ca="1"/>
        <v>41.489372633632591</v>
      </c>
      <c r="AG3802" s="2">
        <f ca="1"/>
        <v>0.11122052857147025</v>
      </c>
      <c r="AH3802" s="2" t="str">
        <f ca="1"/>
        <v>OK</v>
      </c>
    </row>
    <row r="3803" spans="2:34" x14ac:dyDescent="0.2">
      <c r="B3803" s="2">
        <f ca="1"/>
        <v>0.90307018519143889</v>
      </c>
      <c r="O3803" s="2">
        <f ca="1"/>
        <v>-2.1182960684166399</v>
      </c>
      <c r="X3803" s="2">
        <f ca="1"/>
        <v>47.662293178694675</v>
      </c>
      <c r="AG3803" s="2">
        <f ca="1"/>
        <v>0.4882334169690894</v>
      </c>
      <c r="AH3803" s="2" t="str">
        <f ca="1"/>
        <v>Bad</v>
      </c>
    </row>
    <row r="3804" spans="2:34" x14ac:dyDescent="0.2">
      <c r="B3804" s="2">
        <f ca="1"/>
        <v>0.79820016489742551</v>
      </c>
      <c r="O3804" s="2">
        <f ca="1"/>
        <v>-0.34028066331344359</v>
      </c>
      <c r="X3804" s="2">
        <f ca="1"/>
        <v>25.137640792593487</v>
      </c>
      <c r="AG3804" s="2">
        <f ca="1"/>
        <v>0.86593582978937711</v>
      </c>
      <c r="AH3804" s="2" t="str">
        <f ca="1"/>
        <v>Bad</v>
      </c>
    </row>
    <row r="3805" spans="2:34" x14ac:dyDescent="0.2">
      <c r="B3805" s="2">
        <f ca="1"/>
        <v>0.25267125971618087</v>
      </c>
      <c r="O3805" s="2">
        <f ca="1"/>
        <v>-0.11635700921696875</v>
      </c>
      <c r="X3805" s="2">
        <f ca="1"/>
        <v>55.011796165639019</v>
      </c>
      <c r="AG3805" s="2">
        <f ca="1"/>
        <v>0.15877420235748563</v>
      </c>
      <c r="AH3805" s="2" t="str">
        <f ca="1"/>
        <v>OK</v>
      </c>
    </row>
    <row r="3806" spans="2:34" x14ac:dyDescent="0.2">
      <c r="B3806" s="2">
        <f ca="1"/>
        <v>0.91738015781352122</v>
      </c>
      <c r="O3806" s="2">
        <f ca="1"/>
        <v>0.46211032129305901</v>
      </c>
      <c r="X3806" s="2">
        <f ca="1"/>
        <v>74.308764638498445</v>
      </c>
      <c r="AG3806" s="2">
        <f ca="1"/>
        <v>0.66773312538184615</v>
      </c>
      <c r="AH3806" s="2" t="str">
        <f ca="1"/>
        <v>Bad</v>
      </c>
    </row>
    <row r="3807" spans="2:34" x14ac:dyDescent="0.2">
      <c r="B3807" s="2">
        <f ca="1"/>
        <v>0.76689566094246153</v>
      </c>
      <c r="O3807" s="2">
        <f ca="1"/>
        <v>-0.48520483282906979</v>
      </c>
      <c r="X3807" s="2">
        <f ca="1"/>
        <v>40.9499142378153</v>
      </c>
      <c r="AG3807" s="2">
        <f ca="1"/>
        <v>0.70005514805141789</v>
      </c>
      <c r="AH3807" s="2" t="str">
        <f ca="1"/>
        <v>Bad</v>
      </c>
    </row>
    <row r="3808" spans="2:34" x14ac:dyDescent="0.2">
      <c r="B3808" s="2">
        <f ca="1"/>
        <v>0.82680951650761214</v>
      </c>
      <c r="O3808" s="2">
        <f ca="1"/>
        <v>-1.0805821139391156</v>
      </c>
      <c r="X3808" s="2">
        <f ca="1"/>
        <v>34.619110818185831</v>
      </c>
      <c r="AG3808" s="2">
        <f ca="1"/>
        <v>0.62558273721381985</v>
      </c>
      <c r="AH3808" s="2" t="str">
        <f ca="1"/>
        <v>Bad</v>
      </c>
    </row>
    <row r="3809" spans="2:34" x14ac:dyDescent="0.2">
      <c r="B3809" s="2">
        <f ca="1"/>
        <v>0.47568386448608369</v>
      </c>
      <c r="O3809" s="2">
        <f ca="1"/>
        <v>0.42826232567707828</v>
      </c>
      <c r="X3809" s="2">
        <f ca="1"/>
        <v>34.091486236749361</v>
      </c>
      <c r="AG3809" s="2">
        <f ca="1"/>
        <v>0.32734803196023776</v>
      </c>
      <c r="AH3809" s="2" t="str">
        <f ca="1"/>
        <v>OK</v>
      </c>
    </row>
    <row r="3810" spans="2:34" x14ac:dyDescent="0.2">
      <c r="B3810" s="2">
        <f ca="1"/>
        <v>0.50591226678637846</v>
      </c>
      <c r="O3810" s="2">
        <f ca="1"/>
        <v>1.3984142683011815</v>
      </c>
      <c r="X3810" s="2">
        <f ca="1"/>
        <v>48.580929253240484</v>
      </c>
      <c r="AG3810" s="2">
        <f ca="1"/>
        <v>0.89513453430035761</v>
      </c>
      <c r="AH3810" s="2" t="str">
        <f ca="1"/>
        <v>Bad</v>
      </c>
    </row>
    <row r="3811" spans="2:34" x14ac:dyDescent="0.2">
      <c r="B3811" s="2">
        <f ca="1"/>
        <v>6.2834990003064473E-3</v>
      </c>
      <c r="O3811" s="2">
        <f ca="1"/>
        <v>-4.6432588810700504E-2</v>
      </c>
      <c r="X3811" s="2">
        <f ca="1"/>
        <v>47.960851582212108</v>
      </c>
      <c r="AG3811" s="2">
        <f ca="1"/>
        <v>0.16407838397659313</v>
      </c>
      <c r="AH3811" s="2" t="str">
        <f ca="1"/>
        <v>OK</v>
      </c>
    </row>
    <row r="3812" spans="2:34" x14ac:dyDescent="0.2">
      <c r="B3812" s="2">
        <f ca="1"/>
        <v>3.3901152789613809E-2</v>
      </c>
      <c r="O3812" s="2">
        <f ca="1"/>
        <v>-0.79286503486706639</v>
      </c>
      <c r="X3812" s="2">
        <f ca="1"/>
        <v>36.633216674329404</v>
      </c>
      <c r="AG3812" s="2">
        <f ca="1"/>
        <v>0.65226240120184431</v>
      </c>
      <c r="AH3812" s="2" t="str">
        <f ca="1"/>
        <v>Bad</v>
      </c>
    </row>
    <row r="3813" spans="2:34" x14ac:dyDescent="0.2">
      <c r="B3813" s="2">
        <f ca="1"/>
        <v>0.83055057496104578</v>
      </c>
      <c r="O3813" s="2">
        <f ca="1"/>
        <v>0.89956158718771539</v>
      </c>
      <c r="X3813" s="2">
        <f ca="1"/>
        <v>38.223421479014917</v>
      </c>
      <c r="AG3813" s="2">
        <f ca="1"/>
        <v>3.0711958949682927E-2</v>
      </c>
      <c r="AH3813" s="2" t="str">
        <f ca="1"/>
        <v>Good</v>
      </c>
    </row>
    <row r="3814" spans="2:34" x14ac:dyDescent="0.2">
      <c r="B3814" s="2">
        <f ca="1"/>
        <v>0.18220654553491444</v>
      </c>
      <c r="O3814" s="2">
        <f ca="1"/>
        <v>-1.3047574510783275</v>
      </c>
      <c r="X3814" s="2">
        <f ca="1"/>
        <v>53.224234703758775</v>
      </c>
      <c r="AG3814" s="2">
        <f ca="1"/>
        <v>7.5975076893008309E-2</v>
      </c>
      <c r="AH3814" s="2" t="str">
        <f ca="1"/>
        <v>OK</v>
      </c>
    </row>
    <row r="3815" spans="2:34" x14ac:dyDescent="0.2">
      <c r="B3815" s="2">
        <f ca="1"/>
        <v>6.9201694097166477E-2</v>
      </c>
      <c r="O3815" s="2">
        <f ca="1"/>
        <v>0.51969985565018628</v>
      </c>
      <c r="X3815" s="2">
        <f ca="1"/>
        <v>18.254308338688155</v>
      </c>
      <c r="AG3815" s="2">
        <f ca="1"/>
        <v>0.80272848713904188</v>
      </c>
      <c r="AH3815" s="2" t="str">
        <f ca="1"/>
        <v>Bad</v>
      </c>
    </row>
    <row r="3816" spans="2:34" x14ac:dyDescent="0.2">
      <c r="B3816" s="2">
        <f ca="1"/>
        <v>8.4328175310258713E-2</v>
      </c>
      <c r="O3816" s="2">
        <f ca="1"/>
        <v>-0.35794359868875508</v>
      </c>
      <c r="X3816" s="2">
        <f ca="1"/>
        <v>76.550413328247075</v>
      </c>
      <c r="AG3816" s="2">
        <f ca="1"/>
        <v>0.43830796218461887</v>
      </c>
      <c r="AH3816" s="2" t="str">
        <f ca="1"/>
        <v>Bad</v>
      </c>
    </row>
    <row r="3817" spans="2:34" x14ac:dyDescent="0.2">
      <c r="B3817" s="2">
        <f ca="1"/>
        <v>0.55015782414887493</v>
      </c>
      <c r="O3817" s="2">
        <f ca="1"/>
        <v>-0.33178362965939956</v>
      </c>
      <c r="X3817" s="2">
        <f ca="1"/>
        <v>37.312408265636051</v>
      </c>
      <c r="AG3817" s="2">
        <f ca="1"/>
        <v>0.41398298201002359</v>
      </c>
      <c r="AH3817" s="2" t="str">
        <f ca="1"/>
        <v>Bad</v>
      </c>
    </row>
    <row r="3818" spans="2:34" x14ac:dyDescent="0.2">
      <c r="B3818" s="2">
        <f ca="1"/>
        <v>0.29622343220887948</v>
      </c>
      <c r="O3818" s="2">
        <f ca="1"/>
        <v>1.1553369345249205</v>
      </c>
      <c r="X3818" s="2">
        <f ca="1"/>
        <v>55.530208277580215</v>
      </c>
      <c r="AG3818" s="2">
        <f ca="1"/>
        <v>0.66335307169231528</v>
      </c>
      <c r="AH3818" s="2" t="str">
        <f ca="1"/>
        <v>Bad</v>
      </c>
    </row>
    <row r="3819" spans="2:34" x14ac:dyDescent="0.2">
      <c r="B3819" s="2">
        <f ca="1"/>
        <v>6.5368980996827641E-2</v>
      </c>
      <c r="O3819" s="2">
        <f ca="1"/>
        <v>0.77824574063305918</v>
      </c>
      <c r="X3819" s="2">
        <f ca="1"/>
        <v>56.151430940433485</v>
      </c>
      <c r="AG3819" s="2">
        <f ca="1"/>
        <v>0.17230928448066196</v>
      </c>
      <c r="AH3819" s="2" t="str">
        <f ca="1"/>
        <v>OK</v>
      </c>
    </row>
    <row r="3820" spans="2:34" x14ac:dyDescent="0.2">
      <c r="B3820" s="2">
        <f ca="1"/>
        <v>0.59393469608257554</v>
      </c>
      <c r="O3820" s="2">
        <f ca="1"/>
        <v>0.73442465052966821</v>
      </c>
      <c r="X3820" s="2">
        <f ca="1"/>
        <v>62.390610480259269</v>
      </c>
      <c r="AG3820" s="2">
        <f ca="1"/>
        <v>0.76933957527624153</v>
      </c>
      <c r="AH3820" s="2" t="str">
        <f ca="1"/>
        <v>Bad</v>
      </c>
    </row>
    <row r="3821" spans="2:34" x14ac:dyDescent="0.2">
      <c r="B3821" s="2">
        <f ca="1"/>
        <v>0.30726818778762977</v>
      </c>
      <c r="O3821" s="2">
        <f ca="1"/>
        <v>-0.14290182127618831</v>
      </c>
      <c r="X3821" s="2">
        <f ca="1"/>
        <v>65.076703429085512</v>
      </c>
      <c r="AG3821" s="2">
        <f ca="1"/>
        <v>0.78092438803252429</v>
      </c>
      <c r="AH3821" s="2" t="str">
        <f ca="1"/>
        <v>Bad</v>
      </c>
    </row>
    <row r="3822" spans="2:34" x14ac:dyDescent="0.2">
      <c r="B3822" s="2">
        <f ca="1"/>
        <v>0.62852129545326485</v>
      </c>
      <c r="O3822" s="2">
        <f ca="1"/>
        <v>0.25324813157722498</v>
      </c>
      <c r="X3822" s="2">
        <f ca="1"/>
        <v>40.555361380288765</v>
      </c>
      <c r="AG3822" s="2">
        <f ca="1"/>
        <v>0.225899027053865</v>
      </c>
      <c r="AH3822" s="2" t="str">
        <f ca="1"/>
        <v>OK</v>
      </c>
    </row>
    <row r="3823" spans="2:34" x14ac:dyDescent="0.2">
      <c r="B3823" s="2">
        <f ca="1"/>
        <v>0.59175339195781884</v>
      </c>
      <c r="O3823" s="2">
        <f ca="1"/>
        <v>-1.4538430980743158</v>
      </c>
      <c r="X3823" s="2">
        <f ca="1"/>
        <v>60.771299733974395</v>
      </c>
      <c r="AG3823" s="2">
        <f ca="1"/>
        <v>0.70275182148491688</v>
      </c>
      <c r="AH3823" s="2" t="str">
        <f ca="1"/>
        <v>Bad</v>
      </c>
    </row>
    <row r="3824" spans="2:34" x14ac:dyDescent="0.2">
      <c r="B3824" s="2">
        <f ca="1"/>
        <v>0.82711924087251387</v>
      </c>
      <c r="O3824" s="2">
        <f ca="1"/>
        <v>-1.5240810524425492</v>
      </c>
      <c r="X3824" s="2">
        <f ca="1"/>
        <v>47.290034188193594</v>
      </c>
      <c r="AG3824" s="2">
        <f ca="1"/>
        <v>0.23392612661009538</v>
      </c>
      <c r="AH3824" s="2" t="str">
        <f ca="1"/>
        <v>OK</v>
      </c>
    </row>
    <row r="3825" spans="2:34" x14ac:dyDescent="0.2">
      <c r="B3825" s="2">
        <f ca="1"/>
        <v>0.74279937562971066</v>
      </c>
      <c r="O3825" s="2">
        <f ca="1"/>
        <v>-0.77051167771242612</v>
      </c>
      <c r="X3825" s="2">
        <f ca="1"/>
        <v>48.171204034013741</v>
      </c>
      <c r="AG3825" s="2">
        <f ca="1"/>
        <v>0.31060873871320749</v>
      </c>
      <c r="AH3825" s="2" t="str">
        <f ca="1"/>
        <v>OK</v>
      </c>
    </row>
    <row r="3826" spans="2:34" x14ac:dyDescent="0.2">
      <c r="B3826" s="2">
        <f ca="1"/>
        <v>0.15993784745973061</v>
      </c>
      <c r="O3826" s="2">
        <f ca="1"/>
        <v>1.7489728394744308</v>
      </c>
      <c r="X3826" s="2">
        <f ca="1"/>
        <v>57.024153840152266</v>
      </c>
      <c r="AG3826" s="2">
        <f ca="1"/>
        <v>0.24159154079994805</v>
      </c>
      <c r="AH3826" s="2" t="str">
        <f ca="1"/>
        <v>OK</v>
      </c>
    </row>
    <row r="3827" spans="2:34" x14ac:dyDescent="0.2">
      <c r="B3827" s="2">
        <f ca="1"/>
        <v>0.11510007830074787</v>
      </c>
      <c r="O3827" s="2">
        <f ca="1"/>
        <v>1.8761440149413702</v>
      </c>
      <c r="X3827" s="2">
        <f ca="1"/>
        <v>44.250632219877573</v>
      </c>
      <c r="AG3827" s="2">
        <f ca="1"/>
        <v>0.43546254028418341</v>
      </c>
      <c r="AH3827" s="2" t="str">
        <f ca="1"/>
        <v>Bad</v>
      </c>
    </row>
    <row r="3828" spans="2:34" x14ac:dyDescent="0.2">
      <c r="B3828" s="2">
        <f ca="1"/>
        <v>0.55105899895347688</v>
      </c>
      <c r="O3828" s="2">
        <f ca="1"/>
        <v>-0.33076330137776205</v>
      </c>
      <c r="X3828" s="2">
        <f ca="1"/>
        <v>56.953682980746606</v>
      </c>
      <c r="AG3828" s="2">
        <f ca="1"/>
        <v>0.70193955977244982</v>
      </c>
      <c r="AH3828" s="2" t="str">
        <f ca="1"/>
        <v>Bad</v>
      </c>
    </row>
    <row r="3829" spans="2:34" x14ac:dyDescent="0.2">
      <c r="B3829" s="2">
        <f ca="1"/>
        <v>0.14718969071973609</v>
      </c>
      <c r="O3829" s="2">
        <f ca="1"/>
        <v>1.3554840832171278</v>
      </c>
      <c r="X3829" s="2">
        <f ca="1"/>
        <v>67.005980034914955</v>
      </c>
      <c r="AG3829" s="2">
        <f ca="1"/>
        <v>0.25356954409816579</v>
      </c>
      <c r="AH3829" s="2" t="str">
        <f ca="1"/>
        <v>OK</v>
      </c>
    </row>
    <row r="3830" spans="2:34" x14ac:dyDescent="0.2">
      <c r="B3830" s="2">
        <f ca="1"/>
        <v>0.31070145924592607</v>
      </c>
      <c r="O3830" s="2">
        <f ca="1"/>
        <v>1.050592560652873</v>
      </c>
      <c r="X3830" s="2">
        <f ca="1"/>
        <v>94.699773161285208</v>
      </c>
      <c r="AG3830" s="2">
        <f ca="1"/>
        <v>0.55510011548822957</v>
      </c>
      <c r="AH3830" s="2" t="str">
        <f ca="1"/>
        <v>Bad</v>
      </c>
    </row>
    <row r="3831" spans="2:34" x14ac:dyDescent="0.2">
      <c r="B3831" s="2">
        <f ca="1"/>
        <v>0.11290710990199115</v>
      </c>
      <c r="O3831" s="2">
        <f ca="1"/>
        <v>-1.4441880421702595</v>
      </c>
      <c r="X3831" s="2">
        <f ca="1"/>
        <v>83.050118519994243</v>
      </c>
      <c r="AG3831" s="2">
        <f ca="1"/>
        <v>0.61103277227684649</v>
      </c>
      <c r="AH3831" s="2" t="str">
        <f ca="1"/>
        <v>Bad</v>
      </c>
    </row>
    <row r="3832" spans="2:34" x14ac:dyDescent="0.2">
      <c r="B3832" s="2">
        <f ca="1"/>
        <v>0.68385680353229295</v>
      </c>
      <c r="O3832" s="2">
        <f ca="1"/>
        <v>0.61789383101951767</v>
      </c>
      <c r="X3832" s="2">
        <f ca="1"/>
        <v>49.455909144121215</v>
      </c>
      <c r="AG3832" s="2">
        <f ca="1"/>
        <v>0.88085281309421792</v>
      </c>
      <c r="AH3832" s="2" t="str">
        <f ca="1"/>
        <v>Bad</v>
      </c>
    </row>
    <row r="3833" spans="2:34" x14ac:dyDescent="0.2">
      <c r="B3833" s="2">
        <f ca="1"/>
        <v>0.98309246432253894</v>
      </c>
      <c r="O3833" s="2">
        <f ca="1"/>
        <v>0.1031629428068537</v>
      </c>
      <c r="X3833" s="2">
        <f ca="1"/>
        <v>44.625883025115165</v>
      </c>
      <c r="AG3833" s="2">
        <f ca="1"/>
        <v>0.81772673056912581</v>
      </c>
      <c r="AH3833" s="2" t="str">
        <f ca="1"/>
        <v>Bad</v>
      </c>
    </row>
    <row r="3834" spans="2:34" x14ac:dyDescent="0.2">
      <c r="B3834" s="2">
        <f ca="1"/>
        <v>0.18717650226023452</v>
      </c>
      <c r="O3834" s="2">
        <f ca="1"/>
        <v>-0.70478482026351363</v>
      </c>
      <c r="X3834" s="2">
        <f ca="1"/>
        <v>59.849558456570108</v>
      </c>
      <c r="AG3834" s="2">
        <f ca="1"/>
        <v>0.66733010772007884</v>
      </c>
      <c r="AH3834" s="2" t="str">
        <f ca="1"/>
        <v>Bad</v>
      </c>
    </row>
    <row r="3835" spans="2:34" x14ac:dyDescent="0.2">
      <c r="B3835" s="2">
        <f ca="1"/>
        <v>0.2395847391991448</v>
      </c>
      <c r="O3835" s="2">
        <f ca="1"/>
        <v>-2.0129343700460716</v>
      </c>
      <c r="X3835" s="2">
        <f ca="1"/>
        <v>46.713388565481644</v>
      </c>
      <c r="AG3835" s="2">
        <f ca="1"/>
        <v>0.70527841966043048</v>
      </c>
      <c r="AH3835" s="2" t="str">
        <f ca="1"/>
        <v>Bad</v>
      </c>
    </row>
    <row r="3836" spans="2:34" x14ac:dyDescent="0.2">
      <c r="B3836" s="2">
        <f ca="1"/>
        <v>0.79624391727009858</v>
      </c>
      <c r="O3836" s="2">
        <f ca="1"/>
        <v>1.1468571297933421</v>
      </c>
      <c r="X3836" s="2">
        <f ca="1"/>
        <v>34.297399706311182</v>
      </c>
      <c r="AG3836" s="2">
        <f ca="1"/>
        <v>0.37345288100228657</v>
      </c>
      <c r="AH3836" s="2" t="str">
        <f ca="1"/>
        <v>OK</v>
      </c>
    </row>
    <row r="3837" spans="2:34" x14ac:dyDescent="0.2">
      <c r="B3837" s="2">
        <f ca="1"/>
        <v>0.35786971487734109</v>
      </c>
      <c r="O3837" s="2">
        <f ca="1"/>
        <v>1.6557594295580953</v>
      </c>
      <c r="X3837" s="2">
        <f ca="1"/>
        <v>55.042470295095001</v>
      </c>
      <c r="AG3837" s="2">
        <f ca="1"/>
        <v>0.21161413048370603</v>
      </c>
      <c r="AH3837" s="2" t="str">
        <f ca="1"/>
        <v>OK</v>
      </c>
    </row>
    <row r="3838" spans="2:34" x14ac:dyDescent="0.2">
      <c r="B3838" s="2">
        <f ca="1"/>
        <v>0.85576833889972015</v>
      </c>
      <c r="O3838" s="2">
        <f ca="1"/>
        <v>0.20424198574069491</v>
      </c>
      <c r="X3838" s="2">
        <f ca="1"/>
        <v>45.950493791156276</v>
      </c>
      <c r="AG3838" s="2">
        <f ca="1"/>
        <v>0.10606019499755104</v>
      </c>
      <c r="AH3838" s="2" t="str">
        <f ca="1"/>
        <v>OK</v>
      </c>
    </row>
    <row r="3839" spans="2:34" x14ac:dyDescent="0.2">
      <c r="B3839" s="2">
        <f ca="1"/>
        <v>0.4515696377642342</v>
      </c>
      <c r="O3839" s="2">
        <f ca="1"/>
        <v>-0.6515358099045454</v>
      </c>
      <c r="X3839" s="2">
        <f ca="1"/>
        <v>68.759554671579309</v>
      </c>
      <c r="AG3839" s="2">
        <f ca="1"/>
        <v>0.46456233321480567</v>
      </c>
      <c r="AH3839" s="2" t="str">
        <f ca="1"/>
        <v>Bad</v>
      </c>
    </row>
    <row r="3840" spans="2:34" x14ac:dyDescent="0.2">
      <c r="B3840" s="2">
        <f ca="1"/>
        <v>0.46685292396013245</v>
      </c>
      <c r="O3840" s="2">
        <f ca="1"/>
        <v>0.86958496815449204</v>
      </c>
      <c r="X3840" s="2">
        <f ca="1"/>
        <v>49.87071786542154</v>
      </c>
      <c r="AG3840" s="2">
        <f ca="1"/>
        <v>0.6665190434358137</v>
      </c>
      <c r="AH3840" s="2" t="str">
        <f ca="1"/>
        <v>Bad</v>
      </c>
    </row>
    <row r="3841" spans="2:34" x14ac:dyDescent="0.2">
      <c r="B3841" s="2">
        <f ca="1"/>
        <v>0.661704494828949</v>
      </c>
      <c r="O3841" s="2">
        <f ca="1"/>
        <v>-0.24861856888310602</v>
      </c>
      <c r="X3841" s="2">
        <f ca="1"/>
        <v>36.469431105344114</v>
      </c>
      <c r="AG3841" s="2">
        <f ca="1"/>
        <v>0.7931313624230143</v>
      </c>
      <c r="AH3841" s="2" t="str">
        <f ca="1"/>
        <v>Bad</v>
      </c>
    </row>
    <row r="3842" spans="2:34" x14ac:dyDescent="0.2">
      <c r="B3842" s="2">
        <f ca="1"/>
        <v>0.32255361907342439</v>
      </c>
      <c r="O3842" s="2">
        <f ca="1"/>
        <v>-0.80184353237180395</v>
      </c>
      <c r="X3842" s="2">
        <f ca="1"/>
        <v>78.278855191911163</v>
      </c>
      <c r="AG3842" s="2">
        <f ca="1"/>
        <v>0.10094653388598807</v>
      </c>
      <c r="AH3842" s="2" t="str">
        <f ca="1"/>
        <v>OK</v>
      </c>
    </row>
    <row r="3843" spans="2:34" x14ac:dyDescent="0.2">
      <c r="B3843" s="2">
        <f ca="1"/>
        <v>0.87926932197524388</v>
      </c>
      <c r="O3843" s="2">
        <f ca="1"/>
        <v>-1.5662837327860615</v>
      </c>
      <c r="X3843" s="2">
        <f ca="1"/>
        <v>48.078202687056887</v>
      </c>
      <c r="AG3843" s="2">
        <f ca="1"/>
        <v>8.3725912355265608E-2</v>
      </c>
      <c r="AH3843" s="2" t="str">
        <f ca="1"/>
        <v>OK</v>
      </c>
    </row>
    <row r="3844" spans="2:34" x14ac:dyDescent="0.2">
      <c r="B3844" s="2">
        <f ca="1"/>
        <v>0.97797870420857014</v>
      </c>
      <c r="O3844" s="2">
        <f ca="1"/>
        <v>0.13861738382045979</v>
      </c>
      <c r="X3844" s="2">
        <f ca="1"/>
        <v>49.328631861354928</v>
      </c>
      <c r="AG3844" s="2">
        <f ca="1"/>
        <v>0.74422731498173711</v>
      </c>
      <c r="AH3844" s="2" t="str">
        <f ca="1"/>
        <v>Bad</v>
      </c>
    </row>
    <row r="3845" spans="2:34" x14ac:dyDescent="0.2">
      <c r="B3845" s="2">
        <f ca="1"/>
        <v>0.91753253751718167</v>
      </c>
      <c r="O3845" s="2">
        <f ca="1"/>
        <v>0.55599214773449934</v>
      </c>
      <c r="X3845" s="2">
        <f ca="1"/>
        <v>42.770364394919142</v>
      </c>
      <c r="AG3845" s="2">
        <f ca="1"/>
        <v>0.72616166823867268</v>
      </c>
      <c r="AH3845" s="2" t="str">
        <f ca="1"/>
        <v>Bad</v>
      </c>
    </row>
    <row r="3846" spans="2:34" x14ac:dyDescent="0.2">
      <c r="B3846" s="2">
        <f ca="1"/>
        <v>0.49609373440861626</v>
      </c>
      <c r="O3846" s="2">
        <f ca="1"/>
        <v>0.39479236111220567</v>
      </c>
      <c r="X3846" s="2">
        <f ca="1"/>
        <v>48.458513560702706</v>
      </c>
      <c r="AG3846" s="2">
        <f ca="1"/>
        <v>8.4470100705704709E-2</v>
      </c>
      <c r="AH3846" s="2" t="str">
        <f ca="1"/>
        <v>OK</v>
      </c>
    </row>
    <row r="3847" spans="2:34" x14ac:dyDescent="0.2">
      <c r="B3847" s="2">
        <f ca="1"/>
        <v>0.72516442546383186</v>
      </c>
      <c r="O3847" s="2">
        <f ca="1"/>
        <v>-0.547226710625208</v>
      </c>
      <c r="X3847" s="2">
        <f ca="1"/>
        <v>62.743303717522679</v>
      </c>
      <c r="AG3847" s="2">
        <f ca="1"/>
        <v>0.96936647165244638</v>
      </c>
      <c r="AH3847" s="2" t="str">
        <f ca="1"/>
        <v>Bad</v>
      </c>
    </row>
    <row r="3848" spans="2:34" x14ac:dyDescent="0.2">
      <c r="B3848" s="2">
        <f ca="1"/>
        <v>0.68422057436987926</v>
      </c>
      <c r="O3848" s="2">
        <f ca="1"/>
        <v>-0.58566261098788197</v>
      </c>
      <c r="X3848" s="2">
        <f ca="1"/>
        <v>39.858571028077129</v>
      </c>
      <c r="AG3848" s="2">
        <f ca="1"/>
        <v>0.31284062283513703</v>
      </c>
      <c r="AH3848" s="2" t="str">
        <f ca="1"/>
        <v>OK</v>
      </c>
    </row>
    <row r="3849" spans="2:34" x14ac:dyDescent="0.2">
      <c r="B3849" s="2">
        <f ca="1"/>
        <v>0.69376541326078445</v>
      </c>
      <c r="O3849" s="2">
        <f ca="1"/>
        <v>-2.7828251164173909E-2</v>
      </c>
      <c r="X3849" s="2">
        <f ca="1"/>
        <v>39.618278835373829</v>
      </c>
      <c r="AG3849" s="2">
        <f ca="1"/>
        <v>0.2952872914752489</v>
      </c>
      <c r="AH3849" s="2" t="str">
        <f ca="1"/>
        <v>OK</v>
      </c>
    </row>
    <row r="3850" spans="2:34" x14ac:dyDescent="0.2">
      <c r="B3850" s="2">
        <f ca="1"/>
        <v>0.4688399276888795</v>
      </c>
      <c r="O3850" s="2">
        <f ca="1"/>
        <v>-0.72586616444187091</v>
      </c>
      <c r="X3850" s="2">
        <f ca="1"/>
        <v>33.745404397257161</v>
      </c>
      <c r="AG3850" s="2">
        <f ca="1"/>
        <v>0.31125469116602678</v>
      </c>
      <c r="AH3850" s="2" t="str">
        <f ca="1"/>
        <v>OK</v>
      </c>
    </row>
    <row r="3851" spans="2:34" x14ac:dyDescent="0.2">
      <c r="B3851" s="2">
        <f ca="1"/>
        <v>0.57175584579984817</v>
      </c>
      <c r="O3851" s="2">
        <f ca="1"/>
        <v>-0.83781378152560804</v>
      </c>
      <c r="X3851" s="2">
        <f ca="1"/>
        <v>43.627105072295862</v>
      </c>
      <c r="AG3851" s="2">
        <f ca="1"/>
        <v>0.20714938584167042</v>
      </c>
      <c r="AH3851" s="2" t="str">
        <f ca="1"/>
        <v>OK</v>
      </c>
    </row>
    <row r="3852" spans="2:34" x14ac:dyDescent="0.2">
      <c r="B3852" s="2">
        <f ca="1"/>
        <v>0.29399573000558821</v>
      </c>
      <c r="O3852" s="2">
        <f ca="1"/>
        <v>6.7724787348044546E-2</v>
      </c>
      <c r="X3852" s="2">
        <f ca="1"/>
        <v>61.257633022286569</v>
      </c>
      <c r="AG3852" s="2">
        <f ca="1"/>
        <v>0.24802313209718885</v>
      </c>
      <c r="AH3852" s="2" t="str">
        <f ca="1"/>
        <v>OK</v>
      </c>
    </row>
    <row r="3853" spans="2:34" x14ac:dyDescent="0.2">
      <c r="B3853" s="2">
        <f ca="1"/>
        <v>0.30160917472436299</v>
      </c>
      <c r="O3853" s="2">
        <f ca="1"/>
        <v>0.88969837669458329</v>
      </c>
      <c r="X3853" s="2">
        <f ca="1"/>
        <v>39.735568937788358</v>
      </c>
      <c r="AG3853" s="2">
        <f ca="1"/>
        <v>0.51448773428084138</v>
      </c>
      <c r="AH3853" s="2" t="str">
        <f ca="1"/>
        <v>Bad</v>
      </c>
    </row>
    <row r="3854" spans="2:34" x14ac:dyDescent="0.2">
      <c r="B3854" s="2">
        <f ca="1"/>
        <v>0.9668300023653551</v>
      </c>
      <c r="O3854" s="2">
        <f ca="1"/>
        <v>1.6804754942250559</v>
      </c>
      <c r="X3854" s="2">
        <f ca="1"/>
        <v>50.875164255495442</v>
      </c>
      <c r="AG3854" s="2">
        <f ca="1"/>
        <v>7.776987366178556E-2</v>
      </c>
      <c r="AH3854" s="2" t="str">
        <f ca="1"/>
        <v>OK</v>
      </c>
    </row>
    <row r="3855" spans="2:34" x14ac:dyDescent="0.2">
      <c r="B3855" s="2">
        <f ca="1"/>
        <v>0.32591201322563013</v>
      </c>
      <c r="O3855" s="2">
        <f ca="1"/>
        <v>-0.23078570103058096</v>
      </c>
      <c r="X3855" s="2">
        <f ca="1"/>
        <v>55.878113188857021</v>
      </c>
      <c r="AG3855" s="2">
        <f ca="1"/>
        <v>0.87967690619179617</v>
      </c>
      <c r="AH3855" s="2" t="str">
        <f ca="1"/>
        <v>Bad</v>
      </c>
    </row>
    <row r="3856" spans="2:34" x14ac:dyDescent="0.2">
      <c r="B3856" s="2">
        <f ca="1"/>
        <v>0.77082440435647603</v>
      </c>
      <c r="O3856" s="2">
        <f ca="1"/>
        <v>-0.3545929724389259</v>
      </c>
      <c r="X3856" s="2">
        <f ca="1"/>
        <v>65.427229169407909</v>
      </c>
      <c r="AG3856" s="2">
        <f ca="1"/>
        <v>0.19547106055945784</v>
      </c>
      <c r="AH3856" s="2" t="str">
        <f ca="1"/>
        <v>OK</v>
      </c>
    </row>
    <row r="3857" spans="2:34" x14ac:dyDescent="0.2">
      <c r="B3857" s="2">
        <f ca="1"/>
        <v>0.88716506279135476</v>
      </c>
      <c r="O3857" s="2">
        <f ca="1"/>
        <v>-0.38237687102447782</v>
      </c>
      <c r="X3857" s="2">
        <f ca="1"/>
        <v>24.82850954740746</v>
      </c>
      <c r="AG3857" s="2">
        <f ca="1"/>
        <v>0.84297055419757361</v>
      </c>
      <c r="AH3857" s="2" t="str">
        <f ca="1"/>
        <v>Bad</v>
      </c>
    </row>
    <row r="3858" spans="2:34" x14ac:dyDescent="0.2">
      <c r="B3858" s="2">
        <f ca="1"/>
        <v>0.97403253167832671</v>
      </c>
      <c r="O3858" s="2">
        <f ca="1"/>
        <v>-1.1629113831807336</v>
      </c>
      <c r="X3858" s="2">
        <f ca="1"/>
        <v>28.480016432668833</v>
      </c>
      <c r="AG3858" s="2">
        <f ca="1"/>
        <v>0.27564332404779712</v>
      </c>
      <c r="AH3858" s="2" t="str">
        <f ca="1"/>
        <v>OK</v>
      </c>
    </row>
    <row r="3859" spans="2:34" x14ac:dyDescent="0.2">
      <c r="B3859" s="2">
        <f ca="1"/>
        <v>0.15136469898053617</v>
      </c>
      <c r="O3859" s="2">
        <f ca="1"/>
        <v>0.19762624087731864</v>
      </c>
      <c r="X3859" s="2">
        <f ca="1"/>
        <v>38.431642381874674</v>
      </c>
      <c r="AG3859" s="2">
        <f ca="1"/>
        <v>0.79894501522411421</v>
      </c>
      <c r="AH3859" s="2" t="str">
        <f ca="1"/>
        <v>Bad</v>
      </c>
    </row>
    <row r="3860" spans="2:34" x14ac:dyDescent="0.2">
      <c r="B3860" s="2">
        <f ca="1"/>
        <v>0.9828544571232416</v>
      </c>
      <c r="O3860" s="2">
        <f ca="1"/>
        <v>0.7328286098222816</v>
      </c>
      <c r="X3860" s="2">
        <f ca="1"/>
        <v>40.301794787384544</v>
      </c>
      <c r="AG3860" s="2">
        <f ca="1"/>
        <v>0.78846613384176445</v>
      </c>
      <c r="AH3860" s="2" t="str">
        <f ca="1"/>
        <v>Bad</v>
      </c>
    </row>
    <row r="3861" spans="2:34" x14ac:dyDescent="0.2">
      <c r="B3861" s="2">
        <f ca="1"/>
        <v>0.15063720647819312</v>
      </c>
      <c r="O3861" s="2">
        <f ca="1"/>
        <v>-0.43052715248951395</v>
      </c>
      <c r="X3861" s="2">
        <f ca="1"/>
        <v>26.022633481973898</v>
      </c>
      <c r="AG3861" s="2">
        <f ca="1"/>
        <v>0.52433501008291361</v>
      </c>
      <c r="AH3861" s="2" t="str">
        <f ca="1"/>
        <v>Bad</v>
      </c>
    </row>
    <row r="3862" spans="2:34" x14ac:dyDescent="0.2">
      <c r="B3862" s="2">
        <f ca="1"/>
        <v>0.28059103540356101</v>
      </c>
      <c r="O3862" s="2">
        <f ca="1"/>
        <v>0.39689703156472012</v>
      </c>
      <c r="X3862" s="2">
        <f ca="1"/>
        <v>24.829252784881376</v>
      </c>
      <c r="AG3862" s="2">
        <f ca="1"/>
        <v>0.51962394470959983</v>
      </c>
      <c r="AH3862" s="2" t="str">
        <f ca="1"/>
        <v>Bad</v>
      </c>
    </row>
    <row r="3863" spans="2:34" x14ac:dyDescent="0.2">
      <c r="B3863" s="2">
        <f ca="1"/>
        <v>7.6495175391626313E-2</v>
      </c>
      <c r="O3863" s="2">
        <f ca="1"/>
        <v>2.1971545203828722</v>
      </c>
      <c r="X3863" s="2">
        <f ca="1"/>
        <v>80.611112972826064</v>
      </c>
      <c r="AG3863" s="2">
        <f ca="1"/>
        <v>6.7830378424884374E-2</v>
      </c>
      <c r="AH3863" s="2" t="str">
        <f ca="1"/>
        <v>OK</v>
      </c>
    </row>
    <row r="3864" spans="2:34" x14ac:dyDescent="0.2">
      <c r="B3864" s="2">
        <f ca="1"/>
        <v>0.71806855907114397</v>
      </c>
      <c r="O3864" s="2">
        <f ca="1"/>
        <v>-0.14019584995837175</v>
      </c>
      <c r="X3864" s="2">
        <f ca="1"/>
        <v>49.14321735114256</v>
      </c>
      <c r="AG3864" s="2">
        <f ca="1"/>
        <v>0.79631368888109488</v>
      </c>
      <c r="AH3864" s="2" t="str">
        <f ca="1"/>
        <v>Bad</v>
      </c>
    </row>
    <row r="3865" spans="2:34" x14ac:dyDescent="0.2">
      <c r="B3865" s="2">
        <f ca="1"/>
        <v>0.20880533783865252</v>
      </c>
      <c r="O3865" s="2">
        <f ca="1"/>
        <v>-0.22135298604793766</v>
      </c>
      <c r="X3865" s="2">
        <f ca="1"/>
        <v>38.532053113520064</v>
      </c>
      <c r="AG3865" s="2">
        <f ca="1"/>
        <v>0.38156316394985623</v>
      </c>
      <c r="AH3865" s="2" t="str">
        <f ca="1"/>
        <v>OK</v>
      </c>
    </row>
    <row r="3866" spans="2:34" x14ac:dyDescent="0.2">
      <c r="B3866" s="2">
        <f ca="1"/>
        <v>0.97333014178781441</v>
      </c>
      <c r="O3866" s="2">
        <f ca="1"/>
        <v>0.62612111371895984</v>
      </c>
      <c r="X3866" s="2">
        <f ca="1"/>
        <v>97.682655747912875</v>
      </c>
      <c r="AG3866" s="2">
        <f ca="1"/>
        <v>9.577524579660035E-2</v>
      </c>
      <c r="AH3866" s="2" t="str">
        <f ca="1"/>
        <v>OK</v>
      </c>
    </row>
    <row r="3867" spans="2:34" x14ac:dyDescent="0.2">
      <c r="B3867" s="2">
        <f ca="1"/>
        <v>0.46093075256850846</v>
      </c>
      <c r="O3867" s="2">
        <f ca="1"/>
        <v>1.0501076032861321</v>
      </c>
      <c r="X3867" s="2">
        <f ca="1"/>
        <v>46.117498342517855</v>
      </c>
      <c r="AG3867" s="2">
        <f ca="1"/>
        <v>0.25373256521223464</v>
      </c>
      <c r="AH3867" s="2" t="str">
        <f ca="1"/>
        <v>OK</v>
      </c>
    </row>
    <row r="3868" spans="2:34" x14ac:dyDescent="0.2">
      <c r="B3868" s="2">
        <f ca="1"/>
        <v>0.59757437946754743</v>
      </c>
      <c r="O3868" s="2">
        <f ca="1"/>
        <v>3.7687343218034082E-2</v>
      </c>
      <c r="X3868" s="2">
        <f ca="1"/>
        <v>56.388023836451509</v>
      </c>
      <c r="AG3868" s="2">
        <f ca="1"/>
        <v>0.27744921844520354</v>
      </c>
      <c r="AH3868" s="2" t="str">
        <f ca="1"/>
        <v>OK</v>
      </c>
    </row>
    <row r="3869" spans="2:34" x14ac:dyDescent="0.2">
      <c r="B3869" s="2">
        <f ca="1"/>
        <v>0.89271590332281492</v>
      </c>
      <c r="O3869" s="2">
        <f ca="1"/>
        <v>0.86537060987682146</v>
      </c>
      <c r="X3869" s="2">
        <f ca="1"/>
        <v>62.524823281898733</v>
      </c>
      <c r="AG3869" s="2">
        <f ca="1"/>
        <v>0.69222778938069141</v>
      </c>
      <c r="AH3869" s="2" t="str">
        <f ca="1"/>
        <v>Bad</v>
      </c>
    </row>
    <row r="3870" spans="2:34" x14ac:dyDescent="0.2">
      <c r="B3870" s="2">
        <f ca="1"/>
        <v>0.85005841291820472</v>
      </c>
      <c r="O3870" s="2">
        <f ca="1"/>
        <v>0.11012877352335439</v>
      </c>
      <c r="X3870" s="2">
        <f ca="1"/>
        <v>47.40139984318931</v>
      </c>
      <c r="AG3870" s="2">
        <f ca="1"/>
        <v>0.19420745072549184</v>
      </c>
      <c r="AH3870" s="2" t="str">
        <f ca="1"/>
        <v>OK</v>
      </c>
    </row>
    <row r="3871" spans="2:34" x14ac:dyDescent="0.2">
      <c r="B3871" s="2">
        <f ca="1"/>
        <v>0.84412174299347353</v>
      </c>
      <c r="O3871" s="2">
        <f ca="1"/>
        <v>1.0254428325466736</v>
      </c>
      <c r="X3871" s="2">
        <f ca="1"/>
        <v>57.810788937358168</v>
      </c>
      <c r="AG3871" s="2">
        <f ca="1"/>
        <v>8.7097034009586682E-3</v>
      </c>
      <c r="AH3871" s="2" t="str">
        <f ca="1"/>
        <v>Good</v>
      </c>
    </row>
    <row r="3872" spans="2:34" x14ac:dyDescent="0.2">
      <c r="B3872" s="2">
        <f ca="1"/>
        <v>0.34925592310179887</v>
      </c>
      <c r="O3872" s="2">
        <f ca="1"/>
        <v>3.5564554993417978E-2</v>
      </c>
      <c r="X3872" s="2">
        <f ca="1"/>
        <v>28.653837972874122</v>
      </c>
      <c r="AG3872" s="2">
        <f ca="1"/>
        <v>0.86857550688845575</v>
      </c>
      <c r="AH3872" s="2" t="str">
        <f ca="1"/>
        <v>Bad</v>
      </c>
    </row>
    <row r="3873" spans="2:34" x14ac:dyDescent="0.2">
      <c r="B3873" s="2">
        <f ca="1"/>
        <v>0.13148763102110705</v>
      </c>
      <c r="O3873" s="2">
        <f ca="1"/>
        <v>0.19619121493907452</v>
      </c>
      <c r="X3873" s="2">
        <f ca="1"/>
        <v>81.757781172771985</v>
      </c>
      <c r="AG3873" s="2">
        <f ca="1"/>
        <v>0.96469306180459147</v>
      </c>
      <c r="AH3873" s="2" t="str">
        <f ca="1"/>
        <v>Bad</v>
      </c>
    </row>
    <row r="3874" spans="2:34" x14ac:dyDescent="0.2">
      <c r="B3874" s="2">
        <f ca="1"/>
        <v>0.80705529301542134</v>
      </c>
      <c r="O3874" s="2">
        <f ca="1"/>
        <v>-0.95317462789811569</v>
      </c>
      <c r="X3874" s="2">
        <f ca="1"/>
        <v>79.323282370535168</v>
      </c>
      <c r="AG3874" s="2">
        <f ca="1"/>
        <v>0.34721218596485093</v>
      </c>
      <c r="AH3874" s="2" t="str">
        <f ca="1"/>
        <v>OK</v>
      </c>
    </row>
    <row r="3875" spans="2:34" x14ac:dyDescent="0.2">
      <c r="B3875" s="2">
        <f ca="1"/>
        <v>0.54658765485734051</v>
      </c>
      <c r="O3875" s="2">
        <f ca="1"/>
        <v>0.7106694183641683</v>
      </c>
      <c r="X3875" s="2">
        <f ca="1"/>
        <v>39.519912159758746</v>
      </c>
      <c r="AG3875" s="2">
        <f ca="1"/>
        <v>2.9921536302703444E-2</v>
      </c>
      <c r="AH3875" s="2" t="str">
        <f ca="1"/>
        <v>Good</v>
      </c>
    </row>
    <row r="3876" spans="2:34" x14ac:dyDescent="0.2">
      <c r="B3876" s="2">
        <f ca="1"/>
        <v>0.48649826725452061</v>
      </c>
      <c r="O3876" s="2">
        <f ca="1"/>
        <v>0.80968785878193761</v>
      </c>
      <c r="X3876" s="2">
        <f ca="1"/>
        <v>53.800286514786592</v>
      </c>
      <c r="AG3876" s="2">
        <f ca="1"/>
        <v>0.52285870186962535</v>
      </c>
      <c r="AH3876" s="2" t="str">
        <f ca="1"/>
        <v>Bad</v>
      </c>
    </row>
    <row r="3877" spans="2:34" x14ac:dyDescent="0.2">
      <c r="B3877" s="2">
        <f ca="1"/>
        <v>0.51691956731288768</v>
      </c>
      <c r="O3877" s="2">
        <f ca="1"/>
        <v>0.58006388273894771</v>
      </c>
      <c r="X3877" s="2">
        <f ca="1"/>
        <v>47.982006606891929</v>
      </c>
      <c r="AG3877" s="2">
        <f ca="1"/>
        <v>0.83164403263384923</v>
      </c>
      <c r="AH3877" s="2" t="str">
        <f ca="1"/>
        <v>Bad</v>
      </c>
    </row>
    <row r="3878" spans="2:34" x14ac:dyDescent="0.2">
      <c r="B3878" s="2">
        <f ca="1"/>
        <v>0.21239115987220858</v>
      </c>
      <c r="O3878" s="2">
        <f ca="1"/>
        <v>0.81035684072212266</v>
      </c>
      <c r="X3878" s="2">
        <f ca="1"/>
        <v>43.878306758627204</v>
      </c>
      <c r="AG3878" s="2">
        <f ca="1"/>
        <v>0.399881552366538</v>
      </c>
      <c r="AH3878" s="2" t="str">
        <f ca="1"/>
        <v>OK</v>
      </c>
    </row>
    <row r="3879" spans="2:34" x14ac:dyDescent="0.2">
      <c r="B3879" s="2">
        <f ca="1"/>
        <v>7.3023732531902752E-2</v>
      </c>
      <c r="O3879" s="2">
        <f ca="1"/>
        <v>-1.1441506133353454</v>
      </c>
      <c r="X3879" s="2">
        <f ca="1"/>
        <v>50.458656163741871</v>
      </c>
      <c r="AG3879" s="2">
        <f ca="1"/>
        <v>0.49025817666714588</v>
      </c>
      <c r="AH3879" s="2" t="str">
        <f ca="1"/>
        <v>Bad</v>
      </c>
    </row>
    <row r="3880" spans="2:34" x14ac:dyDescent="0.2">
      <c r="B3880" s="2">
        <f ca="1"/>
        <v>0.22729523303354715</v>
      </c>
      <c r="O3880" s="2">
        <f ca="1"/>
        <v>-1.3490979015844968</v>
      </c>
      <c r="X3880" s="2">
        <f ca="1"/>
        <v>51.084820348655612</v>
      </c>
      <c r="AG3880" s="2">
        <f ca="1"/>
        <v>0.43079208554952197</v>
      </c>
      <c r="AH3880" s="2" t="str">
        <f ca="1"/>
        <v>Bad</v>
      </c>
    </row>
    <row r="3881" spans="2:34" x14ac:dyDescent="0.2">
      <c r="B3881" s="2">
        <f ca="1"/>
        <v>0.78862128037351464</v>
      </c>
      <c r="O3881" s="2">
        <f ca="1"/>
        <v>-0.10814657361090815</v>
      </c>
      <c r="X3881" s="2">
        <f ca="1"/>
        <v>62.925373904874043</v>
      </c>
      <c r="AG3881" s="2">
        <f ca="1"/>
        <v>0.36345063251543341</v>
      </c>
      <c r="AH3881" s="2" t="str">
        <f ca="1"/>
        <v>OK</v>
      </c>
    </row>
    <row r="3882" spans="2:34" x14ac:dyDescent="0.2">
      <c r="B3882" s="2">
        <f ca="1"/>
        <v>0.74918357505832089</v>
      </c>
      <c r="O3882" s="2">
        <f ca="1"/>
        <v>-2.4944035340092245</v>
      </c>
      <c r="X3882" s="2">
        <f ca="1"/>
        <v>96.240807325423177</v>
      </c>
      <c r="AG3882" s="2">
        <f ca="1"/>
        <v>0.68213834689653319</v>
      </c>
      <c r="AH3882" s="2" t="str">
        <f ca="1"/>
        <v>Bad</v>
      </c>
    </row>
    <row r="3883" spans="2:34" x14ac:dyDescent="0.2">
      <c r="B3883" s="2">
        <f ca="1"/>
        <v>0.85908349958135921</v>
      </c>
      <c r="O3883" s="2">
        <f ca="1"/>
        <v>0.75616013880435939</v>
      </c>
      <c r="X3883" s="2">
        <f ca="1"/>
        <v>54.851412166862602</v>
      </c>
      <c r="AG3883" s="2">
        <f ca="1"/>
        <v>0.12901191720759875</v>
      </c>
      <c r="AH3883" s="2" t="str">
        <f ca="1"/>
        <v>OK</v>
      </c>
    </row>
    <row r="3884" spans="2:34" x14ac:dyDescent="0.2">
      <c r="B3884" s="2">
        <f ca="1"/>
        <v>0.82190560250030864</v>
      </c>
      <c r="O3884" s="2">
        <f ca="1"/>
        <v>0.85499742427407477</v>
      </c>
      <c r="X3884" s="2">
        <f ca="1"/>
        <v>32.493980282982029</v>
      </c>
      <c r="AG3884" s="2">
        <f ca="1"/>
        <v>0.71980465343465405</v>
      </c>
      <c r="AH3884" s="2" t="str">
        <f ca="1"/>
        <v>Bad</v>
      </c>
    </row>
    <row r="3885" spans="2:34" x14ac:dyDescent="0.2">
      <c r="B3885" s="2">
        <f ca="1"/>
        <v>0.5911862887131103</v>
      </c>
      <c r="O3885" s="2">
        <f ca="1"/>
        <v>-0.45848961989788406</v>
      </c>
      <c r="X3885" s="2">
        <f ca="1"/>
        <v>32.876497026179116</v>
      </c>
      <c r="AG3885" s="2">
        <f ca="1"/>
        <v>0.37437614268660568</v>
      </c>
      <c r="AH3885" s="2" t="str">
        <f ca="1"/>
        <v>OK</v>
      </c>
    </row>
    <row r="3886" spans="2:34" x14ac:dyDescent="0.2">
      <c r="B3886" s="2">
        <f ca="1"/>
        <v>0.7947352325910837</v>
      </c>
      <c r="O3886" s="2">
        <f ca="1"/>
        <v>0.27605679644305564</v>
      </c>
      <c r="X3886" s="2">
        <f ca="1"/>
        <v>54.37111166452452</v>
      </c>
      <c r="AG3886" s="2">
        <f ca="1"/>
        <v>0.31176765072043633</v>
      </c>
      <c r="AH3886" s="2" t="str">
        <f ca="1"/>
        <v>OK</v>
      </c>
    </row>
    <row r="3887" spans="2:34" x14ac:dyDescent="0.2">
      <c r="B3887" s="2">
        <f ca="1"/>
        <v>0.1620767348953116</v>
      </c>
      <c r="O3887" s="2">
        <f ca="1"/>
        <v>-0.7713539166441653</v>
      </c>
      <c r="X3887" s="2">
        <f ca="1"/>
        <v>34.014300706400817</v>
      </c>
      <c r="AG3887" s="2">
        <f ca="1"/>
        <v>0.28187202703052372</v>
      </c>
      <c r="AH3887" s="2" t="str">
        <f ca="1"/>
        <v>OK</v>
      </c>
    </row>
    <row r="3888" spans="2:34" x14ac:dyDescent="0.2">
      <c r="B3888" s="2">
        <f ca="1"/>
        <v>0.81205646554058819</v>
      </c>
      <c r="O3888" s="2">
        <f ca="1"/>
        <v>1.0766307296543318</v>
      </c>
      <c r="X3888" s="2">
        <f ca="1"/>
        <v>40.483261195997173</v>
      </c>
      <c r="AG3888" s="2">
        <f ca="1"/>
        <v>0.67673254389010773</v>
      </c>
      <c r="AH3888" s="2" t="str">
        <f ca="1"/>
        <v>Bad</v>
      </c>
    </row>
    <row r="3889" spans="2:34" x14ac:dyDescent="0.2">
      <c r="B3889" s="2">
        <f ca="1"/>
        <v>0.76131526598518739</v>
      </c>
      <c r="O3889" s="2">
        <f ca="1"/>
        <v>0.94168086217063907</v>
      </c>
      <c r="X3889" s="2">
        <f ca="1"/>
        <v>24.648831141559189</v>
      </c>
      <c r="AG3889" s="2">
        <f ca="1"/>
        <v>0.80718526798299162</v>
      </c>
      <c r="AH3889" s="2" t="str">
        <f ca="1"/>
        <v>Bad</v>
      </c>
    </row>
    <row r="3890" spans="2:34" x14ac:dyDescent="0.2">
      <c r="B3890" s="2">
        <f ca="1"/>
        <v>0.10141628846267903</v>
      </c>
      <c r="O3890" s="2">
        <f ca="1"/>
        <v>1.1044682960789065</v>
      </c>
      <c r="X3890" s="2">
        <f ca="1"/>
        <v>89.971194566787162</v>
      </c>
      <c r="AG3890" s="2">
        <f ca="1"/>
        <v>0.95479031822966109</v>
      </c>
      <c r="AH3890" s="2" t="str">
        <f ca="1"/>
        <v>Bad</v>
      </c>
    </row>
    <row r="3891" spans="2:34" x14ac:dyDescent="0.2">
      <c r="B3891" s="2">
        <f ca="1"/>
        <v>0.62542763659375056</v>
      </c>
      <c r="O3891" s="2">
        <f ca="1"/>
        <v>1.3323023563313228</v>
      </c>
      <c r="X3891" s="2">
        <f ca="1"/>
        <v>36.401626898007692</v>
      </c>
      <c r="AG3891" s="2">
        <f ca="1"/>
        <v>0.91475613181691906</v>
      </c>
      <c r="AH3891" s="2" t="str">
        <f ca="1"/>
        <v>Bad</v>
      </c>
    </row>
    <row r="3892" spans="2:34" x14ac:dyDescent="0.2">
      <c r="B3892" s="2">
        <f ca="1"/>
        <v>0.45890118137295843</v>
      </c>
      <c r="O3892" s="2">
        <f ca="1"/>
        <v>-8.3920360434346628E-2</v>
      </c>
      <c r="X3892" s="2">
        <f ca="1"/>
        <v>73.051915295562793</v>
      </c>
      <c r="AG3892" s="2">
        <f ca="1"/>
        <v>0.44356316678814767</v>
      </c>
      <c r="AH3892" s="2" t="str">
        <f ca="1"/>
        <v>Bad</v>
      </c>
    </row>
    <row r="3893" spans="2:34" x14ac:dyDescent="0.2">
      <c r="B3893" s="2">
        <f ca="1"/>
        <v>0.81653032231867217</v>
      </c>
      <c r="O3893" s="2">
        <f ca="1"/>
        <v>-1.608408314209798</v>
      </c>
      <c r="X3893" s="2">
        <f ca="1"/>
        <v>54.104261387396775</v>
      </c>
      <c r="AG3893" s="2">
        <f ca="1"/>
        <v>0.96204740963370017</v>
      </c>
      <c r="AH3893" s="2" t="str">
        <f ca="1"/>
        <v>Bad</v>
      </c>
    </row>
    <row r="3894" spans="2:34" x14ac:dyDescent="0.2">
      <c r="B3894" s="2">
        <f ca="1"/>
        <v>0.42272151881910203</v>
      </c>
      <c r="O3894" s="2">
        <f ca="1"/>
        <v>1.3131003442635372</v>
      </c>
      <c r="X3894" s="2">
        <f ca="1"/>
        <v>32.11733272749678</v>
      </c>
      <c r="AG3894" s="2">
        <f ca="1"/>
        <v>4.6274927109963837E-3</v>
      </c>
      <c r="AH3894" s="2" t="str">
        <f ca="1"/>
        <v>Good</v>
      </c>
    </row>
    <row r="3895" spans="2:34" x14ac:dyDescent="0.2">
      <c r="B3895" s="2">
        <f ca="1"/>
        <v>0.23971568635674534</v>
      </c>
      <c r="O3895" s="2">
        <f ca="1"/>
        <v>0.90101144092829155</v>
      </c>
      <c r="X3895" s="2">
        <f ca="1"/>
        <v>32.319400483847176</v>
      </c>
      <c r="AG3895" s="2">
        <f ca="1"/>
        <v>0.11737943674328677</v>
      </c>
      <c r="AH3895" s="2" t="str">
        <f ca="1"/>
        <v>OK</v>
      </c>
    </row>
    <row r="3896" spans="2:34" x14ac:dyDescent="0.2">
      <c r="B3896" s="2">
        <f ca="1"/>
        <v>0.13787483782421917</v>
      </c>
      <c r="O3896" s="2">
        <f ca="1"/>
        <v>-8.1863757463181391E-2</v>
      </c>
      <c r="X3896" s="2">
        <f ca="1"/>
        <v>35.246621233209176</v>
      </c>
      <c r="AG3896" s="2">
        <f ca="1"/>
        <v>0.93372653805019912</v>
      </c>
      <c r="AH3896" s="2" t="str">
        <f ca="1"/>
        <v>Bad</v>
      </c>
    </row>
    <row r="3897" spans="2:34" x14ac:dyDescent="0.2">
      <c r="B3897" s="2">
        <f ca="1"/>
        <v>0.90697242068798145</v>
      </c>
      <c r="O3897" s="2">
        <f ca="1"/>
        <v>-2.2793465790202725</v>
      </c>
      <c r="X3897" s="2">
        <f ca="1"/>
        <v>53.482242113291093</v>
      </c>
      <c r="AG3897" s="2">
        <f ca="1"/>
        <v>2.2501276002661053E-2</v>
      </c>
      <c r="AH3897" s="2" t="str">
        <f ca="1"/>
        <v>Good</v>
      </c>
    </row>
    <row r="3898" spans="2:34" x14ac:dyDescent="0.2">
      <c r="B3898" s="2">
        <f ca="1"/>
        <v>0.63812176533595544</v>
      </c>
      <c r="O3898" s="2">
        <f ca="1"/>
        <v>1.6861767111408796</v>
      </c>
      <c r="X3898" s="2">
        <f ca="1"/>
        <v>38.41107789846064</v>
      </c>
      <c r="AG3898" s="2">
        <f ca="1"/>
        <v>0.88381870742490642</v>
      </c>
      <c r="AH3898" s="2" t="str">
        <f ca="1"/>
        <v>Bad</v>
      </c>
    </row>
    <row r="3899" spans="2:34" x14ac:dyDescent="0.2">
      <c r="B3899" s="2">
        <f ca="1"/>
        <v>0.96349416682466082</v>
      </c>
      <c r="O3899" s="2">
        <f ca="1"/>
        <v>0.66862258034161381</v>
      </c>
      <c r="X3899" s="2">
        <f ca="1"/>
        <v>62.820921179516205</v>
      </c>
      <c r="AG3899" s="2">
        <f ca="1"/>
        <v>0.93149079585086469</v>
      </c>
      <c r="AH3899" s="2" t="str">
        <f ca="1"/>
        <v>Bad</v>
      </c>
    </row>
    <row r="3900" spans="2:34" x14ac:dyDescent="0.2">
      <c r="B3900" s="2">
        <f ca="1"/>
        <v>0.41254426454517401</v>
      </c>
      <c r="O3900" s="2">
        <f ca="1"/>
        <v>-0.49054032204063042</v>
      </c>
      <c r="X3900" s="2">
        <f ca="1"/>
        <v>47.99409038412432</v>
      </c>
      <c r="AG3900" s="2">
        <f ca="1"/>
        <v>2.7704497779538872E-2</v>
      </c>
      <c r="AH3900" s="2" t="str">
        <f ca="1"/>
        <v>Good</v>
      </c>
    </row>
    <row r="3901" spans="2:34" x14ac:dyDescent="0.2">
      <c r="B3901" s="2">
        <f ca="1"/>
        <v>0.96306728558878829</v>
      </c>
      <c r="O3901" s="2">
        <f ca="1"/>
        <v>-0.10012016621025559</v>
      </c>
      <c r="X3901" s="2">
        <f ca="1"/>
        <v>54.378753502773563</v>
      </c>
      <c r="AG3901" s="2">
        <f ca="1"/>
        <v>0.68258598813497251</v>
      </c>
      <c r="AH3901" s="2" t="str">
        <f ca="1"/>
        <v>Bad</v>
      </c>
    </row>
    <row r="3902" spans="2:34" x14ac:dyDescent="0.2">
      <c r="B3902" s="2">
        <f ca="1"/>
        <v>0.23458586890137889</v>
      </c>
      <c r="O3902" s="2">
        <f ca="1"/>
        <v>-0.74690520062534327</v>
      </c>
      <c r="X3902" s="2">
        <f ca="1"/>
        <v>54.096083059122677</v>
      </c>
      <c r="AG3902" s="2">
        <f ca="1"/>
        <v>0.74721012692106137</v>
      </c>
      <c r="AH3902" s="2" t="str">
        <f ca="1"/>
        <v>Bad</v>
      </c>
    </row>
    <row r="3903" spans="2:34" x14ac:dyDescent="0.2">
      <c r="B3903" s="2">
        <f ca="1"/>
        <v>0.8959996505084955</v>
      </c>
      <c r="O3903" s="2">
        <f ca="1"/>
        <v>-0.73335674303825271</v>
      </c>
      <c r="X3903" s="2">
        <f ca="1"/>
        <v>55.185647757753955</v>
      </c>
      <c r="AG3903" s="2">
        <f ca="1"/>
        <v>0.74028802275613192</v>
      </c>
      <c r="AH3903" s="2" t="str">
        <f ca="1"/>
        <v>Bad</v>
      </c>
    </row>
    <row r="3904" spans="2:34" x14ac:dyDescent="0.2">
      <c r="B3904" s="2">
        <f ca="1"/>
        <v>0.44862092746692195</v>
      </c>
      <c r="O3904" s="2">
        <f ca="1"/>
        <v>0.64462523092300916</v>
      </c>
      <c r="X3904" s="2">
        <f ca="1"/>
        <v>42.225349987147929</v>
      </c>
      <c r="AG3904" s="2">
        <f ca="1"/>
        <v>0.17946428150841376</v>
      </c>
      <c r="AH3904" s="2" t="str">
        <f ca="1"/>
        <v>OK</v>
      </c>
    </row>
    <row r="3905" spans="2:34" x14ac:dyDescent="0.2">
      <c r="B3905" s="2">
        <f ca="1"/>
        <v>0.79626365032796165</v>
      </c>
      <c r="O3905" s="2">
        <f ca="1"/>
        <v>0.1914546839883593</v>
      </c>
      <c r="X3905" s="2">
        <f ca="1"/>
        <v>64.407918704454218</v>
      </c>
      <c r="AG3905" s="2">
        <f ca="1"/>
        <v>3.8304980186584681E-2</v>
      </c>
      <c r="AH3905" s="2" t="str">
        <f ca="1"/>
        <v>Good</v>
      </c>
    </row>
    <row r="3906" spans="2:34" x14ac:dyDescent="0.2">
      <c r="B3906" s="2">
        <f ca="1"/>
        <v>7.8264463566524167E-3</v>
      </c>
      <c r="O3906" s="2">
        <f ca="1"/>
        <v>-0.18693930995963862</v>
      </c>
      <c r="X3906" s="2">
        <f ca="1"/>
        <v>39.229478350602996</v>
      </c>
      <c r="AG3906" s="2">
        <f ca="1"/>
        <v>0.76192068035710214</v>
      </c>
      <c r="AH3906" s="2" t="str">
        <f ca="1"/>
        <v>Bad</v>
      </c>
    </row>
    <row r="3907" spans="2:34" x14ac:dyDescent="0.2">
      <c r="B3907" s="2">
        <f ca="1"/>
        <v>0.10480529537410765</v>
      </c>
      <c r="O3907" s="2">
        <f ca="1"/>
        <v>1.1940838344174556</v>
      </c>
      <c r="X3907" s="2">
        <f ca="1"/>
        <v>33.34661853898001</v>
      </c>
      <c r="AG3907" s="2">
        <f ca="1"/>
        <v>0.80362455756980333</v>
      </c>
      <c r="AH3907" s="2" t="str">
        <f ca="1"/>
        <v>Bad</v>
      </c>
    </row>
    <row r="3908" spans="2:34" x14ac:dyDescent="0.2">
      <c r="B3908" s="2">
        <f ca="1"/>
        <v>0.26980239489021507</v>
      </c>
      <c r="O3908" s="2">
        <f ca="1"/>
        <v>0.85330823917618737</v>
      </c>
      <c r="X3908" s="2">
        <f ca="1"/>
        <v>55.901826192612695</v>
      </c>
      <c r="AG3908" s="2">
        <f ca="1"/>
        <v>2.0459866010270389E-2</v>
      </c>
      <c r="AH3908" s="2" t="str">
        <f ca="1"/>
        <v>Good</v>
      </c>
    </row>
    <row r="3909" spans="2:34" x14ac:dyDescent="0.2">
      <c r="B3909" s="2">
        <f ca="1"/>
        <v>0.91820387429410988</v>
      </c>
      <c r="O3909" s="2">
        <f ca="1"/>
        <v>-0.15353987080627665</v>
      </c>
      <c r="X3909" s="2">
        <f ca="1"/>
        <v>46.594354285706657</v>
      </c>
      <c r="AG3909" s="2">
        <f ca="1"/>
        <v>0.31142120315233668</v>
      </c>
      <c r="AH3909" s="2" t="str">
        <f ca="1"/>
        <v>OK</v>
      </c>
    </row>
    <row r="3910" spans="2:34" x14ac:dyDescent="0.2">
      <c r="B3910" s="2">
        <f ca="1"/>
        <v>0.48999691771397136</v>
      </c>
      <c r="O3910" s="2">
        <f ca="1"/>
        <v>-0.69843326845513076</v>
      </c>
      <c r="X3910" s="2">
        <f ca="1"/>
        <v>41.769997712000858</v>
      </c>
      <c r="AG3910" s="2">
        <f ca="1"/>
        <v>0.75707749832315052</v>
      </c>
      <c r="AH3910" s="2" t="str">
        <f ca="1"/>
        <v>Bad</v>
      </c>
    </row>
    <row r="3911" spans="2:34" x14ac:dyDescent="0.2">
      <c r="B3911" s="2">
        <f ca="1"/>
        <v>0.39040183698020381</v>
      </c>
      <c r="O3911" s="2">
        <f ca="1"/>
        <v>0.98335204757108818</v>
      </c>
      <c r="X3911" s="2">
        <f ca="1"/>
        <v>51.859298000845058</v>
      </c>
      <c r="AG3911" s="2">
        <f ca="1"/>
        <v>0.92987066792636441</v>
      </c>
      <c r="AH3911" s="2" t="str">
        <f ca="1"/>
        <v>Bad</v>
      </c>
    </row>
    <row r="3912" spans="2:34" x14ac:dyDescent="0.2">
      <c r="B3912" s="2">
        <f ca="1"/>
        <v>0.31360042254766496</v>
      </c>
      <c r="O3912" s="2">
        <f ca="1"/>
        <v>-0.23310350393047646</v>
      </c>
      <c r="X3912" s="2">
        <f ca="1"/>
        <v>52.591770692125479</v>
      </c>
      <c r="AG3912" s="2">
        <f ca="1"/>
        <v>0.21756744005043105</v>
      </c>
      <c r="AH3912" s="2" t="str">
        <f ca="1"/>
        <v>OK</v>
      </c>
    </row>
    <row r="3913" spans="2:34" x14ac:dyDescent="0.2">
      <c r="B3913" s="2">
        <f ca="1"/>
        <v>0.76578462874682462</v>
      </c>
      <c r="O3913" s="2">
        <f ca="1"/>
        <v>-0.73137059402723759</v>
      </c>
      <c r="X3913" s="2">
        <f ca="1"/>
        <v>38.32090068310702</v>
      </c>
      <c r="AG3913" s="2">
        <f ca="1"/>
        <v>0.53835332412579606</v>
      </c>
      <c r="AH3913" s="2" t="str">
        <f ca="1"/>
        <v>Bad</v>
      </c>
    </row>
    <row r="3914" spans="2:34" x14ac:dyDescent="0.2">
      <c r="B3914" s="2">
        <f ca="1"/>
        <v>0.27528620267931103</v>
      </c>
      <c r="O3914" s="2">
        <f ca="1"/>
        <v>0.35624208372558064</v>
      </c>
      <c r="X3914" s="2">
        <f ca="1"/>
        <v>45.749156907496555</v>
      </c>
      <c r="AG3914" s="2">
        <f ca="1"/>
        <v>0.22498957051438762</v>
      </c>
      <c r="AH3914" s="2" t="str">
        <f ca="1"/>
        <v>OK</v>
      </c>
    </row>
    <row r="3915" spans="2:34" x14ac:dyDescent="0.2">
      <c r="B3915" s="2">
        <f ca="1"/>
        <v>0.46688584348745721</v>
      </c>
      <c r="O3915" s="2">
        <f ca="1"/>
        <v>-0.39526606965451311</v>
      </c>
      <c r="X3915" s="2">
        <f ca="1"/>
        <v>45.031543252390769</v>
      </c>
      <c r="AG3915" s="2">
        <f ca="1"/>
        <v>0.88364796457869743</v>
      </c>
      <c r="AH3915" s="2" t="str">
        <f ca="1"/>
        <v>Bad</v>
      </c>
    </row>
    <row r="3916" spans="2:34" x14ac:dyDescent="0.2">
      <c r="B3916" s="2">
        <f ca="1"/>
        <v>0.95117720161353181</v>
      </c>
      <c r="O3916" s="2">
        <f ca="1"/>
        <v>0.11221593421633234</v>
      </c>
      <c r="X3916" s="2">
        <f ca="1"/>
        <v>39.572121566626365</v>
      </c>
      <c r="AG3916" s="2">
        <f ca="1"/>
        <v>0.21764774397040076</v>
      </c>
      <c r="AH3916" s="2" t="str">
        <f ca="1"/>
        <v>OK</v>
      </c>
    </row>
    <row r="3917" spans="2:34" x14ac:dyDescent="0.2">
      <c r="B3917" s="2">
        <f ca="1"/>
        <v>0.21164742846870666</v>
      </c>
      <c r="O3917" s="2">
        <f ca="1"/>
        <v>-0.21565395885581129</v>
      </c>
      <c r="X3917" s="2">
        <f ca="1"/>
        <v>74.000661380142631</v>
      </c>
      <c r="AG3917" s="2">
        <f ca="1"/>
        <v>9.0282542667700527E-2</v>
      </c>
      <c r="AH3917" s="2" t="str">
        <f ca="1"/>
        <v>OK</v>
      </c>
    </row>
    <row r="3918" spans="2:34" x14ac:dyDescent="0.2">
      <c r="B3918" s="2">
        <f ca="1"/>
        <v>0.58643715202333846</v>
      </c>
      <c r="O3918" s="2">
        <f ca="1"/>
        <v>-0.84528713529433797</v>
      </c>
      <c r="X3918" s="2">
        <f ca="1"/>
        <v>72.896496636035067</v>
      </c>
      <c r="AG3918" s="2">
        <f ca="1"/>
        <v>0.31272102086833442</v>
      </c>
      <c r="AH3918" s="2" t="str">
        <f ca="1"/>
        <v>OK</v>
      </c>
    </row>
    <row r="3919" spans="2:34" x14ac:dyDescent="0.2">
      <c r="B3919" s="2">
        <f ca="1"/>
        <v>0.88783276219729701</v>
      </c>
      <c r="O3919" s="2">
        <f ca="1"/>
        <v>0.27969888493413025</v>
      </c>
      <c r="X3919" s="2">
        <f ca="1"/>
        <v>48.614931733232893</v>
      </c>
      <c r="AG3919" s="2">
        <f ca="1"/>
        <v>0.49444299963535321</v>
      </c>
      <c r="AH3919" s="2" t="str">
        <f ca="1"/>
        <v>Bad</v>
      </c>
    </row>
    <row r="3920" spans="2:34" x14ac:dyDescent="0.2">
      <c r="B3920" s="2">
        <f ca="1"/>
        <v>0.79986528637980747</v>
      </c>
      <c r="O3920" s="2">
        <f ca="1"/>
        <v>-1.452606234190692</v>
      </c>
      <c r="X3920" s="2">
        <f ca="1"/>
        <v>54.763175657915319</v>
      </c>
      <c r="AG3920" s="2">
        <f ca="1"/>
        <v>0.12647834130864744</v>
      </c>
      <c r="AH3920" s="2" t="str">
        <f ca="1"/>
        <v>OK</v>
      </c>
    </row>
    <row r="3921" spans="2:34" x14ac:dyDescent="0.2">
      <c r="B3921" s="2">
        <f ca="1"/>
        <v>0.87319624261658424</v>
      </c>
      <c r="O3921" s="2">
        <f ca="1"/>
        <v>1.6281591851180577</v>
      </c>
      <c r="X3921" s="2">
        <f ca="1"/>
        <v>47.813293802911083</v>
      </c>
      <c r="AG3921" s="2">
        <f ca="1"/>
        <v>0.58558075661335263</v>
      </c>
      <c r="AH3921" s="2" t="str">
        <f ca="1"/>
        <v>Bad</v>
      </c>
    </row>
    <row r="3922" spans="2:34" x14ac:dyDescent="0.2">
      <c r="B3922" s="2">
        <f ca="1"/>
        <v>0.2460556206005442</v>
      </c>
      <c r="O3922" s="2">
        <f ca="1"/>
        <v>-0.37855664295724623</v>
      </c>
      <c r="X3922" s="2">
        <f ca="1"/>
        <v>56.986926796383877</v>
      </c>
      <c r="AG3922" s="2">
        <f ca="1"/>
        <v>0.48473022143008215</v>
      </c>
      <c r="AH3922" s="2" t="str">
        <f ca="1"/>
        <v>Bad</v>
      </c>
    </row>
    <row r="3923" spans="2:34" x14ac:dyDescent="0.2">
      <c r="B3923" s="2">
        <f ca="1"/>
        <v>0.64096455607781633</v>
      </c>
      <c r="O3923" s="2">
        <f ca="1"/>
        <v>0.39384742364200104</v>
      </c>
      <c r="X3923" s="2">
        <f ca="1"/>
        <v>26.615067435524331</v>
      </c>
      <c r="AG3923" s="2">
        <f ca="1"/>
        <v>4.9067877080406941E-2</v>
      </c>
      <c r="AH3923" s="2" t="str">
        <f ca="1"/>
        <v>Good</v>
      </c>
    </row>
    <row r="3924" spans="2:34" x14ac:dyDescent="0.2">
      <c r="B3924" s="2">
        <f ca="1"/>
        <v>0.69982620635970583</v>
      </c>
      <c r="O3924" s="2">
        <f ca="1"/>
        <v>0.5368948301276717</v>
      </c>
      <c r="X3924" s="2">
        <f ca="1"/>
        <v>46.783941895957298</v>
      </c>
      <c r="AG3924" s="2">
        <f ca="1"/>
        <v>0.36821467866708613</v>
      </c>
      <c r="AH3924" s="2" t="str">
        <f ca="1"/>
        <v>OK</v>
      </c>
    </row>
    <row r="3925" spans="2:34" x14ac:dyDescent="0.2">
      <c r="B3925" s="2">
        <f ca="1"/>
        <v>0.11901068357797695</v>
      </c>
      <c r="O3925" s="2">
        <f ca="1"/>
        <v>0.61435138507527443</v>
      </c>
      <c r="X3925" s="2">
        <f ca="1"/>
        <v>36.363558340518267</v>
      </c>
      <c r="AG3925" s="2">
        <f ca="1"/>
        <v>0.53604225512725767</v>
      </c>
      <c r="AH3925" s="2" t="str">
        <f ca="1"/>
        <v>Bad</v>
      </c>
    </row>
    <row r="3926" spans="2:34" x14ac:dyDescent="0.2">
      <c r="B3926" s="2">
        <f ca="1"/>
        <v>0.65057753681650277</v>
      </c>
      <c r="O3926" s="2">
        <f ca="1"/>
        <v>-0.41129241801805994</v>
      </c>
      <c r="X3926" s="2">
        <f ca="1"/>
        <v>38.90239301144139</v>
      </c>
      <c r="AG3926" s="2">
        <f ca="1"/>
        <v>0.92623253131581729</v>
      </c>
      <c r="AH3926" s="2" t="str">
        <f ca="1"/>
        <v>Bad</v>
      </c>
    </row>
    <row r="3927" spans="2:34" x14ac:dyDescent="0.2">
      <c r="B3927" s="2">
        <f ca="1"/>
        <v>0.96748095568497883</v>
      </c>
      <c r="O3927" s="2">
        <f ca="1"/>
        <v>-0.89328374223933615</v>
      </c>
      <c r="X3927" s="2">
        <f ca="1"/>
        <v>43.924271111408032</v>
      </c>
      <c r="AG3927" s="2">
        <f ca="1"/>
        <v>0.83480177327916105</v>
      </c>
      <c r="AH3927" s="2" t="str">
        <f ca="1"/>
        <v>Bad</v>
      </c>
    </row>
    <row r="3928" spans="2:34" x14ac:dyDescent="0.2">
      <c r="B3928" s="2">
        <f ca="1"/>
        <v>0.13802437259108213</v>
      </c>
      <c r="O3928" s="2">
        <f ca="1"/>
        <v>0.28380183578106227</v>
      </c>
      <c r="X3928" s="2">
        <f ca="1"/>
        <v>63.737868541646733</v>
      </c>
      <c r="AG3928" s="2">
        <f ca="1"/>
        <v>0.90368379448413716</v>
      </c>
      <c r="AH3928" s="2" t="str">
        <f ca="1"/>
        <v>Bad</v>
      </c>
    </row>
    <row r="3929" spans="2:34" x14ac:dyDescent="0.2">
      <c r="B3929" s="2">
        <f ca="1"/>
        <v>0.29247855926983712</v>
      </c>
      <c r="O3929" s="2">
        <f ca="1"/>
        <v>-0.64797333473636132</v>
      </c>
      <c r="X3929" s="2">
        <f ca="1"/>
        <v>32.82345322914685</v>
      </c>
      <c r="AG3929" s="2">
        <f ca="1"/>
        <v>0.27143398500023852</v>
      </c>
      <c r="AH3929" s="2" t="str">
        <f ca="1"/>
        <v>OK</v>
      </c>
    </row>
    <row r="3930" spans="2:34" x14ac:dyDescent="0.2">
      <c r="B3930" s="2">
        <f ca="1"/>
        <v>0.73737367653259711</v>
      </c>
      <c r="O3930" s="2">
        <f ca="1"/>
        <v>0.83192154423047815</v>
      </c>
      <c r="X3930" s="2">
        <f ca="1"/>
        <v>41.227969489424297</v>
      </c>
      <c r="AG3930" s="2">
        <f ca="1"/>
        <v>0.2286967545623626</v>
      </c>
      <c r="AH3930" s="2" t="str">
        <f ca="1"/>
        <v>OK</v>
      </c>
    </row>
    <row r="3931" spans="2:34" x14ac:dyDescent="0.2">
      <c r="B3931" s="2">
        <f ca="1"/>
        <v>0.82679834423533549</v>
      </c>
      <c r="O3931" s="2">
        <f ca="1"/>
        <v>-0.19489814021617491</v>
      </c>
      <c r="X3931" s="2">
        <f ca="1"/>
        <v>58.379862934741915</v>
      </c>
      <c r="AG3931" s="2">
        <f ca="1"/>
        <v>0.8354697159960276</v>
      </c>
      <c r="AH3931" s="2" t="str">
        <f ca="1"/>
        <v>Bad</v>
      </c>
    </row>
    <row r="3932" spans="2:34" x14ac:dyDescent="0.2">
      <c r="B3932" s="2">
        <f ca="1"/>
        <v>0.70900999718664615</v>
      </c>
      <c r="O3932" s="2">
        <f ca="1"/>
        <v>0.67067145860935351</v>
      </c>
      <c r="X3932" s="2">
        <f ca="1"/>
        <v>44.033831369532344</v>
      </c>
      <c r="AG3932" s="2">
        <f ca="1"/>
        <v>0.50462575344070126</v>
      </c>
      <c r="AH3932" s="2" t="str">
        <f ca="1"/>
        <v>Bad</v>
      </c>
    </row>
    <row r="3933" spans="2:34" x14ac:dyDescent="0.2">
      <c r="B3933" s="2">
        <f ca="1"/>
        <v>0.75536163146088087</v>
      </c>
      <c r="O3933" s="2">
        <f ca="1"/>
        <v>0.53255314103523921</v>
      </c>
      <c r="X3933" s="2">
        <f ca="1"/>
        <v>35.18418596937601</v>
      </c>
      <c r="AG3933" s="2">
        <f ca="1"/>
        <v>0.65923966815484447</v>
      </c>
      <c r="AH3933" s="2" t="str">
        <f ca="1"/>
        <v>Bad</v>
      </c>
    </row>
    <row r="3934" spans="2:34" x14ac:dyDescent="0.2">
      <c r="B3934" s="2">
        <f ca="1"/>
        <v>0.8370389631652615</v>
      </c>
      <c r="O3934" s="2">
        <f ca="1"/>
        <v>-1.6205028771577294</v>
      </c>
      <c r="X3934" s="2">
        <f ca="1"/>
        <v>37.456262447495234</v>
      </c>
      <c r="AG3934" s="2">
        <f ca="1"/>
        <v>0.3649666744422293</v>
      </c>
      <c r="AH3934" s="2" t="str">
        <f ca="1"/>
        <v>OK</v>
      </c>
    </row>
    <row r="3935" spans="2:34" x14ac:dyDescent="0.2">
      <c r="B3935" s="2">
        <f ca="1"/>
        <v>0.36728111113353945</v>
      </c>
      <c r="O3935" s="2">
        <f ca="1"/>
        <v>1.5340973859188429</v>
      </c>
      <c r="X3935" s="2">
        <f ca="1"/>
        <v>70.077275979835946</v>
      </c>
      <c r="AG3935" s="2">
        <f ca="1"/>
        <v>0.77705015123257115</v>
      </c>
      <c r="AH3935" s="2" t="str">
        <f ca="1"/>
        <v>Bad</v>
      </c>
    </row>
    <row r="3936" spans="2:34" x14ac:dyDescent="0.2">
      <c r="B3936" s="2">
        <f ca="1"/>
        <v>0.97542067276992017</v>
      </c>
      <c r="O3936" s="2">
        <f ca="1"/>
        <v>-1.3811431120767903</v>
      </c>
      <c r="X3936" s="2">
        <f ca="1"/>
        <v>61.247614289260468</v>
      </c>
      <c r="AG3936" s="2">
        <f ca="1"/>
        <v>0.42259717942549591</v>
      </c>
      <c r="AH3936" s="2" t="str">
        <f ca="1"/>
        <v>Bad</v>
      </c>
    </row>
    <row r="3937" spans="2:34" x14ac:dyDescent="0.2">
      <c r="B3937" s="2">
        <f ca="1"/>
        <v>0.46181345496348358</v>
      </c>
      <c r="O3937" s="2">
        <f ca="1"/>
        <v>-0.59297674177407789</v>
      </c>
      <c r="X3937" s="2">
        <f ca="1"/>
        <v>48.679216220036103</v>
      </c>
      <c r="AG3937" s="2">
        <f ca="1"/>
        <v>0.39019368004333077</v>
      </c>
      <c r="AH3937" s="2" t="str">
        <f ca="1"/>
        <v>OK</v>
      </c>
    </row>
    <row r="3938" spans="2:34" x14ac:dyDescent="0.2">
      <c r="B3938" s="2">
        <f ca="1"/>
        <v>0.17044730522178764</v>
      </c>
      <c r="O3938" s="2">
        <f ca="1"/>
        <v>-8.8128683426039189E-2</v>
      </c>
      <c r="X3938" s="2">
        <f ca="1"/>
        <v>38.069688688189572</v>
      </c>
      <c r="AG3938" s="2">
        <f ca="1"/>
        <v>0.97287120436523233</v>
      </c>
      <c r="AH3938" s="2" t="str">
        <f ca="1"/>
        <v>Bad</v>
      </c>
    </row>
    <row r="3939" spans="2:34" x14ac:dyDescent="0.2">
      <c r="B3939" s="2">
        <f ca="1"/>
        <v>0.86358299504101543</v>
      </c>
      <c r="O3939" s="2">
        <f ca="1"/>
        <v>0.66242490513708063</v>
      </c>
      <c r="X3939" s="2">
        <f ca="1"/>
        <v>61.704307032711114</v>
      </c>
      <c r="AG3939" s="2">
        <f ca="1"/>
        <v>0.42238495393078357</v>
      </c>
      <c r="AH3939" s="2" t="str">
        <f ca="1"/>
        <v>Bad</v>
      </c>
    </row>
    <row r="3940" spans="2:34" x14ac:dyDescent="0.2">
      <c r="B3940" s="2">
        <f ca="1"/>
        <v>0.68905834954966139</v>
      </c>
      <c r="O3940" s="2">
        <f ca="1"/>
        <v>-0.81057278321863602</v>
      </c>
      <c r="X3940" s="2">
        <f ca="1"/>
        <v>29.28411123313381</v>
      </c>
      <c r="AG3940" s="2">
        <f ca="1"/>
        <v>0.95880596305092514</v>
      </c>
      <c r="AH3940" s="2" t="str">
        <f ca="1"/>
        <v>Bad</v>
      </c>
    </row>
    <row r="3941" spans="2:34" x14ac:dyDescent="0.2">
      <c r="B3941" s="2">
        <f ca="1"/>
        <v>0.10594741748165859</v>
      </c>
      <c r="O3941" s="2">
        <f ca="1"/>
        <v>1.0210589481785348</v>
      </c>
      <c r="X3941" s="2">
        <f ca="1"/>
        <v>51.328997908617467</v>
      </c>
      <c r="AG3941" s="2">
        <f ca="1"/>
        <v>0.13465741631098505</v>
      </c>
      <c r="AH3941" s="2" t="str">
        <f ca="1"/>
        <v>OK</v>
      </c>
    </row>
    <row r="3942" spans="2:34" x14ac:dyDescent="0.2">
      <c r="B3942" s="2">
        <f ca="1"/>
        <v>0.18984278923541309</v>
      </c>
      <c r="O3942" s="2">
        <f ca="1"/>
        <v>3.5367666424754855E-2</v>
      </c>
      <c r="X3942" s="2">
        <f ca="1"/>
        <v>38.760268789015115</v>
      </c>
      <c r="AG3942" s="2">
        <f ca="1"/>
        <v>7.387826386447971E-2</v>
      </c>
      <c r="AH3942" s="2" t="str">
        <f ca="1"/>
        <v>OK</v>
      </c>
    </row>
    <row r="3943" spans="2:34" x14ac:dyDescent="0.2">
      <c r="B3943" s="2">
        <f ca="1"/>
        <v>5.0598555883879071E-2</v>
      </c>
      <c r="O3943" s="2">
        <f ca="1"/>
        <v>-1.5828036016522886</v>
      </c>
      <c r="X3943" s="2">
        <f ca="1"/>
        <v>37.706885339031054</v>
      </c>
      <c r="AG3943" s="2">
        <f ca="1"/>
        <v>0.61200440285119573</v>
      </c>
      <c r="AH3943" s="2" t="str">
        <f ca="1"/>
        <v>Bad</v>
      </c>
    </row>
    <row r="3944" spans="2:34" x14ac:dyDescent="0.2">
      <c r="B3944" s="2">
        <f ca="1"/>
        <v>0.9003410234114122</v>
      </c>
      <c r="O3944" s="2">
        <f ca="1"/>
        <v>0.66489723031636627</v>
      </c>
      <c r="X3944" s="2">
        <f ca="1"/>
        <v>27.106567518447662</v>
      </c>
      <c r="AG3944" s="2">
        <f ca="1"/>
        <v>0.63735414111289757</v>
      </c>
      <c r="AH3944" s="2" t="str">
        <f ca="1"/>
        <v>Bad</v>
      </c>
    </row>
    <row r="3945" spans="2:34" x14ac:dyDescent="0.2">
      <c r="B3945" s="2">
        <f ca="1"/>
        <v>0.16634581169498297</v>
      </c>
      <c r="O3945" s="2">
        <f ca="1"/>
        <v>-0.56483613226033769</v>
      </c>
      <c r="X3945" s="2">
        <f ca="1"/>
        <v>56.026538419049047</v>
      </c>
      <c r="AG3945" s="2">
        <f ca="1"/>
        <v>0.96844732554526636</v>
      </c>
      <c r="AH3945" s="2" t="str">
        <f ca="1"/>
        <v>Bad</v>
      </c>
    </row>
    <row r="3946" spans="2:34" x14ac:dyDescent="0.2">
      <c r="B3946" s="2">
        <f ca="1"/>
        <v>0.13898078372193967</v>
      </c>
      <c r="O3946" s="2">
        <f ca="1"/>
        <v>0.14566925191656876</v>
      </c>
      <c r="X3946" s="2">
        <f ca="1"/>
        <v>91.127447803347934</v>
      </c>
      <c r="AG3946" s="2">
        <f ca="1"/>
        <v>0.14240633122394919</v>
      </c>
      <c r="AH3946" s="2" t="str">
        <f ca="1"/>
        <v>OK</v>
      </c>
    </row>
    <row r="3947" spans="2:34" x14ac:dyDescent="0.2">
      <c r="B3947" s="2">
        <f ca="1"/>
        <v>0.26319800708147767</v>
      </c>
      <c r="O3947" s="2">
        <f ca="1"/>
        <v>-1.910309386594943</v>
      </c>
      <c r="X3947" s="2">
        <f ca="1"/>
        <v>55.504898899607028</v>
      </c>
      <c r="AG3947" s="2">
        <f ca="1"/>
        <v>0.68652237420382223</v>
      </c>
      <c r="AH3947" s="2" t="str">
        <f ca="1"/>
        <v>Bad</v>
      </c>
    </row>
    <row r="3948" spans="2:34" x14ac:dyDescent="0.2">
      <c r="B3948" s="2">
        <f ca="1"/>
        <v>0.69015014228833182</v>
      </c>
      <c r="O3948" s="2">
        <f ca="1"/>
        <v>-0.10236292743257684</v>
      </c>
      <c r="X3948" s="2">
        <f ca="1"/>
        <v>52.789728447863318</v>
      </c>
      <c r="AG3948" s="2">
        <f ca="1"/>
        <v>0.65351231009521138</v>
      </c>
      <c r="AH3948" s="2" t="str">
        <f ca="1"/>
        <v>Bad</v>
      </c>
    </row>
    <row r="3949" spans="2:34" x14ac:dyDescent="0.2">
      <c r="B3949" s="2">
        <f ca="1"/>
        <v>0.57957601070334097</v>
      </c>
      <c r="O3949" s="2">
        <f ca="1"/>
        <v>0.35361070332225364</v>
      </c>
      <c r="X3949" s="2">
        <f ca="1"/>
        <v>39.748304129507602</v>
      </c>
      <c r="AG3949" s="2">
        <f ca="1"/>
        <v>0.69775402814057097</v>
      </c>
      <c r="AH3949" s="2" t="str">
        <f ca="1"/>
        <v>Bad</v>
      </c>
    </row>
    <row r="3950" spans="2:34" x14ac:dyDescent="0.2">
      <c r="B3950" s="2">
        <f ca="1"/>
        <v>0.47892383136382111</v>
      </c>
      <c r="O3950" s="2">
        <f ca="1"/>
        <v>1.0934203164818228</v>
      </c>
      <c r="X3950" s="2">
        <f ca="1"/>
        <v>41.177557892492004</v>
      </c>
      <c r="AG3950" s="2">
        <f ca="1"/>
        <v>0.30165819207052325</v>
      </c>
      <c r="AH3950" s="2" t="str">
        <f ca="1"/>
        <v>OK</v>
      </c>
    </row>
    <row r="3951" spans="2:34" x14ac:dyDescent="0.2">
      <c r="B3951" s="2">
        <f ca="1"/>
        <v>0.78956397066164419</v>
      </c>
      <c r="O3951" s="2">
        <f ca="1"/>
        <v>1.0898097207797166</v>
      </c>
      <c r="X3951" s="2">
        <f ca="1"/>
        <v>70.84209950499303</v>
      </c>
      <c r="AG3951" s="2">
        <f ca="1"/>
        <v>0.19757337036535261</v>
      </c>
      <c r="AH3951" s="2" t="str">
        <f ca="1"/>
        <v>OK</v>
      </c>
    </row>
    <row r="3952" spans="2:34" x14ac:dyDescent="0.2">
      <c r="B3952" s="2">
        <f ca="1"/>
        <v>0.98482399596854231</v>
      </c>
      <c r="O3952" s="2">
        <f ca="1"/>
        <v>-1.2433400101916599</v>
      </c>
      <c r="X3952" s="2">
        <f ca="1"/>
        <v>63.524753645783733</v>
      </c>
      <c r="AG3952" s="2">
        <f ca="1"/>
        <v>0.32932983876050281</v>
      </c>
      <c r="AH3952" s="2" t="str">
        <f ca="1"/>
        <v>OK</v>
      </c>
    </row>
    <row r="3953" spans="2:34" x14ac:dyDescent="0.2">
      <c r="B3953" s="2">
        <f ca="1"/>
        <v>0.54536558882082153</v>
      </c>
      <c r="O3953" s="2">
        <f ca="1"/>
        <v>-0.75550716558601272</v>
      </c>
      <c r="X3953" s="2">
        <f ca="1"/>
        <v>39.477079095404697</v>
      </c>
      <c r="AG3953" s="2">
        <f ca="1"/>
        <v>0.20910641326866042</v>
      </c>
      <c r="AH3953" s="2" t="str">
        <f ca="1"/>
        <v>OK</v>
      </c>
    </row>
    <row r="3954" spans="2:34" x14ac:dyDescent="0.2">
      <c r="B3954" s="2">
        <f ca="1"/>
        <v>0.58196293646493458</v>
      </c>
      <c r="O3954" s="2">
        <f ca="1"/>
        <v>1.3762719242768524</v>
      </c>
      <c r="X3954" s="2">
        <f ca="1"/>
        <v>50.818044120030478</v>
      </c>
      <c r="AG3954" s="2">
        <f ca="1"/>
        <v>7.9937268616689483E-2</v>
      </c>
      <c r="AH3954" s="2" t="str">
        <f ca="1"/>
        <v>OK</v>
      </c>
    </row>
    <row r="3955" spans="2:34" x14ac:dyDescent="0.2">
      <c r="B3955" s="2">
        <f ca="1"/>
        <v>0.25182088275069936</v>
      </c>
      <c r="O3955" s="2">
        <f ca="1"/>
        <v>-0.20227670479994247</v>
      </c>
      <c r="X3955" s="2">
        <f ca="1"/>
        <v>32.935498866767794</v>
      </c>
      <c r="AG3955" s="2">
        <f ca="1"/>
        <v>0.53738029372801499</v>
      </c>
      <c r="AH3955" s="2" t="str">
        <f ca="1"/>
        <v>Bad</v>
      </c>
    </row>
    <row r="3956" spans="2:34" x14ac:dyDescent="0.2">
      <c r="B3956" s="2">
        <f ca="1"/>
        <v>0.72917540418054849</v>
      </c>
      <c r="O3956" s="2">
        <f ca="1"/>
        <v>0.51598877751573369</v>
      </c>
      <c r="X3956" s="2">
        <f ca="1"/>
        <v>29.89579541978221</v>
      </c>
      <c r="AG3956" s="2">
        <f ca="1"/>
        <v>0.30094195816105884</v>
      </c>
      <c r="AH3956" s="2" t="str">
        <f ca="1"/>
        <v>OK</v>
      </c>
    </row>
    <row r="3957" spans="2:34" x14ac:dyDescent="0.2">
      <c r="B3957" s="2">
        <f ca="1"/>
        <v>0.10018609631117315</v>
      </c>
      <c r="O3957" s="2">
        <f ca="1"/>
        <v>-0.71886417601777142</v>
      </c>
      <c r="X3957" s="2">
        <f ca="1"/>
        <v>39.995403980618519</v>
      </c>
      <c r="AG3957" s="2">
        <f ca="1"/>
        <v>0.36652007165244349</v>
      </c>
      <c r="AH3957" s="2" t="str">
        <f ca="1"/>
        <v>OK</v>
      </c>
    </row>
    <row r="3958" spans="2:34" x14ac:dyDescent="0.2">
      <c r="B3958" s="2">
        <f ca="1"/>
        <v>0.1314370803338889</v>
      </c>
      <c r="O3958" s="2">
        <f ca="1"/>
        <v>0.56455726710718679</v>
      </c>
      <c r="X3958" s="2">
        <f ca="1"/>
        <v>42.018077717137174</v>
      </c>
      <c r="AG3958" s="2">
        <f ca="1"/>
        <v>0.4601789842764501</v>
      </c>
      <c r="AH3958" s="2" t="str">
        <f ca="1"/>
        <v>Bad</v>
      </c>
    </row>
    <row r="3959" spans="2:34" x14ac:dyDescent="0.2">
      <c r="B3959" s="2">
        <f ca="1"/>
        <v>0.64891545739839729</v>
      </c>
      <c r="O3959" s="2">
        <f ca="1"/>
        <v>-0.85792143295539203</v>
      </c>
      <c r="X3959" s="2">
        <f ca="1"/>
        <v>90.038410717332823</v>
      </c>
      <c r="AG3959" s="2">
        <f ca="1"/>
        <v>0.56373398474368641</v>
      </c>
      <c r="AH3959" s="2" t="str">
        <f ca="1"/>
        <v>Bad</v>
      </c>
    </row>
    <row r="3960" spans="2:34" x14ac:dyDescent="0.2">
      <c r="B3960" s="2">
        <f ca="1"/>
        <v>0.12187598560772628</v>
      </c>
      <c r="O3960" s="2">
        <f ca="1"/>
        <v>0.68939271781963174</v>
      </c>
      <c r="X3960" s="2">
        <f ca="1"/>
        <v>49.150193837733227</v>
      </c>
      <c r="AG3960" s="2">
        <f ca="1"/>
        <v>0.11680922738136035</v>
      </c>
      <c r="AH3960" s="2" t="str">
        <f ca="1"/>
        <v>OK</v>
      </c>
    </row>
    <row r="3961" spans="2:34" x14ac:dyDescent="0.2">
      <c r="B3961" s="2">
        <f ca="1"/>
        <v>1.8232830728947658E-2</v>
      </c>
      <c r="O3961" s="2">
        <f ca="1"/>
        <v>0.9478240206271914</v>
      </c>
      <c r="X3961" s="2">
        <f ca="1"/>
        <v>30.196148045490155</v>
      </c>
      <c r="AG3961" s="2">
        <f ca="1"/>
        <v>0.98796500518499597</v>
      </c>
      <c r="AH3961" s="2" t="str">
        <f ca="1"/>
        <v>Bad</v>
      </c>
    </row>
    <row r="3962" spans="2:34" x14ac:dyDescent="0.2">
      <c r="B3962" s="2">
        <f ca="1"/>
        <v>0.66699402027205168</v>
      </c>
      <c r="O3962" s="2">
        <f ca="1"/>
        <v>0.43560717142654104</v>
      </c>
      <c r="X3962" s="2">
        <f ca="1"/>
        <v>53.501480814243088</v>
      </c>
      <c r="AG3962" s="2">
        <f ca="1"/>
        <v>0.43172164795918921</v>
      </c>
      <c r="AH3962" s="2" t="str">
        <f ca="1"/>
        <v>Bad</v>
      </c>
    </row>
    <row r="3963" spans="2:34" x14ac:dyDescent="0.2">
      <c r="B3963" s="2">
        <f ca="1"/>
        <v>7.3697673653442486E-2</v>
      </c>
      <c r="O3963" s="2">
        <f ca="1"/>
        <v>-0.20408131255507286</v>
      </c>
      <c r="X3963" s="2">
        <f ca="1"/>
        <v>36.764782680901099</v>
      </c>
      <c r="AG3963" s="2">
        <f ca="1"/>
        <v>0.37344659270262315</v>
      </c>
      <c r="AH3963" s="2" t="str">
        <f ca="1"/>
        <v>OK</v>
      </c>
    </row>
    <row r="3964" spans="2:34" x14ac:dyDescent="0.2">
      <c r="B3964" s="2">
        <f ca="1"/>
        <v>3.4132086612009838E-2</v>
      </c>
      <c r="O3964" s="2">
        <f ca="1"/>
        <v>-0.43749435131494741</v>
      </c>
      <c r="X3964" s="2">
        <f ca="1"/>
        <v>57.537180724684447</v>
      </c>
      <c r="AG3964" s="2">
        <f ca="1"/>
        <v>0.78654682042229118</v>
      </c>
      <c r="AH3964" s="2" t="str">
        <f ca="1"/>
        <v>Bad</v>
      </c>
    </row>
    <row r="3965" spans="2:34" x14ac:dyDescent="0.2">
      <c r="B3965" s="2">
        <f ca="1"/>
        <v>0.46731902738904618</v>
      </c>
      <c r="O3965" s="2">
        <f ca="1"/>
        <v>-0.39086311156407677</v>
      </c>
      <c r="X3965" s="2">
        <f ca="1"/>
        <v>55.690041447382498</v>
      </c>
      <c r="AG3965" s="2">
        <f ca="1"/>
        <v>1.2996647257756955E-2</v>
      </c>
      <c r="AH3965" s="2" t="str">
        <f ca="1"/>
        <v>Good</v>
      </c>
    </row>
    <row r="3966" spans="2:34" x14ac:dyDescent="0.2">
      <c r="B3966" s="2">
        <f ca="1"/>
        <v>0.69791842148869976</v>
      </c>
      <c r="O3966" s="2">
        <f ca="1"/>
        <v>0.95333383494462964</v>
      </c>
      <c r="X3966" s="2">
        <f ca="1"/>
        <v>69.674594113517699</v>
      </c>
      <c r="AG3966" s="2">
        <f ca="1"/>
        <v>0.99204691683284252</v>
      </c>
      <c r="AH3966" s="2" t="str">
        <f ca="1"/>
        <v>Bad</v>
      </c>
    </row>
    <row r="3967" spans="2:34" x14ac:dyDescent="0.2">
      <c r="B3967" s="2">
        <f ca="1"/>
        <v>0.8535419957222008</v>
      </c>
      <c r="O3967" s="2">
        <f ca="1"/>
        <v>0.71541559958858791</v>
      </c>
      <c r="X3967" s="2">
        <f ca="1"/>
        <v>40.049614114153719</v>
      </c>
      <c r="AG3967" s="2">
        <f ca="1"/>
        <v>0.66941963000593319</v>
      </c>
      <c r="AH3967" s="2" t="str">
        <f ca="1"/>
        <v>Bad</v>
      </c>
    </row>
    <row r="3968" spans="2:34" x14ac:dyDescent="0.2">
      <c r="B3968" s="2">
        <f ca="1"/>
        <v>0.72369054036775493</v>
      </c>
      <c r="O3968" s="2">
        <f ca="1"/>
        <v>-0.15248179050558142</v>
      </c>
      <c r="X3968" s="2">
        <f ca="1"/>
        <v>34.266794620868893</v>
      </c>
      <c r="AG3968" s="2">
        <f ca="1"/>
        <v>0.14756323441669972</v>
      </c>
      <c r="AH3968" s="2" t="str">
        <f ca="1"/>
        <v>OK</v>
      </c>
    </row>
    <row r="3969" spans="2:34" x14ac:dyDescent="0.2">
      <c r="B3969" s="2">
        <f ca="1"/>
        <v>0.76329035037346449</v>
      </c>
      <c r="O3969" s="2">
        <f ca="1"/>
        <v>0.36973318162116631</v>
      </c>
      <c r="X3969" s="2">
        <f ca="1"/>
        <v>89.992406964948017</v>
      </c>
      <c r="AG3969" s="2">
        <f ca="1"/>
        <v>0.31895565708954932</v>
      </c>
      <c r="AH3969" s="2" t="str">
        <f ca="1"/>
        <v>OK</v>
      </c>
    </row>
    <row r="3970" spans="2:34" x14ac:dyDescent="0.2">
      <c r="B3970" s="2">
        <f ca="1"/>
        <v>0.29229555488048509</v>
      </c>
      <c r="O3970" s="2">
        <f ca="1"/>
        <v>-0.22034218362926467</v>
      </c>
      <c r="X3970" s="2">
        <f ca="1"/>
        <v>23.357037190141284</v>
      </c>
      <c r="AG3970" s="2">
        <f ca="1"/>
        <v>3.8627714346676001E-2</v>
      </c>
      <c r="AH3970" s="2" t="str">
        <f ca="1"/>
        <v>Good</v>
      </c>
    </row>
    <row r="3971" spans="2:34" x14ac:dyDescent="0.2">
      <c r="B3971" s="2">
        <f ca="1"/>
        <v>4.2088591336320036E-4</v>
      </c>
      <c r="O3971" s="2">
        <f ca="1"/>
        <v>0.22846874663330444</v>
      </c>
      <c r="X3971" s="2">
        <f ca="1"/>
        <v>34.676443778820442</v>
      </c>
      <c r="AG3971" s="2">
        <f ca="1"/>
        <v>6.6657610312184534E-2</v>
      </c>
      <c r="AH3971" s="2" t="str">
        <f ca="1"/>
        <v>OK</v>
      </c>
    </row>
    <row r="3972" spans="2:34" x14ac:dyDescent="0.2">
      <c r="B3972" s="2">
        <f ca="1"/>
        <v>0.23698598120104442</v>
      </c>
      <c r="O3972" s="2">
        <f ca="1"/>
        <v>1.1835202765731991</v>
      </c>
      <c r="X3972" s="2">
        <f ca="1"/>
        <v>41.535746283008883</v>
      </c>
      <c r="AG3972" s="2">
        <f ca="1"/>
        <v>0.49934670508570433</v>
      </c>
      <c r="AH3972" s="2" t="str">
        <f ca="1"/>
        <v>Bad</v>
      </c>
    </row>
    <row r="3973" spans="2:34" x14ac:dyDescent="0.2">
      <c r="B3973" s="2">
        <f ca="1"/>
        <v>0.8730167380351106</v>
      </c>
      <c r="O3973" s="2">
        <f ca="1"/>
        <v>-0.89627114712596467</v>
      </c>
      <c r="X3973" s="2">
        <f ca="1"/>
        <v>31.102687890471486</v>
      </c>
      <c r="AG3973" s="2">
        <f ca="1"/>
        <v>0.28957215229566002</v>
      </c>
      <c r="AH3973" s="2" t="str">
        <f ca="1"/>
        <v>OK</v>
      </c>
    </row>
    <row r="3974" spans="2:34" x14ac:dyDescent="0.2">
      <c r="B3974" s="2">
        <f ca="1"/>
        <v>0.82461674691245768</v>
      </c>
      <c r="O3974" s="2">
        <f ca="1"/>
        <v>-0.16943690504390438</v>
      </c>
      <c r="X3974" s="2">
        <f ca="1"/>
        <v>88.240680775262476</v>
      </c>
      <c r="AG3974" s="2">
        <f ca="1"/>
        <v>0.45730882409707108</v>
      </c>
      <c r="AH3974" s="2" t="str">
        <f ca="1"/>
        <v>Bad</v>
      </c>
    </row>
    <row r="3975" spans="2:34" x14ac:dyDescent="0.2">
      <c r="B3975" s="2">
        <f ca="1"/>
        <v>0.94567595058344378</v>
      </c>
      <c r="O3975" s="2">
        <f ca="1"/>
        <v>1.5297929667286558</v>
      </c>
      <c r="X3975" s="2">
        <f ca="1"/>
        <v>74.548734684586123</v>
      </c>
      <c r="AG3975" s="2">
        <f ca="1"/>
        <v>0.73185380539362033</v>
      </c>
      <c r="AH3975" s="2" t="str">
        <f ca="1"/>
        <v>Bad</v>
      </c>
    </row>
    <row r="3976" spans="2:34" x14ac:dyDescent="0.2">
      <c r="B3976" s="2">
        <f ca="1"/>
        <v>0.94128765866558606</v>
      </c>
      <c r="O3976" s="2">
        <f ca="1"/>
        <v>0.44760469297363636</v>
      </c>
      <c r="X3976" s="2">
        <f ca="1"/>
        <v>38.32783292576697</v>
      </c>
      <c r="AG3976" s="2">
        <f ca="1"/>
        <v>0.72514677552369</v>
      </c>
      <c r="AH3976" s="2" t="str">
        <f ca="1"/>
        <v>Bad</v>
      </c>
    </row>
    <row r="3977" spans="2:34" x14ac:dyDescent="0.2">
      <c r="B3977" s="2">
        <f ca="1"/>
        <v>0.13360783441581847</v>
      </c>
      <c r="O3977" s="2">
        <f ca="1"/>
        <v>1.782961955502419</v>
      </c>
      <c r="X3977" s="2">
        <f ca="1"/>
        <v>57.253382360300492</v>
      </c>
      <c r="AG3977" s="2">
        <f ca="1"/>
        <v>0.71248487304113173</v>
      </c>
      <c r="AH3977" s="2" t="str">
        <f ca="1"/>
        <v>Bad</v>
      </c>
    </row>
    <row r="3978" spans="2:34" x14ac:dyDescent="0.2">
      <c r="B3978" s="2">
        <f ca="1"/>
        <v>0.53114548380730264</v>
      </c>
      <c r="O3978" s="2">
        <f ca="1"/>
        <v>0.72078632834674816</v>
      </c>
      <c r="X3978" s="2">
        <f ca="1"/>
        <v>20.216716404229391</v>
      </c>
      <c r="AG3978" s="2">
        <f ca="1"/>
        <v>0.72889321000790352</v>
      </c>
      <c r="AH3978" s="2" t="str">
        <f ca="1"/>
        <v>Bad</v>
      </c>
    </row>
    <row r="3979" spans="2:34" x14ac:dyDescent="0.2">
      <c r="B3979" s="2">
        <f ca="1"/>
        <v>0.3721023891489037</v>
      </c>
      <c r="O3979" s="2">
        <f ca="1"/>
        <v>0.12124395094964911</v>
      </c>
      <c r="X3979" s="2">
        <f ca="1"/>
        <v>53.428033651755612</v>
      </c>
      <c r="AG3979" s="2">
        <f ca="1"/>
        <v>0.28512416229528537</v>
      </c>
      <c r="AH3979" s="2" t="str">
        <f ca="1"/>
        <v>OK</v>
      </c>
    </row>
    <row r="3980" spans="2:34" x14ac:dyDescent="0.2">
      <c r="B3980" s="2">
        <f ca="1"/>
        <v>8.401193153664277E-2</v>
      </c>
      <c r="O3980" s="2">
        <f ca="1"/>
        <v>-1.9120821655646938</v>
      </c>
      <c r="X3980" s="2">
        <f ca="1"/>
        <v>54.248616308274634</v>
      </c>
      <c r="AG3980" s="2">
        <f ca="1"/>
        <v>0.61882352255345108</v>
      </c>
      <c r="AH3980" s="2" t="str">
        <f ca="1"/>
        <v>Bad</v>
      </c>
    </row>
    <row r="3981" spans="2:34" x14ac:dyDescent="0.2">
      <c r="B3981" s="2">
        <f ca="1"/>
        <v>0.7360039593443326</v>
      </c>
      <c r="O3981" s="2">
        <f ca="1"/>
        <v>1.5700682350204542</v>
      </c>
      <c r="X3981" s="2">
        <f ca="1"/>
        <v>18.056310993891948</v>
      </c>
      <c r="AG3981" s="2">
        <f ca="1"/>
        <v>0.35010800941074027</v>
      </c>
      <c r="AH3981" s="2" t="str">
        <f ca="1"/>
        <v>OK</v>
      </c>
    </row>
    <row r="3982" spans="2:34" x14ac:dyDescent="0.2">
      <c r="B3982" s="2">
        <f ca="1"/>
        <v>0.84766878645651378</v>
      </c>
      <c r="O3982" s="2">
        <f ca="1"/>
        <v>-0.17594802749281585</v>
      </c>
      <c r="X3982" s="2">
        <f ca="1"/>
        <v>59.080783207457436</v>
      </c>
      <c r="AG3982" s="2">
        <f ca="1"/>
        <v>0.59811348230883388</v>
      </c>
      <c r="AH3982" s="2" t="str">
        <f ca="1"/>
        <v>Bad</v>
      </c>
    </row>
    <row r="3983" spans="2:34" x14ac:dyDescent="0.2">
      <c r="B3983" s="2">
        <f ca="1"/>
        <v>0.80205732926074758</v>
      </c>
      <c r="O3983" s="2">
        <f ca="1"/>
        <v>0.25308462277848953</v>
      </c>
      <c r="X3983" s="2">
        <f ca="1"/>
        <v>54.037340796636713</v>
      </c>
      <c r="AG3983" s="2">
        <f ca="1"/>
        <v>7.8434141064675611E-2</v>
      </c>
      <c r="AH3983" s="2" t="str">
        <f ca="1"/>
        <v>OK</v>
      </c>
    </row>
    <row r="3984" spans="2:34" x14ac:dyDescent="0.2">
      <c r="B3984" s="2">
        <f ca="1"/>
        <v>0.10394516738192516</v>
      </c>
      <c r="O3984" s="2">
        <f ca="1"/>
        <v>0.35517097398304032</v>
      </c>
      <c r="X3984" s="2">
        <f ca="1"/>
        <v>35.729979809504712</v>
      </c>
      <c r="AG3984" s="2">
        <f ca="1"/>
        <v>0.22006862509646341</v>
      </c>
      <c r="AH3984" s="2" t="str">
        <f ca="1"/>
        <v>OK</v>
      </c>
    </row>
    <row r="3985" spans="2:34" x14ac:dyDescent="0.2">
      <c r="B3985" s="2">
        <f ca="1"/>
        <v>0.6935515078474761</v>
      </c>
      <c r="O3985" s="2">
        <f ca="1"/>
        <v>-1.9467789226993721</v>
      </c>
      <c r="X3985" s="2">
        <f ca="1"/>
        <v>71.061066937442888</v>
      </c>
      <c r="AG3985" s="2">
        <f ca="1"/>
        <v>0.10180531324416564</v>
      </c>
      <c r="AH3985" s="2" t="str">
        <f ca="1"/>
        <v>OK</v>
      </c>
    </row>
    <row r="3986" spans="2:34" x14ac:dyDescent="0.2">
      <c r="B3986" s="2">
        <f ca="1"/>
        <v>0.790480397662358</v>
      </c>
      <c r="O3986" s="2">
        <f ca="1"/>
        <v>1.0071332964810176</v>
      </c>
      <c r="X3986" s="2">
        <f ca="1"/>
        <v>35.425604259462901</v>
      </c>
      <c r="AG3986" s="2">
        <f ca="1"/>
        <v>0.68964632023002648</v>
      </c>
      <c r="AH3986" s="2" t="str">
        <f ca="1"/>
        <v>Bad</v>
      </c>
    </row>
    <row r="3987" spans="2:34" x14ac:dyDescent="0.2">
      <c r="B3987" s="2">
        <f ca="1"/>
        <v>0.22891703335215352</v>
      </c>
      <c r="O3987" s="2">
        <f ca="1"/>
        <v>0.12717758957502215</v>
      </c>
      <c r="X3987" s="2">
        <f ca="1"/>
        <v>26.557575796970447</v>
      </c>
      <c r="AG3987" s="2">
        <f ca="1"/>
        <v>0.54961361384820151</v>
      </c>
      <c r="AH3987" s="2" t="str">
        <f ca="1"/>
        <v>Bad</v>
      </c>
    </row>
    <row r="3988" spans="2:34" x14ac:dyDescent="0.2">
      <c r="B3988" s="2">
        <f ca="1"/>
        <v>8.7900112638453987E-2</v>
      </c>
      <c r="O3988" s="2">
        <f ca="1"/>
        <v>0.57848278461201197</v>
      </c>
      <c r="X3988" s="2">
        <f ca="1"/>
        <v>62.073717317638028</v>
      </c>
      <c r="AG3988" s="2">
        <f ca="1"/>
        <v>0.96066196326368791</v>
      </c>
      <c r="AH3988" s="2" t="str">
        <f ca="1"/>
        <v>Bad</v>
      </c>
    </row>
    <row r="3989" spans="2:34" x14ac:dyDescent="0.2">
      <c r="B3989" s="2">
        <f ca="1"/>
        <v>0.3706985365304567</v>
      </c>
      <c r="O3989" s="2">
        <f ca="1"/>
        <v>-0.98707065209756972</v>
      </c>
      <c r="X3989" s="2">
        <f ca="1"/>
        <v>46.321060583876736</v>
      </c>
      <c r="AG3989" s="2">
        <f ca="1"/>
        <v>0.47069644491754925</v>
      </c>
      <c r="AH3989" s="2" t="str">
        <f ca="1"/>
        <v>Bad</v>
      </c>
    </row>
    <row r="3990" spans="2:34" x14ac:dyDescent="0.2">
      <c r="B3990" s="2">
        <f ca="1"/>
        <v>0.31996371283285874</v>
      </c>
      <c r="O3990" s="2">
        <f ca="1"/>
        <v>-0.49137698908804917</v>
      </c>
      <c r="X3990" s="2">
        <f ca="1"/>
        <v>35.985201289574221</v>
      </c>
      <c r="AG3990" s="2">
        <f ca="1"/>
        <v>7.8244761080249914E-2</v>
      </c>
      <c r="AH3990" s="2" t="str">
        <f ca="1"/>
        <v>OK</v>
      </c>
    </row>
    <row r="3991" spans="2:34" x14ac:dyDescent="0.2">
      <c r="B3991" s="2">
        <f ca="1"/>
        <v>0.64472163320476561</v>
      </c>
      <c r="O3991" s="2">
        <f ca="1"/>
        <v>-0.22065614104356898</v>
      </c>
      <c r="X3991" s="2">
        <f ca="1"/>
        <v>37.778536910454953</v>
      </c>
      <c r="AG3991" s="2">
        <f ca="1"/>
        <v>0.36911939550810957</v>
      </c>
      <c r="AH3991" s="2" t="str">
        <f ca="1"/>
        <v>OK</v>
      </c>
    </row>
    <row r="3992" spans="2:34" x14ac:dyDescent="0.2">
      <c r="B3992" s="2">
        <f ca="1"/>
        <v>0.81915266811601528</v>
      </c>
      <c r="O3992" s="2">
        <f ca="1"/>
        <v>-1.1904250086728749E-2</v>
      </c>
      <c r="X3992" s="2">
        <f ca="1"/>
        <v>81.534766608429535</v>
      </c>
      <c r="AG3992" s="2">
        <f ca="1"/>
        <v>0.55526399853195962</v>
      </c>
      <c r="AH3992" s="2" t="str">
        <f ca="1"/>
        <v>Bad</v>
      </c>
    </row>
    <row r="3993" spans="2:34" x14ac:dyDescent="0.2">
      <c r="B3993" s="2">
        <f ca="1"/>
        <v>0.61659641256224473</v>
      </c>
      <c r="O3993" s="2">
        <f ca="1"/>
        <v>1.1248964807879243</v>
      </c>
      <c r="X3993" s="2">
        <f ca="1"/>
        <v>46.265202803426561</v>
      </c>
      <c r="AG3993" s="2">
        <f ca="1"/>
        <v>2.8624032270223143E-2</v>
      </c>
      <c r="AH3993" s="2" t="str">
        <f ca="1"/>
        <v>Good</v>
      </c>
    </row>
    <row r="3994" spans="2:34" x14ac:dyDescent="0.2">
      <c r="B3994" s="2">
        <f ca="1"/>
        <v>0.99600087998512632</v>
      </c>
      <c r="O3994" s="2">
        <f ca="1"/>
        <v>-1.8226435029083163</v>
      </c>
      <c r="X3994" s="2">
        <f ca="1"/>
        <v>53.402927780969392</v>
      </c>
      <c r="AG3994" s="2">
        <f ca="1"/>
        <v>0.9156929655778423</v>
      </c>
      <c r="AH3994" s="2" t="str">
        <f ca="1"/>
        <v>Bad</v>
      </c>
    </row>
    <row r="3995" spans="2:34" x14ac:dyDescent="0.2">
      <c r="B3995" s="2">
        <f ca="1"/>
        <v>3.1928706987200739E-2</v>
      </c>
      <c r="O3995" s="2">
        <f ca="1"/>
        <v>0.388610738442562</v>
      </c>
      <c r="X3995" s="2">
        <f ca="1"/>
        <v>42.142551476453733</v>
      </c>
      <c r="AG3995" s="2">
        <f ca="1"/>
        <v>0.14906065319255868</v>
      </c>
      <c r="AH3995" s="2" t="str">
        <f ca="1"/>
        <v>OK</v>
      </c>
    </row>
    <row r="3996" spans="2:34" x14ac:dyDescent="0.2">
      <c r="B3996" s="2">
        <f ca="1"/>
        <v>0.69824878889902209</v>
      </c>
      <c r="O3996" s="2">
        <f ca="1"/>
        <v>0.95255202214321522</v>
      </c>
      <c r="X3996" s="2">
        <f ca="1"/>
        <v>45.623973487399383</v>
      </c>
      <c r="AG3996" s="2">
        <f ca="1"/>
        <v>0.40223418422431045</v>
      </c>
      <c r="AH3996" s="2" t="str">
        <f ca="1"/>
        <v>Bad</v>
      </c>
    </row>
    <row r="3997" spans="2:34" x14ac:dyDescent="0.2">
      <c r="B3997" s="2">
        <f ca="1"/>
        <v>0.29849212481137366</v>
      </c>
      <c r="O3997" s="2">
        <f ca="1"/>
        <v>-1.512008995666235</v>
      </c>
      <c r="X3997" s="2">
        <f ca="1"/>
        <v>45.064885191562169</v>
      </c>
      <c r="AG3997" s="2">
        <f ca="1"/>
        <v>9.1334063966030055E-2</v>
      </c>
      <c r="AH3997" s="2" t="str">
        <f ca="1"/>
        <v>OK</v>
      </c>
    </row>
    <row r="3998" spans="2:34" x14ac:dyDescent="0.2">
      <c r="B3998" s="2">
        <f ca="1"/>
        <v>0.82287818501167531</v>
      </c>
      <c r="O3998" s="2">
        <f ca="1"/>
        <v>-0.1377586191979181</v>
      </c>
      <c r="X3998" s="2">
        <f ca="1"/>
        <v>33.301066215129929</v>
      </c>
      <c r="AG3998" s="2">
        <f ca="1"/>
        <v>0.65844382035222249</v>
      </c>
      <c r="AH3998" s="2" t="str">
        <f ca="1"/>
        <v>Bad</v>
      </c>
    </row>
    <row r="3999" spans="2:34" x14ac:dyDescent="0.2">
      <c r="B3999" s="2">
        <f ca="1"/>
        <v>0.22585301415060743</v>
      </c>
      <c r="O3999" s="2">
        <f ca="1"/>
        <v>-0.89048514415006264</v>
      </c>
      <c r="X3999" s="2">
        <f ca="1"/>
        <v>39.522324514342074</v>
      </c>
      <c r="AG3999" s="2">
        <f ca="1"/>
        <v>0.65961533191057531</v>
      </c>
      <c r="AH3999" s="2" t="str">
        <f ca="1"/>
        <v>Bad</v>
      </c>
    </row>
    <row r="4000" spans="2:34" x14ac:dyDescent="0.2">
      <c r="B4000" s="2">
        <f ca="1"/>
        <v>0.66574145618295</v>
      </c>
      <c r="O4000" s="2">
        <f ca="1"/>
        <v>1.1381316020556065</v>
      </c>
      <c r="X4000" s="2">
        <f ca="1"/>
        <v>55.289103260216535</v>
      </c>
      <c r="AG4000" s="2">
        <f ca="1"/>
        <v>0.77551961761736821</v>
      </c>
      <c r="AH4000" s="2" t="str">
        <f ca="1"/>
        <v>Bad</v>
      </c>
    </row>
    <row r="4001" spans="2:34" x14ac:dyDescent="0.2">
      <c r="B4001" s="2">
        <f ca="1"/>
        <v>0.75644693286166653</v>
      </c>
      <c r="O4001" s="2">
        <f ca="1"/>
        <v>1.068209105500008</v>
      </c>
      <c r="X4001" s="2">
        <f ca="1"/>
        <v>66.082120076598642</v>
      </c>
      <c r="AG4001" s="2">
        <f ca="1"/>
        <v>0.39330429216641916</v>
      </c>
      <c r="AH4001" s="2" t="str">
        <f ca="1"/>
        <v>OK</v>
      </c>
    </row>
    <row r="4002" spans="2:34" x14ac:dyDescent="0.2">
      <c r="B4002" s="2">
        <f ca="1"/>
        <v>0.86283820957788193</v>
      </c>
      <c r="O4002" s="2">
        <f ca="1"/>
        <v>1.3448430651220211</v>
      </c>
      <c r="X4002" s="2">
        <f ca="1"/>
        <v>69.805471019477352</v>
      </c>
      <c r="AG4002" s="2">
        <f ca="1"/>
        <v>0.85340063887492534</v>
      </c>
      <c r="AH4002" s="2" t="str">
        <f ca="1"/>
        <v>Bad</v>
      </c>
    </row>
    <row r="4003" spans="2:34" x14ac:dyDescent="0.2">
      <c r="B4003" s="2">
        <f ca="1"/>
        <v>0.93448282906743629</v>
      </c>
      <c r="O4003" s="2">
        <f ca="1"/>
        <v>-1.9001074664942066</v>
      </c>
      <c r="X4003" s="2">
        <f ca="1"/>
        <v>65.223998570017713</v>
      </c>
      <c r="AG4003" s="2">
        <f ca="1"/>
        <v>0.98785876954723961</v>
      </c>
      <c r="AH4003" s="2" t="str">
        <f ca="1"/>
        <v>Bad</v>
      </c>
    </row>
    <row r="4004" spans="2:34" x14ac:dyDescent="0.2">
      <c r="B4004" s="2">
        <f ca="1"/>
        <v>0.53917908548028137</v>
      </c>
      <c r="O4004" s="2">
        <f ca="1"/>
        <v>-8.6195405823756219E-2</v>
      </c>
      <c r="X4004" s="2">
        <f ca="1"/>
        <v>79.044588504012481</v>
      </c>
      <c r="AG4004" s="2">
        <f ca="1"/>
        <v>0.34194485907959749</v>
      </c>
      <c r="AH4004" s="2" t="str">
        <f ca="1"/>
        <v>OK</v>
      </c>
    </row>
    <row r="4005" spans="2:34" x14ac:dyDescent="0.2">
      <c r="B4005" s="2">
        <f ca="1"/>
        <v>0.3589754376246852</v>
      </c>
      <c r="O4005" s="2">
        <f ca="1"/>
        <v>0.35589633925842201</v>
      </c>
      <c r="X4005" s="2">
        <f ca="1"/>
        <v>44.016739386571388</v>
      </c>
      <c r="AG4005" s="2">
        <f ca="1"/>
        <v>0.74601286936331102</v>
      </c>
      <c r="AH4005" s="2" t="str">
        <f ca="1"/>
        <v>Bad</v>
      </c>
    </row>
    <row r="4006" spans="2:34" x14ac:dyDescent="0.2">
      <c r="B4006" s="2">
        <f ca="1"/>
        <v>0.35063425512521751</v>
      </c>
      <c r="O4006" s="2">
        <f ca="1"/>
        <v>-9.5602055542252651E-2</v>
      </c>
      <c r="X4006" s="2">
        <f ca="1"/>
        <v>55.128380934934889</v>
      </c>
      <c r="AG4006" s="2">
        <f ca="1"/>
        <v>0.83673455228562155</v>
      </c>
      <c r="AH4006" s="2" t="str">
        <f ca="1"/>
        <v>Bad</v>
      </c>
    </row>
    <row r="4007" spans="2:34" x14ac:dyDescent="0.2">
      <c r="B4007" s="2">
        <f ca="1"/>
        <v>5.8694611587478462E-2</v>
      </c>
      <c r="O4007" s="2">
        <f ca="1"/>
        <v>0.50752664013236604</v>
      </c>
      <c r="X4007" s="2">
        <f ca="1"/>
        <v>42.96151159080636</v>
      </c>
      <c r="AG4007" s="2">
        <f ca="1"/>
        <v>0.57347343304571274</v>
      </c>
      <c r="AH4007" s="2" t="str">
        <f ca="1"/>
        <v>Bad</v>
      </c>
    </row>
    <row r="4008" spans="2:34" x14ac:dyDescent="0.2">
      <c r="B4008" s="2">
        <f ca="1"/>
        <v>0.74884566930332386</v>
      </c>
      <c r="O4008" s="2">
        <f ca="1"/>
        <v>-0.55082928562707834</v>
      </c>
      <c r="X4008" s="2">
        <f ca="1"/>
        <v>55.858571441730675</v>
      </c>
      <c r="AG4008" s="2">
        <f ca="1"/>
        <v>0.98769728941037771</v>
      </c>
      <c r="AH4008" s="2" t="str">
        <f ca="1"/>
        <v>Bad</v>
      </c>
    </row>
    <row r="4009" spans="2:34" x14ac:dyDescent="0.2">
      <c r="B4009" s="2">
        <f ca="1"/>
        <v>0.4957230608820038</v>
      </c>
      <c r="O4009" s="2">
        <f ca="1"/>
        <v>-0.25944201809490619</v>
      </c>
      <c r="X4009" s="2">
        <f ca="1"/>
        <v>43.22050172094098</v>
      </c>
      <c r="AG4009" s="2">
        <f ca="1"/>
        <v>0.45159022583889419</v>
      </c>
      <c r="AH4009" s="2" t="str">
        <f ca="1"/>
        <v>Bad</v>
      </c>
    </row>
    <row r="4010" spans="2:34" x14ac:dyDescent="0.2">
      <c r="B4010" s="2">
        <f ca="1"/>
        <v>0.13583765068360809</v>
      </c>
      <c r="O4010" s="2">
        <f ca="1"/>
        <v>-0.97838034239257599</v>
      </c>
      <c r="X4010" s="2">
        <f ca="1"/>
        <v>32.925790118224377</v>
      </c>
      <c r="AG4010" s="2">
        <f ca="1"/>
        <v>0.22053585965643019</v>
      </c>
      <c r="AH4010" s="2" t="str">
        <f ca="1"/>
        <v>OK</v>
      </c>
    </row>
    <row r="4011" spans="2:34" x14ac:dyDescent="0.2">
      <c r="B4011" s="2">
        <f ca="1"/>
        <v>0.64531927210212925</v>
      </c>
      <c r="O4011" s="2">
        <f ca="1"/>
        <v>0.73817031295011337</v>
      </c>
      <c r="X4011" s="2">
        <f ca="1"/>
        <v>55.289443394129016</v>
      </c>
      <c r="AG4011" s="2">
        <f ca="1"/>
        <v>0.82616972647577946</v>
      </c>
      <c r="AH4011" s="2" t="str">
        <f ca="1"/>
        <v>Bad</v>
      </c>
    </row>
    <row r="4012" spans="2:34" x14ac:dyDescent="0.2">
      <c r="B4012" s="2">
        <f ca="1"/>
        <v>0.29161833847520735</v>
      </c>
      <c r="O4012" s="2">
        <f ca="1"/>
        <v>0.63135006201233079</v>
      </c>
      <c r="X4012" s="2">
        <f ca="1"/>
        <v>33.774512597983829</v>
      </c>
      <c r="AG4012" s="2">
        <f ca="1"/>
        <v>0.12395522275577164</v>
      </c>
      <c r="AH4012" s="2" t="str">
        <f ca="1"/>
        <v>OK</v>
      </c>
    </row>
    <row r="4013" spans="2:34" x14ac:dyDescent="0.2">
      <c r="B4013" s="2">
        <f ca="1"/>
        <v>9.1062287433959943E-2</v>
      </c>
      <c r="O4013" s="2">
        <f ca="1"/>
        <v>1.391233480156028</v>
      </c>
      <c r="X4013" s="2">
        <f ca="1"/>
        <v>39.922594853670084</v>
      </c>
      <c r="AG4013" s="2">
        <f ca="1"/>
        <v>0.90630541783543439</v>
      </c>
      <c r="AH4013" s="2" t="str">
        <f ca="1"/>
        <v>Bad</v>
      </c>
    </row>
    <row r="4014" spans="2:34" x14ac:dyDescent="0.2">
      <c r="B4014" s="2">
        <f ca="1"/>
        <v>0.845422637752274</v>
      </c>
      <c r="O4014" s="2">
        <f ca="1"/>
        <v>-0.75483866433519897</v>
      </c>
      <c r="X4014" s="2">
        <f ca="1"/>
        <v>44.235321258297979</v>
      </c>
      <c r="AG4014" s="2">
        <f ca="1"/>
        <v>0.37755490302896688</v>
      </c>
      <c r="AH4014" s="2" t="str">
        <f ca="1"/>
        <v>OK</v>
      </c>
    </row>
    <row r="4015" spans="2:34" x14ac:dyDescent="0.2">
      <c r="B4015" s="2">
        <f ca="1"/>
        <v>0.73560510796408218</v>
      </c>
      <c r="O4015" s="2">
        <f ca="1"/>
        <v>-0.22737788762558261</v>
      </c>
      <c r="X4015" s="2">
        <f ca="1"/>
        <v>37.7369829608866</v>
      </c>
      <c r="AG4015" s="2">
        <f ca="1"/>
        <v>8.3228551043736054E-2</v>
      </c>
      <c r="AH4015" s="2" t="str">
        <f ca="1"/>
        <v>OK</v>
      </c>
    </row>
    <row r="4016" spans="2:34" x14ac:dyDescent="0.2">
      <c r="B4016" s="2">
        <f ca="1"/>
        <v>0.14061073541340319</v>
      </c>
      <c r="O4016" s="2">
        <f ca="1"/>
        <v>0.26631672842945148</v>
      </c>
      <c r="X4016" s="2">
        <f ca="1"/>
        <v>36.922884652680928</v>
      </c>
      <c r="AG4016" s="2">
        <f ca="1"/>
        <v>0.97130639963692245</v>
      </c>
      <c r="AH4016" s="2" t="str">
        <f ca="1"/>
        <v>Bad</v>
      </c>
    </row>
    <row r="4017" spans="2:34" x14ac:dyDescent="0.2">
      <c r="B4017" s="2">
        <f ca="1"/>
        <v>0.25896485897107868</v>
      </c>
      <c r="O4017" s="2">
        <f ca="1"/>
        <v>-1.0198536492143291</v>
      </c>
      <c r="X4017" s="2">
        <f ca="1"/>
        <v>61.264240933826699</v>
      </c>
      <c r="AG4017" s="2">
        <f ca="1"/>
        <v>0.39628344495977386</v>
      </c>
      <c r="AH4017" s="2" t="str">
        <f ca="1"/>
        <v>OK</v>
      </c>
    </row>
    <row r="4018" spans="2:34" x14ac:dyDescent="0.2">
      <c r="B4018" s="2">
        <f ca="1"/>
        <v>0.9312670137163559</v>
      </c>
      <c r="O4018" s="2">
        <f ca="1"/>
        <v>0.43295599920009303</v>
      </c>
      <c r="X4018" s="2">
        <f ca="1"/>
        <v>59.737031716354629</v>
      </c>
      <c r="AG4018" s="2">
        <f ca="1"/>
        <v>0.74062726886361885</v>
      </c>
      <c r="AH4018" s="2" t="str">
        <f ca="1"/>
        <v>Bad</v>
      </c>
    </row>
    <row r="4019" spans="2:34" x14ac:dyDescent="0.2">
      <c r="B4019" s="2">
        <f ca="1"/>
        <v>0.36623026133238157</v>
      </c>
      <c r="O4019" s="2">
        <f ca="1"/>
        <v>0.27178721188447924</v>
      </c>
      <c r="X4019" s="2">
        <f ca="1"/>
        <v>42.155298677794363</v>
      </c>
      <c r="AG4019" s="2">
        <f ca="1"/>
        <v>0.5277648585055601</v>
      </c>
      <c r="AH4019" s="2" t="str">
        <f ca="1"/>
        <v>Bad</v>
      </c>
    </row>
    <row r="4020" spans="2:34" x14ac:dyDescent="0.2">
      <c r="B4020" s="2">
        <f ca="1"/>
        <v>4.7058972528212895E-2</v>
      </c>
      <c r="O4020" s="2">
        <f ca="1"/>
        <v>0.98953368653420215</v>
      </c>
      <c r="X4020" s="2">
        <f ca="1"/>
        <v>61.134552606054704</v>
      </c>
      <c r="AG4020" s="2">
        <f ca="1"/>
        <v>0.83127136382166644</v>
      </c>
      <c r="AH4020" s="2" t="str">
        <f ca="1"/>
        <v>Bad</v>
      </c>
    </row>
    <row r="4021" spans="2:34" x14ac:dyDescent="0.2">
      <c r="B4021" s="2">
        <f ca="1"/>
        <v>0.78680775112306356</v>
      </c>
      <c r="O4021" s="2">
        <f ca="1"/>
        <v>-0.52937904035150629</v>
      </c>
      <c r="X4021" s="2">
        <f ca="1"/>
        <v>49.33376587128366</v>
      </c>
      <c r="AG4021" s="2">
        <f ca="1"/>
        <v>0.20599405861174303</v>
      </c>
      <c r="AH4021" s="2" t="str">
        <f ca="1"/>
        <v>OK</v>
      </c>
    </row>
    <row r="4022" spans="2:34" x14ac:dyDescent="0.2">
      <c r="B4022" s="2">
        <f ca="1"/>
        <v>0.42809769850590329</v>
      </c>
      <c r="O4022" s="2">
        <f ca="1"/>
        <v>-0.25818337500531979</v>
      </c>
      <c r="X4022" s="2">
        <f ca="1"/>
        <v>32.499872259048963</v>
      </c>
      <c r="AG4022" s="2">
        <f ca="1"/>
        <v>0.45758672009703005</v>
      </c>
      <c r="AH4022" s="2" t="str">
        <f ca="1"/>
        <v>Bad</v>
      </c>
    </row>
    <row r="4023" spans="2:34" x14ac:dyDescent="0.2">
      <c r="B4023" s="2">
        <f ca="1"/>
        <v>0.96062112383426457</v>
      </c>
      <c r="O4023" s="2">
        <f ca="1"/>
        <v>-3.4989600015532113E-2</v>
      </c>
      <c r="X4023" s="2">
        <f ca="1"/>
        <v>34.258573173827308</v>
      </c>
      <c r="AG4023" s="2">
        <f ca="1"/>
        <v>0.54331290010548172</v>
      </c>
      <c r="AH4023" s="2" t="str">
        <f ca="1"/>
        <v>Bad</v>
      </c>
    </row>
    <row r="4024" spans="2:34" x14ac:dyDescent="0.2">
      <c r="B4024" s="2">
        <f ca="1"/>
        <v>0.76998979824897118</v>
      </c>
      <c r="O4024" s="2">
        <f ca="1"/>
        <v>-1.4997689186974861</v>
      </c>
      <c r="X4024" s="2">
        <f ca="1"/>
        <v>25.310302599319002</v>
      </c>
      <c r="AG4024" s="2">
        <f ca="1"/>
        <v>0.6743264930197499</v>
      </c>
      <c r="AH4024" s="2" t="str">
        <f ca="1"/>
        <v>Bad</v>
      </c>
    </row>
    <row r="4025" spans="2:34" x14ac:dyDescent="0.2">
      <c r="B4025" s="2">
        <f ca="1"/>
        <v>9.4173596846504504E-2</v>
      </c>
      <c r="O4025" s="2">
        <f ca="1"/>
        <v>-0.36594751524813829</v>
      </c>
      <c r="X4025" s="2">
        <f ca="1"/>
        <v>59.61596840004858</v>
      </c>
      <c r="AG4025" s="2">
        <f ca="1"/>
        <v>0.78387517259391837</v>
      </c>
      <c r="AH4025" s="2" t="str">
        <f ca="1"/>
        <v>Bad</v>
      </c>
    </row>
    <row r="4026" spans="2:34" x14ac:dyDescent="0.2">
      <c r="B4026" s="2">
        <f ca="1"/>
        <v>0.58099876872261969</v>
      </c>
      <c r="O4026" s="2">
        <f ca="1"/>
        <v>0.64667622626937826</v>
      </c>
      <c r="X4026" s="2">
        <f ca="1"/>
        <v>36.270645798850808</v>
      </c>
      <c r="AG4026" s="2">
        <f ca="1"/>
        <v>2.8943252705265321E-2</v>
      </c>
      <c r="AH4026" s="2" t="str">
        <f ca="1"/>
        <v>Good</v>
      </c>
    </row>
    <row r="4027" spans="2:34" x14ac:dyDescent="0.2">
      <c r="B4027" s="2">
        <f ca="1"/>
        <v>0.84934630128049426</v>
      </c>
      <c r="O4027" s="2">
        <f ca="1"/>
        <v>1.0036326074206985</v>
      </c>
      <c r="X4027" s="2">
        <f ca="1"/>
        <v>63.84960087628567</v>
      </c>
      <c r="AG4027" s="2">
        <f ca="1"/>
        <v>0.66549438142030537</v>
      </c>
      <c r="AH4027" s="2" t="str">
        <f ca="1"/>
        <v>Bad</v>
      </c>
    </row>
    <row r="4028" spans="2:34" x14ac:dyDescent="0.2">
      <c r="B4028" s="2">
        <f ca="1"/>
        <v>0.128831150818006</v>
      </c>
      <c r="O4028" s="2">
        <f ca="1"/>
        <v>1.0182402143251268</v>
      </c>
      <c r="X4028" s="2">
        <f ca="1"/>
        <v>67.545102030059539</v>
      </c>
      <c r="AG4028" s="2">
        <f ca="1"/>
        <v>0.7496359472548777</v>
      </c>
      <c r="AH4028" s="2" t="str">
        <f ca="1"/>
        <v>Bad</v>
      </c>
    </row>
    <row r="4029" spans="2:34" x14ac:dyDescent="0.2">
      <c r="B4029" s="2">
        <f ca="1"/>
        <v>0.14838320017562201</v>
      </c>
      <c r="O4029" s="2">
        <f ca="1"/>
        <v>-0.38374166013928318</v>
      </c>
      <c r="X4029" s="2">
        <f ca="1"/>
        <v>57.62488124883145</v>
      </c>
      <c r="AG4029" s="2">
        <f ca="1"/>
        <v>0.62182212981892393</v>
      </c>
      <c r="AH4029" s="2" t="str">
        <f ca="1"/>
        <v>Bad</v>
      </c>
    </row>
    <row r="4030" spans="2:34" x14ac:dyDescent="0.2">
      <c r="B4030" s="2">
        <f ca="1"/>
        <v>0.23686488250789739</v>
      </c>
      <c r="O4030" s="2">
        <f ca="1"/>
        <v>1.818033694997927</v>
      </c>
      <c r="X4030" s="2">
        <f ca="1"/>
        <v>44.163040854757099</v>
      </c>
      <c r="AG4030" s="2">
        <f ca="1"/>
        <v>0.90266940017873032</v>
      </c>
      <c r="AH4030" s="2" t="str">
        <f ca="1"/>
        <v>Bad</v>
      </c>
    </row>
    <row r="4031" spans="2:34" x14ac:dyDescent="0.2">
      <c r="B4031" s="2">
        <f ca="1"/>
        <v>0.27993732376328118</v>
      </c>
      <c r="O4031" s="2">
        <f ca="1"/>
        <v>-1.1623765707165103</v>
      </c>
      <c r="X4031" s="2">
        <f ca="1"/>
        <v>44.876846934571901</v>
      </c>
      <c r="AG4031" s="2">
        <f ca="1"/>
        <v>0.50886712429549386</v>
      </c>
      <c r="AH4031" s="2" t="str">
        <f ca="1"/>
        <v>Bad</v>
      </c>
    </row>
    <row r="4032" spans="2:34" x14ac:dyDescent="0.2">
      <c r="B4032" s="2">
        <f ca="1"/>
        <v>0.98348827135354733</v>
      </c>
      <c r="O4032" s="2">
        <f ca="1"/>
        <v>-1.0089651461903573</v>
      </c>
      <c r="X4032" s="2">
        <f ca="1"/>
        <v>36.715854968193121</v>
      </c>
      <c r="AG4032" s="2">
        <f ca="1"/>
        <v>0.37403827598916251</v>
      </c>
      <c r="AH4032" s="2" t="str">
        <f ca="1"/>
        <v>OK</v>
      </c>
    </row>
    <row r="4033" spans="2:34" x14ac:dyDescent="0.2">
      <c r="B4033" s="2">
        <f ca="1"/>
        <v>0.41548524052188407</v>
      </c>
      <c r="O4033" s="2">
        <f ca="1"/>
        <v>1.2523300323901521</v>
      </c>
      <c r="X4033" s="2">
        <f ca="1"/>
        <v>71.917415468931296</v>
      </c>
      <c r="AG4033" s="2">
        <f ca="1"/>
        <v>0.76883016366609369</v>
      </c>
      <c r="AH4033" s="2" t="str">
        <f ca="1"/>
        <v>Bad</v>
      </c>
    </row>
    <row r="4034" spans="2:34" x14ac:dyDescent="0.2">
      <c r="B4034" s="2">
        <f ca="1"/>
        <v>0.85686048370189338</v>
      </c>
      <c r="O4034" s="2">
        <f ca="1"/>
        <v>-0.34336809117898875</v>
      </c>
      <c r="X4034" s="2">
        <f ca="1"/>
        <v>66.03105285878317</v>
      </c>
      <c r="AG4034" s="2">
        <f ca="1"/>
        <v>0.62240146358201254</v>
      </c>
      <c r="AH4034" s="2" t="str">
        <f ca="1"/>
        <v>Bad</v>
      </c>
    </row>
    <row r="4035" spans="2:34" x14ac:dyDescent="0.2">
      <c r="B4035" s="2">
        <f ca="1"/>
        <v>0.4109919963197548</v>
      </c>
      <c r="O4035" s="2">
        <f ca="1"/>
        <v>0.94106784071169591</v>
      </c>
      <c r="X4035" s="2">
        <f ca="1"/>
        <v>44.013320387148738</v>
      </c>
      <c r="AG4035" s="2">
        <f ca="1"/>
        <v>0.10684228189024192</v>
      </c>
      <c r="AH4035" s="2" t="str">
        <f ca="1"/>
        <v>OK</v>
      </c>
    </row>
    <row r="4036" spans="2:34" x14ac:dyDescent="0.2">
      <c r="B4036" s="2">
        <f ca="1"/>
        <v>0.44917977661898778</v>
      </c>
      <c r="O4036" s="2">
        <f ca="1"/>
        <v>-0.42943628346210527</v>
      </c>
      <c r="X4036" s="2">
        <f ca="1"/>
        <v>41.611206114749251</v>
      </c>
      <c r="AG4036" s="2">
        <f ca="1"/>
        <v>0.41617095239756474</v>
      </c>
      <c r="AH4036" s="2" t="str">
        <f ca="1"/>
        <v>Bad</v>
      </c>
    </row>
    <row r="4037" spans="2:34" x14ac:dyDescent="0.2">
      <c r="B4037" s="2">
        <f ca="1"/>
        <v>0.66996548811062939</v>
      </c>
      <c r="O4037" s="2">
        <f ca="1"/>
        <v>0.38670881609245078</v>
      </c>
      <c r="X4037" s="2">
        <f ca="1"/>
        <v>30.285481980512397</v>
      </c>
      <c r="AG4037" s="2">
        <f ca="1"/>
        <v>0.36096905039060245</v>
      </c>
      <c r="AH4037" s="2" t="str">
        <f ca="1"/>
        <v>OK</v>
      </c>
    </row>
    <row r="4038" spans="2:34" x14ac:dyDescent="0.2">
      <c r="B4038" s="2">
        <f ca="1"/>
        <v>0.51442702888567182</v>
      </c>
      <c r="O4038" s="2">
        <f ca="1"/>
        <v>0.49032686145345711</v>
      </c>
      <c r="X4038" s="2">
        <f ca="1"/>
        <v>75.577252678144205</v>
      </c>
      <c r="AG4038" s="2">
        <f ca="1"/>
        <v>0.29181995778192094</v>
      </c>
      <c r="AH4038" s="2" t="str">
        <f ca="1"/>
        <v>OK</v>
      </c>
    </row>
    <row r="4039" spans="2:34" x14ac:dyDescent="0.2">
      <c r="B4039" s="2">
        <f ca="1"/>
        <v>0.57496371835534776</v>
      </c>
      <c r="O4039" s="2">
        <f ca="1"/>
        <v>0.74964512991197407</v>
      </c>
      <c r="X4039" s="2">
        <f ca="1"/>
        <v>57.234128175033767</v>
      </c>
      <c r="AG4039" s="2">
        <f ca="1"/>
        <v>0.88216307616712353</v>
      </c>
      <c r="AH4039" s="2" t="str">
        <f ca="1"/>
        <v>Bad</v>
      </c>
    </row>
    <row r="4040" spans="2:34" x14ac:dyDescent="0.2">
      <c r="B4040" s="2">
        <f ca="1"/>
        <v>0.20512670897043606</v>
      </c>
      <c r="O4040" s="2">
        <f ca="1"/>
        <v>1.4737185533329173</v>
      </c>
      <c r="X4040" s="2">
        <f ca="1"/>
        <v>37.402101341455356</v>
      </c>
      <c r="AG4040" s="2">
        <f ca="1"/>
        <v>0.42241203203322364</v>
      </c>
      <c r="AH4040" s="2" t="str">
        <f ca="1"/>
        <v>Bad</v>
      </c>
    </row>
    <row r="4041" spans="2:34" x14ac:dyDescent="0.2">
      <c r="B4041" s="2">
        <f ca="1"/>
        <v>0.78940654186622861</v>
      </c>
      <c r="O4041" s="2">
        <f ca="1"/>
        <v>0.6981357667751279</v>
      </c>
      <c r="X4041" s="2">
        <f ca="1"/>
        <v>45.214017747720106</v>
      </c>
      <c r="AG4041" s="2">
        <f ca="1"/>
        <v>0.79296696365673669</v>
      </c>
      <c r="AH4041" s="2" t="str">
        <f ca="1"/>
        <v>Bad</v>
      </c>
    </row>
    <row r="4042" spans="2:34" x14ac:dyDescent="0.2">
      <c r="B4042" s="2">
        <f ca="1"/>
        <v>0.84184695615249305</v>
      </c>
      <c r="O4042" s="2">
        <f ca="1"/>
        <v>-1.3548577655477648E-3</v>
      </c>
      <c r="X4042" s="2">
        <f ca="1"/>
        <v>85.279606596289</v>
      </c>
      <c r="AG4042" s="2">
        <f ca="1"/>
        <v>0.443090140055167</v>
      </c>
      <c r="AH4042" s="2" t="str">
        <f ca="1"/>
        <v>Bad</v>
      </c>
    </row>
    <row r="4043" spans="2:34" x14ac:dyDescent="0.2">
      <c r="B4043" s="2">
        <f ca="1"/>
        <v>0.10115174750285316</v>
      </c>
      <c r="O4043" s="2">
        <f ca="1"/>
        <v>1.0290432209127149</v>
      </c>
      <c r="X4043" s="2">
        <f ca="1"/>
        <v>33.930931903713152</v>
      </c>
      <c r="AG4043" s="2">
        <f ca="1"/>
        <v>0.59427237666835309</v>
      </c>
      <c r="AH4043" s="2" t="str">
        <f ca="1"/>
        <v>Bad</v>
      </c>
    </row>
    <row r="4044" spans="2:34" x14ac:dyDescent="0.2">
      <c r="B4044" s="2">
        <f ca="1"/>
        <v>0.95460727689249913</v>
      </c>
      <c r="O4044" s="2">
        <f ca="1"/>
        <v>-1.7447878756263593</v>
      </c>
      <c r="X4044" s="2">
        <f ca="1"/>
        <v>46.504828109203586</v>
      </c>
      <c r="AG4044" s="2">
        <f ca="1"/>
        <v>0.55622807108441341</v>
      </c>
      <c r="AH4044" s="2" t="str">
        <f ca="1"/>
        <v>Bad</v>
      </c>
    </row>
    <row r="4045" spans="2:34" x14ac:dyDescent="0.2">
      <c r="B4045" s="2">
        <f ca="1"/>
        <v>0.95805745566595535</v>
      </c>
      <c r="O4045" s="2">
        <f ca="1"/>
        <v>0.46677685851213663</v>
      </c>
      <c r="X4045" s="2">
        <f ca="1"/>
        <v>50.015575844956039</v>
      </c>
      <c r="AG4045" s="2">
        <f ca="1"/>
        <v>0.29732009433153994</v>
      </c>
      <c r="AH4045" s="2" t="str">
        <f ca="1"/>
        <v>OK</v>
      </c>
    </row>
    <row r="4046" spans="2:34" x14ac:dyDescent="0.2">
      <c r="B4046" s="2">
        <f ca="1"/>
        <v>0.92215789119272085</v>
      </c>
      <c r="O4046" s="2">
        <f ca="1"/>
        <v>-1.1192775249291946</v>
      </c>
      <c r="X4046" s="2">
        <f ca="1"/>
        <v>43.050832341538637</v>
      </c>
      <c r="AG4046" s="2">
        <f ca="1"/>
        <v>0.78573436376021633</v>
      </c>
      <c r="AH4046" s="2" t="str">
        <f ca="1"/>
        <v>Bad</v>
      </c>
    </row>
    <row r="4047" spans="2:34" x14ac:dyDescent="0.2">
      <c r="B4047" s="2">
        <f ca="1"/>
        <v>0.28061809568883356</v>
      </c>
      <c r="O4047" s="2">
        <f ca="1"/>
        <v>0.51177323449474899</v>
      </c>
      <c r="X4047" s="2">
        <f ca="1"/>
        <v>23.731983481299324</v>
      </c>
      <c r="AG4047" s="2">
        <f ca="1"/>
        <v>0.67382636771276117</v>
      </c>
      <c r="AH4047" s="2" t="str">
        <f ca="1"/>
        <v>Bad</v>
      </c>
    </row>
    <row r="4048" spans="2:34" x14ac:dyDescent="0.2">
      <c r="B4048" s="2">
        <f ca="1"/>
        <v>0.65574056377756484</v>
      </c>
      <c r="O4048" s="2">
        <f ca="1"/>
        <v>0.51316308335425864</v>
      </c>
      <c r="X4048" s="2">
        <f ca="1"/>
        <v>35.697596325016605</v>
      </c>
      <c r="AG4048" s="2">
        <f ca="1"/>
        <v>0.20078092126840485</v>
      </c>
      <c r="AH4048" s="2" t="str">
        <f ca="1"/>
        <v>OK</v>
      </c>
    </row>
    <row r="4049" spans="2:34" x14ac:dyDescent="0.2">
      <c r="B4049" s="2">
        <f ca="1"/>
        <v>0.89326949759600538</v>
      </c>
      <c r="O4049" s="2">
        <f ca="1"/>
        <v>0.3294860255961824</v>
      </c>
      <c r="X4049" s="2">
        <f ca="1"/>
        <v>43.108565273806889</v>
      </c>
      <c r="AG4049" s="2">
        <f ca="1"/>
        <v>0.76474244631455712</v>
      </c>
      <c r="AH4049" s="2" t="str">
        <f ca="1"/>
        <v>Bad</v>
      </c>
    </row>
    <row r="4050" spans="2:34" x14ac:dyDescent="0.2">
      <c r="B4050" s="2">
        <f ca="1"/>
        <v>0.64447058037751459</v>
      </c>
      <c r="O4050" s="2">
        <f ca="1"/>
        <v>-1.1991110236404994</v>
      </c>
      <c r="X4050" s="2">
        <f ca="1"/>
        <v>43.937123191950967</v>
      </c>
      <c r="AG4050" s="2">
        <f ca="1"/>
        <v>0.52718295325394049</v>
      </c>
      <c r="AH4050" s="2" t="str">
        <f ca="1"/>
        <v>Bad</v>
      </c>
    </row>
    <row r="4051" spans="2:34" x14ac:dyDescent="0.2">
      <c r="B4051" s="2">
        <f ca="1"/>
        <v>0.88457889455914307</v>
      </c>
      <c r="O4051" s="2">
        <f ca="1"/>
        <v>1.1325748002008698</v>
      </c>
      <c r="X4051" s="2">
        <f ca="1"/>
        <v>58.190034733959159</v>
      </c>
      <c r="AG4051" s="2">
        <f ca="1"/>
        <v>0.31648052945604532</v>
      </c>
      <c r="AH4051" s="2" t="str">
        <f ca="1"/>
        <v>OK</v>
      </c>
    </row>
    <row r="4052" spans="2:34" x14ac:dyDescent="0.2">
      <c r="B4052" s="2">
        <f ca="1"/>
        <v>0.96467408859644532</v>
      </c>
      <c r="O4052" s="2">
        <f ca="1"/>
        <v>0.75198144899754493</v>
      </c>
      <c r="X4052" s="2">
        <f ca="1"/>
        <v>36.507337107972027</v>
      </c>
      <c r="AG4052" s="2">
        <f ca="1"/>
        <v>0.86786618504415181</v>
      </c>
      <c r="AH4052" s="2" t="str">
        <f ca="1"/>
        <v>Bad</v>
      </c>
    </row>
    <row r="4053" spans="2:34" x14ac:dyDescent="0.2">
      <c r="B4053" s="2">
        <f ca="1"/>
        <v>8.9400261970455031E-2</v>
      </c>
      <c r="O4053" s="2">
        <f ca="1"/>
        <v>-1.2611855758955264</v>
      </c>
      <c r="X4053" s="2">
        <f ca="1"/>
        <v>29.912226754322365</v>
      </c>
      <c r="AG4053" s="2">
        <f ca="1"/>
        <v>0.93848616070105928</v>
      </c>
      <c r="AH4053" s="2" t="str">
        <f ca="1"/>
        <v>Bad</v>
      </c>
    </row>
    <row r="4054" spans="2:34" x14ac:dyDescent="0.2">
      <c r="B4054" s="2">
        <f ca="1"/>
        <v>6.3174690307744363E-2</v>
      </c>
      <c r="O4054" s="2">
        <f ca="1"/>
        <v>0.51188003572043939</v>
      </c>
      <c r="X4054" s="2">
        <f ca="1"/>
        <v>41.963848289232175</v>
      </c>
      <c r="AG4054" s="2">
        <f ca="1"/>
        <v>2.7846812940482746E-2</v>
      </c>
      <c r="AH4054" s="2" t="str">
        <f ca="1"/>
        <v>Good</v>
      </c>
    </row>
    <row r="4055" spans="2:34" x14ac:dyDescent="0.2">
      <c r="B4055" s="2">
        <f ca="1"/>
        <v>5.4070642829717297E-2</v>
      </c>
      <c r="O4055" s="2">
        <f ca="1"/>
        <v>2.0573033955963975</v>
      </c>
      <c r="X4055" s="2">
        <f ca="1"/>
        <v>45.112700476484548</v>
      </c>
      <c r="AG4055" s="2">
        <f ca="1"/>
        <v>0.32078723561230937</v>
      </c>
      <c r="AH4055" s="2" t="str">
        <f ca="1"/>
        <v>OK</v>
      </c>
    </row>
    <row r="4056" spans="2:34" x14ac:dyDescent="0.2">
      <c r="B4056" s="2">
        <f ca="1"/>
        <v>0.46487136042656174</v>
      </c>
      <c r="O4056" s="2">
        <f ca="1"/>
        <v>-1.0659575940400747</v>
      </c>
      <c r="X4056" s="2">
        <f ca="1"/>
        <v>70.408629354529538</v>
      </c>
      <c r="AG4056" s="2">
        <f ca="1"/>
        <v>0.7780251550388948</v>
      </c>
      <c r="AH4056" s="2" t="str">
        <f ca="1"/>
        <v>Bad</v>
      </c>
    </row>
    <row r="4057" spans="2:34" x14ac:dyDescent="0.2">
      <c r="B4057" s="2">
        <f ca="1"/>
        <v>0.64826530082965927</v>
      </c>
      <c r="O4057" s="2">
        <f ca="1"/>
        <v>-1.020756253334832</v>
      </c>
      <c r="X4057" s="2">
        <f ca="1"/>
        <v>64.131529597774971</v>
      </c>
      <c r="AG4057" s="2">
        <f ca="1"/>
        <v>0.51117702707524804</v>
      </c>
      <c r="AH4057" s="2" t="str">
        <f ca="1"/>
        <v>Bad</v>
      </c>
    </row>
    <row r="4058" spans="2:34" x14ac:dyDescent="0.2">
      <c r="B4058" s="2">
        <f ca="1"/>
        <v>0.4478121114163256</v>
      </c>
      <c r="O4058" s="2">
        <f ca="1"/>
        <v>-2.5105692968325348</v>
      </c>
      <c r="X4058" s="2">
        <f ca="1"/>
        <v>78.502759691116438</v>
      </c>
      <c r="AG4058" s="2">
        <f ca="1"/>
        <v>0.14420250243836752</v>
      </c>
      <c r="AH4058" s="2" t="str">
        <f ca="1"/>
        <v>OK</v>
      </c>
    </row>
    <row r="4059" spans="2:34" x14ac:dyDescent="0.2">
      <c r="B4059" s="2">
        <f ca="1"/>
        <v>0.87163826165579184</v>
      </c>
      <c r="O4059" s="2">
        <f ca="1"/>
        <v>-0.78795485569221446</v>
      </c>
      <c r="X4059" s="2">
        <f ca="1"/>
        <v>50.938859222039724</v>
      </c>
      <c r="AG4059" s="2">
        <f ca="1"/>
        <v>0.53132691881262417</v>
      </c>
      <c r="AH4059" s="2" t="str">
        <f ca="1"/>
        <v>Bad</v>
      </c>
    </row>
    <row r="4060" spans="2:34" x14ac:dyDescent="0.2">
      <c r="B4060" s="2">
        <f ca="1"/>
        <v>0.19110169340896332</v>
      </c>
      <c r="O4060" s="2">
        <f ca="1"/>
        <v>-7.0242936428596456E-2</v>
      </c>
      <c r="X4060" s="2">
        <f ca="1"/>
        <v>36.011507088681597</v>
      </c>
      <c r="AG4060" s="2">
        <f ca="1"/>
        <v>0.63102275857975054</v>
      </c>
      <c r="AH4060" s="2" t="str">
        <f ca="1"/>
        <v>Bad</v>
      </c>
    </row>
    <row r="4061" spans="2:34" x14ac:dyDescent="0.2">
      <c r="B4061" s="2">
        <f ca="1"/>
        <v>0.54421163260270822</v>
      </c>
      <c r="O4061" s="2">
        <f ca="1"/>
        <v>-0.42942940189379314</v>
      </c>
      <c r="X4061" s="2">
        <f ca="1"/>
        <v>37.785606576859308</v>
      </c>
      <c r="AG4061" s="2">
        <f ca="1"/>
        <v>0.13108205157731256</v>
      </c>
      <c r="AH4061" s="2" t="str">
        <f ca="1"/>
        <v>OK</v>
      </c>
    </row>
    <row r="4062" spans="2:34" x14ac:dyDescent="0.2">
      <c r="B4062" s="2">
        <f ca="1"/>
        <v>0.27864811540356405</v>
      </c>
      <c r="O4062" s="2">
        <f ca="1"/>
        <v>0.65560126886870262</v>
      </c>
      <c r="X4062" s="2">
        <f ca="1"/>
        <v>46.419495625661831</v>
      </c>
      <c r="AG4062" s="2">
        <f ca="1"/>
        <v>0.24242377132754234</v>
      </c>
      <c r="AH4062" s="2" t="str">
        <f ca="1"/>
        <v>OK</v>
      </c>
    </row>
    <row r="4063" spans="2:34" x14ac:dyDescent="0.2">
      <c r="B4063" s="2">
        <f ca="1"/>
        <v>0.56650255291017992</v>
      </c>
      <c r="O4063" s="2">
        <f ca="1"/>
        <v>7.8557922894518753E-2</v>
      </c>
      <c r="X4063" s="2">
        <f ca="1"/>
        <v>57.027783144873474</v>
      </c>
      <c r="AG4063" s="2">
        <f ca="1"/>
        <v>0.61014259340463006</v>
      </c>
      <c r="AH4063" s="2" t="str">
        <f ca="1"/>
        <v>Bad</v>
      </c>
    </row>
    <row r="4064" spans="2:34" x14ac:dyDescent="0.2">
      <c r="B4064" s="2">
        <f ca="1"/>
        <v>0.72056484102851526</v>
      </c>
      <c r="O4064" s="2">
        <f ca="1"/>
        <v>2.5284774978589097</v>
      </c>
      <c r="X4064" s="2">
        <f ca="1"/>
        <v>41.731887479269012</v>
      </c>
      <c r="AG4064" s="2">
        <f ca="1"/>
        <v>0.41124941839222107</v>
      </c>
      <c r="AH4064" s="2" t="str">
        <f ca="1"/>
        <v>Bad</v>
      </c>
    </row>
    <row r="4065" spans="2:34" x14ac:dyDescent="0.2">
      <c r="B4065" s="2">
        <f ca="1"/>
        <v>9.3473157252366157E-3</v>
      </c>
      <c r="O4065" s="2">
        <f ca="1"/>
        <v>-1.0968950920450196</v>
      </c>
      <c r="X4065" s="2">
        <f ca="1"/>
        <v>42.810103955448994</v>
      </c>
      <c r="AG4065" s="2">
        <f ca="1"/>
        <v>0.95347213476346049</v>
      </c>
      <c r="AH4065" s="2" t="str">
        <f ca="1"/>
        <v>Bad</v>
      </c>
    </row>
    <row r="4066" spans="2:34" x14ac:dyDescent="0.2">
      <c r="B4066" s="2">
        <f ca="1"/>
        <v>0.35790823868799837</v>
      </c>
      <c r="O4066" s="2">
        <f ca="1"/>
        <v>-0.42391540619349072</v>
      </c>
      <c r="X4066" s="2">
        <f ca="1"/>
        <v>15.929419788562701</v>
      </c>
      <c r="AG4066" s="2">
        <f ca="1"/>
        <v>0.95251263170762002</v>
      </c>
      <c r="AH4066" s="2" t="str">
        <f ca="1"/>
        <v>Bad</v>
      </c>
    </row>
    <row r="4067" spans="2:34" x14ac:dyDescent="0.2">
      <c r="B4067" s="2">
        <f ca="1"/>
        <v>0.55574426561072232</v>
      </c>
      <c r="O4067" s="2">
        <f ca="1"/>
        <v>0.95563144069574923</v>
      </c>
      <c r="X4067" s="2">
        <f ca="1"/>
        <v>59.720355644843963</v>
      </c>
      <c r="AG4067" s="2">
        <f ca="1"/>
        <v>0.71657175717678179</v>
      </c>
      <c r="AH4067" s="2" t="str">
        <f ca="1"/>
        <v>Bad</v>
      </c>
    </row>
    <row r="4068" spans="2:34" x14ac:dyDescent="0.2">
      <c r="B4068" s="2">
        <f ca="1"/>
        <v>0.55926847198782803</v>
      </c>
      <c r="O4068" s="2">
        <f ca="1"/>
        <v>1.0687693884028457</v>
      </c>
      <c r="X4068" s="2">
        <f ca="1"/>
        <v>36.670410732248008</v>
      </c>
      <c r="AG4068" s="2">
        <f ca="1"/>
        <v>0.88774459577336096</v>
      </c>
      <c r="AH4068" s="2" t="str">
        <f ca="1"/>
        <v>Bad</v>
      </c>
    </row>
    <row r="4069" spans="2:34" x14ac:dyDescent="0.2">
      <c r="B4069" s="2">
        <f ca="1"/>
        <v>0.60206896567393553</v>
      </c>
      <c r="O4069" s="2">
        <f ca="1"/>
        <v>-0.94995368055077323</v>
      </c>
      <c r="X4069" s="2">
        <f ca="1"/>
        <v>45.79559365061904</v>
      </c>
      <c r="AG4069" s="2">
        <f ca="1"/>
        <v>0.98621332756146995</v>
      </c>
      <c r="AH4069" s="2" t="str">
        <f ca="1"/>
        <v>Bad</v>
      </c>
    </row>
    <row r="4070" spans="2:34" x14ac:dyDescent="0.2">
      <c r="B4070" s="2">
        <f ca="1"/>
        <v>0.64446301353647817</v>
      </c>
      <c r="O4070" s="2">
        <f ca="1"/>
        <v>0.5780683325038567</v>
      </c>
      <c r="X4070" s="2">
        <f ca="1"/>
        <v>32.681525398464245</v>
      </c>
      <c r="AG4070" s="2">
        <f ca="1"/>
        <v>0.79292507275205493</v>
      </c>
      <c r="AH4070" s="2" t="str">
        <f ca="1"/>
        <v>Bad</v>
      </c>
    </row>
    <row r="4071" spans="2:34" x14ac:dyDescent="0.2">
      <c r="B4071" s="2">
        <f ca="1"/>
        <v>0.32055032475863521</v>
      </c>
      <c r="O4071" s="2">
        <f ca="1"/>
        <v>0.10188859980557109</v>
      </c>
      <c r="X4071" s="2">
        <f ca="1"/>
        <v>53.716706658205062</v>
      </c>
      <c r="AG4071" s="2">
        <f ca="1"/>
        <v>0.37809876707079138</v>
      </c>
      <c r="AH4071" s="2" t="str">
        <f ca="1"/>
        <v>OK</v>
      </c>
    </row>
    <row r="4072" spans="2:34" x14ac:dyDescent="0.2">
      <c r="B4072" s="2">
        <f ca="1"/>
        <v>0.93756797386425217</v>
      </c>
      <c r="O4072" s="2">
        <f ca="1"/>
        <v>-1.4022091913000476</v>
      </c>
      <c r="X4072" s="2">
        <f ca="1"/>
        <v>20.952197423978667</v>
      </c>
      <c r="AG4072" s="2">
        <f ca="1"/>
        <v>2.5423285161936926E-2</v>
      </c>
      <c r="AH4072" s="2" t="str">
        <f ca="1"/>
        <v>Good</v>
      </c>
    </row>
    <row r="4073" spans="2:34" x14ac:dyDescent="0.2">
      <c r="B4073" s="2">
        <f ca="1"/>
        <v>0.78636717406277867</v>
      </c>
      <c r="O4073" s="2">
        <f ca="1"/>
        <v>0.7236256099741688</v>
      </c>
      <c r="X4073" s="2">
        <f ca="1"/>
        <v>71.860504295230015</v>
      </c>
      <c r="AG4073" s="2">
        <f ca="1"/>
        <v>0.65611693313951625</v>
      </c>
      <c r="AH4073" s="2" t="str">
        <f ca="1"/>
        <v>Bad</v>
      </c>
    </row>
    <row r="4074" spans="2:34" x14ac:dyDescent="0.2">
      <c r="B4074" s="2">
        <f ca="1"/>
        <v>0.90704337549309133</v>
      </c>
      <c r="O4074" s="2">
        <f ca="1"/>
        <v>0.32842017505189247</v>
      </c>
      <c r="X4074" s="2">
        <f ca="1"/>
        <v>59.026929244921504</v>
      </c>
      <c r="AG4074" s="2">
        <f ca="1"/>
        <v>5.5539237007766085E-2</v>
      </c>
      <c r="AH4074" s="2" t="str">
        <f ca="1"/>
        <v>OK</v>
      </c>
    </row>
    <row r="4075" spans="2:34" x14ac:dyDescent="0.2">
      <c r="B4075" s="2">
        <f ca="1"/>
        <v>3.208027291518234E-2</v>
      </c>
      <c r="O4075" s="2">
        <f ca="1"/>
        <v>-1.5402182581734376</v>
      </c>
      <c r="X4075" s="2">
        <f ca="1"/>
        <v>71.569724413665398</v>
      </c>
      <c r="AG4075" s="2">
        <f ca="1"/>
        <v>0.73763784137661736</v>
      </c>
      <c r="AH4075" s="2" t="str">
        <f ca="1"/>
        <v>Bad</v>
      </c>
    </row>
    <row r="4076" spans="2:34" x14ac:dyDescent="0.2">
      <c r="B4076" s="2">
        <f ca="1"/>
        <v>0.74169393397670769</v>
      </c>
      <c r="O4076" s="2">
        <f ca="1"/>
        <v>-1.135197170216528</v>
      </c>
      <c r="X4076" s="2">
        <f ca="1"/>
        <v>67.59880635659232</v>
      </c>
      <c r="AG4076" s="2">
        <f ca="1"/>
        <v>0.4922290379551586</v>
      </c>
      <c r="AH4076" s="2" t="str">
        <f ca="1"/>
        <v>Bad</v>
      </c>
    </row>
    <row r="4077" spans="2:34" x14ac:dyDescent="0.2">
      <c r="B4077" s="2">
        <f ca="1"/>
        <v>0.76901081263251014</v>
      </c>
      <c r="O4077" s="2">
        <f ca="1"/>
        <v>0.89161659950160155</v>
      </c>
      <c r="X4077" s="2">
        <f ca="1"/>
        <v>33.156376354973432</v>
      </c>
      <c r="AG4077" s="2">
        <f ca="1"/>
        <v>0.18671612877284627</v>
      </c>
      <c r="AH4077" s="2" t="str">
        <f ca="1"/>
        <v>OK</v>
      </c>
    </row>
    <row r="4078" spans="2:34" x14ac:dyDescent="0.2">
      <c r="B4078" s="2">
        <f ca="1"/>
        <v>0.35543282427344924</v>
      </c>
      <c r="O4078" s="2">
        <f ca="1"/>
        <v>-0.81716961404815858</v>
      </c>
      <c r="X4078" s="2">
        <f ca="1"/>
        <v>90.405486953651234</v>
      </c>
      <c r="AG4078" s="2">
        <f ca="1"/>
        <v>0.55724302337433551</v>
      </c>
      <c r="AH4078" s="2" t="str">
        <f ca="1"/>
        <v>Bad</v>
      </c>
    </row>
    <row r="4079" spans="2:34" x14ac:dyDescent="0.2">
      <c r="B4079" s="2">
        <f ca="1"/>
        <v>0.78665507875084306</v>
      </c>
      <c r="O4079" s="2">
        <f ca="1"/>
        <v>-1.4105761541948143</v>
      </c>
      <c r="X4079" s="2">
        <f ca="1"/>
        <v>41.916115984297974</v>
      </c>
      <c r="AG4079" s="2">
        <f ca="1"/>
        <v>0.13826287256585812</v>
      </c>
      <c r="AH4079" s="2" t="str">
        <f ca="1"/>
        <v>OK</v>
      </c>
    </row>
    <row r="4080" spans="2:34" x14ac:dyDescent="0.2">
      <c r="B4080" s="2">
        <f ca="1"/>
        <v>0.79103027319126218</v>
      </c>
      <c r="O4080" s="2">
        <f ca="1"/>
        <v>7.7139657178508916E-2</v>
      </c>
      <c r="X4080" s="2">
        <f ca="1"/>
        <v>37.071722773318726</v>
      </c>
      <c r="AG4080" s="2">
        <f ca="1"/>
        <v>3.4944776070011674E-2</v>
      </c>
      <c r="AH4080" s="2" t="str">
        <f ca="1"/>
        <v>Good</v>
      </c>
    </row>
    <row r="4081" spans="2:34" x14ac:dyDescent="0.2">
      <c r="B4081" s="2">
        <f ca="1"/>
        <v>0.7680567509708196</v>
      </c>
      <c r="O4081" s="2">
        <f ca="1"/>
        <v>0.79513183293190826</v>
      </c>
      <c r="X4081" s="2">
        <f ca="1"/>
        <v>33.622506221310239</v>
      </c>
      <c r="AG4081" s="2">
        <f ca="1"/>
        <v>0.99483079057815105</v>
      </c>
      <c r="AH4081" s="2" t="str">
        <f ca="1"/>
        <v>Bad</v>
      </c>
    </row>
    <row r="4082" spans="2:34" x14ac:dyDescent="0.2">
      <c r="B4082" s="2">
        <f ca="1"/>
        <v>0.43117035740595422</v>
      </c>
      <c r="O4082" s="2">
        <f ca="1"/>
        <v>-0.42799516001276816</v>
      </c>
      <c r="X4082" s="2">
        <f ca="1"/>
        <v>44.583529069697803</v>
      </c>
      <c r="AG4082" s="2">
        <f ca="1"/>
        <v>0.81989097841738001</v>
      </c>
      <c r="AH4082" s="2" t="str">
        <f ca="1"/>
        <v>Bad</v>
      </c>
    </row>
    <row r="4083" spans="2:34" x14ac:dyDescent="0.2">
      <c r="B4083" s="2">
        <f ca="1"/>
        <v>0.25429933067367938</v>
      </c>
      <c r="O4083" s="2">
        <f ca="1"/>
        <v>-4.8612400180520071E-3</v>
      </c>
      <c r="X4083" s="2">
        <f ca="1"/>
        <v>43.496560366451419</v>
      </c>
      <c r="AG4083" s="2">
        <f ca="1"/>
        <v>0.66554974474319484</v>
      </c>
      <c r="AH4083" s="2" t="str">
        <f ca="1"/>
        <v>Bad</v>
      </c>
    </row>
    <row r="4084" spans="2:34" x14ac:dyDescent="0.2">
      <c r="B4084" s="2">
        <f ca="1"/>
        <v>0.31027805700812405</v>
      </c>
      <c r="O4084" s="2">
        <f ca="1"/>
        <v>-1.7526664260758518</v>
      </c>
      <c r="X4084" s="2">
        <f ca="1"/>
        <v>53.387127202097766</v>
      </c>
      <c r="AG4084" s="2">
        <f ca="1"/>
        <v>0.79860199022792955</v>
      </c>
      <c r="AH4084" s="2" t="str">
        <f ca="1"/>
        <v>Bad</v>
      </c>
    </row>
    <row r="4085" spans="2:34" x14ac:dyDescent="0.2">
      <c r="B4085" s="2">
        <f ca="1"/>
        <v>0.25257829597404724</v>
      </c>
      <c r="O4085" s="2">
        <f ca="1"/>
        <v>-6.7106839160566381E-2</v>
      </c>
      <c r="X4085" s="2">
        <f ca="1"/>
        <v>62.280491028374165</v>
      </c>
      <c r="AG4085" s="2">
        <f ca="1"/>
        <v>0.86236528480961905</v>
      </c>
      <c r="AH4085" s="2" t="str">
        <f ca="1"/>
        <v>Bad</v>
      </c>
    </row>
    <row r="4086" spans="2:34" x14ac:dyDescent="0.2">
      <c r="B4086" s="2">
        <f ca="1"/>
        <v>0.2558180218669488</v>
      </c>
      <c r="O4086" s="2">
        <f ca="1"/>
        <v>-0.59598082458577772</v>
      </c>
      <c r="X4086" s="2">
        <f ca="1"/>
        <v>55.570742216028144</v>
      </c>
      <c r="AG4086" s="2">
        <f ca="1"/>
        <v>0.2969012679984131</v>
      </c>
      <c r="AH4086" s="2" t="str">
        <f ca="1"/>
        <v>OK</v>
      </c>
    </row>
    <row r="4087" spans="2:34" x14ac:dyDescent="0.2">
      <c r="B4087" s="2">
        <f ca="1"/>
        <v>0.85286470591445451</v>
      </c>
      <c r="O4087" s="2">
        <f ca="1"/>
        <v>0.12400729000277373</v>
      </c>
      <c r="X4087" s="2">
        <f ca="1"/>
        <v>27.420730460523131</v>
      </c>
      <c r="AG4087" s="2">
        <f ca="1"/>
        <v>0.13050324741068065</v>
      </c>
      <c r="AH4087" s="2" t="str">
        <f ca="1"/>
        <v>OK</v>
      </c>
    </row>
    <row r="4088" spans="2:34" x14ac:dyDescent="0.2">
      <c r="B4088" s="2">
        <f ca="1"/>
        <v>0.32948753472818071</v>
      </c>
      <c r="O4088" s="2">
        <f ca="1"/>
        <v>0.13485825367283244</v>
      </c>
      <c r="X4088" s="2">
        <f ca="1"/>
        <v>72.256929518408541</v>
      </c>
      <c r="AG4088" s="2">
        <f ca="1"/>
        <v>0.83921097460373772</v>
      </c>
      <c r="AH4088" s="2" t="str">
        <f ca="1"/>
        <v>Bad</v>
      </c>
    </row>
    <row r="4089" spans="2:34" x14ac:dyDescent="0.2">
      <c r="B4089" s="2">
        <f ca="1"/>
        <v>0.82871012972896319</v>
      </c>
      <c r="O4089" s="2">
        <f ca="1"/>
        <v>-0.74907506694872117</v>
      </c>
      <c r="X4089" s="2">
        <f ca="1"/>
        <v>52.211050382896509</v>
      </c>
      <c r="AG4089" s="2">
        <f ca="1"/>
        <v>0.62961067133906523</v>
      </c>
      <c r="AH4089" s="2" t="str">
        <f ca="1"/>
        <v>Bad</v>
      </c>
    </row>
    <row r="4090" spans="2:34" x14ac:dyDescent="0.2">
      <c r="B4090" s="2">
        <f ca="1"/>
        <v>0.22316042091540944</v>
      </c>
      <c r="O4090" s="2">
        <f ca="1"/>
        <v>-1.5764694151537071</v>
      </c>
      <c r="X4090" s="2">
        <f ca="1"/>
        <v>37.502143977717139</v>
      </c>
      <c r="AG4090" s="2">
        <f ca="1"/>
        <v>0.42643724741369482</v>
      </c>
      <c r="AH4090" s="2" t="str">
        <f ca="1"/>
        <v>Bad</v>
      </c>
    </row>
    <row r="4091" spans="2:34" x14ac:dyDescent="0.2">
      <c r="B4091" s="2">
        <f ca="1"/>
        <v>0.38518363039373082</v>
      </c>
      <c r="O4091" s="2">
        <f ca="1"/>
        <v>1.8574846448512892</v>
      </c>
      <c r="X4091" s="2">
        <f ca="1"/>
        <v>54.675283616225236</v>
      </c>
      <c r="AG4091" s="2">
        <f ca="1"/>
        <v>0.6904576278537955</v>
      </c>
      <c r="AH4091" s="2" t="str">
        <f ca="1"/>
        <v>Bad</v>
      </c>
    </row>
    <row r="4092" spans="2:34" x14ac:dyDescent="0.2">
      <c r="B4092" s="2">
        <f ca="1"/>
        <v>0.84395157068630922</v>
      </c>
      <c r="O4092" s="2">
        <f ca="1"/>
        <v>0.67428541882386372</v>
      </c>
      <c r="X4092" s="2">
        <f ca="1"/>
        <v>47.584257162469484</v>
      </c>
      <c r="AG4092" s="2">
        <f ca="1"/>
        <v>0.59915506882110003</v>
      </c>
      <c r="AH4092" s="2" t="str">
        <f ca="1"/>
        <v>Bad</v>
      </c>
    </row>
    <row r="4093" spans="2:34" x14ac:dyDescent="0.2">
      <c r="B4093" s="2">
        <f ca="1"/>
        <v>0.41469989679171371</v>
      </c>
      <c r="O4093" s="2">
        <f ca="1"/>
        <v>-4.5226748981845762E-2</v>
      </c>
      <c r="X4093" s="2">
        <f ca="1"/>
        <v>48.634811076183567</v>
      </c>
      <c r="AG4093" s="2">
        <f ca="1"/>
        <v>0.74246999451079554</v>
      </c>
      <c r="AH4093" s="2" t="str">
        <f ca="1"/>
        <v>Bad</v>
      </c>
    </row>
    <row r="4094" spans="2:34" x14ac:dyDescent="0.2">
      <c r="B4094" s="2">
        <f ca="1"/>
        <v>0.24312354018650351</v>
      </c>
      <c r="O4094" s="2">
        <f ca="1"/>
        <v>-1.32132301238098</v>
      </c>
      <c r="X4094" s="2">
        <f ca="1"/>
        <v>45.402668516823795</v>
      </c>
      <c r="AG4094" s="2">
        <f ca="1"/>
        <v>0.33348373427558853</v>
      </c>
      <c r="AH4094" s="2" t="str">
        <f ca="1"/>
        <v>OK</v>
      </c>
    </row>
    <row r="4095" spans="2:34" x14ac:dyDescent="0.2">
      <c r="B4095" s="2">
        <f ca="1"/>
        <v>0.45423910557692126</v>
      </c>
      <c r="O4095" s="2">
        <f ca="1"/>
        <v>-0.82962051033664974</v>
      </c>
      <c r="X4095" s="2">
        <f ca="1"/>
        <v>42.704462273687426</v>
      </c>
      <c r="AG4095" s="2">
        <f ca="1"/>
        <v>0.79875600851128259</v>
      </c>
      <c r="AH4095" s="2" t="str">
        <f ca="1"/>
        <v>Bad</v>
      </c>
    </row>
    <row r="4096" spans="2:34" x14ac:dyDescent="0.2">
      <c r="B4096" s="2">
        <f ca="1"/>
        <v>0.24065468064929552</v>
      </c>
      <c r="O4096" s="2">
        <f ca="1"/>
        <v>1.5281013281157627</v>
      </c>
      <c r="X4096" s="2">
        <f ca="1"/>
        <v>40.861719819628561</v>
      </c>
      <c r="AG4096" s="2">
        <f ca="1"/>
        <v>0.4422021595712704</v>
      </c>
      <c r="AH4096" s="2" t="str">
        <f ca="1"/>
        <v>Bad</v>
      </c>
    </row>
    <row r="4097" spans="2:34" x14ac:dyDescent="0.2">
      <c r="B4097" s="2">
        <f ca="1"/>
        <v>2.9039455528470093E-2</v>
      </c>
      <c r="O4097" s="2">
        <f ca="1"/>
        <v>0.54117387585825061</v>
      </c>
      <c r="X4097" s="2">
        <f ca="1"/>
        <v>64.900032861844437</v>
      </c>
      <c r="AG4097" s="2">
        <f ca="1"/>
        <v>0.74919363381343995</v>
      </c>
      <c r="AH4097" s="2" t="str">
        <f ca="1"/>
        <v>Bad</v>
      </c>
    </row>
    <row r="4098" spans="2:34" x14ac:dyDescent="0.2">
      <c r="B4098" s="2">
        <f ca="1"/>
        <v>0.35777751715359574</v>
      </c>
      <c r="O4098" s="2">
        <f ca="1"/>
        <v>1.3372717225283288</v>
      </c>
      <c r="X4098" s="2">
        <f ca="1"/>
        <v>52.585435510964018</v>
      </c>
      <c r="AG4098" s="2">
        <f ca="1"/>
        <v>0.41302998657798029</v>
      </c>
      <c r="AH4098" s="2" t="str">
        <f ca="1"/>
        <v>Bad</v>
      </c>
    </row>
    <row r="4099" spans="2:34" x14ac:dyDescent="0.2">
      <c r="B4099" s="2">
        <f ca="1"/>
        <v>0.13115902370021737</v>
      </c>
      <c r="O4099" s="2">
        <f ca="1"/>
        <v>0.32888631800701346</v>
      </c>
      <c r="X4099" s="2">
        <f ca="1"/>
        <v>79.761191933871089</v>
      </c>
      <c r="AG4099" s="2">
        <f ca="1"/>
        <v>0.54267544888923891</v>
      </c>
      <c r="AH4099" s="2" t="str">
        <f ca="1"/>
        <v>Bad</v>
      </c>
    </row>
    <row r="4100" spans="2:34" x14ac:dyDescent="0.2">
      <c r="B4100" s="2">
        <f ca="1"/>
        <v>0.22167337904001028</v>
      </c>
      <c r="O4100" s="2">
        <f ca="1"/>
        <v>8.1773036573726782E-2</v>
      </c>
      <c r="X4100" s="2">
        <f ca="1"/>
        <v>29.568068630318631</v>
      </c>
      <c r="AG4100" s="2">
        <f ca="1"/>
        <v>0.65400397828418577</v>
      </c>
      <c r="AH4100" s="2" t="str">
        <f ca="1"/>
        <v>Bad</v>
      </c>
    </row>
    <row r="4101" spans="2:34" x14ac:dyDescent="0.2">
      <c r="B4101" s="2">
        <f ca="1"/>
        <v>0.81029942929739773</v>
      </c>
      <c r="O4101" s="2">
        <f ca="1"/>
        <v>0.55928114051473443</v>
      </c>
      <c r="X4101" s="2">
        <f ca="1"/>
        <v>70.666059965636506</v>
      </c>
      <c r="AG4101" s="2">
        <f ca="1"/>
        <v>0.82686294730572119</v>
      </c>
      <c r="AH4101" s="2" t="str">
        <f ca="1"/>
        <v>Bad</v>
      </c>
    </row>
    <row r="4102" spans="2:34" x14ac:dyDescent="0.2">
      <c r="B4102" s="2">
        <f ca="1"/>
        <v>0.43542354778182379</v>
      </c>
      <c r="O4102" s="2">
        <f ca="1"/>
        <v>-0.64561720992789373</v>
      </c>
      <c r="X4102" s="2">
        <f ca="1"/>
        <v>47.674167635225004</v>
      </c>
      <c r="AG4102" s="2">
        <f ca="1"/>
        <v>0.3075319297848258</v>
      </c>
      <c r="AH4102" s="2" t="str">
        <f ca="1"/>
        <v>OK</v>
      </c>
    </row>
    <row r="4103" spans="2:34" x14ac:dyDescent="0.2">
      <c r="B4103" s="2">
        <f ca="1"/>
        <v>0.56873663736746627</v>
      </c>
      <c r="O4103" s="2">
        <f ca="1"/>
        <v>-0.88444628144550985</v>
      </c>
      <c r="X4103" s="2">
        <f ca="1"/>
        <v>62.272175666993199</v>
      </c>
      <c r="AG4103" s="2">
        <f ca="1"/>
        <v>0.84588468340444134</v>
      </c>
      <c r="AH4103" s="2" t="str">
        <f ca="1"/>
        <v>Bad</v>
      </c>
    </row>
    <row r="4104" spans="2:34" x14ac:dyDescent="0.2">
      <c r="B4104" s="2">
        <f ca="1"/>
        <v>0.34222628332389227</v>
      </c>
      <c r="O4104" s="2">
        <f ca="1"/>
        <v>0.56171217573605181</v>
      </c>
      <c r="X4104" s="2">
        <f ca="1"/>
        <v>34.896545648254403</v>
      </c>
      <c r="AG4104" s="2">
        <f ca="1"/>
        <v>0.50786180713821261</v>
      </c>
      <c r="AH4104" s="2" t="str">
        <f ca="1"/>
        <v>Bad</v>
      </c>
    </row>
    <row r="4105" spans="2:34" x14ac:dyDescent="0.2">
      <c r="B4105" s="2">
        <f ca="1"/>
        <v>0.57822759939357948</v>
      </c>
      <c r="O4105" s="2">
        <f ca="1"/>
        <v>-0.46694422263351293</v>
      </c>
      <c r="X4105" s="2">
        <f ca="1"/>
        <v>62.870790279798918</v>
      </c>
      <c r="AG4105" s="2">
        <f ca="1"/>
        <v>0.98701612933975924</v>
      </c>
      <c r="AH4105" s="2" t="str">
        <f ca="1"/>
        <v>Bad</v>
      </c>
    </row>
    <row r="4106" spans="2:34" x14ac:dyDescent="0.2">
      <c r="B4106" s="2">
        <f ca="1"/>
        <v>2.3590358053254157E-2</v>
      </c>
      <c r="O4106" s="2">
        <f ca="1"/>
        <v>0.56816251082312397</v>
      </c>
      <c r="X4106" s="2">
        <f ca="1"/>
        <v>61.789234217144021</v>
      </c>
      <c r="AG4106" s="2">
        <f ca="1"/>
        <v>0.34270801328696798</v>
      </c>
      <c r="AH4106" s="2" t="str">
        <f ca="1"/>
        <v>OK</v>
      </c>
    </row>
    <row r="4107" spans="2:34" x14ac:dyDescent="0.2">
      <c r="B4107" s="2">
        <f ca="1"/>
        <v>0.90916710551394631</v>
      </c>
      <c r="O4107" s="2">
        <f ca="1"/>
        <v>0.86798214529199857</v>
      </c>
      <c r="X4107" s="2">
        <f ca="1"/>
        <v>62.706384127584009</v>
      </c>
      <c r="AG4107" s="2">
        <f ca="1"/>
        <v>0.1143548595102406</v>
      </c>
      <c r="AH4107" s="2" t="str">
        <f ca="1"/>
        <v>OK</v>
      </c>
    </row>
    <row r="4108" spans="2:34" x14ac:dyDescent="0.2">
      <c r="B4108" s="2">
        <f ca="1"/>
        <v>4.2317124423443264E-2</v>
      </c>
      <c r="O4108" s="2">
        <f ca="1"/>
        <v>-0.74879096834475445</v>
      </c>
      <c r="X4108" s="2">
        <f ca="1"/>
        <v>73.637167087878225</v>
      </c>
      <c r="AG4108" s="2">
        <f ca="1"/>
        <v>0.87433464938118344</v>
      </c>
      <c r="AH4108" s="2" t="str">
        <f ca="1"/>
        <v>Bad</v>
      </c>
    </row>
    <row r="4109" spans="2:34" x14ac:dyDescent="0.2">
      <c r="B4109" s="2">
        <f ca="1"/>
        <v>0.1503372107185823</v>
      </c>
      <c r="O4109" s="2">
        <f ca="1"/>
        <v>0.24391042236278385</v>
      </c>
      <c r="X4109" s="2">
        <f ca="1"/>
        <v>42.347560190492842</v>
      </c>
      <c r="AG4109" s="2">
        <f ca="1"/>
        <v>0.63499421991319149</v>
      </c>
      <c r="AH4109" s="2" t="str">
        <f ca="1"/>
        <v>Bad</v>
      </c>
    </row>
    <row r="4110" spans="2:34" x14ac:dyDescent="0.2">
      <c r="B4110" s="2">
        <f ca="1"/>
        <v>0.56568620540521852</v>
      </c>
      <c r="O4110" s="2">
        <f ca="1"/>
        <v>0.54982188628489881</v>
      </c>
      <c r="X4110" s="2">
        <f ca="1"/>
        <v>22.721854978520387</v>
      </c>
      <c r="AG4110" s="2">
        <f ca="1"/>
        <v>0.4221494171177409</v>
      </c>
      <c r="AH4110" s="2" t="str">
        <f ca="1"/>
        <v>Bad</v>
      </c>
    </row>
    <row r="4111" spans="2:34" x14ac:dyDescent="0.2">
      <c r="B4111" s="2">
        <f ca="1"/>
        <v>0.77346289346926245</v>
      </c>
      <c r="O4111" s="2">
        <f ca="1"/>
        <v>-2.0455870856406491</v>
      </c>
      <c r="X4111" s="2">
        <f ca="1"/>
        <v>36.521986985659183</v>
      </c>
      <c r="AG4111" s="2">
        <f ca="1"/>
        <v>0.16571630137467452</v>
      </c>
      <c r="AH4111" s="2" t="str">
        <f ca="1"/>
        <v>OK</v>
      </c>
    </row>
    <row r="4112" spans="2:34" x14ac:dyDescent="0.2">
      <c r="B4112" s="2">
        <f ca="1"/>
        <v>0.30524606818950661</v>
      </c>
      <c r="O4112" s="2">
        <f ca="1"/>
        <v>0.46898734091043187</v>
      </c>
      <c r="X4112" s="2">
        <f ca="1"/>
        <v>64.16605017993183</v>
      </c>
      <c r="AG4112" s="2">
        <f ca="1"/>
        <v>0.64569826862572666</v>
      </c>
      <c r="AH4112" s="2" t="str">
        <f ca="1"/>
        <v>Bad</v>
      </c>
    </row>
    <row r="4113" spans="2:34" x14ac:dyDescent="0.2">
      <c r="B4113" s="2">
        <f ca="1"/>
        <v>1.1826087218699488E-2</v>
      </c>
      <c r="O4113" s="2">
        <f ca="1"/>
        <v>2.5829331040598222</v>
      </c>
      <c r="X4113" s="2">
        <f ca="1"/>
        <v>43.329261963051977</v>
      </c>
      <c r="AG4113" s="2">
        <f ca="1"/>
        <v>0.43520219236837243</v>
      </c>
      <c r="AH4113" s="2" t="str">
        <f ca="1"/>
        <v>Bad</v>
      </c>
    </row>
    <row r="4114" spans="2:34" x14ac:dyDescent="0.2">
      <c r="B4114" s="2">
        <f ca="1"/>
        <v>0.84265469006427463</v>
      </c>
      <c r="O4114" s="2">
        <f ca="1"/>
        <v>-0.83176208576155575</v>
      </c>
      <c r="X4114" s="2">
        <f ca="1"/>
        <v>44.91384522100887</v>
      </c>
      <c r="AG4114" s="2">
        <f ca="1"/>
        <v>0.30789972350777939</v>
      </c>
      <c r="AH4114" s="2" t="str">
        <f ca="1"/>
        <v>OK</v>
      </c>
    </row>
    <row r="4115" spans="2:34" x14ac:dyDescent="0.2">
      <c r="B4115" s="2">
        <f ca="1"/>
        <v>0.9708674529836363</v>
      </c>
      <c r="O4115" s="2">
        <f ca="1"/>
        <v>-0.5544877588776671</v>
      </c>
      <c r="X4115" s="2">
        <f ca="1"/>
        <v>46.000066015936447</v>
      </c>
      <c r="AG4115" s="2">
        <f ca="1"/>
        <v>5.2677443538411417E-3</v>
      </c>
      <c r="AH4115" s="2" t="str">
        <f ca="1"/>
        <v>Good</v>
      </c>
    </row>
    <row r="4116" spans="2:34" x14ac:dyDescent="0.2">
      <c r="B4116" s="2">
        <f ca="1"/>
        <v>0.99471189777223534</v>
      </c>
      <c r="O4116" s="2">
        <f ca="1"/>
        <v>-1.138378124612331</v>
      </c>
      <c r="X4116" s="2">
        <f ca="1"/>
        <v>46.790862786006677</v>
      </c>
      <c r="AG4116" s="2">
        <f ca="1"/>
        <v>0.51386298879706604</v>
      </c>
      <c r="AH4116" s="2" t="str">
        <f ca="1"/>
        <v>Bad</v>
      </c>
    </row>
    <row r="4117" spans="2:34" x14ac:dyDescent="0.2">
      <c r="B4117" s="2">
        <f ca="1"/>
        <v>0.81487387899022368</v>
      </c>
      <c r="O4117" s="2">
        <f ca="1"/>
        <v>-1.7266480905016156E-2</v>
      </c>
      <c r="X4117" s="2">
        <f ca="1"/>
        <v>43.3460773257261</v>
      </c>
      <c r="AG4117" s="2">
        <f ca="1"/>
        <v>0.38693671016824749</v>
      </c>
      <c r="AH4117" s="2" t="str">
        <f ca="1"/>
        <v>OK</v>
      </c>
    </row>
    <row r="4118" spans="2:34" x14ac:dyDescent="0.2">
      <c r="B4118" s="2">
        <f ca="1"/>
        <v>0.71949248398151844</v>
      </c>
      <c r="O4118" s="2">
        <f ca="1"/>
        <v>0.19810887620341855</v>
      </c>
      <c r="X4118" s="2">
        <f ca="1"/>
        <v>39.133368825033543</v>
      </c>
      <c r="AG4118" s="2">
        <f ca="1"/>
        <v>0.80143868533132201</v>
      </c>
      <c r="AH4118" s="2" t="str">
        <f ca="1"/>
        <v>Bad</v>
      </c>
    </row>
    <row r="4119" spans="2:34" x14ac:dyDescent="0.2">
      <c r="B4119" s="2">
        <f ca="1"/>
        <v>0.96669482587936262</v>
      </c>
      <c r="O4119" s="2">
        <f ca="1"/>
        <v>0.16753469040487345</v>
      </c>
      <c r="X4119" s="2">
        <f ca="1"/>
        <v>35.570447381638104</v>
      </c>
      <c r="AG4119" s="2">
        <f ca="1"/>
        <v>0.75884148803918228</v>
      </c>
      <c r="AH4119" s="2" t="str">
        <f ca="1"/>
        <v>Bad</v>
      </c>
    </row>
    <row r="4120" spans="2:34" x14ac:dyDescent="0.2">
      <c r="B4120" s="2">
        <f ca="1"/>
        <v>0.88304518950204347</v>
      </c>
      <c r="O4120" s="2">
        <f ca="1"/>
        <v>7.9251566916926225E-2</v>
      </c>
      <c r="X4120" s="2">
        <f ca="1"/>
        <v>56.297694074544829</v>
      </c>
      <c r="AG4120" s="2">
        <f ca="1"/>
        <v>0.32451268335549788</v>
      </c>
      <c r="AH4120" s="2" t="str">
        <f ca="1"/>
        <v>OK</v>
      </c>
    </row>
    <row r="4121" spans="2:34" x14ac:dyDescent="0.2">
      <c r="B4121" s="2">
        <f ca="1"/>
        <v>0.19847392454304602</v>
      </c>
      <c r="O4121" s="2">
        <f ca="1"/>
        <v>-0.93735160241601645</v>
      </c>
      <c r="X4121" s="2">
        <f ca="1"/>
        <v>63.621709051294786</v>
      </c>
      <c r="AG4121" s="2">
        <f ca="1"/>
        <v>3.2198274926121373E-2</v>
      </c>
      <c r="AH4121" s="2" t="str">
        <f ca="1"/>
        <v>Good</v>
      </c>
    </row>
    <row r="4122" spans="2:34" x14ac:dyDescent="0.2">
      <c r="B4122" s="2">
        <f ca="1"/>
        <v>0.76155549519708532</v>
      </c>
      <c r="O4122" s="2">
        <f ca="1"/>
        <v>1.0752493149797342</v>
      </c>
      <c r="X4122" s="2">
        <f ca="1"/>
        <v>72.462424373856763</v>
      </c>
      <c r="AG4122" s="2">
        <f ca="1"/>
        <v>0.67222896670269439</v>
      </c>
      <c r="AH4122" s="2" t="str">
        <f ca="1"/>
        <v>Bad</v>
      </c>
    </row>
    <row r="4123" spans="2:34" x14ac:dyDescent="0.2">
      <c r="B4123" s="2">
        <f ca="1"/>
        <v>0.44846302340395483</v>
      </c>
      <c r="O4123" s="2">
        <f ca="1"/>
        <v>0.82219161314646272</v>
      </c>
      <c r="X4123" s="2">
        <f ca="1"/>
        <v>65.121150709060672</v>
      </c>
      <c r="AG4123" s="2">
        <f ca="1"/>
        <v>0.29102319866648441</v>
      </c>
      <c r="AH4123" s="2" t="str">
        <f ca="1"/>
        <v>OK</v>
      </c>
    </row>
    <row r="4124" spans="2:34" x14ac:dyDescent="0.2">
      <c r="B4124" s="2">
        <f ca="1"/>
        <v>2.6108141408846874E-2</v>
      </c>
      <c r="O4124" s="2">
        <f ca="1"/>
        <v>0.30767276496351298</v>
      </c>
      <c r="X4124" s="2">
        <f ca="1"/>
        <v>56.750494287130479</v>
      </c>
      <c r="AG4124" s="2">
        <f ca="1"/>
        <v>0.2782386808635342</v>
      </c>
      <c r="AH4124" s="2" t="str">
        <f ca="1"/>
        <v>OK</v>
      </c>
    </row>
    <row r="4125" spans="2:34" x14ac:dyDescent="0.2">
      <c r="B4125" s="2">
        <f ca="1"/>
        <v>5.4208164231000833E-2</v>
      </c>
      <c r="O4125" s="2">
        <f ca="1"/>
        <v>1.426732857723219</v>
      </c>
      <c r="X4125" s="2">
        <f ca="1"/>
        <v>42.125266830913404</v>
      </c>
      <c r="AG4125" s="2">
        <f ca="1"/>
        <v>9.6501285813646698E-2</v>
      </c>
      <c r="AH4125" s="2" t="str">
        <f ca="1"/>
        <v>OK</v>
      </c>
    </row>
    <row r="4126" spans="2:34" x14ac:dyDescent="0.2">
      <c r="B4126" s="2">
        <f ca="1"/>
        <v>2.1526946518127144E-2</v>
      </c>
      <c r="O4126" s="2">
        <f ca="1"/>
        <v>-9.9316773131463087E-2</v>
      </c>
      <c r="X4126" s="2">
        <f ca="1"/>
        <v>32.74781355068167</v>
      </c>
      <c r="AG4126" s="2">
        <f ca="1"/>
        <v>0.36322363251874146</v>
      </c>
      <c r="AH4126" s="2" t="str">
        <f ca="1"/>
        <v>OK</v>
      </c>
    </row>
    <row r="4127" spans="2:34" x14ac:dyDescent="0.2">
      <c r="B4127" s="2">
        <f ca="1"/>
        <v>3.2502792117277135E-2</v>
      </c>
      <c r="O4127" s="2">
        <f ca="1"/>
        <v>-1.069239970192843</v>
      </c>
      <c r="X4127" s="2">
        <f ca="1"/>
        <v>106.70355730490999</v>
      </c>
      <c r="AG4127" s="2">
        <f ca="1"/>
        <v>0.45572148574158322</v>
      </c>
      <c r="AH4127" s="2" t="str">
        <f ca="1"/>
        <v>Bad</v>
      </c>
    </row>
    <row r="4128" spans="2:34" x14ac:dyDescent="0.2">
      <c r="B4128" s="2">
        <f ca="1"/>
        <v>0.39101031976425027</v>
      </c>
      <c r="O4128" s="2">
        <f ca="1"/>
        <v>-0.93441750151945702</v>
      </c>
      <c r="X4128" s="2">
        <f ca="1"/>
        <v>56.813513928066321</v>
      </c>
      <c r="AG4128" s="2">
        <f ca="1"/>
        <v>0.56374654571886729</v>
      </c>
      <c r="AH4128" s="2" t="str">
        <f ca="1"/>
        <v>Bad</v>
      </c>
    </row>
    <row r="4129" spans="2:34" x14ac:dyDescent="0.2">
      <c r="B4129" s="2">
        <f ca="1"/>
        <v>0.74730479555876528</v>
      </c>
      <c r="O4129" s="2">
        <f ca="1"/>
        <v>0.74855187129719114</v>
      </c>
      <c r="X4129" s="2">
        <f ca="1"/>
        <v>46.657897552841675</v>
      </c>
      <c r="AG4129" s="2">
        <f ca="1"/>
        <v>1.2127897588519732E-2</v>
      </c>
      <c r="AH4129" s="2" t="str">
        <f ca="1"/>
        <v>Good</v>
      </c>
    </row>
    <row r="4130" spans="2:34" x14ac:dyDescent="0.2">
      <c r="B4130" s="2">
        <f ca="1"/>
        <v>0.75116107909342</v>
      </c>
      <c r="O4130" s="2">
        <f ca="1"/>
        <v>1.1521671791804811</v>
      </c>
      <c r="X4130" s="2">
        <f ca="1"/>
        <v>69.425681753406877</v>
      </c>
      <c r="AG4130" s="2">
        <f ca="1"/>
        <v>0.17639934169938765</v>
      </c>
      <c r="AH4130" s="2" t="str">
        <f ca="1"/>
        <v>OK</v>
      </c>
    </row>
    <row r="4131" spans="2:34" x14ac:dyDescent="0.2">
      <c r="B4131" s="2">
        <f ca="1"/>
        <v>0.36497072752556492</v>
      </c>
      <c r="O4131" s="2">
        <f ca="1"/>
        <v>2.2528320072569872</v>
      </c>
      <c r="X4131" s="2">
        <f ca="1"/>
        <v>34.447601962493401</v>
      </c>
      <c r="AG4131" s="2">
        <f ca="1"/>
        <v>0.46231915107299404</v>
      </c>
      <c r="AH4131" s="2" t="str">
        <f ca="1"/>
        <v>Bad</v>
      </c>
    </row>
    <row r="4132" spans="2:34" x14ac:dyDescent="0.2">
      <c r="B4132" s="2">
        <f ca="1"/>
        <v>0.98758119201102335</v>
      </c>
      <c r="O4132" s="2">
        <f ca="1"/>
        <v>0.43861201174156089</v>
      </c>
      <c r="X4132" s="2">
        <f ca="1"/>
        <v>60.366598410083235</v>
      </c>
      <c r="AG4132" s="2">
        <f ca="1"/>
        <v>0.91703338261607059</v>
      </c>
      <c r="AH4132" s="2" t="str">
        <f ca="1"/>
        <v>Bad</v>
      </c>
    </row>
    <row r="4133" spans="2:34" x14ac:dyDescent="0.2">
      <c r="B4133" s="2">
        <f ca="1"/>
        <v>8.4320914566844429E-3</v>
      </c>
      <c r="O4133" s="2">
        <f ca="1"/>
        <v>-5.8339915048018998E-2</v>
      </c>
      <c r="X4133" s="2">
        <f ca="1"/>
        <v>40.896157648896363</v>
      </c>
      <c r="AG4133" s="2">
        <f ca="1"/>
        <v>0.32381452699760893</v>
      </c>
      <c r="AH4133" s="2" t="str">
        <f ca="1"/>
        <v>OK</v>
      </c>
    </row>
    <row r="4134" spans="2:34" x14ac:dyDescent="0.2">
      <c r="B4134" s="2">
        <f ca="1"/>
        <v>0.71171737786817801</v>
      </c>
      <c r="O4134" s="2">
        <f ca="1"/>
        <v>-0.64761135954543425</v>
      </c>
      <c r="X4134" s="2">
        <f ca="1"/>
        <v>52.218310177812661</v>
      </c>
      <c r="AG4134" s="2">
        <f ca="1"/>
        <v>0.45911490214048079</v>
      </c>
      <c r="AH4134" s="2" t="str">
        <f ca="1"/>
        <v>Bad</v>
      </c>
    </row>
    <row r="4135" spans="2:34" x14ac:dyDescent="0.2">
      <c r="B4135" s="2">
        <f ca="1"/>
        <v>0.82216755329610014</v>
      </c>
      <c r="O4135" s="2">
        <f ca="1"/>
        <v>-1.3004745630477967</v>
      </c>
      <c r="X4135" s="2">
        <f ca="1"/>
        <v>66.395123637279752</v>
      </c>
      <c r="AG4135" s="2">
        <f ca="1"/>
        <v>4.0223546004426902E-2</v>
      </c>
      <c r="AH4135" s="2" t="str">
        <f ca="1"/>
        <v>Good</v>
      </c>
    </row>
    <row r="4136" spans="2:34" x14ac:dyDescent="0.2">
      <c r="B4136" s="2">
        <f ca="1"/>
        <v>8.2470782243674767E-2</v>
      </c>
      <c r="O4136" s="2">
        <f ca="1"/>
        <v>6.3073624424634475E-2</v>
      </c>
      <c r="X4136" s="2">
        <f ca="1"/>
        <v>59.982662555731977</v>
      </c>
      <c r="AG4136" s="2">
        <f ca="1"/>
        <v>0.53676056541876638</v>
      </c>
      <c r="AH4136" s="2" t="str">
        <f ca="1"/>
        <v>Bad</v>
      </c>
    </row>
    <row r="4137" spans="2:34" x14ac:dyDescent="0.2">
      <c r="B4137" s="2">
        <f ca="1"/>
        <v>0.4786768128248331</v>
      </c>
      <c r="O4137" s="2">
        <f ca="1"/>
        <v>-0.52529879476807884</v>
      </c>
      <c r="X4137" s="2">
        <f ca="1"/>
        <v>50.811416859297829</v>
      </c>
      <c r="AG4137" s="2">
        <f ca="1"/>
        <v>0.96192511018843918</v>
      </c>
      <c r="AH4137" s="2" t="str">
        <f ca="1"/>
        <v>Bad</v>
      </c>
    </row>
    <row r="4138" spans="2:34" x14ac:dyDescent="0.2">
      <c r="B4138" s="2">
        <f ca="1"/>
        <v>0.1719353979641538</v>
      </c>
      <c r="O4138" s="2">
        <f ca="1"/>
        <v>-0.97949039562453499</v>
      </c>
      <c r="X4138" s="2">
        <f ca="1"/>
        <v>45.879187592380461</v>
      </c>
      <c r="AG4138" s="2">
        <f ca="1"/>
        <v>0.66118106706417556</v>
      </c>
      <c r="AH4138" s="2" t="str">
        <f ca="1"/>
        <v>Bad</v>
      </c>
    </row>
    <row r="4139" spans="2:34" x14ac:dyDescent="0.2">
      <c r="B4139" s="2">
        <f ca="1"/>
        <v>0.34002184063045537</v>
      </c>
      <c r="O4139" s="2">
        <f ca="1"/>
        <v>0.40042757374553645</v>
      </c>
      <c r="X4139" s="2">
        <f ca="1"/>
        <v>67.461215709433986</v>
      </c>
      <c r="AG4139" s="2">
        <f ca="1"/>
        <v>0.12161551201392551</v>
      </c>
      <c r="AH4139" s="2" t="str">
        <f ca="1"/>
        <v>OK</v>
      </c>
    </row>
    <row r="4140" spans="2:34" x14ac:dyDescent="0.2">
      <c r="B4140" s="2">
        <f ca="1"/>
        <v>0.47249257629829011</v>
      </c>
      <c r="O4140" s="2">
        <f ca="1"/>
        <v>-1.120354506746289</v>
      </c>
      <c r="X4140" s="2">
        <f ca="1"/>
        <v>48.852974924037234</v>
      </c>
      <c r="AG4140" s="2">
        <f ca="1"/>
        <v>0.20922957366219475</v>
      </c>
      <c r="AH4140" s="2" t="str">
        <f ca="1"/>
        <v>OK</v>
      </c>
    </row>
    <row r="4141" spans="2:34" x14ac:dyDescent="0.2">
      <c r="B4141" s="2">
        <f ca="1"/>
        <v>8.9179790401608727E-2</v>
      </c>
      <c r="O4141" s="2">
        <f ca="1"/>
        <v>-0.8703669998835234</v>
      </c>
      <c r="X4141" s="2">
        <f ca="1"/>
        <v>47.042565486168975</v>
      </c>
      <c r="AG4141" s="2">
        <f ca="1"/>
        <v>0.67134156258901578</v>
      </c>
      <c r="AH4141" s="2" t="str">
        <f ca="1"/>
        <v>Bad</v>
      </c>
    </row>
    <row r="4142" spans="2:34" x14ac:dyDescent="0.2">
      <c r="B4142" s="2">
        <f ca="1"/>
        <v>0.32874128239254818</v>
      </c>
      <c r="O4142" s="2">
        <f ca="1"/>
        <v>0.46536930900227641</v>
      </c>
      <c r="X4142" s="2">
        <f ca="1"/>
        <v>42.709907386371285</v>
      </c>
      <c r="AG4142" s="2">
        <f ca="1"/>
        <v>0.725138152722133</v>
      </c>
      <c r="AH4142" s="2" t="str">
        <f ca="1"/>
        <v>Bad</v>
      </c>
    </row>
    <row r="4143" spans="2:34" x14ac:dyDescent="0.2">
      <c r="B4143" s="2">
        <f ca="1"/>
        <v>0.28789865288789085</v>
      </c>
      <c r="O4143" s="2">
        <f ca="1"/>
        <v>0.20571765368762845</v>
      </c>
      <c r="X4143" s="2">
        <f ca="1"/>
        <v>33.360793367270986</v>
      </c>
      <c r="AG4143" s="2">
        <f ca="1"/>
        <v>0.13278142677534466</v>
      </c>
      <c r="AH4143" s="2" t="str">
        <f ca="1"/>
        <v>OK</v>
      </c>
    </row>
    <row r="4144" spans="2:34" x14ac:dyDescent="0.2">
      <c r="B4144" s="2">
        <f ca="1"/>
        <v>0.30616439742916368</v>
      </c>
      <c r="O4144" s="2">
        <f ca="1"/>
        <v>-0.95277640243029349</v>
      </c>
      <c r="X4144" s="2">
        <f ca="1"/>
        <v>76.914099889421948</v>
      </c>
      <c r="AG4144" s="2">
        <f ca="1"/>
        <v>0.19746848855773025</v>
      </c>
      <c r="AH4144" s="2" t="str">
        <f ca="1"/>
        <v>OK</v>
      </c>
    </row>
    <row r="4145" spans="2:34" x14ac:dyDescent="0.2">
      <c r="B4145" s="2">
        <f ca="1"/>
        <v>0.10419704850344536</v>
      </c>
      <c r="O4145" s="2">
        <f ca="1"/>
        <v>-0.32510962042334296</v>
      </c>
      <c r="X4145" s="2">
        <f ca="1"/>
        <v>61.403487380902384</v>
      </c>
      <c r="AG4145" s="2">
        <f ca="1"/>
        <v>0.34979137024591433</v>
      </c>
      <c r="AH4145" s="2" t="str">
        <f ca="1"/>
        <v>OK</v>
      </c>
    </row>
    <row r="4146" spans="2:34" x14ac:dyDescent="0.2">
      <c r="B4146" s="2">
        <f ca="1"/>
        <v>0.980656180899659</v>
      </c>
      <c r="O4146" s="2">
        <f ca="1"/>
        <v>-0.67688982426095445</v>
      </c>
      <c r="X4146" s="2">
        <f ca="1"/>
        <v>59.738477953865967</v>
      </c>
      <c r="AG4146" s="2">
        <f ca="1"/>
        <v>0.63610405448509399</v>
      </c>
      <c r="AH4146" s="2" t="str">
        <f ca="1"/>
        <v>Bad</v>
      </c>
    </row>
    <row r="4147" spans="2:34" x14ac:dyDescent="0.2">
      <c r="B4147" s="2">
        <f ca="1"/>
        <v>7.4859714995242799E-2</v>
      </c>
      <c r="O4147" s="2">
        <f ca="1"/>
        <v>-0.24556342454994945</v>
      </c>
      <c r="X4147" s="2">
        <f ca="1"/>
        <v>43.684807044659607</v>
      </c>
      <c r="AG4147" s="2">
        <f ca="1"/>
        <v>0.79292374144291533</v>
      </c>
      <c r="AH4147" s="2" t="str">
        <f ca="1"/>
        <v>Bad</v>
      </c>
    </row>
    <row r="4148" spans="2:34" x14ac:dyDescent="0.2">
      <c r="B4148" s="2">
        <f ca="1"/>
        <v>0.9892134076328194</v>
      </c>
      <c r="O4148" s="2">
        <f ca="1"/>
        <v>-0.12450568617582723</v>
      </c>
      <c r="X4148" s="2">
        <f ca="1"/>
        <v>20.984026652280026</v>
      </c>
      <c r="AG4148" s="2">
        <f ca="1"/>
        <v>0.57199329940076193</v>
      </c>
      <c r="AH4148" s="2" t="str">
        <f ca="1"/>
        <v>Bad</v>
      </c>
    </row>
    <row r="4149" spans="2:34" x14ac:dyDescent="0.2">
      <c r="B4149" s="2">
        <f ca="1"/>
        <v>0.86106876952078459</v>
      </c>
      <c r="O4149" s="2">
        <f ca="1"/>
        <v>0.10847512833179102</v>
      </c>
      <c r="X4149" s="2">
        <f ca="1"/>
        <v>72.371830927909571</v>
      </c>
      <c r="AG4149" s="2">
        <f ca="1"/>
        <v>0.44648662479081747</v>
      </c>
      <c r="AH4149" s="2" t="str">
        <f ca="1"/>
        <v>Bad</v>
      </c>
    </row>
    <row r="4150" spans="2:34" x14ac:dyDescent="0.2">
      <c r="B4150" s="2">
        <f ca="1"/>
        <v>0.16596390025275642</v>
      </c>
      <c r="O4150" s="2">
        <f ca="1"/>
        <v>-1.4100239437636888</v>
      </c>
      <c r="X4150" s="2">
        <f ca="1"/>
        <v>31.5931940982674</v>
      </c>
      <c r="AG4150" s="2">
        <f ca="1"/>
        <v>0.45491817717709537</v>
      </c>
      <c r="AH4150" s="2" t="str">
        <f ca="1"/>
        <v>Bad</v>
      </c>
    </row>
    <row r="4151" spans="2:34" x14ac:dyDescent="0.2">
      <c r="B4151" s="2">
        <f ca="1"/>
        <v>0.81782073278089906</v>
      </c>
      <c r="O4151" s="2">
        <f ca="1"/>
        <v>0.42899827927883988</v>
      </c>
      <c r="X4151" s="2">
        <f ca="1"/>
        <v>63.048698632776883</v>
      </c>
      <c r="AG4151" s="2">
        <f ca="1"/>
        <v>0.71927757545502513</v>
      </c>
      <c r="AH4151" s="2" t="str">
        <f ca="1"/>
        <v>Bad</v>
      </c>
    </row>
    <row r="4152" spans="2:34" x14ac:dyDescent="0.2">
      <c r="B4152" s="2">
        <f ca="1"/>
        <v>0.26671420445769001</v>
      </c>
      <c r="O4152" s="2">
        <f ca="1"/>
        <v>1.0530572588690061</v>
      </c>
      <c r="X4152" s="2">
        <f ca="1"/>
        <v>23.552016677640005</v>
      </c>
      <c r="AG4152" s="2">
        <f ca="1"/>
        <v>0.971276557470518</v>
      </c>
      <c r="AH4152" s="2" t="str">
        <f ca="1"/>
        <v>Bad</v>
      </c>
    </row>
    <row r="4153" spans="2:34" x14ac:dyDescent="0.2">
      <c r="B4153" s="2">
        <f ca="1"/>
        <v>0.14646114967811896</v>
      </c>
      <c r="O4153" s="2">
        <f ca="1"/>
        <v>-1.1220527243088532</v>
      </c>
      <c r="X4153" s="2">
        <f ca="1"/>
        <v>43.30035653286</v>
      </c>
      <c r="AG4153" s="2">
        <f ca="1"/>
        <v>0.32250730912701231</v>
      </c>
      <c r="AH4153" s="2" t="str">
        <f ca="1"/>
        <v>OK</v>
      </c>
    </row>
    <row r="4154" spans="2:34" x14ac:dyDescent="0.2">
      <c r="B4154" s="2">
        <f ca="1"/>
        <v>3.141485473288208E-2</v>
      </c>
      <c r="O4154" s="2">
        <f ca="1"/>
        <v>-5.7688582627045557E-2</v>
      </c>
      <c r="X4154" s="2">
        <f ca="1"/>
        <v>67.185143962508974</v>
      </c>
      <c r="AG4154" s="2">
        <f ca="1"/>
        <v>0.77946930475522169</v>
      </c>
      <c r="AH4154" s="2" t="str">
        <f ca="1"/>
        <v>Bad</v>
      </c>
    </row>
    <row r="4155" spans="2:34" x14ac:dyDescent="0.2">
      <c r="B4155" s="2">
        <f ca="1"/>
        <v>0.36246036973326623</v>
      </c>
      <c r="O4155" s="2">
        <f ca="1"/>
        <v>-0.8314457924558758</v>
      </c>
      <c r="X4155" s="2">
        <f ca="1"/>
        <v>32.357554908199006</v>
      </c>
      <c r="AG4155" s="2">
        <f ca="1"/>
        <v>0.37599285125568382</v>
      </c>
      <c r="AH4155" s="2" t="str">
        <f ca="1"/>
        <v>OK</v>
      </c>
    </row>
    <row r="4156" spans="2:34" x14ac:dyDescent="0.2">
      <c r="B4156" s="2">
        <f ca="1"/>
        <v>0.76089830104901357</v>
      </c>
      <c r="O4156" s="2">
        <f ca="1"/>
        <v>-1.1354543488245605</v>
      </c>
      <c r="X4156" s="2">
        <f ca="1"/>
        <v>42.962237578418154</v>
      </c>
      <c r="AG4156" s="2">
        <f ca="1"/>
        <v>0.32309066860470126</v>
      </c>
      <c r="AH4156" s="2" t="str">
        <f ca="1"/>
        <v>OK</v>
      </c>
    </row>
    <row r="4157" spans="2:34" x14ac:dyDescent="0.2">
      <c r="B4157" s="2">
        <f ca="1"/>
        <v>0.53708735907945226</v>
      </c>
      <c r="O4157" s="2">
        <f ca="1"/>
        <v>-1.4179455377581622</v>
      </c>
      <c r="X4157" s="2">
        <f ca="1"/>
        <v>34.105224193116399</v>
      </c>
      <c r="AG4157" s="2">
        <f ca="1"/>
        <v>0.3333548554193333</v>
      </c>
      <c r="AH4157" s="2" t="str">
        <f ca="1"/>
        <v>OK</v>
      </c>
    </row>
    <row r="4158" spans="2:34" x14ac:dyDescent="0.2">
      <c r="B4158" s="2">
        <f ca="1"/>
        <v>0.1669624521779971</v>
      </c>
      <c r="O4158" s="2">
        <f ca="1"/>
        <v>1.7115794605066195</v>
      </c>
      <c r="X4158" s="2">
        <f ca="1"/>
        <v>34.667092309827886</v>
      </c>
      <c r="AG4158" s="2">
        <f ca="1"/>
        <v>0.8864702241031317</v>
      </c>
      <c r="AH4158" s="2" t="str">
        <f ca="1"/>
        <v>Bad</v>
      </c>
    </row>
    <row r="4159" spans="2:34" x14ac:dyDescent="0.2">
      <c r="B4159" s="2">
        <f ca="1"/>
        <v>0.41884962701926698</v>
      </c>
      <c r="O4159" s="2">
        <f ca="1"/>
        <v>2.1382719065906506</v>
      </c>
      <c r="X4159" s="2">
        <f ca="1"/>
        <v>40.976791451855696</v>
      </c>
      <c r="AG4159" s="2">
        <f ca="1"/>
        <v>1.9401035773786379E-2</v>
      </c>
      <c r="AH4159" s="2" t="str">
        <f ca="1"/>
        <v>Good</v>
      </c>
    </row>
    <row r="4160" spans="2:34" x14ac:dyDescent="0.2">
      <c r="B4160" s="2">
        <f ca="1"/>
        <v>0.11771718307668322</v>
      </c>
      <c r="O4160" s="2">
        <f ca="1"/>
        <v>-1.5564387915281104</v>
      </c>
      <c r="X4160" s="2">
        <f ca="1"/>
        <v>76.590112699014398</v>
      </c>
      <c r="AG4160" s="2">
        <f ca="1"/>
        <v>0.90382764467982479</v>
      </c>
      <c r="AH4160" s="2" t="str">
        <f ca="1"/>
        <v>Bad</v>
      </c>
    </row>
    <row r="4161" spans="2:34" x14ac:dyDescent="0.2">
      <c r="B4161" s="2">
        <f ca="1"/>
        <v>4.7699853063719821E-2</v>
      </c>
      <c r="O4161" s="2">
        <f ca="1"/>
        <v>0.13786169801144427</v>
      </c>
      <c r="X4161" s="2">
        <f ca="1"/>
        <v>70.146381869313956</v>
      </c>
      <c r="AG4161" s="2">
        <f ca="1"/>
        <v>0.86727628557982528</v>
      </c>
      <c r="AH4161" s="2" t="str">
        <f ca="1"/>
        <v>Bad</v>
      </c>
    </row>
    <row r="4162" spans="2:34" x14ac:dyDescent="0.2">
      <c r="B4162" s="2">
        <f ca="1"/>
        <v>0.62277887100005702</v>
      </c>
      <c r="O4162" s="2">
        <f ca="1"/>
        <v>-0.16917462370183195</v>
      </c>
      <c r="X4162" s="2">
        <f ca="1"/>
        <v>57.136570108184436</v>
      </c>
      <c r="AG4162" s="2">
        <f ca="1"/>
        <v>0.11229703442915784</v>
      </c>
      <c r="AH4162" s="2" t="str">
        <f ca="1"/>
        <v>OK</v>
      </c>
    </row>
    <row r="4163" spans="2:34" x14ac:dyDescent="0.2">
      <c r="B4163" s="2">
        <f ca="1"/>
        <v>0.58807199560298629</v>
      </c>
      <c r="O4163" s="2">
        <f ca="1"/>
        <v>0.77251581183851525</v>
      </c>
      <c r="X4163" s="2">
        <f ca="1"/>
        <v>47.14902510008956</v>
      </c>
      <c r="AG4163" s="2">
        <f ca="1"/>
        <v>0.84277855700620563</v>
      </c>
      <c r="AH4163" s="2" t="str">
        <f ca="1"/>
        <v>Bad</v>
      </c>
    </row>
    <row r="4164" spans="2:34" x14ac:dyDescent="0.2">
      <c r="B4164" s="2">
        <f ca="1"/>
        <v>4.7383520875148299E-2</v>
      </c>
      <c r="O4164" s="2">
        <f ca="1"/>
        <v>1.227348170249843</v>
      </c>
      <c r="X4164" s="2">
        <f ca="1"/>
        <v>42.185609027816604</v>
      </c>
      <c r="AG4164" s="2">
        <f ca="1"/>
        <v>0.14804202888558771</v>
      </c>
      <c r="AH4164" s="2" t="str">
        <f ca="1"/>
        <v>OK</v>
      </c>
    </row>
    <row r="4165" spans="2:34" x14ac:dyDescent="0.2">
      <c r="B4165" s="2">
        <f ca="1"/>
        <v>0.13274876374183919</v>
      </c>
      <c r="O4165" s="2">
        <f ca="1"/>
        <v>0.92516027317956551</v>
      </c>
      <c r="X4165" s="2">
        <f ca="1"/>
        <v>49.082665480284206</v>
      </c>
      <c r="AG4165" s="2">
        <f ca="1"/>
        <v>0.21196007124382299</v>
      </c>
      <c r="AH4165" s="2" t="str">
        <f ca="1"/>
        <v>OK</v>
      </c>
    </row>
    <row r="4166" spans="2:34" x14ac:dyDescent="0.2">
      <c r="B4166" s="2">
        <f ca="1"/>
        <v>0.91787622637060573</v>
      </c>
      <c r="O4166" s="2">
        <f ca="1"/>
        <v>-0.18728034702168381</v>
      </c>
      <c r="X4166" s="2">
        <f ca="1"/>
        <v>62.796654062946999</v>
      </c>
      <c r="AG4166" s="2">
        <f ca="1"/>
        <v>0.23549347991474279</v>
      </c>
      <c r="AH4166" s="2" t="str">
        <f ca="1"/>
        <v>OK</v>
      </c>
    </row>
    <row r="4167" spans="2:34" x14ac:dyDescent="0.2">
      <c r="B4167" s="2">
        <f ca="1"/>
        <v>0.49066046072350633</v>
      </c>
      <c r="O4167" s="2">
        <f ca="1"/>
        <v>-0.2596705749520975</v>
      </c>
      <c r="X4167" s="2">
        <f ca="1"/>
        <v>38.744228791507773</v>
      </c>
      <c r="AG4167" s="2">
        <f ca="1"/>
        <v>0.19947842475281963</v>
      </c>
      <c r="AH4167" s="2" t="str">
        <f ca="1"/>
        <v>OK</v>
      </c>
    </row>
    <row r="4168" spans="2:34" x14ac:dyDescent="0.2">
      <c r="B4168" s="2">
        <f ca="1"/>
        <v>0.64354026431642142</v>
      </c>
      <c r="O4168" s="2">
        <f ca="1"/>
        <v>0.77495236148167002</v>
      </c>
      <c r="X4168" s="2">
        <f ca="1"/>
        <v>58.661651865316571</v>
      </c>
      <c r="AG4168" s="2">
        <f ca="1"/>
        <v>0.3210507474012898</v>
      </c>
      <c r="AH4168" s="2" t="str">
        <f ca="1"/>
        <v>OK</v>
      </c>
    </row>
    <row r="4169" spans="2:34" x14ac:dyDescent="0.2">
      <c r="B4169" s="2">
        <f ca="1"/>
        <v>0.45485935517281173</v>
      </c>
      <c r="O4169" s="2">
        <f ca="1"/>
        <v>2.3748195679742077</v>
      </c>
      <c r="X4169" s="2">
        <f ca="1"/>
        <v>38.373365748755802</v>
      </c>
      <c r="AG4169" s="2">
        <f ca="1"/>
        <v>0.42132537649971402</v>
      </c>
      <c r="AH4169" s="2" t="str">
        <f ca="1"/>
        <v>Bad</v>
      </c>
    </row>
    <row r="4170" spans="2:34" x14ac:dyDescent="0.2">
      <c r="B4170" s="2">
        <f ca="1"/>
        <v>0.25311836674088739</v>
      </c>
      <c r="O4170" s="2">
        <f ca="1"/>
        <v>0.98385354435622752</v>
      </c>
      <c r="X4170" s="2">
        <f ca="1"/>
        <v>68.284886517128498</v>
      </c>
      <c r="AG4170" s="2">
        <f ca="1"/>
        <v>0.98943770824068933</v>
      </c>
      <c r="AH4170" s="2" t="str">
        <f ca="1"/>
        <v>Bad</v>
      </c>
    </row>
    <row r="4171" spans="2:34" x14ac:dyDescent="0.2">
      <c r="B4171" s="2">
        <f ca="1"/>
        <v>0.58139732349816442</v>
      </c>
      <c r="O4171" s="2">
        <f ca="1"/>
        <v>0.38674572035038712</v>
      </c>
      <c r="X4171" s="2">
        <f ca="1"/>
        <v>46.8209381354512</v>
      </c>
      <c r="AG4171" s="2">
        <f ca="1"/>
        <v>0.68692120976327664</v>
      </c>
      <c r="AH4171" s="2" t="str">
        <f ca="1"/>
        <v>Bad</v>
      </c>
    </row>
    <row r="4172" spans="2:34" x14ac:dyDescent="0.2">
      <c r="B4172" s="2">
        <f ca="1"/>
        <v>0.3636849243394531</v>
      </c>
      <c r="O4172" s="2">
        <f ca="1"/>
        <v>-1.1929406017639019</v>
      </c>
      <c r="X4172" s="2">
        <f ca="1"/>
        <v>55.199806047001196</v>
      </c>
      <c r="AG4172" s="2">
        <f ca="1"/>
        <v>0.78148660731241693</v>
      </c>
      <c r="AH4172" s="2" t="str">
        <f ca="1"/>
        <v>Bad</v>
      </c>
    </row>
    <row r="4173" spans="2:34" x14ac:dyDescent="0.2">
      <c r="B4173" s="2">
        <f ca="1"/>
        <v>4.7488980191484398E-2</v>
      </c>
      <c r="O4173" s="2">
        <f ca="1"/>
        <v>-1.4086207667601662</v>
      </c>
      <c r="X4173" s="2">
        <f ca="1"/>
        <v>47.868447927013172</v>
      </c>
      <c r="AG4173" s="2">
        <f ca="1"/>
        <v>0.54910874134034504</v>
      </c>
      <c r="AH4173" s="2" t="str">
        <f ca="1"/>
        <v>Bad</v>
      </c>
    </row>
    <row r="4174" spans="2:34" x14ac:dyDescent="0.2">
      <c r="B4174" s="2">
        <f ca="1"/>
        <v>0.79045886004243071</v>
      </c>
      <c r="O4174" s="2">
        <f ca="1"/>
        <v>2.0875195244495739</v>
      </c>
      <c r="X4174" s="2">
        <f ca="1"/>
        <v>67.674221395681002</v>
      </c>
      <c r="AG4174" s="2">
        <f ca="1"/>
        <v>0.99146721112775049</v>
      </c>
      <c r="AH4174" s="2" t="str">
        <f ca="1"/>
        <v>Bad</v>
      </c>
    </row>
    <row r="4175" spans="2:34" x14ac:dyDescent="0.2">
      <c r="B4175" s="2">
        <f ca="1"/>
        <v>0.2005029075787812</v>
      </c>
      <c r="O4175" s="2">
        <f ca="1"/>
        <v>5.4903369834709323E-2</v>
      </c>
      <c r="X4175" s="2">
        <f ca="1"/>
        <v>43.920151401283121</v>
      </c>
      <c r="AG4175" s="2">
        <f ca="1"/>
        <v>0.568887863611935</v>
      </c>
      <c r="AH4175" s="2" t="str">
        <f ca="1"/>
        <v>Bad</v>
      </c>
    </row>
    <row r="4176" spans="2:34" x14ac:dyDescent="0.2">
      <c r="B4176" s="2">
        <f ca="1"/>
        <v>0.99988273443464659</v>
      </c>
      <c r="O4176" s="2">
        <f ca="1"/>
        <v>-0.90525728400802763</v>
      </c>
      <c r="X4176" s="2">
        <f ca="1"/>
        <v>63.245568244496383</v>
      </c>
      <c r="AG4176" s="2">
        <f ca="1"/>
        <v>0.58046136646753288</v>
      </c>
      <c r="AH4176" s="2" t="str">
        <f ca="1"/>
        <v>Bad</v>
      </c>
    </row>
    <row r="4177" spans="2:34" x14ac:dyDescent="0.2">
      <c r="B4177" s="2">
        <f ca="1"/>
        <v>7.2463466970187129E-2</v>
      </c>
      <c r="O4177" s="2">
        <f ca="1"/>
        <v>0.42857010975959448</v>
      </c>
      <c r="X4177" s="2">
        <f ca="1"/>
        <v>34.984269984788142</v>
      </c>
      <c r="AG4177" s="2">
        <f ca="1"/>
        <v>0.83266170770675974</v>
      </c>
      <c r="AH4177" s="2" t="str">
        <f ca="1"/>
        <v>Bad</v>
      </c>
    </row>
    <row r="4178" spans="2:34" x14ac:dyDescent="0.2">
      <c r="B4178" s="2">
        <f ca="1"/>
        <v>0.40553986108916784</v>
      </c>
      <c r="O4178" s="2">
        <f ca="1"/>
        <v>1.0661404338879006</v>
      </c>
      <c r="X4178" s="2">
        <f ca="1"/>
        <v>39.735759223825028</v>
      </c>
      <c r="AG4178" s="2">
        <f ca="1"/>
        <v>0.66393594786457344</v>
      </c>
      <c r="AH4178" s="2" t="str">
        <f ca="1"/>
        <v>Bad</v>
      </c>
    </row>
    <row r="4179" spans="2:34" x14ac:dyDescent="0.2">
      <c r="B4179" s="2">
        <f ca="1"/>
        <v>0.49174235445288739</v>
      </c>
      <c r="O4179" s="2">
        <f ca="1"/>
        <v>-0.61927408242077508</v>
      </c>
      <c r="X4179" s="2">
        <f ca="1"/>
        <v>28.592299845582136</v>
      </c>
      <c r="AG4179" s="2">
        <f ca="1"/>
        <v>0.83915671613621656</v>
      </c>
      <c r="AH4179" s="2" t="str">
        <f ca="1"/>
        <v>Bad</v>
      </c>
    </row>
    <row r="4180" spans="2:34" x14ac:dyDescent="0.2">
      <c r="B4180" s="2">
        <f ca="1"/>
        <v>0.64258200954115807</v>
      </c>
      <c r="O4180" s="2">
        <f ca="1"/>
        <v>-0.27472354020982398</v>
      </c>
      <c r="X4180" s="2">
        <f ca="1"/>
        <v>36.853014503079258</v>
      </c>
      <c r="AG4180" s="2">
        <f ca="1"/>
        <v>0.16854939370249622</v>
      </c>
      <c r="AH4180" s="2" t="str">
        <f ca="1"/>
        <v>OK</v>
      </c>
    </row>
    <row r="4181" spans="2:34" x14ac:dyDescent="0.2">
      <c r="B4181" s="2">
        <f ca="1"/>
        <v>0.79213738184163041</v>
      </c>
      <c r="O4181" s="2">
        <f ca="1"/>
        <v>-0.49758615532820821</v>
      </c>
      <c r="X4181" s="2">
        <f ca="1"/>
        <v>48.331854264026333</v>
      </c>
      <c r="AG4181" s="2">
        <f ca="1"/>
        <v>9.9882908199583786E-2</v>
      </c>
      <c r="AH4181" s="2" t="str">
        <f ca="1"/>
        <v>OK</v>
      </c>
    </row>
    <row r="4182" spans="2:34" x14ac:dyDescent="0.2">
      <c r="B4182" s="2">
        <f ca="1"/>
        <v>0.88649145095809123</v>
      </c>
      <c r="O4182" s="2">
        <f ca="1"/>
        <v>-0.67388905749447714</v>
      </c>
      <c r="X4182" s="2">
        <f ca="1"/>
        <v>33.44936661902161</v>
      </c>
      <c r="AG4182" s="2">
        <f ca="1"/>
        <v>0.91777688318760076</v>
      </c>
      <c r="AH4182" s="2" t="str">
        <f ca="1"/>
        <v>Bad</v>
      </c>
    </row>
    <row r="4183" spans="2:34" x14ac:dyDescent="0.2">
      <c r="B4183" s="2">
        <f ca="1"/>
        <v>0.99884092852860329</v>
      </c>
      <c r="O4183" s="2">
        <f ca="1"/>
        <v>0.6152993648955386</v>
      </c>
      <c r="X4183" s="2">
        <f ca="1"/>
        <v>37.395683927439663</v>
      </c>
      <c r="AG4183" s="2">
        <f ca="1"/>
        <v>0.21134161328416168</v>
      </c>
      <c r="AH4183" s="2" t="str">
        <f ca="1"/>
        <v>OK</v>
      </c>
    </row>
    <row r="4184" spans="2:34" x14ac:dyDescent="0.2">
      <c r="B4184" s="2">
        <f ca="1"/>
        <v>0.74681215563423664</v>
      </c>
      <c r="O4184" s="2">
        <f ca="1"/>
        <v>-0.28843558471412067</v>
      </c>
      <c r="X4184" s="2">
        <f ca="1"/>
        <v>62.447309057942107</v>
      </c>
      <c r="AG4184" s="2">
        <f ca="1"/>
        <v>9.2038656249962436E-2</v>
      </c>
      <c r="AH4184" s="2" t="str">
        <f ca="1"/>
        <v>OK</v>
      </c>
    </row>
    <row r="4185" spans="2:34" x14ac:dyDescent="0.2">
      <c r="B4185" s="2">
        <f ca="1"/>
        <v>0.82293833082397394</v>
      </c>
      <c r="O4185" s="2">
        <f ca="1"/>
        <v>0.83606194450882965</v>
      </c>
      <c r="X4185" s="2">
        <f ca="1"/>
        <v>61.76717330941365</v>
      </c>
      <c r="AG4185" s="2">
        <f ca="1"/>
        <v>0.46676424411940109</v>
      </c>
      <c r="AH4185" s="2" t="str">
        <f ca="1"/>
        <v>Bad</v>
      </c>
    </row>
    <row r="4186" spans="2:34" x14ac:dyDescent="0.2">
      <c r="B4186" s="2">
        <f ca="1"/>
        <v>0.14264091866179585</v>
      </c>
      <c r="O4186" s="2">
        <f ca="1"/>
        <v>-0.66852795810886534</v>
      </c>
      <c r="X4186" s="2">
        <f ca="1"/>
        <v>57.801355927468911</v>
      </c>
      <c r="AG4186" s="2">
        <f ca="1"/>
        <v>0.53449445557019892</v>
      </c>
      <c r="AH4186" s="2" t="str">
        <f ca="1"/>
        <v>Bad</v>
      </c>
    </row>
    <row r="4187" spans="2:34" x14ac:dyDescent="0.2">
      <c r="B4187" s="2">
        <f ca="1"/>
        <v>0.28783664296103062</v>
      </c>
      <c r="O4187" s="2">
        <f ca="1"/>
        <v>-1.8641090235544437</v>
      </c>
      <c r="X4187" s="2">
        <f ca="1"/>
        <v>35.794422994406496</v>
      </c>
      <c r="AG4187" s="2">
        <f ca="1"/>
        <v>0.70737860112544393</v>
      </c>
      <c r="AH4187" s="2" t="str">
        <f ca="1"/>
        <v>Bad</v>
      </c>
    </row>
    <row r="4188" spans="2:34" x14ac:dyDescent="0.2">
      <c r="B4188" s="2">
        <f ca="1"/>
        <v>0.43428835924337883</v>
      </c>
      <c r="O4188" s="2">
        <f ca="1"/>
        <v>-1.3345012331970554</v>
      </c>
      <c r="X4188" s="2">
        <f ca="1"/>
        <v>51.414286171054499</v>
      </c>
      <c r="AG4188" s="2">
        <f ca="1"/>
        <v>0.75243337803888677</v>
      </c>
      <c r="AH4188" s="2" t="str">
        <f ca="1"/>
        <v>Bad</v>
      </c>
    </row>
    <row r="4189" spans="2:34" x14ac:dyDescent="0.2">
      <c r="B4189" s="2">
        <f ca="1"/>
        <v>0.70274665094093058</v>
      </c>
      <c r="O4189" s="2">
        <f ca="1"/>
        <v>-1.0563847373059878</v>
      </c>
      <c r="X4189" s="2">
        <f ca="1"/>
        <v>35.102842206737094</v>
      </c>
      <c r="AG4189" s="2">
        <f ca="1"/>
        <v>0.93301160974903685</v>
      </c>
      <c r="AH4189" s="2" t="str">
        <f ca="1"/>
        <v>Bad</v>
      </c>
    </row>
    <row r="4190" spans="2:34" x14ac:dyDescent="0.2">
      <c r="B4190" s="2">
        <f ca="1"/>
        <v>0.96181923447732021</v>
      </c>
      <c r="O4190" s="2">
        <f ca="1"/>
        <v>0.15069436838760208</v>
      </c>
      <c r="X4190" s="2">
        <f ca="1"/>
        <v>66.24001063454952</v>
      </c>
      <c r="AG4190" s="2">
        <f ca="1"/>
        <v>0.68658801489078058</v>
      </c>
      <c r="AH4190" s="2" t="str">
        <f ca="1"/>
        <v>Bad</v>
      </c>
    </row>
    <row r="4191" spans="2:34" x14ac:dyDescent="0.2">
      <c r="B4191" s="2">
        <f ca="1"/>
        <v>0.44603316729050135</v>
      </c>
      <c r="O4191" s="2">
        <f ca="1"/>
        <v>1.5125998327677714</v>
      </c>
      <c r="X4191" s="2">
        <f ca="1"/>
        <v>56.452943943855928</v>
      </c>
      <c r="AG4191" s="2">
        <f ca="1"/>
        <v>0.9673356502895134</v>
      </c>
      <c r="AH4191" s="2" t="str">
        <f ca="1"/>
        <v>Bad</v>
      </c>
    </row>
    <row r="4192" spans="2:34" x14ac:dyDescent="0.2">
      <c r="B4192" s="2">
        <f ca="1"/>
        <v>0.96138880779536295</v>
      </c>
      <c r="O4192" s="2">
        <f ca="1"/>
        <v>-7.1672093664684938E-2</v>
      </c>
      <c r="X4192" s="2">
        <f ca="1"/>
        <v>40.53552486582025</v>
      </c>
      <c r="AG4192" s="2">
        <f ca="1"/>
        <v>0.42858970838712485</v>
      </c>
      <c r="AH4192" s="2" t="str">
        <f ca="1"/>
        <v>Bad</v>
      </c>
    </row>
    <row r="4193" spans="2:34" x14ac:dyDescent="0.2">
      <c r="B4193" s="2">
        <f ca="1"/>
        <v>9.2008377840034017E-2</v>
      </c>
      <c r="O4193" s="2">
        <f ca="1"/>
        <v>0.37655419024579095</v>
      </c>
      <c r="X4193" s="2">
        <f ca="1"/>
        <v>71.402574187820889</v>
      </c>
      <c r="AG4193" s="2">
        <f ca="1"/>
        <v>0.90830141669732134</v>
      </c>
      <c r="AH4193" s="2" t="str">
        <f ca="1"/>
        <v>Bad</v>
      </c>
    </row>
    <row r="4194" spans="2:34" x14ac:dyDescent="0.2">
      <c r="B4194" s="2">
        <f ca="1"/>
        <v>0.52987380940674278</v>
      </c>
      <c r="O4194" s="2">
        <f ca="1"/>
        <v>0.16675573871129673</v>
      </c>
      <c r="X4194" s="2">
        <f ca="1"/>
        <v>24.139738840107071</v>
      </c>
      <c r="AG4194" s="2">
        <f ca="1"/>
        <v>0.95506349281762648</v>
      </c>
      <c r="AH4194" s="2" t="str">
        <f ca="1"/>
        <v>Bad</v>
      </c>
    </row>
    <row r="4195" spans="2:34" x14ac:dyDescent="0.2">
      <c r="B4195" s="2">
        <f ca="1"/>
        <v>0.69779146966111893</v>
      </c>
      <c r="O4195" s="2">
        <f ca="1"/>
        <v>-0.17363389200842255</v>
      </c>
      <c r="X4195" s="2">
        <f ca="1"/>
        <v>47.496149711365831</v>
      </c>
      <c r="AG4195" s="2">
        <f ca="1"/>
        <v>8.8438789708779719E-2</v>
      </c>
      <c r="AH4195" s="2" t="str">
        <f ca="1"/>
        <v>OK</v>
      </c>
    </row>
    <row r="4196" spans="2:34" x14ac:dyDescent="0.2">
      <c r="B4196" s="2">
        <f ca="1"/>
        <v>0.43554550845567253</v>
      </c>
      <c r="O4196" s="2">
        <f ca="1"/>
        <v>-0.13820483297203565</v>
      </c>
      <c r="X4196" s="2">
        <f ca="1"/>
        <v>67.381501664787436</v>
      </c>
      <c r="AG4196" s="2">
        <f ca="1"/>
        <v>0.40294738492373439</v>
      </c>
      <c r="AH4196" s="2" t="str">
        <f ca="1"/>
        <v>Bad</v>
      </c>
    </row>
    <row r="4197" spans="2:34" x14ac:dyDescent="0.2">
      <c r="B4197" s="2">
        <f ca="1"/>
        <v>0.2431436049063036</v>
      </c>
      <c r="O4197" s="2">
        <f ca="1"/>
        <v>-0.45860126029368892</v>
      </c>
      <c r="X4197" s="2">
        <f ca="1"/>
        <v>44.883347983828507</v>
      </c>
      <c r="AG4197" s="2">
        <f ca="1"/>
        <v>0.53351328562115485</v>
      </c>
      <c r="AH4197" s="2" t="str">
        <f ca="1"/>
        <v>Bad</v>
      </c>
    </row>
    <row r="4198" spans="2:34" x14ac:dyDescent="0.2">
      <c r="B4198" s="2">
        <f ca="1"/>
        <v>0.14107039044977898</v>
      </c>
      <c r="O4198" s="2">
        <f ca="1"/>
        <v>1.237839693529265E-2</v>
      </c>
      <c r="X4198" s="2">
        <f ca="1"/>
        <v>47.693476772938645</v>
      </c>
      <c r="AG4198" s="2">
        <f ca="1"/>
        <v>2.92036819878565E-2</v>
      </c>
      <c r="AH4198" s="2" t="str">
        <f ca="1"/>
        <v>Good</v>
      </c>
    </row>
    <row r="4199" spans="2:34" x14ac:dyDescent="0.2">
      <c r="B4199" s="2">
        <f ca="1"/>
        <v>0.35768851127569734</v>
      </c>
      <c r="O4199" s="2">
        <f ca="1"/>
        <v>-2.1094302354031034</v>
      </c>
      <c r="X4199" s="2">
        <f ca="1"/>
        <v>63.199924405079571</v>
      </c>
      <c r="AG4199" s="2">
        <f ca="1"/>
        <v>0.72864048347618993</v>
      </c>
      <c r="AH4199" s="2" t="str">
        <f ca="1"/>
        <v>Bad</v>
      </c>
    </row>
    <row r="4200" spans="2:34" x14ac:dyDescent="0.2">
      <c r="B4200" s="2">
        <f ca="1"/>
        <v>0.46347832295051661</v>
      </c>
      <c r="O4200" s="2">
        <f ca="1"/>
        <v>-1.8915497237763876</v>
      </c>
      <c r="X4200" s="2">
        <f ca="1"/>
        <v>47.312422646410383</v>
      </c>
      <c r="AG4200" s="2">
        <f ca="1"/>
        <v>0.55938960313048747</v>
      </c>
      <c r="AH4200" s="2" t="str">
        <f ca="1"/>
        <v>Bad</v>
      </c>
    </row>
    <row r="4201" spans="2:34" x14ac:dyDescent="0.2">
      <c r="B4201" s="2">
        <f ca="1"/>
        <v>0.84125478215196448</v>
      </c>
      <c r="O4201" s="2">
        <f ca="1"/>
        <v>1.3373043282723205</v>
      </c>
      <c r="X4201" s="2">
        <f ca="1"/>
        <v>47.932690229576373</v>
      </c>
      <c r="AG4201" s="2">
        <f ca="1"/>
        <v>0.72435879571285722</v>
      </c>
      <c r="AH4201" s="2" t="str">
        <f ca="1"/>
        <v>Bad</v>
      </c>
    </row>
    <row r="4202" spans="2:34" x14ac:dyDescent="0.2">
      <c r="B4202" s="2">
        <f ca="1"/>
        <v>0.40764784378537611</v>
      </c>
      <c r="O4202" s="2">
        <f ca="1"/>
        <v>1.0520964743585415</v>
      </c>
      <c r="X4202" s="2">
        <f ca="1"/>
        <v>40.329577400059577</v>
      </c>
      <c r="AG4202" s="2">
        <f ca="1"/>
        <v>0.54068007823174091</v>
      </c>
      <c r="AH4202" s="2" t="str">
        <f ca="1"/>
        <v>Bad</v>
      </c>
    </row>
    <row r="4203" spans="2:34" x14ac:dyDescent="0.2">
      <c r="B4203" s="2">
        <f ca="1"/>
        <v>0.52386906318961368</v>
      </c>
      <c r="O4203" s="2">
        <f ca="1"/>
        <v>1.1701217251288818</v>
      </c>
      <c r="X4203" s="2">
        <f ca="1"/>
        <v>52.325562077439855</v>
      </c>
      <c r="AG4203" s="2">
        <f ca="1"/>
        <v>0.18713583287626601</v>
      </c>
      <c r="AH4203" s="2" t="str">
        <f ca="1"/>
        <v>OK</v>
      </c>
    </row>
    <row r="4204" spans="2:34" x14ac:dyDescent="0.2">
      <c r="B4204" s="2">
        <f ca="1"/>
        <v>0.49031972860441386</v>
      </c>
      <c r="O4204" s="2">
        <f ca="1"/>
        <v>1.3082707798437156</v>
      </c>
      <c r="X4204" s="2">
        <f ca="1"/>
        <v>30.47184324269994</v>
      </c>
      <c r="AG4204" s="2">
        <f ca="1"/>
        <v>0.75822980329636724</v>
      </c>
      <c r="AH4204" s="2" t="str">
        <f ca="1"/>
        <v>Bad</v>
      </c>
    </row>
    <row r="4205" spans="2:34" x14ac:dyDescent="0.2">
      <c r="B4205" s="2">
        <f ca="1"/>
        <v>1.8157195951683747E-2</v>
      </c>
      <c r="O4205" s="2">
        <f ca="1"/>
        <v>-0.90352644659688575</v>
      </c>
      <c r="X4205" s="2">
        <f ca="1"/>
        <v>52.742562174959303</v>
      </c>
      <c r="AG4205" s="2">
        <f ca="1"/>
        <v>0.26098785121983026</v>
      </c>
      <c r="AH4205" s="2" t="str">
        <f ca="1"/>
        <v>OK</v>
      </c>
    </row>
    <row r="4206" spans="2:34" x14ac:dyDescent="0.2">
      <c r="B4206" s="2">
        <f ca="1"/>
        <v>0.85721478175355315</v>
      </c>
      <c r="O4206" s="2">
        <f ca="1"/>
        <v>-0.1465874547485668</v>
      </c>
      <c r="X4206" s="2">
        <f ca="1"/>
        <v>51.192104749383901</v>
      </c>
      <c r="AG4206" s="2">
        <f ca="1"/>
        <v>0.83313558290703926</v>
      </c>
      <c r="AH4206" s="2" t="str">
        <f ca="1"/>
        <v>Bad</v>
      </c>
    </row>
    <row r="4207" spans="2:34" x14ac:dyDescent="0.2">
      <c r="B4207" s="2">
        <f ca="1"/>
        <v>3.2779275892911297E-3</v>
      </c>
      <c r="O4207" s="2">
        <f ca="1"/>
        <v>0.92291374298980622</v>
      </c>
      <c r="X4207" s="2">
        <f ca="1"/>
        <v>46.59640099742667</v>
      </c>
      <c r="AG4207" s="2">
        <f ca="1"/>
        <v>0.82222746742560715</v>
      </c>
      <c r="AH4207" s="2" t="str">
        <f ca="1"/>
        <v>Bad</v>
      </c>
    </row>
    <row r="4208" spans="2:34" x14ac:dyDescent="0.2">
      <c r="B4208" s="2">
        <f ca="1"/>
        <v>0.5049248649003546</v>
      </c>
      <c r="O4208" s="2">
        <f ca="1"/>
        <v>0.19206215513323388</v>
      </c>
      <c r="X4208" s="2">
        <f ca="1"/>
        <v>60.867439798859195</v>
      </c>
      <c r="AG4208" s="2">
        <f ca="1"/>
        <v>0.9262120462183947</v>
      </c>
      <c r="AH4208" s="2" t="str">
        <f ca="1"/>
        <v>Bad</v>
      </c>
    </row>
    <row r="4209" spans="2:34" x14ac:dyDescent="0.2">
      <c r="B4209" s="2">
        <f ca="1"/>
        <v>0.92791107841044251</v>
      </c>
      <c r="O4209" s="2">
        <f ca="1"/>
        <v>3.0682003978120424E-2</v>
      </c>
      <c r="X4209" s="2">
        <f ca="1"/>
        <v>43.769733368468032</v>
      </c>
      <c r="AG4209" s="2">
        <f ca="1"/>
        <v>0.61050500907406602</v>
      </c>
      <c r="AH4209" s="2" t="str">
        <f ca="1"/>
        <v>Bad</v>
      </c>
    </row>
    <row r="4210" spans="2:34" x14ac:dyDescent="0.2">
      <c r="B4210" s="2">
        <f ca="1"/>
        <v>0.40844733317302984</v>
      </c>
      <c r="O4210" s="2">
        <f ca="1"/>
        <v>-0.87044949670862204</v>
      </c>
      <c r="X4210" s="2">
        <f ca="1"/>
        <v>37.497073705884489</v>
      </c>
      <c r="AG4210" s="2">
        <f ca="1"/>
        <v>0.11164303271896237</v>
      </c>
      <c r="AH4210" s="2" t="str">
        <f ca="1"/>
        <v>OK</v>
      </c>
    </row>
    <row r="4211" spans="2:34" x14ac:dyDescent="0.2">
      <c r="B4211" s="2">
        <f ca="1"/>
        <v>0.12398905426155671</v>
      </c>
      <c r="O4211" s="2">
        <f ca="1"/>
        <v>-8.0467959623676977E-2</v>
      </c>
      <c r="X4211" s="2">
        <f ca="1"/>
        <v>53.31730335884177</v>
      </c>
      <c r="AG4211" s="2">
        <f ca="1"/>
        <v>0.26466926975889149</v>
      </c>
      <c r="AH4211" s="2" t="str">
        <f ca="1"/>
        <v>OK</v>
      </c>
    </row>
    <row r="4212" spans="2:34" x14ac:dyDescent="0.2">
      <c r="B4212" s="2">
        <f ca="1"/>
        <v>0.36528197340575397</v>
      </c>
      <c r="O4212" s="2">
        <f ca="1"/>
        <v>0.52711163199259148</v>
      </c>
      <c r="X4212" s="2">
        <f ca="1"/>
        <v>42.756485392809509</v>
      </c>
      <c r="AG4212" s="2">
        <f ca="1"/>
        <v>9.8567772416977562E-2</v>
      </c>
      <c r="AH4212" s="2" t="str">
        <f ca="1"/>
        <v>OK</v>
      </c>
    </row>
    <row r="4213" spans="2:34" x14ac:dyDescent="0.2">
      <c r="B4213" s="2">
        <f ca="1"/>
        <v>0.31046491261442788</v>
      </c>
      <c r="O4213" s="2">
        <f ca="1"/>
        <v>0.57959037181191719</v>
      </c>
      <c r="X4213" s="2">
        <f ca="1"/>
        <v>32.576405940293739</v>
      </c>
      <c r="AG4213" s="2">
        <f ca="1"/>
        <v>0.15035350137326242</v>
      </c>
      <c r="AH4213" s="2" t="str">
        <f ca="1"/>
        <v>OK</v>
      </c>
    </row>
    <row r="4214" spans="2:34" x14ac:dyDescent="0.2">
      <c r="B4214" s="2">
        <f ca="1"/>
        <v>0.74183093575799486</v>
      </c>
      <c r="O4214" s="2">
        <f ca="1"/>
        <v>0.51324202527926333</v>
      </c>
      <c r="X4214" s="2">
        <f ca="1"/>
        <v>51.649889457988479</v>
      </c>
      <c r="AG4214" s="2">
        <f ca="1"/>
        <v>0.51411491374622087</v>
      </c>
      <c r="AH4214" s="2" t="str">
        <f ca="1"/>
        <v>Bad</v>
      </c>
    </row>
    <row r="4215" spans="2:34" x14ac:dyDescent="0.2">
      <c r="B4215" s="2">
        <f ca="1"/>
        <v>0.73650489429569754</v>
      </c>
      <c r="O4215" s="2">
        <f ca="1"/>
        <v>-0.35469126865226042</v>
      </c>
      <c r="X4215" s="2">
        <f ca="1"/>
        <v>45.260167584230473</v>
      </c>
      <c r="AG4215" s="2">
        <f ca="1"/>
        <v>0.17330650814738835</v>
      </c>
      <c r="AH4215" s="2" t="str">
        <f ca="1"/>
        <v>OK</v>
      </c>
    </row>
    <row r="4216" spans="2:34" x14ac:dyDescent="0.2">
      <c r="B4216" s="2">
        <f ca="1"/>
        <v>0.91564848695786072</v>
      </c>
      <c r="O4216" s="2">
        <f ca="1"/>
        <v>0.36895609753671005</v>
      </c>
      <c r="X4216" s="2">
        <f ca="1"/>
        <v>42.266070902761768</v>
      </c>
      <c r="AG4216" s="2">
        <f ca="1"/>
        <v>8.0045962542286908E-2</v>
      </c>
      <c r="AH4216" s="2" t="str">
        <f ca="1"/>
        <v>OK</v>
      </c>
    </row>
    <row r="4217" spans="2:34" x14ac:dyDescent="0.2">
      <c r="B4217" s="2">
        <f ca="1"/>
        <v>0.12112184334924225</v>
      </c>
      <c r="O4217" s="2">
        <f ca="1"/>
        <v>-0.71784282843155178</v>
      </c>
      <c r="X4217" s="2">
        <f ca="1"/>
        <v>53.599304507681907</v>
      </c>
      <c r="AG4217" s="2">
        <f ca="1"/>
        <v>0.92335929793353744</v>
      </c>
      <c r="AH4217" s="2" t="str">
        <f ca="1"/>
        <v>Bad</v>
      </c>
    </row>
    <row r="4218" spans="2:34" x14ac:dyDescent="0.2">
      <c r="B4218" s="2">
        <f ca="1"/>
        <v>0.15777518774451771</v>
      </c>
      <c r="O4218" s="2">
        <f ca="1"/>
        <v>0.37486764005064649</v>
      </c>
      <c r="X4218" s="2">
        <f ca="1"/>
        <v>18.636576577269985</v>
      </c>
      <c r="AG4218" s="2">
        <f ca="1"/>
        <v>0.18400524227029358</v>
      </c>
      <c r="AH4218" s="2" t="str">
        <f ca="1"/>
        <v>OK</v>
      </c>
    </row>
    <row r="4219" spans="2:34" x14ac:dyDescent="0.2">
      <c r="B4219" s="2">
        <f ca="1"/>
        <v>0.51783686487542235</v>
      </c>
      <c r="O4219" s="2">
        <f ca="1"/>
        <v>-0.86871132879078716</v>
      </c>
      <c r="X4219" s="2">
        <f ca="1"/>
        <v>44.707921281398136</v>
      </c>
      <c r="AG4219" s="2">
        <f ca="1"/>
        <v>0.39304281286405662</v>
      </c>
      <c r="AH4219" s="2" t="str">
        <f ca="1"/>
        <v>OK</v>
      </c>
    </row>
    <row r="4220" spans="2:34" x14ac:dyDescent="0.2">
      <c r="B4220" s="2">
        <f ca="1"/>
        <v>0.19685447107405785</v>
      </c>
      <c r="O4220" s="2">
        <f ca="1"/>
        <v>0.48119775409588578</v>
      </c>
      <c r="X4220" s="2">
        <f ca="1"/>
        <v>52.24908632550887</v>
      </c>
      <c r="AG4220" s="2">
        <f ca="1"/>
        <v>0.39858295442888103</v>
      </c>
      <c r="AH4220" s="2" t="str">
        <f ca="1"/>
        <v>OK</v>
      </c>
    </row>
    <row r="4221" spans="2:34" x14ac:dyDescent="0.2">
      <c r="B4221" s="2">
        <f ca="1"/>
        <v>0.85794061453973747</v>
      </c>
      <c r="O4221" s="2">
        <f ca="1"/>
        <v>0.49901615148916401</v>
      </c>
      <c r="X4221" s="2">
        <f ca="1"/>
        <v>52.422865056330181</v>
      </c>
      <c r="AG4221" s="2">
        <f ca="1"/>
        <v>0.23078349640408868</v>
      </c>
      <c r="AH4221" s="2" t="str">
        <f ca="1"/>
        <v>OK</v>
      </c>
    </row>
    <row r="4222" spans="2:34" x14ac:dyDescent="0.2">
      <c r="B4222" s="2">
        <f ca="1"/>
        <v>2.2161748618246602E-2</v>
      </c>
      <c r="O4222" s="2">
        <f ca="1"/>
        <v>0.50563199969870587</v>
      </c>
      <c r="X4222" s="2">
        <f ca="1"/>
        <v>41.56509970551059</v>
      </c>
      <c r="AG4222" s="2">
        <f ca="1"/>
        <v>0.83006377964664457</v>
      </c>
      <c r="AH4222" s="2" t="str">
        <f ca="1"/>
        <v>Bad</v>
      </c>
    </row>
    <row r="4223" spans="2:34" x14ac:dyDescent="0.2">
      <c r="B4223" s="2">
        <f ca="1"/>
        <v>0.52875295667143285</v>
      </c>
      <c r="O4223" s="2">
        <f ca="1"/>
        <v>-0.8464257526859309</v>
      </c>
      <c r="X4223" s="2">
        <f ca="1"/>
        <v>56.688717680837222</v>
      </c>
      <c r="AG4223" s="2">
        <f ca="1"/>
        <v>0.98116750144141696</v>
      </c>
      <c r="AH4223" s="2" t="str">
        <f ca="1"/>
        <v>Bad</v>
      </c>
    </row>
    <row r="4224" spans="2:34" x14ac:dyDescent="0.2">
      <c r="B4224" s="2">
        <f ca="1"/>
        <v>0.30481949780415674</v>
      </c>
      <c r="O4224" s="2">
        <f ca="1"/>
        <v>1.2920521021692979</v>
      </c>
      <c r="X4224" s="2">
        <f ca="1"/>
        <v>52.47403688288172</v>
      </c>
      <c r="AG4224" s="2">
        <f ca="1"/>
        <v>0.1020230679834</v>
      </c>
      <c r="AH4224" s="2" t="str">
        <f ca="1"/>
        <v>OK</v>
      </c>
    </row>
    <row r="4225" spans="2:34" x14ac:dyDescent="0.2">
      <c r="B4225" s="2">
        <f ca="1"/>
        <v>0.95742318576084795</v>
      </c>
      <c r="O4225" s="2">
        <f ca="1"/>
        <v>1.8522786039023025</v>
      </c>
      <c r="X4225" s="2">
        <f ca="1"/>
        <v>27.749616496457477</v>
      </c>
      <c r="AG4225" s="2">
        <f ca="1"/>
        <v>0.94963221278717569</v>
      </c>
      <c r="AH4225" s="2" t="str">
        <f ca="1"/>
        <v>Bad</v>
      </c>
    </row>
    <row r="4226" spans="2:34" x14ac:dyDescent="0.2">
      <c r="B4226" s="2">
        <f ca="1"/>
        <v>1.3260638114314549E-2</v>
      </c>
      <c r="O4226" s="2">
        <f ca="1"/>
        <v>-0.51539203100082753</v>
      </c>
      <c r="X4226" s="2">
        <f ca="1"/>
        <v>32.862911561646776</v>
      </c>
      <c r="AG4226" s="2">
        <f ca="1"/>
        <v>0.47406819921244492</v>
      </c>
      <c r="AH4226" s="2" t="str">
        <f ca="1"/>
        <v>Bad</v>
      </c>
    </row>
    <row r="4227" spans="2:34" x14ac:dyDescent="0.2">
      <c r="B4227" s="2">
        <f ca="1"/>
        <v>0.67197483940752423</v>
      </c>
      <c r="O4227" s="2">
        <f ca="1"/>
        <v>-4.2726475071501131E-2</v>
      </c>
      <c r="X4227" s="2">
        <f ca="1"/>
        <v>34.791425283718581</v>
      </c>
      <c r="AG4227" s="2">
        <f ca="1"/>
        <v>0.28520541677663203</v>
      </c>
      <c r="AH4227" s="2" t="str">
        <f ca="1"/>
        <v>OK</v>
      </c>
    </row>
    <row r="4228" spans="2:34" x14ac:dyDescent="0.2">
      <c r="B4228" s="2">
        <f ca="1"/>
        <v>0.69554156325179073</v>
      </c>
      <c r="O4228" s="2">
        <f ca="1"/>
        <v>1.5877591656592982</v>
      </c>
      <c r="X4228" s="2">
        <f ca="1"/>
        <v>51.737910243661659</v>
      </c>
      <c r="AG4228" s="2">
        <f ca="1"/>
        <v>0.48110907088489752</v>
      </c>
      <c r="AH4228" s="2" t="str">
        <f ca="1"/>
        <v>Bad</v>
      </c>
    </row>
    <row r="4229" spans="2:34" x14ac:dyDescent="0.2">
      <c r="B4229" s="2">
        <f ca="1"/>
        <v>0.98216666238564088</v>
      </c>
      <c r="O4229" s="2">
        <f ca="1"/>
        <v>-0.9263234166452553</v>
      </c>
      <c r="X4229" s="2">
        <f ca="1"/>
        <v>40.80344718056412</v>
      </c>
      <c r="AG4229" s="2">
        <f ca="1"/>
        <v>0.47438135447181606</v>
      </c>
      <c r="AH4229" s="2" t="str">
        <f ca="1"/>
        <v>Bad</v>
      </c>
    </row>
    <row r="4230" spans="2:34" x14ac:dyDescent="0.2">
      <c r="B4230" s="2">
        <f ca="1"/>
        <v>8.3537016240902817E-2</v>
      </c>
      <c r="O4230" s="2">
        <f ca="1"/>
        <v>-1.4254976940458091</v>
      </c>
      <c r="X4230" s="2">
        <f ca="1"/>
        <v>53.540620976967553</v>
      </c>
      <c r="AG4230" s="2">
        <f ca="1"/>
        <v>0.73961437920990569</v>
      </c>
      <c r="AH4230" s="2" t="str">
        <f ca="1"/>
        <v>Bad</v>
      </c>
    </row>
    <row r="4231" spans="2:34" x14ac:dyDescent="0.2">
      <c r="B4231" s="2">
        <f ca="1"/>
        <v>0.58811605912922116</v>
      </c>
      <c r="O4231" s="2">
        <f ca="1"/>
        <v>0.22759160110199195</v>
      </c>
      <c r="X4231" s="2">
        <f ca="1"/>
        <v>46.249229964897076</v>
      </c>
      <c r="AG4231" s="2">
        <f ca="1"/>
        <v>0.29810939316075591</v>
      </c>
      <c r="AH4231" s="2" t="str">
        <f ca="1"/>
        <v>OK</v>
      </c>
    </row>
    <row r="4232" spans="2:34" x14ac:dyDescent="0.2">
      <c r="B4232" s="2">
        <f ca="1"/>
        <v>0.62438396124038764</v>
      </c>
      <c r="O4232" s="2">
        <f ca="1"/>
        <v>0.15281477577984626</v>
      </c>
      <c r="X4232" s="2">
        <f ca="1"/>
        <v>74.826963858681111</v>
      </c>
      <c r="AG4232" s="2">
        <f ca="1"/>
        <v>0.63461382812847478</v>
      </c>
      <c r="AH4232" s="2" t="str">
        <f ca="1"/>
        <v>Bad</v>
      </c>
    </row>
    <row r="4233" spans="2:34" x14ac:dyDescent="0.2">
      <c r="B4233" s="2">
        <f ca="1"/>
        <v>0.23806535649976079</v>
      </c>
      <c r="O4233" s="2">
        <f ca="1"/>
        <v>0.85733134446171499</v>
      </c>
      <c r="X4233" s="2">
        <f ca="1"/>
        <v>43.025679302102063</v>
      </c>
      <c r="AG4233" s="2">
        <f ca="1"/>
        <v>0.67308036311176589</v>
      </c>
      <c r="AH4233" s="2" t="str">
        <f ca="1"/>
        <v>Bad</v>
      </c>
    </row>
    <row r="4234" spans="2:34" x14ac:dyDescent="0.2">
      <c r="B4234" s="2">
        <f ca="1"/>
        <v>0.33254285778700798</v>
      </c>
      <c r="O4234" s="2">
        <f ca="1"/>
        <v>0.6064427594266355</v>
      </c>
      <c r="X4234" s="2">
        <f ca="1"/>
        <v>50.810092024378037</v>
      </c>
      <c r="AG4234" s="2">
        <f ca="1"/>
        <v>0.98257548802148276</v>
      </c>
      <c r="AH4234" s="2" t="str">
        <f ca="1"/>
        <v>Bad</v>
      </c>
    </row>
    <row r="4235" spans="2:34" x14ac:dyDescent="0.2">
      <c r="B4235" s="2">
        <f ca="1"/>
        <v>0.18058152280205664</v>
      </c>
      <c r="O4235" s="2">
        <f ca="1"/>
        <v>0.67508820422204929</v>
      </c>
      <c r="X4235" s="2">
        <f ca="1"/>
        <v>33.676673412984655</v>
      </c>
      <c r="AG4235" s="2">
        <f ca="1"/>
        <v>0.36312462777745425</v>
      </c>
      <c r="AH4235" s="2" t="str">
        <f ca="1"/>
        <v>OK</v>
      </c>
    </row>
    <row r="4236" spans="2:34" x14ac:dyDescent="0.2">
      <c r="B4236" s="2">
        <f ca="1"/>
        <v>0.5731333037762858</v>
      </c>
      <c r="O4236" s="2">
        <f ca="1"/>
        <v>-1.4771599182683632</v>
      </c>
      <c r="X4236" s="2">
        <f ca="1"/>
        <v>50.270884649862381</v>
      </c>
      <c r="AG4236" s="2">
        <f ca="1"/>
        <v>0.52838146727158763</v>
      </c>
      <c r="AH4236" s="2" t="str">
        <f ca="1"/>
        <v>Bad</v>
      </c>
    </row>
    <row r="4237" spans="2:34" x14ac:dyDescent="0.2">
      <c r="B4237" s="2">
        <f ca="1"/>
        <v>0.42693101020343383</v>
      </c>
      <c r="O4237" s="2">
        <f ca="1"/>
        <v>-0.53355420659736108</v>
      </c>
      <c r="X4237" s="2">
        <f ca="1"/>
        <v>59.755766527255446</v>
      </c>
      <c r="AG4237" s="2">
        <f ca="1"/>
        <v>0.8390564197360908</v>
      </c>
      <c r="AH4237" s="2" t="str">
        <f ca="1"/>
        <v>Bad</v>
      </c>
    </row>
    <row r="4238" spans="2:34" x14ac:dyDescent="0.2">
      <c r="B4238" s="2">
        <f ca="1"/>
        <v>0.10271640092996326</v>
      </c>
      <c r="O4238" s="2">
        <f ca="1"/>
        <v>-4.6312600707511732E-2</v>
      </c>
      <c r="X4238" s="2">
        <f ca="1"/>
        <v>75.765638916184457</v>
      </c>
      <c r="AG4238" s="2">
        <f ca="1"/>
        <v>0.117670573547072</v>
      </c>
      <c r="AH4238" s="2" t="str">
        <f ca="1"/>
        <v>OK</v>
      </c>
    </row>
    <row r="4239" spans="2:34" x14ac:dyDescent="0.2">
      <c r="B4239" s="2">
        <f ca="1"/>
        <v>3.4110567998542063E-3</v>
      </c>
      <c r="O4239" s="2">
        <f ca="1"/>
        <v>5.481518084853438E-2</v>
      </c>
      <c r="X4239" s="2">
        <f ca="1"/>
        <v>64.779201182526833</v>
      </c>
      <c r="AG4239" s="2">
        <f ca="1"/>
        <v>0.95238770767684566</v>
      </c>
      <c r="AH4239" s="2" t="str">
        <f ca="1"/>
        <v>Bad</v>
      </c>
    </row>
    <row r="4240" spans="2:34" x14ac:dyDescent="0.2">
      <c r="B4240" s="2">
        <f ca="1"/>
        <v>0.62301734859291114</v>
      </c>
      <c r="O4240" s="2">
        <f ca="1"/>
        <v>0.81511857158294987</v>
      </c>
      <c r="X4240" s="2">
        <f ca="1"/>
        <v>38.03315365585258</v>
      </c>
      <c r="AG4240" s="2">
        <f ca="1"/>
        <v>0.69149823846350489</v>
      </c>
      <c r="AH4240" s="2" t="str">
        <f ca="1"/>
        <v>Bad</v>
      </c>
    </row>
    <row r="4241" spans="2:34" x14ac:dyDescent="0.2">
      <c r="B4241" s="2">
        <f ca="1"/>
        <v>7.1991975403667308E-2</v>
      </c>
      <c r="O4241" s="2">
        <f ca="1"/>
        <v>-2.0851773588349918</v>
      </c>
      <c r="X4241" s="2">
        <f ca="1"/>
        <v>50.595975249790484</v>
      </c>
      <c r="AG4241" s="2">
        <f ca="1"/>
        <v>0.55077740853948831</v>
      </c>
      <c r="AH4241" s="2" t="str">
        <f ca="1"/>
        <v>Bad</v>
      </c>
    </row>
    <row r="4242" spans="2:34" x14ac:dyDescent="0.2">
      <c r="B4242" s="2">
        <f ca="1"/>
        <v>0.8811589202872161</v>
      </c>
      <c r="O4242" s="2">
        <f ca="1"/>
        <v>-0.13255659377511919</v>
      </c>
      <c r="X4242" s="2">
        <f ca="1"/>
        <v>69.382627848925381</v>
      </c>
      <c r="AG4242" s="2">
        <f ca="1"/>
        <v>0.87339953815691129</v>
      </c>
      <c r="AH4242" s="2" t="str">
        <f ca="1"/>
        <v>Bad</v>
      </c>
    </row>
    <row r="4243" spans="2:34" x14ac:dyDescent="0.2">
      <c r="B4243" s="2">
        <f ca="1"/>
        <v>3.0689294800632094E-2</v>
      </c>
      <c r="O4243" s="2">
        <f ca="1"/>
        <v>0.12161150644368809</v>
      </c>
      <c r="X4243" s="2">
        <f ca="1"/>
        <v>66.32644501351956</v>
      </c>
      <c r="AG4243" s="2">
        <f ca="1"/>
        <v>0.714009207788038</v>
      </c>
      <c r="AH4243" s="2" t="str">
        <f ca="1"/>
        <v>Bad</v>
      </c>
    </row>
    <row r="4244" spans="2:34" x14ac:dyDescent="0.2">
      <c r="B4244" s="2">
        <f ca="1"/>
        <v>5.5042733838641666E-2</v>
      </c>
      <c r="O4244" s="2">
        <f ca="1"/>
        <v>-8.193185922009906E-2</v>
      </c>
      <c r="X4244" s="2">
        <f ca="1"/>
        <v>60.540603279370359</v>
      </c>
      <c r="AG4244" s="2">
        <f ca="1"/>
        <v>0.90295157730249498</v>
      </c>
      <c r="AH4244" s="2" t="str">
        <f ca="1"/>
        <v>Bad</v>
      </c>
    </row>
    <row r="4245" spans="2:34" x14ac:dyDescent="0.2">
      <c r="B4245" s="2">
        <f ca="1"/>
        <v>0.55922593054263547</v>
      </c>
      <c r="O4245" s="2">
        <f ca="1"/>
        <v>-0.38288386288981346</v>
      </c>
      <c r="X4245" s="2">
        <f ca="1"/>
        <v>46.226472352516083</v>
      </c>
      <c r="AG4245" s="2">
        <f ca="1"/>
        <v>0.10327074611636955</v>
      </c>
      <c r="AH4245" s="2" t="str">
        <f ca="1"/>
        <v>OK</v>
      </c>
    </row>
    <row r="4246" spans="2:34" x14ac:dyDescent="0.2">
      <c r="B4246" s="2">
        <f ca="1"/>
        <v>1.297943675384805E-2</v>
      </c>
      <c r="O4246" s="2">
        <f ca="1"/>
        <v>1.701790844114176E-2</v>
      </c>
      <c r="X4246" s="2">
        <f ca="1"/>
        <v>57.546963299589834</v>
      </c>
      <c r="AG4246" s="2">
        <f ca="1"/>
        <v>0.5145795052563793</v>
      </c>
      <c r="AH4246" s="2" t="str">
        <f ca="1"/>
        <v>Bad</v>
      </c>
    </row>
    <row r="4247" spans="2:34" x14ac:dyDescent="0.2">
      <c r="B4247" s="2">
        <f ca="1"/>
        <v>0.43050123427878662</v>
      </c>
      <c r="O4247" s="2">
        <f ca="1"/>
        <v>1.1518487868786875</v>
      </c>
      <c r="X4247" s="2">
        <f ca="1"/>
        <v>55.545760432882162</v>
      </c>
      <c r="AG4247" s="2">
        <f ca="1"/>
        <v>0.56785857891564007</v>
      </c>
      <c r="AH4247" s="2" t="str">
        <f ca="1"/>
        <v>Bad</v>
      </c>
    </row>
    <row r="4248" spans="2:34" x14ac:dyDescent="0.2">
      <c r="B4248" s="2">
        <f ca="1"/>
        <v>0.77682243865905787</v>
      </c>
      <c r="O4248" s="2">
        <f ca="1"/>
        <v>-0.83409488383239327</v>
      </c>
      <c r="X4248" s="2">
        <f ca="1"/>
        <v>56.077131596311972</v>
      </c>
      <c r="AG4248" s="2">
        <f ca="1"/>
        <v>0.78842969496699999</v>
      </c>
      <c r="AH4248" s="2" t="str">
        <f ca="1"/>
        <v>Bad</v>
      </c>
    </row>
    <row r="4249" spans="2:34" x14ac:dyDescent="0.2">
      <c r="B4249" s="2">
        <f ca="1"/>
        <v>4.8531909397918627E-2</v>
      </c>
      <c r="O4249" s="2">
        <f ca="1"/>
        <v>0.7808374319760355</v>
      </c>
      <c r="X4249" s="2">
        <f ca="1"/>
        <v>57.193854655695887</v>
      </c>
      <c r="AG4249" s="2">
        <f ca="1"/>
        <v>0.95813048196437522</v>
      </c>
      <c r="AH4249" s="2" t="str">
        <f ca="1"/>
        <v>Bad</v>
      </c>
    </row>
    <row r="4250" spans="2:34" x14ac:dyDescent="0.2">
      <c r="B4250" s="2">
        <f ca="1"/>
        <v>0.72252340724490183</v>
      </c>
      <c r="O4250" s="2">
        <f ca="1"/>
        <v>0.54915140134591733</v>
      </c>
      <c r="X4250" s="2">
        <f ca="1"/>
        <v>42.997231564081595</v>
      </c>
      <c r="AG4250" s="2">
        <f ca="1"/>
        <v>0.3076655107812758</v>
      </c>
      <c r="AH4250" s="2" t="str">
        <f ca="1"/>
        <v>OK</v>
      </c>
    </row>
    <row r="4251" spans="2:34" x14ac:dyDescent="0.2">
      <c r="B4251" s="2">
        <f ca="1"/>
        <v>3.4706432657032327E-2</v>
      </c>
      <c r="O4251" s="2">
        <f ca="1"/>
        <v>-0.48185043681948048</v>
      </c>
      <c r="X4251" s="2">
        <f ca="1"/>
        <v>26.865822464258251</v>
      </c>
      <c r="AG4251" s="2">
        <f ca="1"/>
        <v>0.80264498916886717</v>
      </c>
      <c r="AH4251" s="2" t="str">
        <f ca="1"/>
        <v>Bad</v>
      </c>
    </row>
    <row r="4252" spans="2:34" x14ac:dyDescent="0.2">
      <c r="B4252" s="2">
        <f ca="1"/>
        <v>0.83901669855095995</v>
      </c>
      <c r="O4252" s="2">
        <f ca="1"/>
        <v>1.5389865458072964</v>
      </c>
      <c r="X4252" s="2">
        <f ca="1"/>
        <v>74.84780620131697</v>
      </c>
      <c r="AG4252" s="2">
        <f ca="1"/>
        <v>0.74784139557021301</v>
      </c>
      <c r="AH4252" s="2" t="str">
        <f ca="1"/>
        <v>Bad</v>
      </c>
    </row>
    <row r="4253" spans="2:34" x14ac:dyDescent="0.2">
      <c r="B4253" s="2">
        <f ca="1"/>
        <v>0.72218835607720444</v>
      </c>
      <c r="O4253" s="2">
        <f ca="1"/>
        <v>-0.32587832423285451</v>
      </c>
      <c r="X4253" s="2">
        <f ca="1"/>
        <v>28.696457922945218</v>
      </c>
      <c r="AG4253" s="2">
        <f ca="1"/>
        <v>0.51624688511562589</v>
      </c>
      <c r="AH4253" s="2" t="str">
        <f ca="1"/>
        <v>Bad</v>
      </c>
    </row>
    <row r="4254" spans="2:34" x14ac:dyDescent="0.2">
      <c r="B4254" s="2">
        <f ca="1"/>
        <v>0.38969937973856439</v>
      </c>
      <c r="O4254" s="2">
        <f ca="1"/>
        <v>-9.6013798052471108E-2</v>
      </c>
      <c r="X4254" s="2">
        <f ca="1"/>
        <v>74.808740820548977</v>
      </c>
      <c r="AG4254" s="2">
        <f ca="1"/>
        <v>0.10783805876054653</v>
      </c>
      <c r="AH4254" s="2" t="str">
        <f ca="1"/>
        <v>OK</v>
      </c>
    </row>
    <row r="4255" spans="2:34" x14ac:dyDescent="0.2">
      <c r="B4255" s="2">
        <f ca="1"/>
        <v>6.0347859416447713E-2</v>
      </c>
      <c r="O4255" s="2">
        <f ca="1"/>
        <v>0.26470776321656458</v>
      </c>
      <c r="X4255" s="2">
        <f ca="1"/>
        <v>52.669273937589274</v>
      </c>
      <c r="AG4255" s="2">
        <f ca="1"/>
        <v>0.60187082930219526</v>
      </c>
      <c r="AH4255" s="2" t="str">
        <f ca="1"/>
        <v>Bad</v>
      </c>
    </row>
    <row r="4256" spans="2:34" x14ac:dyDescent="0.2">
      <c r="B4256" s="2">
        <f ca="1"/>
        <v>0.73380913982699014</v>
      </c>
      <c r="O4256" s="2">
        <f ca="1"/>
        <v>0.36340634094590835</v>
      </c>
      <c r="X4256" s="2">
        <f ca="1"/>
        <v>17.957263430677589</v>
      </c>
      <c r="AG4256" s="2">
        <f ca="1"/>
        <v>0.91540308011447369</v>
      </c>
      <c r="AH4256" s="2" t="str">
        <f ca="1"/>
        <v>Bad</v>
      </c>
    </row>
    <row r="4257" spans="2:34" x14ac:dyDescent="0.2">
      <c r="B4257" s="2">
        <f ca="1"/>
        <v>0.4983469584956528</v>
      </c>
      <c r="O4257" s="2">
        <f ca="1"/>
        <v>-0.59137780726871658</v>
      </c>
      <c r="X4257" s="2">
        <f ca="1"/>
        <v>39.063002434957632</v>
      </c>
      <c r="AG4257" s="2">
        <f ca="1"/>
        <v>0.7543430236776103</v>
      </c>
      <c r="AH4257" s="2" t="str">
        <f ca="1"/>
        <v>Bad</v>
      </c>
    </row>
    <row r="4258" spans="2:34" x14ac:dyDescent="0.2">
      <c r="B4258" s="2">
        <f ca="1"/>
        <v>0.58310959787681838</v>
      </c>
      <c r="O4258" s="2">
        <f ca="1"/>
        <v>-1.8446926669432582</v>
      </c>
      <c r="X4258" s="2">
        <f ca="1"/>
        <v>20.503614022611249</v>
      </c>
      <c r="AG4258" s="2">
        <f ca="1"/>
        <v>0.23478248656226741</v>
      </c>
      <c r="AH4258" s="2" t="str">
        <f ca="1"/>
        <v>OK</v>
      </c>
    </row>
    <row r="4259" spans="2:34" x14ac:dyDescent="0.2">
      <c r="B4259" s="2">
        <f ca="1"/>
        <v>0.94393127820975709</v>
      </c>
      <c r="O4259" s="2">
        <f ca="1"/>
        <v>0.37852138290130488</v>
      </c>
      <c r="X4259" s="2">
        <f ca="1"/>
        <v>42.515310743569927</v>
      </c>
      <c r="AG4259" s="2">
        <f ca="1"/>
        <v>0.27449034442977926</v>
      </c>
      <c r="AH4259" s="2" t="str">
        <f ca="1"/>
        <v>OK</v>
      </c>
    </row>
    <row r="4260" spans="2:34" x14ac:dyDescent="0.2">
      <c r="B4260" s="2">
        <f ca="1"/>
        <v>0.57766020041558819</v>
      </c>
      <c r="O4260" s="2">
        <f ca="1"/>
        <v>-1.1985053208529404</v>
      </c>
      <c r="X4260" s="2">
        <f ca="1"/>
        <v>50.849350177310725</v>
      </c>
      <c r="AG4260" s="2">
        <f ca="1"/>
        <v>6.0098509482240603E-2</v>
      </c>
      <c r="AH4260" s="2" t="str">
        <f ca="1"/>
        <v>OK</v>
      </c>
    </row>
    <row r="4261" spans="2:34" x14ac:dyDescent="0.2">
      <c r="B4261" s="2">
        <f ca="1"/>
        <v>0.56951910242706738</v>
      </c>
      <c r="O4261" s="2">
        <f ca="1"/>
        <v>1.7016936417461388</v>
      </c>
      <c r="X4261" s="2">
        <f ca="1"/>
        <v>36.157366088392067</v>
      </c>
      <c r="AG4261" s="2">
        <f ca="1"/>
        <v>0.8454676171260973</v>
      </c>
      <c r="AH4261" s="2" t="str">
        <f ca="1"/>
        <v>Bad</v>
      </c>
    </row>
    <row r="4262" spans="2:34" x14ac:dyDescent="0.2">
      <c r="B4262" s="2">
        <f ca="1"/>
        <v>0.41984330381089396</v>
      </c>
      <c r="O4262" s="2">
        <f ca="1"/>
        <v>-0.84561768946383353</v>
      </c>
      <c r="X4262" s="2">
        <f ca="1"/>
        <v>59.570182771551401</v>
      </c>
      <c r="AG4262" s="2">
        <f ca="1"/>
        <v>0.14953410924411381</v>
      </c>
      <c r="AH4262" s="2" t="str">
        <f ca="1"/>
        <v>OK</v>
      </c>
    </row>
    <row r="4263" spans="2:34" x14ac:dyDescent="0.2">
      <c r="B4263" s="2">
        <f ca="1"/>
        <v>0.28637330560691576</v>
      </c>
      <c r="O4263" s="2">
        <f ca="1"/>
        <v>0.18548696273994461</v>
      </c>
      <c r="X4263" s="2">
        <f ca="1"/>
        <v>64.576459689705175</v>
      </c>
      <c r="AG4263" s="2">
        <f ca="1"/>
        <v>0.16501433535527066</v>
      </c>
      <c r="AH4263" s="2" t="str">
        <f ca="1"/>
        <v>OK</v>
      </c>
    </row>
    <row r="4264" spans="2:34" x14ac:dyDescent="0.2">
      <c r="B4264" s="2">
        <f ca="1"/>
        <v>0.19226580376693114</v>
      </c>
      <c r="O4264" s="2">
        <f ca="1"/>
        <v>-0.10156075517050527</v>
      </c>
      <c r="X4264" s="2">
        <f ca="1"/>
        <v>49.749442995131432</v>
      </c>
      <c r="AG4264" s="2">
        <f ca="1"/>
        <v>0.15155891894711604</v>
      </c>
      <c r="AH4264" s="2" t="str">
        <f ca="1"/>
        <v>OK</v>
      </c>
    </row>
    <row r="4265" spans="2:34" x14ac:dyDescent="0.2">
      <c r="B4265" s="2">
        <f ca="1"/>
        <v>0.41606960831663264</v>
      </c>
      <c r="O4265" s="2">
        <f ca="1"/>
        <v>0.58303958511900433</v>
      </c>
      <c r="X4265" s="2">
        <f ca="1"/>
        <v>58.653782480071825</v>
      </c>
      <c r="AG4265" s="2">
        <f ca="1"/>
        <v>0.17329810289133252</v>
      </c>
      <c r="AH4265" s="2" t="str">
        <f ca="1"/>
        <v>OK</v>
      </c>
    </row>
    <row r="4266" spans="2:34" x14ac:dyDescent="0.2">
      <c r="B4266" s="2">
        <f ca="1"/>
        <v>0.57300604425903567</v>
      </c>
      <c r="O4266" s="2">
        <f ca="1"/>
        <v>0.79316909468986307</v>
      </c>
      <c r="X4266" s="2">
        <f ca="1"/>
        <v>66.914301262641573</v>
      </c>
      <c r="AG4266" s="2">
        <f ca="1"/>
        <v>0.15914212063283828</v>
      </c>
      <c r="AH4266" s="2" t="str">
        <f ca="1"/>
        <v>OK</v>
      </c>
    </row>
    <row r="4267" spans="2:34" x14ac:dyDescent="0.2">
      <c r="B4267" s="2">
        <f ca="1"/>
        <v>0.78755927672302928</v>
      </c>
      <c r="O4267" s="2">
        <f ca="1"/>
        <v>0.56004823041291829</v>
      </c>
      <c r="X4267" s="2">
        <f ca="1"/>
        <v>56.395860310106073</v>
      </c>
      <c r="AG4267" s="2">
        <f ca="1"/>
        <v>0.74650231872895212</v>
      </c>
      <c r="AH4267" s="2" t="str">
        <f ca="1"/>
        <v>Bad</v>
      </c>
    </row>
    <row r="4268" spans="2:34" x14ac:dyDescent="0.2">
      <c r="B4268" s="2">
        <f ca="1"/>
        <v>0.61277972523845192</v>
      </c>
      <c r="O4268" s="2">
        <f ca="1"/>
        <v>-0.82239253557668746</v>
      </c>
      <c r="X4268" s="2">
        <f ca="1"/>
        <v>43.391208194518185</v>
      </c>
      <c r="AG4268" s="2">
        <f ca="1"/>
        <v>0.8213796759460219</v>
      </c>
      <c r="AH4268" s="2" t="str">
        <f ca="1"/>
        <v>Bad</v>
      </c>
    </row>
    <row r="4269" spans="2:34" x14ac:dyDescent="0.2">
      <c r="B4269" s="2">
        <f ca="1"/>
        <v>0.74790542302808083</v>
      </c>
      <c r="O4269" s="2">
        <f ca="1"/>
        <v>0.19626385261821752</v>
      </c>
      <c r="X4269" s="2">
        <f ca="1"/>
        <v>42.756453653902604</v>
      </c>
      <c r="AG4269" s="2">
        <f ca="1"/>
        <v>0.89956372243039184</v>
      </c>
      <c r="AH4269" s="2" t="str">
        <f ca="1"/>
        <v>Bad</v>
      </c>
    </row>
    <row r="4270" spans="2:34" x14ac:dyDescent="0.2">
      <c r="B4270" s="2">
        <f ca="1"/>
        <v>0.84340440022553298</v>
      </c>
      <c r="O4270" s="2">
        <f ca="1"/>
        <v>0.40027331072736272</v>
      </c>
      <c r="X4270" s="2">
        <f ca="1"/>
        <v>62.665221061671119</v>
      </c>
      <c r="AG4270" s="2">
        <f ca="1"/>
        <v>0.51639704430154842</v>
      </c>
      <c r="AH4270" s="2" t="str">
        <f ca="1"/>
        <v>Bad</v>
      </c>
    </row>
    <row r="4271" spans="2:34" x14ac:dyDescent="0.2">
      <c r="B4271" s="2">
        <f ca="1"/>
        <v>0.7066082973927228</v>
      </c>
      <c r="O4271" s="2">
        <f ca="1"/>
        <v>0.28999310490128472</v>
      </c>
      <c r="X4271" s="2">
        <f ca="1"/>
        <v>53.954589071055395</v>
      </c>
      <c r="AG4271" s="2">
        <f ca="1"/>
        <v>0.79826539373155225</v>
      </c>
      <c r="AH4271" s="2" t="str">
        <f ca="1"/>
        <v>Bad</v>
      </c>
    </row>
    <row r="4272" spans="2:34" x14ac:dyDescent="0.2">
      <c r="B4272" s="2">
        <f ca="1"/>
        <v>0.74395996243324336</v>
      </c>
      <c r="O4272" s="2">
        <f ca="1"/>
        <v>0.82593265185140807</v>
      </c>
      <c r="X4272" s="2">
        <f ca="1"/>
        <v>65.215010573685419</v>
      </c>
      <c r="AG4272" s="2">
        <f ca="1"/>
        <v>6.6825952242196562E-2</v>
      </c>
      <c r="AH4272" s="2" t="str">
        <f ca="1"/>
        <v>OK</v>
      </c>
    </row>
    <row r="4273" spans="2:34" x14ac:dyDescent="0.2">
      <c r="B4273" s="2">
        <f ca="1"/>
        <v>0.66973322999394247</v>
      </c>
      <c r="O4273" s="2">
        <f ca="1"/>
        <v>0.10246206867627086</v>
      </c>
      <c r="X4273" s="2">
        <f ca="1"/>
        <v>46.889257237219709</v>
      </c>
      <c r="AG4273" s="2">
        <f ca="1"/>
        <v>0.20978072795052771</v>
      </c>
      <c r="AH4273" s="2" t="str">
        <f ca="1"/>
        <v>OK</v>
      </c>
    </row>
    <row r="4274" spans="2:34" x14ac:dyDescent="0.2">
      <c r="B4274" s="2">
        <f ca="1"/>
        <v>0.90933812802142344</v>
      </c>
      <c r="O4274" s="2">
        <f ca="1"/>
        <v>2.0042636675963812</v>
      </c>
      <c r="X4274" s="2">
        <f ca="1"/>
        <v>84.436950254519857</v>
      </c>
      <c r="AG4274" s="2">
        <f ca="1"/>
        <v>0.17105666411926679</v>
      </c>
      <c r="AH4274" s="2" t="str">
        <f ca="1"/>
        <v>OK</v>
      </c>
    </row>
    <row r="4275" spans="2:34" x14ac:dyDescent="0.2">
      <c r="B4275" s="2">
        <f ca="1"/>
        <v>0.8896485078615668</v>
      </c>
      <c r="O4275" s="2">
        <f ca="1"/>
        <v>-0.82437087838228007</v>
      </c>
      <c r="X4275" s="2">
        <f ca="1"/>
        <v>52.930195949564478</v>
      </c>
      <c r="AG4275" s="2">
        <f ca="1"/>
        <v>0.5165320434701326</v>
      </c>
      <c r="AH4275" s="2" t="str">
        <f ca="1"/>
        <v>Bad</v>
      </c>
    </row>
    <row r="4276" spans="2:34" x14ac:dyDescent="0.2">
      <c r="B4276" s="2">
        <f ca="1"/>
        <v>7.9395796597095059E-2</v>
      </c>
      <c r="O4276" s="2">
        <f ca="1"/>
        <v>-0.59290715931045035</v>
      </c>
      <c r="X4276" s="2">
        <f ca="1"/>
        <v>65.093714217331325</v>
      </c>
      <c r="AG4276" s="2">
        <f ca="1"/>
        <v>0.14336616780343547</v>
      </c>
      <c r="AH4276" s="2" t="str">
        <f ca="1"/>
        <v>OK</v>
      </c>
    </row>
    <row r="4277" spans="2:34" x14ac:dyDescent="0.2">
      <c r="B4277" s="2">
        <f ca="1"/>
        <v>0.73503107128530454</v>
      </c>
      <c r="O4277" s="2">
        <f ca="1"/>
        <v>-0.30897808338141886</v>
      </c>
      <c r="X4277" s="2">
        <f ca="1"/>
        <v>42.648041656118082</v>
      </c>
      <c r="AG4277" s="2">
        <f ca="1"/>
        <v>0.70716455126815014</v>
      </c>
      <c r="AH4277" s="2" t="str">
        <f ca="1"/>
        <v>Bad</v>
      </c>
    </row>
    <row r="4278" spans="2:34" x14ac:dyDescent="0.2">
      <c r="B4278" s="2">
        <f ca="1"/>
        <v>0.40730234731783477</v>
      </c>
      <c r="O4278" s="2">
        <f ca="1"/>
        <v>0.16226245775438861</v>
      </c>
      <c r="X4278" s="2">
        <f ca="1"/>
        <v>32.640059175465808</v>
      </c>
      <c r="AG4278" s="2">
        <f ca="1"/>
        <v>9.6356772277964353E-2</v>
      </c>
      <c r="AH4278" s="2" t="str">
        <f ca="1"/>
        <v>OK</v>
      </c>
    </row>
    <row r="4279" spans="2:34" x14ac:dyDescent="0.2">
      <c r="B4279" s="2">
        <f ca="1"/>
        <v>0.7902443979962166</v>
      </c>
      <c r="O4279" s="2">
        <f ca="1"/>
        <v>1.1646475441262232</v>
      </c>
      <c r="X4279" s="2">
        <f ca="1"/>
        <v>54.468938210266167</v>
      </c>
      <c r="AG4279" s="2">
        <f ca="1"/>
        <v>0.47405045313200023</v>
      </c>
      <c r="AH4279" s="2" t="str">
        <f ca="1"/>
        <v>Bad</v>
      </c>
    </row>
    <row r="4280" spans="2:34" x14ac:dyDescent="0.2">
      <c r="B4280" s="2">
        <f ca="1"/>
        <v>0.80668070978577067</v>
      </c>
      <c r="O4280" s="2">
        <f ca="1"/>
        <v>0.99177435222997712</v>
      </c>
      <c r="X4280" s="2">
        <f ca="1"/>
        <v>53.550478633606403</v>
      </c>
      <c r="AG4280" s="2">
        <f ca="1"/>
        <v>0.7997723545086961</v>
      </c>
      <c r="AH4280" s="2" t="str">
        <f ca="1"/>
        <v>Bad</v>
      </c>
    </row>
    <row r="4281" spans="2:34" x14ac:dyDescent="0.2">
      <c r="B4281" s="2">
        <f ca="1"/>
        <v>0.44625720189139995</v>
      </c>
      <c r="O4281" s="2">
        <f ca="1"/>
        <v>-0.71125482348314872</v>
      </c>
      <c r="X4281" s="2">
        <f ca="1"/>
        <v>52.025444506796532</v>
      </c>
      <c r="AG4281" s="2">
        <f ca="1"/>
        <v>0.67357661451166884</v>
      </c>
      <c r="AH4281" s="2" t="str">
        <f ca="1"/>
        <v>Bad</v>
      </c>
    </row>
    <row r="4282" spans="2:34" x14ac:dyDescent="0.2">
      <c r="B4282" s="2">
        <f ca="1"/>
        <v>0.74050413679031757</v>
      </c>
      <c r="O4282" s="2">
        <f ca="1"/>
        <v>0.6804604359968851</v>
      </c>
      <c r="X4282" s="2">
        <f ca="1"/>
        <v>41.945384320504246</v>
      </c>
      <c r="AG4282" s="2">
        <f ca="1"/>
        <v>0.63393905048569033</v>
      </c>
      <c r="AH4282" s="2" t="str">
        <f ca="1"/>
        <v>Bad</v>
      </c>
    </row>
    <row r="4283" spans="2:34" x14ac:dyDescent="0.2">
      <c r="B4283" s="2">
        <f ca="1"/>
        <v>0.33220526430550334</v>
      </c>
      <c r="O4283" s="2">
        <f ca="1"/>
        <v>-0.27478135417668781</v>
      </c>
      <c r="X4283" s="2">
        <f ca="1"/>
        <v>28.553647860348406</v>
      </c>
      <c r="AG4283" s="2">
        <f ca="1"/>
        <v>0.18671787863785916</v>
      </c>
      <c r="AH4283" s="2" t="str">
        <f ca="1"/>
        <v>OK</v>
      </c>
    </row>
    <row r="4284" spans="2:34" x14ac:dyDescent="0.2">
      <c r="B4284" s="2">
        <f ca="1"/>
        <v>0.44408949160946598</v>
      </c>
      <c r="O4284" s="2">
        <f ca="1"/>
        <v>-1.4045252911379875</v>
      </c>
      <c r="X4284" s="2">
        <f ca="1"/>
        <v>46.967469809595883</v>
      </c>
      <c r="AG4284" s="2">
        <f ca="1"/>
        <v>0.2396937584119172</v>
      </c>
      <c r="AH4284" s="2" t="str">
        <f ca="1"/>
        <v>OK</v>
      </c>
    </row>
    <row r="4285" spans="2:34" x14ac:dyDescent="0.2">
      <c r="B4285" s="2">
        <f ca="1"/>
        <v>0.53758101285189785</v>
      </c>
      <c r="O4285" s="2">
        <f ca="1"/>
        <v>7.0938407392959974E-3</v>
      </c>
      <c r="X4285" s="2">
        <f ca="1"/>
        <v>40.412874805508203</v>
      </c>
      <c r="AG4285" s="2">
        <f ca="1"/>
        <v>0.58678136281714077</v>
      </c>
      <c r="AH4285" s="2" t="str">
        <f ca="1"/>
        <v>Bad</v>
      </c>
    </row>
    <row r="4286" spans="2:34" x14ac:dyDescent="0.2">
      <c r="B4286" s="2">
        <f ca="1"/>
        <v>0.19256491489716954</v>
      </c>
      <c r="O4286" s="2">
        <f ca="1"/>
        <v>0.30504023469160552</v>
      </c>
      <c r="X4286" s="2">
        <f ca="1"/>
        <v>51.714534626870545</v>
      </c>
      <c r="AG4286" s="2">
        <f ca="1"/>
        <v>0.45457986709531872</v>
      </c>
      <c r="AH4286" s="2" t="str">
        <f ca="1"/>
        <v>Bad</v>
      </c>
    </row>
    <row r="4287" spans="2:34" x14ac:dyDescent="0.2">
      <c r="B4287" s="2">
        <f ca="1"/>
        <v>0.15740029689768442</v>
      </c>
      <c r="O4287" s="2">
        <f ca="1"/>
        <v>0.62478315208980362</v>
      </c>
      <c r="X4287" s="2">
        <f ca="1"/>
        <v>16.052846011606093</v>
      </c>
      <c r="AG4287" s="2">
        <f ca="1"/>
        <v>0.83182105593543088</v>
      </c>
      <c r="AH4287" s="2" t="str">
        <f ca="1"/>
        <v>Bad</v>
      </c>
    </row>
    <row r="4288" spans="2:34" x14ac:dyDescent="0.2">
      <c r="B4288" s="2">
        <f ca="1"/>
        <v>0.86684333070031716</v>
      </c>
      <c r="O4288" s="2">
        <f ca="1"/>
        <v>0.12606621778985741</v>
      </c>
      <c r="X4288" s="2">
        <f ca="1"/>
        <v>54.195668898979179</v>
      </c>
      <c r="AG4288" s="2">
        <f ca="1"/>
        <v>0.58124636289207876</v>
      </c>
      <c r="AH4288" s="2" t="str">
        <f ca="1"/>
        <v>Bad</v>
      </c>
    </row>
    <row r="4289" spans="2:34" x14ac:dyDescent="0.2">
      <c r="B4289" s="2">
        <f ca="1"/>
        <v>0.43687708868266628</v>
      </c>
      <c r="O4289" s="2">
        <f ca="1"/>
        <v>1.3156748074689948</v>
      </c>
      <c r="X4289" s="2">
        <f ca="1"/>
        <v>45.771791004343136</v>
      </c>
      <c r="AG4289" s="2">
        <f ca="1"/>
        <v>0.53728718786564489</v>
      </c>
      <c r="AH4289" s="2" t="str">
        <f ca="1"/>
        <v>Bad</v>
      </c>
    </row>
    <row r="4290" spans="2:34" x14ac:dyDescent="0.2">
      <c r="B4290" s="2">
        <f ca="1"/>
        <v>0.73095861210388491</v>
      </c>
      <c r="O4290" s="2">
        <f ca="1"/>
        <v>0.88151536643272577</v>
      </c>
      <c r="X4290" s="2">
        <f ca="1"/>
        <v>43.526031034488391</v>
      </c>
      <c r="AG4290" s="2">
        <f ca="1"/>
        <v>0.65504115596170309</v>
      </c>
      <c r="AH4290" s="2" t="str">
        <f ca="1"/>
        <v>Bad</v>
      </c>
    </row>
    <row r="4291" spans="2:34" x14ac:dyDescent="0.2">
      <c r="B4291" s="2">
        <f ca="1"/>
        <v>0.86389567158132441</v>
      </c>
      <c r="O4291" s="2">
        <f ca="1"/>
        <v>2.3104572980593967</v>
      </c>
      <c r="X4291" s="2">
        <f ca="1"/>
        <v>40.079306074900089</v>
      </c>
      <c r="AG4291" s="2">
        <f ca="1"/>
        <v>0.14373583929232692</v>
      </c>
      <c r="AH4291" s="2" t="str">
        <f ca="1"/>
        <v>OK</v>
      </c>
    </row>
    <row r="4292" spans="2:34" x14ac:dyDescent="0.2">
      <c r="B4292" s="2">
        <f ca="1"/>
        <v>0.2164120176838551</v>
      </c>
      <c r="O4292" s="2">
        <f ca="1"/>
        <v>-1.4329182803326874</v>
      </c>
      <c r="X4292" s="2">
        <f ca="1"/>
        <v>72.227128392258194</v>
      </c>
      <c r="AG4292" s="2">
        <f ca="1"/>
        <v>0.55550612499738805</v>
      </c>
      <c r="AH4292" s="2" t="str">
        <f ca="1"/>
        <v>Bad</v>
      </c>
    </row>
    <row r="4293" spans="2:34" x14ac:dyDescent="0.2">
      <c r="B4293" s="2">
        <f ca="1"/>
        <v>0.92408937008681313</v>
      </c>
      <c r="O4293" s="2">
        <f ca="1"/>
        <v>1.6252726313839436</v>
      </c>
      <c r="X4293" s="2">
        <f ca="1"/>
        <v>62.650740372102511</v>
      </c>
      <c r="AG4293" s="2">
        <f ca="1"/>
        <v>0.23837190532448949</v>
      </c>
      <c r="AH4293" s="2" t="str">
        <f ca="1"/>
        <v>OK</v>
      </c>
    </row>
    <row r="4294" spans="2:34" x14ac:dyDescent="0.2">
      <c r="B4294" s="2">
        <f ca="1"/>
        <v>0.7759977619900531</v>
      </c>
      <c r="O4294" s="2">
        <f ca="1"/>
        <v>0.3436437452331968</v>
      </c>
      <c r="X4294" s="2">
        <f ca="1"/>
        <v>70.349620074284871</v>
      </c>
      <c r="AG4294" s="2">
        <f ca="1"/>
        <v>0.44590770350204423</v>
      </c>
      <c r="AH4294" s="2" t="str">
        <f ca="1"/>
        <v>Bad</v>
      </c>
    </row>
    <row r="4295" spans="2:34" x14ac:dyDescent="0.2">
      <c r="B4295" s="2">
        <f ca="1"/>
        <v>5.1939898177714383E-2</v>
      </c>
      <c r="O4295" s="2">
        <f ca="1"/>
        <v>-0.28643151585473425</v>
      </c>
      <c r="X4295" s="2">
        <f ca="1"/>
        <v>18.625568607876769</v>
      </c>
      <c r="AG4295" s="2">
        <f ca="1"/>
        <v>0.96235125224658202</v>
      </c>
      <c r="AH4295" s="2" t="str">
        <f ca="1"/>
        <v>Bad</v>
      </c>
    </row>
    <row r="4296" spans="2:34" x14ac:dyDescent="0.2">
      <c r="B4296" s="2">
        <f ca="1"/>
        <v>0.55822186445588939</v>
      </c>
      <c r="O4296" s="2">
        <f ca="1"/>
        <v>-1.7092592098090891</v>
      </c>
      <c r="X4296" s="2">
        <f ca="1"/>
        <v>54.201426665318053</v>
      </c>
      <c r="AG4296" s="2">
        <f ca="1"/>
        <v>0.84066030272140746</v>
      </c>
      <c r="AH4296" s="2" t="str">
        <f ca="1"/>
        <v>Bad</v>
      </c>
    </row>
    <row r="4297" spans="2:34" x14ac:dyDescent="0.2">
      <c r="B4297" s="2">
        <f ca="1"/>
        <v>0.46708067967372768</v>
      </c>
      <c r="O4297" s="2">
        <f ca="1"/>
        <v>0.70733615580379472</v>
      </c>
      <c r="X4297" s="2">
        <f ca="1"/>
        <v>67.755300707826464</v>
      </c>
      <c r="AG4297" s="2">
        <f ca="1"/>
        <v>0.95405295389519584</v>
      </c>
      <c r="AH4297" s="2" t="str">
        <f ca="1"/>
        <v>Bad</v>
      </c>
    </row>
    <row r="4298" spans="2:34" x14ac:dyDescent="0.2">
      <c r="B4298" s="2">
        <f ca="1"/>
        <v>0.38321082592400812</v>
      </c>
      <c r="O4298" s="2">
        <f ca="1"/>
        <v>-1.0405185211453589</v>
      </c>
      <c r="X4298" s="2">
        <f ca="1"/>
        <v>57.596006303834557</v>
      </c>
      <c r="AG4298" s="2">
        <f ca="1"/>
        <v>0.2297308387398036</v>
      </c>
      <c r="AH4298" s="2" t="str">
        <f ca="1"/>
        <v>OK</v>
      </c>
    </row>
    <row r="4299" spans="2:34" x14ac:dyDescent="0.2">
      <c r="B4299" s="2">
        <f ca="1"/>
        <v>0.5315945603920631</v>
      </c>
      <c r="O4299" s="2">
        <f ca="1"/>
        <v>-0.53685085061678284</v>
      </c>
      <c r="X4299" s="2">
        <f ca="1"/>
        <v>43.330261936894644</v>
      </c>
      <c r="AG4299" s="2">
        <f ca="1"/>
        <v>0.16905472744269212</v>
      </c>
      <c r="AH4299" s="2" t="str">
        <f ca="1"/>
        <v>OK</v>
      </c>
    </row>
    <row r="4300" spans="2:34" x14ac:dyDescent="0.2">
      <c r="B4300" s="2">
        <f ca="1"/>
        <v>0.64754559275964985</v>
      </c>
      <c r="O4300" s="2">
        <f ca="1"/>
        <v>0.18796449119902967</v>
      </c>
      <c r="X4300" s="2">
        <f ca="1"/>
        <v>38.926722757397719</v>
      </c>
      <c r="AG4300" s="2">
        <f ca="1"/>
        <v>0.6224564680865925</v>
      </c>
      <c r="AH4300" s="2" t="str">
        <f ca="1"/>
        <v>Bad</v>
      </c>
    </row>
    <row r="4301" spans="2:34" x14ac:dyDescent="0.2">
      <c r="B4301" s="2">
        <f ca="1"/>
        <v>0.91409638399030002</v>
      </c>
      <c r="O4301" s="2">
        <f ca="1"/>
        <v>0.48286393883941159</v>
      </c>
      <c r="X4301" s="2">
        <f ca="1"/>
        <v>54.285454273279285</v>
      </c>
      <c r="AG4301" s="2">
        <f ca="1"/>
        <v>2.4079665663130134E-2</v>
      </c>
      <c r="AH4301" s="2" t="str">
        <f ca="1"/>
        <v>Good</v>
      </c>
    </row>
    <row r="4302" spans="2:34" x14ac:dyDescent="0.2">
      <c r="B4302" s="2">
        <f ca="1"/>
        <v>5.9047991397479516E-2</v>
      </c>
      <c r="O4302" s="2">
        <f ca="1"/>
        <v>1.1791667172588183</v>
      </c>
      <c r="X4302" s="2">
        <f ca="1"/>
        <v>47.368663573546819</v>
      </c>
      <c r="AG4302" s="2">
        <f ca="1"/>
        <v>0.40627521380302145</v>
      </c>
      <c r="AH4302" s="2" t="str">
        <f ca="1"/>
        <v>Bad</v>
      </c>
    </row>
    <row r="4303" spans="2:34" x14ac:dyDescent="0.2">
      <c r="B4303" s="2">
        <f ca="1"/>
        <v>0.81578852664080537</v>
      </c>
      <c r="O4303" s="2">
        <f ca="1"/>
        <v>-0.76879590025077249</v>
      </c>
      <c r="X4303" s="2">
        <f ca="1"/>
        <v>41.891203190766689</v>
      </c>
      <c r="AG4303" s="2">
        <f ca="1"/>
        <v>0.8666509097683619</v>
      </c>
      <c r="AH4303" s="2" t="str">
        <f ca="1"/>
        <v>Bad</v>
      </c>
    </row>
    <row r="4304" spans="2:34" x14ac:dyDescent="0.2">
      <c r="B4304" s="2">
        <f ca="1"/>
        <v>0.5977022788444335</v>
      </c>
      <c r="O4304" s="2">
        <f ca="1"/>
        <v>-1.0682310402289756</v>
      </c>
      <c r="X4304" s="2">
        <f ca="1"/>
        <v>63.210774886876365</v>
      </c>
      <c r="AG4304" s="2">
        <f ca="1"/>
        <v>0.97406280952818847</v>
      </c>
      <c r="AH4304" s="2" t="str">
        <f ca="1"/>
        <v>Bad</v>
      </c>
    </row>
    <row r="4305" spans="2:34" x14ac:dyDescent="0.2">
      <c r="B4305" s="2">
        <f ca="1"/>
        <v>9.4179027709096808E-2</v>
      </c>
      <c r="O4305" s="2">
        <f ca="1"/>
        <v>-0.2652489754356715</v>
      </c>
      <c r="X4305" s="2">
        <f ca="1"/>
        <v>77.943222151069122</v>
      </c>
      <c r="AG4305" s="2">
        <f ca="1"/>
        <v>2.3654142434061276E-2</v>
      </c>
      <c r="AH4305" s="2" t="str">
        <f ca="1"/>
        <v>Good</v>
      </c>
    </row>
    <row r="4306" spans="2:34" x14ac:dyDescent="0.2">
      <c r="B4306" s="2">
        <f ca="1"/>
        <v>0.46528587160343093</v>
      </c>
      <c r="O4306" s="2">
        <f ca="1"/>
        <v>0.61588438020232283</v>
      </c>
      <c r="X4306" s="2">
        <f ca="1"/>
        <v>88.741206413455686</v>
      </c>
      <c r="AG4306" s="2">
        <f ca="1"/>
        <v>0.96730645651144731</v>
      </c>
      <c r="AH4306" s="2" t="str">
        <f ca="1"/>
        <v>Bad</v>
      </c>
    </row>
    <row r="4307" spans="2:34" x14ac:dyDescent="0.2">
      <c r="B4307" s="2">
        <f ca="1"/>
        <v>5.7534029695002209E-2</v>
      </c>
      <c r="O4307" s="2">
        <f ca="1"/>
        <v>-0.41333208628654683</v>
      </c>
      <c r="X4307" s="2">
        <f ca="1"/>
        <v>52.553510878583864</v>
      </c>
      <c r="AG4307" s="2">
        <f ca="1"/>
        <v>0.90864567416053932</v>
      </c>
      <c r="AH4307" s="2" t="str">
        <f ca="1"/>
        <v>Bad</v>
      </c>
    </row>
    <row r="4308" spans="2:34" x14ac:dyDescent="0.2">
      <c r="B4308" s="2">
        <f ca="1"/>
        <v>0.70284866632390575</v>
      </c>
      <c r="O4308" s="2">
        <f ca="1"/>
        <v>-0.32813908805410325</v>
      </c>
      <c r="X4308" s="2">
        <f ca="1"/>
        <v>60.462455105709438</v>
      </c>
      <c r="AG4308" s="2">
        <f ca="1"/>
        <v>9.5861573662024302E-2</v>
      </c>
      <c r="AH4308" s="2" t="str">
        <f ca="1"/>
        <v>OK</v>
      </c>
    </row>
    <row r="4309" spans="2:34" x14ac:dyDescent="0.2">
      <c r="B4309" s="2">
        <f ca="1"/>
        <v>0.33499923223205585</v>
      </c>
      <c r="O4309" s="2">
        <f ca="1"/>
        <v>0.97010786628053614</v>
      </c>
      <c r="X4309" s="2">
        <f ca="1"/>
        <v>41.541860959677962</v>
      </c>
      <c r="AG4309" s="2">
        <f ca="1"/>
        <v>0.33562313527698384</v>
      </c>
      <c r="AH4309" s="2" t="str">
        <f ca="1"/>
        <v>OK</v>
      </c>
    </row>
    <row r="4310" spans="2:34" x14ac:dyDescent="0.2">
      <c r="B4310" s="2">
        <f ca="1"/>
        <v>0.74486704150851213</v>
      </c>
      <c r="O4310" s="2">
        <f ca="1"/>
        <v>-1.2429202199829343</v>
      </c>
      <c r="X4310" s="2">
        <f ca="1"/>
        <v>74.564561082164531</v>
      </c>
      <c r="AG4310" s="2">
        <f ca="1"/>
        <v>0.32224196473088496</v>
      </c>
      <c r="AH4310" s="2" t="str">
        <f ca="1"/>
        <v>OK</v>
      </c>
    </row>
    <row r="4311" spans="2:34" x14ac:dyDescent="0.2">
      <c r="B4311" s="2">
        <f ca="1"/>
        <v>0.91898960883635561</v>
      </c>
      <c r="O4311" s="2">
        <f ca="1"/>
        <v>1.0041919788974902</v>
      </c>
      <c r="X4311" s="2">
        <f ca="1"/>
        <v>43.009263712136303</v>
      </c>
      <c r="AG4311" s="2">
        <f ca="1"/>
        <v>4.9864611122008684E-2</v>
      </c>
      <c r="AH4311" s="2" t="str">
        <f ca="1"/>
        <v>Good</v>
      </c>
    </row>
    <row r="4312" spans="2:34" x14ac:dyDescent="0.2">
      <c r="B4312" s="2">
        <f ca="1"/>
        <v>0.92994792865367359</v>
      </c>
      <c r="O4312" s="2">
        <f ca="1"/>
        <v>0.70127680072015897</v>
      </c>
      <c r="X4312" s="2">
        <f ca="1"/>
        <v>62.019755404236292</v>
      </c>
      <c r="AG4312" s="2">
        <f ca="1"/>
        <v>0.99745496485726637</v>
      </c>
      <c r="AH4312" s="2" t="str">
        <f ca="1"/>
        <v>Bad</v>
      </c>
    </row>
    <row r="4313" spans="2:34" x14ac:dyDescent="0.2">
      <c r="B4313" s="2">
        <f ca="1"/>
        <v>0.66771512684113676</v>
      </c>
      <c r="O4313" s="2">
        <f ca="1"/>
        <v>0.39476158410066703</v>
      </c>
      <c r="X4313" s="2">
        <f ca="1"/>
        <v>45.283539555629211</v>
      </c>
      <c r="AG4313" s="2">
        <f ca="1"/>
        <v>0.85702847500117785</v>
      </c>
      <c r="AH4313" s="2" t="str">
        <f ca="1"/>
        <v>Bad</v>
      </c>
    </row>
    <row r="4314" spans="2:34" x14ac:dyDescent="0.2">
      <c r="B4314" s="2">
        <f ca="1"/>
        <v>0.77956452694046852</v>
      </c>
      <c r="O4314" s="2">
        <f ca="1"/>
        <v>-0.13924773943022389</v>
      </c>
      <c r="X4314" s="2">
        <f ca="1"/>
        <v>52.316555811834064</v>
      </c>
      <c r="AG4314" s="2">
        <f ca="1"/>
        <v>0.18753823043263895</v>
      </c>
      <c r="AH4314" s="2" t="str">
        <f ca="1"/>
        <v>OK</v>
      </c>
    </row>
    <row r="4315" spans="2:34" x14ac:dyDescent="0.2">
      <c r="B4315" s="2">
        <f ca="1"/>
        <v>0.62846505746374537</v>
      </c>
      <c r="O4315" s="2">
        <f ca="1"/>
        <v>1.2623011689620782</v>
      </c>
      <c r="X4315" s="2">
        <f ca="1"/>
        <v>40.972662381153668</v>
      </c>
      <c r="AG4315" s="2">
        <f ca="1"/>
        <v>0.69912822535133068</v>
      </c>
      <c r="AH4315" s="2" t="str">
        <f ca="1"/>
        <v>Bad</v>
      </c>
    </row>
    <row r="4316" spans="2:34" x14ac:dyDescent="0.2">
      <c r="B4316" s="2">
        <f ca="1"/>
        <v>0.44745960599957169</v>
      </c>
      <c r="O4316" s="2">
        <f ca="1"/>
        <v>-0.33078119376122367</v>
      </c>
      <c r="X4316" s="2">
        <f ca="1"/>
        <v>57.815127445222203</v>
      </c>
      <c r="AG4316" s="2">
        <f ca="1"/>
        <v>0.61911859755249798</v>
      </c>
      <c r="AH4316" s="2" t="str">
        <f ca="1"/>
        <v>Bad</v>
      </c>
    </row>
    <row r="4317" spans="2:34" x14ac:dyDescent="0.2">
      <c r="B4317" s="2">
        <f ca="1"/>
        <v>0.67950007293470138</v>
      </c>
      <c r="O4317" s="2">
        <f ca="1"/>
        <v>0.2701744497252701</v>
      </c>
      <c r="X4317" s="2">
        <f ca="1"/>
        <v>29.813551134010552</v>
      </c>
      <c r="AG4317" s="2">
        <f ca="1"/>
        <v>0.94495477665106264</v>
      </c>
      <c r="AH4317" s="2" t="str">
        <f ca="1"/>
        <v>Bad</v>
      </c>
    </row>
    <row r="4318" spans="2:34" x14ac:dyDescent="0.2">
      <c r="B4318" s="2">
        <f ca="1"/>
        <v>0.97525351118591108</v>
      </c>
      <c r="O4318" s="2">
        <f ca="1"/>
        <v>-1.1353345323562867</v>
      </c>
      <c r="X4318" s="2">
        <f ca="1"/>
        <v>48.155975916632343</v>
      </c>
      <c r="AG4318" s="2">
        <f ca="1"/>
        <v>0.17191523809417641</v>
      </c>
      <c r="AH4318" s="2" t="str">
        <f ca="1"/>
        <v>OK</v>
      </c>
    </row>
    <row r="4319" spans="2:34" x14ac:dyDescent="0.2">
      <c r="B4319" s="2">
        <f ca="1"/>
        <v>0.22864216987808872</v>
      </c>
      <c r="O4319" s="2">
        <f ca="1"/>
        <v>1.0299418499045538</v>
      </c>
      <c r="X4319" s="2">
        <f ca="1"/>
        <v>45.534192011502711</v>
      </c>
      <c r="AG4319" s="2">
        <f ca="1"/>
        <v>0.67883631958595947</v>
      </c>
      <c r="AH4319" s="2" t="str">
        <f ca="1"/>
        <v>Bad</v>
      </c>
    </row>
    <row r="4320" spans="2:34" x14ac:dyDescent="0.2">
      <c r="B4320" s="2">
        <f ca="1"/>
        <v>0.59768530494202921</v>
      </c>
      <c r="O4320" s="2">
        <f ca="1"/>
        <v>0.42578893169070919</v>
      </c>
      <c r="X4320" s="2">
        <f ca="1"/>
        <v>43.205452419343146</v>
      </c>
      <c r="AG4320" s="2">
        <f ca="1"/>
        <v>0.55390441953942959</v>
      </c>
      <c r="AH4320" s="2" t="str">
        <f ca="1"/>
        <v>Bad</v>
      </c>
    </row>
    <row r="4321" spans="2:34" x14ac:dyDescent="0.2">
      <c r="B4321" s="2">
        <f ca="1"/>
        <v>0.55879518255714089</v>
      </c>
      <c r="O4321" s="2">
        <f ca="1"/>
        <v>-1.3822536599853783</v>
      </c>
      <c r="X4321" s="2">
        <f ca="1"/>
        <v>77.868524530670086</v>
      </c>
      <c r="AG4321" s="2">
        <f ca="1"/>
        <v>0.61615576736367039</v>
      </c>
      <c r="AH4321" s="2" t="str">
        <f ca="1"/>
        <v>Bad</v>
      </c>
    </row>
    <row r="4322" spans="2:34" x14ac:dyDescent="0.2">
      <c r="B4322" s="2">
        <f ca="1"/>
        <v>0.28593537253888379</v>
      </c>
      <c r="O4322" s="2">
        <f ca="1"/>
        <v>-7.3974928807006721E-2</v>
      </c>
      <c r="X4322" s="2">
        <f ca="1"/>
        <v>99.598162778958027</v>
      </c>
      <c r="AG4322" s="2">
        <f ca="1"/>
        <v>0.40864307382265297</v>
      </c>
      <c r="AH4322" s="2" t="str">
        <f ca="1"/>
        <v>Bad</v>
      </c>
    </row>
    <row r="4323" spans="2:34" x14ac:dyDescent="0.2">
      <c r="B4323" s="2">
        <f ca="1"/>
        <v>0.16437400293544679</v>
      </c>
      <c r="O4323" s="2">
        <f ca="1"/>
        <v>0.39023679969886998</v>
      </c>
      <c r="X4323" s="2">
        <f ca="1"/>
        <v>30.269968715277713</v>
      </c>
      <c r="AG4323" s="2">
        <f ca="1"/>
        <v>0.98290474601841549</v>
      </c>
      <c r="AH4323" s="2" t="str">
        <f ca="1"/>
        <v>Bad</v>
      </c>
    </row>
    <row r="4324" spans="2:34" x14ac:dyDescent="0.2">
      <c r="B4324" s="2">
        <f ca="1"/>
        <v>0.77887556420562798</v>
      </c>
      <c r="O4324" s="2">
        <f ca="1"/>
        <v>2.0015186767749591</v>
      </c>
      <c r="X4324" s="2">
        <f ca="1"/>
        <v>55.46096397831392</v>
      </c>
      <c r="AG4324" s="2">
        <f ca="1"/>
        <v>0.78046196930885015</v>
      </c>
      <c r="AH4324" s="2" t="str">
        <f ca="1"/>
        <v>Bad</v>
      </c>
    </row>
    <row r="4325" spans="2:34" x14ac:dyDescent="0.2">
      <c r="B4325" s="2">
        <f ca="1"/>
        <v>0.61824958020978693</v>
      </c>
      <c r="O4325" s="2">
        <f ca="1"/>
        <v>1.1964630412526174</v>
      </c>
      <c r="X4325" s="2">
        <f ca="1"/>
        <v>42.104213495472287</v>
      </c>
      <c r="AG4325" s="2">
        <f ca="1"/>
        <v>0.4094597904530084</v>
      </c>
      <c r="AH4325" s="2" t="str">
        <f ca="1"/>
        <v>Bad</v>
      </c>
    </row>
    <row r="4326" spans="2:34" x14ac:dyDescent="0.2">
      <c r="B4326" s="2">
        <f ca="1"/>
        <v>0.54014548092090053</v>
      </c>
      <c r="O4326" s="2">
        <f ca="1"/>
        <v>0.29318227045542311</v>
      </c>
      <c r="X4326" s="2">
        <f ca="1"/>
        <v>62.19689467774618</v>
      </c>
      <c r="AG4326" s="2">
        <f ca="1"/>
        <v>0.99291533354774208</v>
      </c>
      <c r="AH4326" s="2" t="str">
        <f ca="1"/>
        <v>Bad</v>
      </c>
    </row>
    <row r="4327" spans="2:34" x14ac:dyDescent="0.2">
      <c r="B4327" s="2">
        <f ca="1"/>
        <v>0.85802942372785473</v>
      </c>
      <c r="O4327" s="2">
        <f ca="1"/>
        <v>-1.4283167501807306</v>
      </c>
      <c r="X4327" s="2">
        <f ca="1"/>
        <v>42.581201645608616</v>
      </c>
      <c r="AG4327" s="2">
        <f ca="1"/>
        <v>0.92749837446927152</v>
      </c>
      <c r="AH4327" s="2" t="str">
        <f ca="1"/>
        <v>Bad</v>
      </c>
    </row>
    <row r="4328" spans="2:34" x14ac:dyDescent="0.2">
      <c r="B4328" s="2">
        <f ca="1"/>
        <v>0.3315118498739178</v>
      </c>
      <c r="O4328" s="2">
        <f ca="1"/>
        <v>0.46180370226813877</v>
      </c>
      <c r="X4328" s="2">
        <f ca="1"/>
        <v>17.790581700592124</v>
      </c>
      <c r="AG4328" s="2">
        <f ca="1"/>
        <v>0.49379045236935015</v>
      </c>
      <c r="AH4328" s="2" t="str">
        <f ca="1"/>
        <v>Bad</v>
      </c>
    </row>
    <row r="4329" spans="2:34" x14ac:dyDescent="0.2">
      <c r="B4329" s="2">
        <f ca="1"/>
        <v>0.63159173672402158</v>
      </c>
      <c r="O4329" s="2">
        <f ca="1"/>
        <v>-0.95198728492087126</v>
      </c>
      <c r="X4329" s="2">
        <f ca="1"/>
        <v>33.819810518076949</v>
      </c>
      <c r="AG4329" s="2">
        <f ca="1"/>
        <v>0.73496282404225233</v>
      </c>
      <c r="AH4329" s="2" t="str">
        <f ca="1"/>
        <v>Bad</v>
      </c>
    </row>
    <row r="4330" spans="2:34" x14ac:dyDescent="0.2">
      <c r="B4330" s="2">
        <f ca="1"/>
        <v>0.28569438687742155</v>
      </c>
      <c r="O4330" s="2">
        <f ca="1"/>
        <v>1.5625678512801586</v>
      </c>
      <c r="X4330" s="2">
        <f ca="1"/>
        <v>37.852937873150751</v>
      </c>
      <c r="AG4330" s="2">
        <f ca="1"/>
        <v>0.64340930194101142</v>
      </c>
      <c r="AH4330" s="2" t="str">
        <f ca="1"/>
        <v>Bad</v>
      </c>
    </row>
    <row r="4331" spans="2:34" x14ac:dyDescent="0.2">
      <c r="B4331" s="2">
        <f ca="1"/>
        <v>0.93446096491273756</v>
      </c>
      <c r="O4331" s="2">
        <f ca="1"/>
        <v>8.7988347780984438E-2</v>
      </c>
      <c r="X4331" s="2">
        <f ca="1"/>
        <v>58.856571375205732</v>
      </c>
      <c r="AG4331" s="2">
        <f ca="1"/>
        <v>0.81588425800859232</v>
      </c>
      <c r="AH4331" s="2" t="str">
        <f ca="1"/>
        <v>Bad</v>
      </c>
    </row>
    <row r="4332" spans="2:34" x14ac:dyDescent="0.2">
      <c r="B4332" s="2">
        <f ca="1"/>
        <v>0.7615104772430612</v>
      </c>
      <c r="O4332" s="2">
        <f ca="1"/>
        <v>1.4967749305774221</v>
      </c>
      <c r="X4332" s="2">
        <f ca="1"/>
        <v>89.875754839848724</v>
      </c>
      <c r="AG4332" s="2">
        <f ca="1"/>
        <v>0.17619663513070583</v>
      </c>
      <c r="AH4332" s="2" t="str">
        <f ca="1"/>
        <v>OK</v>
      </c>
    </row>
    <row r="4333" spans="2:34" x14ac:dyDescent="0.2">
      <c r="B4333" s="2">
        <f ca="1"/>
        <v>0.50622637828692607</v>
      </c>
      <c r="O4333" s="2">
        <f ca="1"/>
        <v>0.26953253986374903</v>
      </c>
      <c r="X4333" s="2">
        <f ca="1"/>
        <v>52.517288183612877</v>
      </c>
      <c r="AG4333" s="2">
        <f ca="1"/>
        <v>0.60706031808555849</v>
      </c>
      <c r="AH4333" s="2" t="str">
        <f ca="1"/>
        <v>Bad</v>
      </c>
    </row>
    <row r="4334" spans="2:34" x14ac:dyDescent="0.2">
      <c r="B4334" s="2">
        <f ca="1"/>
        <v>7.0792024753687954E-2</v>
      </c>
      <c r="O4334" s="2">
        <f ca="1"/>
        <v>0.43533540184139791</v>
      </c>
      <c r="X4334" s="2">
        <f ca="1"/>
        <v>25.318196316690251</v>
      </c>
      <c r="AG4334" s="2">
        <f ca="1"/>
        <v>0.63714499927091683</v>
      </c>
      <c r="AH4334" s="2" t="str">
        <f ca="1"/>
        <v>Bad</v>
      </c>
    </row>
    <row r="4335" spans="2:34" x14ac:dyDescent="0.2">
      <c r="B4335" s="2">
        <f ca="1"/>
        <v>0.70849447463714732</v>
      </c>
      <c r="O4335" s="2">
        <f ca="1"/>
        <v>0.15175290784726289</v>
      </c>
      <c r="X4335" s="2">
        <f ca="1"/>
        <v>34.994530213892368</v>
      </c>
      <c r="AG4335" s="2">
        <f ca="1"/>
        <v>0.69426325582732451</v>
      </c>
      <c r="AH4335" s="2" t="str">
        <f ca="1"/>
        <v>Bad</v>
      </c>
    </row>
    <row r="4336" spans="2:34" x14ac:dyDescent="0.2">
      <c r="B4336" s="2">
        <f ca="1"/>
        <v>0.7394295928792638</v>
      </c>
      <c r="O4336" s="2">
        <f ca="1"/>
        <v>1.1061405496713392</v>
      </c>
      <c r="X4336" s="2">
        <f ca="1"/>
        <v>46.369642643297205</v>
      </c>
      <c r="AG4336" s="2">
        <f ca="1"/>
        <v>0.11367111322074464</v>
      </c>
      <c r="AH4336" s="2" t="str">
        <f ca="1"/>
        <v>OK</v>
      </c>
    </row>
    <row r="4337" spans="2:34" x14ac:dyDescent="0.2">
      <c r="B4337" s="2">
        <f ca="1"/>
        <v>0.42678793084659783</v>
      </c>
      <c r="O4337" s="2">
        <f ca="1"/>
        <v>-0.43628895954125269</v>
      </c>
      <c r="X4337" s="2">
        <f ca="1"/>
        <v>54.690587498767051</v>
      </c>
      <c r="AG4337" s="2">
        <f ca="1"/>
        <v>0.51000538048078026</v>
      </c>
      <c r="AH4337" s="2" t="str">
        <f ca="1"/>
        <v>Bad</v>
      </c>
    </row>
    <row r="4338" spans="2:34" x14ac:dyDescent="0.2">
      <c r="B4338" s="2">
        <f ca="1"/>
        <v>0.96265918136967898</v>
      </c>
      <c r="O4338" s="2">
        <f ca="1"/>
        <v>-0.17484656085014488</v>
      </c>
      <c r="X4338" s="2">
        <f ca="1"/>
        <v>68.206309432308871</v>
      </c>
      <c r="AG4338" s="2">
        <f ca="1"/>
        <v>0.90820280683162014</v>
      </c>
      <c r="AH4338" s="2" t="str">
        <f ca="1"/>
        <v>Bad</v>
      </c>
    </row>
    <row r="4339" spans="2:34" x14ac:dyDescent="0.2">
      <c r="B4339" s="2">
        <f ca="1"/>
        <v>0.97219236443380552</v>
      </c>
      <c r="O4339" s="2">
        <f ca="1"/>
        <v>-0.61744091050722472</v>
      </c>
      <c r="X4339" s="2">
        <f ca="1"/>
        <v>37.012309052340896</v>
      </c>
      <c r="AG4339" s="2">
        <f ca="1"/>
        <v>0.26973698349683439</v>
      </c>
      <c r="AH4339" s="2" t="str">
        <f ca="1"/>
        <v>OK</v>
      </c>
    </row>
    <row r="4340" spans="2:34" x14ac:dyDescent="0.2">
      <c r="B4340" s="2">
        <f ca="1"/>
        <v>3.5971276336876246E-2</v>
      </c>
      <c r="O4340" s="2">
        <f ca="1"/>
        <v>0.61572863556344293</v>
      </c>
      <c r="X4340" s="2">
        <f ca="1"/>
        <v>57.055152862420108</v>
      </c>
      <c r="AG4340" s="2">
        <f ca="1"/>
        <v>0.35225986745137483</v>
      </c>
      <c r="AH4340" s="2" t="str">
        <f ca="1"/>
        <v>OK</v>
      </c>
    </row>
    <row r="4341" spans="2:34" x14ac:dyDescent="0.2">
      <c r="B4341" s="2">
        <f ca="1"/>
        <v>0.7286726437654123</v>
      </c>
      <c r="O4341" s="2">
        <f ca="1"/>
        <v>-1.9363318416524966</v>
      </c>
      <c r="X4341" s="2">
        <f ca="1"/>
        <v>71.727364684830548</v>
      </c>
      <c r="AG4341" s="2">
        <f ca="1"/>
        <v>0.35380648275615001</v>
      </c>
      <c r="AH4341" s="2" t="str">
        <f ca="1"/>
        <v>OK</v>
      </c>
    </row>
    <row r="4342" spans="2:34" x14ac:dyDescent="0.2">
      <c r="B4342" s="2">
        <f ca="1"/>
        <v>2.9643184740277384E-2</v>
      </c>
      <c r="O4342" s="2">
        <f ca="1"/>
        <v>-3.287584423314556E-2</v>
      </c>
      <c r="X4342" s="2">
        <f ca="1"/>
        <v>28.214116524416863</v>
      </c>
      <c r="AG4342" s="2">
        <f ca="1"/>
        <v>0.99132311550748442</v>
      </c>
      <c r="AH4342" s="2" t="str">
        <f ca="1"/>
        <v>Bad</v>
      </c>
    </row>
    <row r="4343" spans="2:34" x14ac:dyDescent="0.2">
      <c r="B4343" s="2">
        <f ca="1"/>
        <v>0.663790049844035</v>
      </c>
      <c r="O4343" s="2">
        <f ca="1"/>
        <v>0.59761962669927149</v>
      </c>
      <c r="X4343" s="2">
        <f ca="1"/>
        <v>62.19964261552385</v>
      </c>
      <c r="AG4343" s="2">
        <f ca="1"/>
        <v>0.38258577791947412</v>
      </c>
      <c r="AH4343" s="2" t="str">
        <f ca="1"/>
        <v>OK</v>
      </c>
    </row>
    <row r="4344" spans="2:34" x14ac:dyDescent="0.2">
      <c r="B4344" s="2">
        <f ca="1"/>
        <v>0.69839718592825184</v>
      </c>
      <c r="O4344" s="2">
        <f ca="1"/>
        <v>-0.86182496676265319</v>
      </c>
      <c r="X4344" s="2">
        <f ca="1"/>
        <v>88.070047668787652</v>
      </c>
      <c r="AG4344" s="2">
        <f ca="1"/>
        <v>0.24107173249125302</v>
      </c>
      <c r="AH4344" s="2" t="str">
        <f ca="1"/>
        <v>OK</v>
      </c>
    </row>
    <row r="4345" spans="2:34" x14ac:dyDescent="0.2">
      <c r="B4345" s="2">
        <f ca="1"/>
        <v>0.49076486178089307</v>
      </c>
      <c r="O4345" s="2">
        <f ca="1"/>
        <v>1.7213806135709067</v>
      </c>
      <c r="X4345" s="2">
        <f ca="1"/>
        <v>46.948743795356236</v>
      </c>
      <c r="AG4345" s="2">
        <f ca="1"/>
        <v>0.37532595057553264</v>
      </c>
      <c r="AH4345" s="2" t="str">
        <f ca="1"/>
        <v>OK</v>
      </c>
    </row>
    <row r="4346" spans="2:34" x14ac:dyDescent="0.2">
      <c r="B4346" s="2">
        <f ca="1"/>
        <v>0.40595354086110058</v>
      </c>
      <c r="O4346" s="2">
        <f ca="1"/>
        <v>1.1301473423277855</v>
      </c>
      <c r="X4346" s="2">
        <f ca="1"/>
        <v>44.537492987492598</v>
      </c>
      <c r="AG4346" s="2">
        <f ca="1"/>
        <v>0.34599209159257227</v>
      </c>
      <c r="AH4346" s="2" t="str">
        <f ca="1"/>
        <v>OK</v>
      </c>
    </row>
    <row r="4347" spans="2:34" x14ac:dyDescent="0.2">
      <c r="B4347" s="2">
        <f ca="1"/>
        <v>3.954791281546588E-2</v>
      </c>
      <c r="O4347" s="2">
        <f ca="1"/>
        <v>0.6962758318511939</v>
      </c>
      <c r="X4347" s="2">
        <f ca="1"/>
        <v>47.694137728063986</v>
      </c>
      <c r="AG4347" s="2">
        <f ca="1"/>
        <v>0.94312301123116304</v>
      </c>
      <c r="AH4347" s="2" t="str">
        <f ca="1"/>
        <v>Bad</v>
      </c>
    </row>
    <row r="4348" spans="2:34" x14ac:dyDescent="0.2">
      <c r="B4348" s="2">
        <f ca="1"/>
        <v>0.36808573230568298</v>
      </c>
      <c r="O4348" s="2">
        <f ca="1"/>
        <v>-0.95920604219173278</v>
      </c>
      <c r="X4348" s="2">
        <f ca="1"/>
        <v>51.050003403104881</v>
      </c>
      <c r="AG4348" s="2">
        <f ca="1"/>
        <v>0.12255920691710576</v>
      </c>
      <c r="AH4348" s="2" t="str">
        <f ca="1"/>
        <v>OK</v>
      </c>
    </row>
    <row r="4349" spans="2:34" x14ac:dyDescent="0.2">
      <c r="B4349" s="2">
        <f ca="1"/>
        <v>0.57600757603551545</v>
      </c>
      <c r="O4349" s="2">
        <f ca="1"/>
        <v>-0.73942262801192771</v>
      </c>
      <c r="X4349" s="2">
        <f ca="1"/>
        <v>64.79735524264143</v>
      </c>
      <c r="AG4349" s="2">
        <f ca="1"/>
        <v>0.30262748347473778</v>
      </c>
      <c r="AH4349" s="2" t="str">
        <f ca="1"/>
        <v>OK</v>
      </c>
    </row>
    <row r="4350" spans="2:34" x14ac:dyDescent="0.2">
      <c r="B4350" s="2">
        <f ca="1"/>
        <v>3.261433776006406E-3</v>
      </c>
      <c r="O4350" s="2">
        <f ca="1"/>
        <v>-0.51252671978529551</v>
      </c>
      <c r="X4350" s="2">
        <f ca="1"/>
        <v>46.420817523623008</v>
      </c>
      <c r="AG4350" s="2">
        <f ca="1"/>
        <v>0.46038514915409845</v>
      </c>
      <c r="AH4350" s="2" t="str">
        <f ca="1"/>
        <v>Bad</v>
      </c>
    </row>
    <row r="4351" spans="2:34" x14ac:dyDescent="0.2">
      <c r="B4351" s="2">
        <f ca="1"/>
        <v>0.92162386473495594</v>
      </c>
      <c r="O4351" s="2">
        <f ca="1"/>
        <v>-0.32054419328838529</v>
      </c>
      <c r="X4351" s="2">
        <f ca="1"/>
        <v>44.884025347832157</v>
      </c>
      <c r="AG4351" s="2">
        <f ca="1"/>
        <v>0.25075286691978982</v>
      </c>
      <c r="AH4351" s="2" t="str">
        <f ca="1"/>
        <v>OK</v>
      </c>
    </row>
    <row r="4352" spans="2:34" x14ac:dyDescent="0.2">
      <c r="B4352" s="2">
        <f ca="1"/>
        <v>0.66301025608938358</v>
      </c>
      <c r="O4352" s="2">
        <f ca="1"/>
        <v>1.0932243765017002</v>
      </c>
      <c r="X4352" s="2">
        <f ca="1"/>
        <v>40.131984809222047</v>
      </c>
      <c r="AG4352" s="2">
        <f ca="1"/>
        <v>0.63906628886788419</v>
      </c>
      <c r="AH4352" s="2" t="str">
        <f ca="1"/>
        <v>Bad</v>
      </c>
    </row>
    <row r="4353" spans="2:34" x14ac:dyDescent="0.2">
      <c r="B4353" s="2">
        <f ca="1"/>
        <v>0.76531576289832914</v>
      </c>
      <c r="O4353" s="2">
        <f ca="1"/>
        <v>1.9365669712574121</v>
      </c>
      <c r="X4353" s="2">
        <f ca="1"/>
        <v>48.690005290740231</v>
      </c>
      <c r="AG4353" s="2">
        <f ca="1"/>
        <v>0.24594178401624078</v>
      </c>
      <c r="AH4353" s="2" t="str">
        <f ca="1"/>
        <v>OK</v>
      </c>
    </row>
    <row r="4354" spans="2:34" x14ac:dyDescent="0.2">
      <c r="B4354" s="2">
        <f ca="1"/>
        <v>0.32178503037405992</v>
      </c>
      <c r="O4354" s="2">
        <f ca="1"/>
        <v>1.0506200839485782</v>
      </c>
      <c r="X4354" s="2">
        <f ca="1"/>
        <v>41.662031335938757</v>
      </c>
      <c r="AG4354" s="2">
        <f ca="1"/>
        <v>0.34449505963596705</v>
      </c>
      <c r="AH4354" s="2" t="str">
        <f ca="1"/>
        <v>OK</v>
      </c>
    </row>
    <row r="4355" spans="2:34" x14ac:dyDescent="0.2">
      <c r="B4355" s="2">
        <f ca="1"/>
        <v>0.37754873316419779</v>
      </c>
      <c r="O4355" s="2">
        <f ca="1"/>
        <v>0.93025110026964908</v>
      </c>
      <c r="X4355" s="2">
        <f ca="1"/>
        <v>37.301713670765828</v>
      </c>
      <c r="AG4355" s="2">
        <f ca="1"/>
        <v>0.3731212520704561</v>
      </c>
      <c r="AH4355" s="2" t="str">
        <f ca="1"/>
        <v>OK</v>
      </c>
    </row>
    <row r="4356" spans="2:34" x14ac:dyDescent="0.2">
      <c r="B4356" s="2">
        <f ca="1"/>
        <v>0.94611842836694793</v>
      </c>
      <c r="O4356" s="2">
        <f ca="1"/>
        <v>2.2862042748434308</v>
      </c>
      <c r="X4356" s="2">
        <f ca="1"/>
        <v>32.467658102647647</v>
      </c>
      <c r="AG4356" s="2">
        <f ca="1"/>
        <v>0.1886670614135717</v>
      </c>
      <c r="AH4356" s="2" t="str">
        <f ca="1"/>
        <v>OK</v>
      </c>
    </row>
    <row r="4357" spans="2:34" x14ac:dyDescent="0.2">
      <c r="B4357" s="2">
        <f ca="1"/>
        <v>0.88244484704023951</v>
      </c>
      <c r="O4357" s="2">
        <f ca="1"/>
        <v>-1.0016832392423152</v>
      </c>
      <c r="X4357" s="2">
        <f ca="1"/>
        <v>55.911630092962533</v>
      </c>
      <c r="AG4357" s="2">
        <f ca="1"/>
        <v>0.41904235387435462</v>
      </c>
      <c r="AH4357" s="2" t="str">
        <f ca="1"/>
        <v>Bad</v>
      </c>
    </row>
    <row r="4358" spans="2:34" x14ac:dyDescent="0.2">
      <c r="B4358" s="2">
        <f ca="1"/>
        <v>0.36131309426223357</v>
      </c>
      <c r="O4358" s="2">
        <f ca="1"/>
        <v>-0.47523146638017544</v>
      </c>
      <c r="X4358" s="2">
        <f ca="1"/>
        <v>56.537931024714815</v>
      </c>
      <c r="AG4358" s="2">
        <f ca="1"/>
        <v>0.74891148428444798</v>
      </c>
      <c r="AH4358" s="2" t="str">
        <f ca="1"/>
        <v>Bad</v>
      </c>
    </row>
    <row r="4359" spans="2:34" x14ac:dyDescent="0.2">
      <c r="B4359" s="2">
        <f ca="1"/>
        <v>0.55639477927801684</v>
      </c>
      <c r="O4359" s="2">
        <f ca="1"/>
        <v>-6.0061377131350527E-2</v>
      </c>
      <c r="X4359" s="2">
        <f ca="1"/>
        <v>37.231834517286885</v>
      </c>
      <c r="AG4359" s="2">
        <f ca="1"/>
        <v>0.58187553263920488</v>
      </c>
      <c r="AH4359" s="2" t="str">
        <f ca="1"/>
        <v>Bad</v>
      </c>
    </row>
    <row r="4360" spans="2:34" x14ac:dyDescent="0.2">
      <c r="B4360" s="2">
        <f ca="1"/>
        <v>0.12281314685004996</v>
      </c>
      <c r="O4360" s="2">
        <f ca="1"/>
        <v>-1.5001425506288495</v>
      </c>
      <c r="X4360" s="2">
        <f ca="1"/>
        <v>54.347416105934549</v>
      </c>
      <c r="AG4360" s="2">
        <f ca="1"/>
        <v>0.70238837616837069</v>
      </c>
      <c r="AH4360" s="2" t="str">
        <f ca="1"/>
        <v>Bad</v>
      </c>
    </row>
    <row r="4361" spans="2:34" x14ac:dyDescent="0.2">
      <c r="B4361" s="2">
        <f ca="1"/>
        <v>7.8711792687637727E-2</v>
      </c>
      <c r="O4361" s="2">
        <f ca="1"/>
        <v>-1.2454635487499168</v>
      </c>
      <c r="X4361" s="2">
        <f ca="1"/>
        <v>38.962208831826196</v>
      </c>
      <c r="AG4361" s="2">
        <f ca="1"/>
        <v>0.54462195250661827</v>
      </c>
      <c r="AH4361" s="2" t="str">
        <f ca="1"/>
        <v>Bad</v>
      </c>
    </row>
    <row r="4362" spans="2:34" x14ac:dyDescent="0.2">
      <c r="B4362" s="2">
        <f ca="1"/>
        <v>0.13685573705205401</v>
      </c>
      <c r="O4362" s="2">
        <f ca="1"/>
        <v>-0.9227367158574723</v>
      </c>
      <c r="X4362" s="2">
        <f ca="1"/>
        <v>52.557515163672235</v>
      </c>
      <c r="AG4362" s="2">
        <f ca="1"/>
        <v>0.75809274202373067</v>
      </c>
      <c r="AH4362" s="2" t="str">
        <f ca="1"/>
        <v>Bad</v>
      </c>
    </row>
    <row r="4363" spans="2:34" x14ac:dyDescent="0.2">
      <c r="B4363" s="2">
        <f ca="1"/>
        <v>0.37486581553287834</v>
      </c>
      <c r="O4363" s="2">
        <f ca="1"/>
        <v>0.82090758771489969</v>
      </c>
      <c r="X4363" s="2">
        <f ca="1"/>
        <v>46.035370245686771</v>
      </c>
      <c r="AG4363" s="2">
        <f ca="1"/>
        <v>0.10625947735853591</v>
      </c>
      <c r="AH4363" s="2" t="str">
        <f ca="1"/>
        <v>OK</v>
      </c>
    </row>
    <row r="4364" spans="2:34" x14ac:dyDescent="0.2">
      <c r="B4364" s="2">
        <f ca="1"/>
        <v>0.53401331253047313</v>
      </c>
      <c r="O4364" s="2">
        <f ca="1"/>
        <v>0.55885096548790869</v>
      </c>
      <c r="X4364" s="2">
        <f ca="1"/>
        <v>74.427983790340619</v>
      </c>
      <c r="AG4364" s="2">
        <f ca="1"/>
        <v>0.5596405389010326</v>
      </c>
      <c r="AH4364" s="2" t="str">
        <f ca="1"/>
        <v>Bad</v>
      </c>
    </row>
    <row r="4365" spans="2:34" x14ac:dyDescent="0.2">
      <c r="B4365" s="2">
        <f ca="1"/>
        <v>0.61360139878794429</v>
      </c>
      <c r="O4365" s="2">
        <f ca="1"/>
        <v>0.54697290567449641</v>
      </c>
      <c r="X4365" s="2">
        <f ca="1"/>
        <v>33.214539534347537</v>
      </c>
      <c r="AG4365" s="2">
        <f ca="1"/>
        <v>0.31149959898210589</v>
      </c>
      <c r="AH4365" s="2" t="str">
        <f ca="1"/>
        <v>OK</v>
      </c>
    </row>
    <row r="4366" spans="2:34" x14ac:dyDescent="0.2">
      <c r="B4366" s="2">
        <f ca="1"/>
        <v>0.35648004489726959</v>
      </c>
      <c r="O4366" s="2">
        <f ca="1"/>
        <v>-2.1881870464556497</v>
      </c>
      <c r="X4366" s="2">
        <f ca="1"/>
        <v>67.101058607466001</v>
      </c>
      <c r="AG4366" s="2">
        <f ca="1"/>
        <v>0.2670554695966314</v>
      </c>
      <c r="AH4366" s="2" t="str">
        <f ca="1"/>
        <v>OK</v>
      </c>
    </row>
    <row r="4367" spans="2:34" x14ac:dyDescent="0.2">
      <c r="B4367" s="2">
        <f ca="1"/>
        <v>0.32604619384694522</v>
      </c>
      <c r="O4367" s="2">
        <f ca="1"/>
        <v>0.16208321023390745</v>
      </c>
      <c r="X4367" s="2">
        <f ca="1"/>
        <v>36.938838051194089</v>
      </c>
      <c r="AG4367" s="2">
        <f ca="1"/>
        <v>0.6178100896892984</v>
      </c>
      <c r="AH4367" s="2" t="str">
        <f ca="1"/>
        <v>Bad</v>
      </c>
    </row>
    <row r="4368" spans="2:34" x14ac:dyDescent="0.2">
      <c r="B4368" s="2">
        <f ca="1"/>
        <v>0.62307651863951952</v>
      </c>
      <c r="O4368" s="2">
        <f ca="1"/>
        <v>0.79618525366794324</v>
      </c>
      <c r="X4368" s="2">
        <f ca="1"/>
        <v>40.119669047824416</v>
      </c>
      <c r="AG4368" s="2">
        <f ca="1"/>
        <v>0.474493430838272</v>
      </c>
      <c r="AH4368" s="2" t="str">
        <f ca="1"/>
        <v>Bad</v>
      </c>
    </row>
    <row r="4369" spans="2:34" x14ac:dyDescent="0.2">
      <c r="B4369" s="2">
        <f ca="1"/>
        <v>0.21496607699428893</v>
      </c>
      <c r="O4369" s="2">
        <f ca="1"/>
        <v>-1.929068561938893</v>
      </c>
      <c r="X4369" s="2">
        <f ca="1"/>
        <v>31.842459175643182</v>
      </c>
      <c r="AG4369" s="2">
        <f ca="1"/>
        <v>0.74068842330358975</v>
      </c>
      <c r="AH4369" s="2" t="str">
        <f ca="1"/>
        <v>Bad</v>
      </c>
    </row>
    <row r="4370" spans="2:34" x14ac:dyDescent="0.2">
      <c r="B4370" s="2">
        <f ca="1"/>
        <v>0.60056407346587903</v>
      </c>
      <c r="O4370" s="2">
        <f ca="1"/>
        <v>-0.74499599108126657</v>
      </c>
      <c r="X4370" s="2">
        <f ca="1"/>
        <v>46.962353600911513</v>
      </c>
      <c r="AG4370" s="2">
        <f ca="1"/>
        <v>0.35181034213881568</v>
      </c>
      <c r="AH4370" s="2" t="str">
        <f ca="1"/>
        <v>OK</v>
      </c>
    </row>
    <row r="4371" spans="2:34" x14ac:dyDescent="0.2">
      <c r="B4371" s="2">
        <f ca="1"/>
        <v>0.92800721109451256</v>
      </c>
      <c r="O4371" s="2">
        <f ca="1"/>
        <v>0.95831232998821292</v>
      </c>
      <c r="X4371" s="2">
        <f ca="1"/>
        <v>55.045030210884427</v>
      </c>
      <c r="AG4371" s="2">
        <f ca="1"/>
        <v>0.32634120511257536</v>
      </c>
      <c r="AH4371" s="2" t="str">
        <f ca="1"/>
        <v>OK</v>
      </c>
    </row>
    <row r="4372" spans="2:34" x14ac:dyDescent="0.2">
      <c r="B4372" s="2">
        <f ca="1"/>
        <v>0.705956916209731</v>
      </c>
      <c r="O4372" s="2">
        <f ca="1"/>
        <v>-1.7975453395100978</v>
      </c>
      <c r="X4372" s="2">
        <f ca="1"/>
        <v>43.836404310719445</v>
      </c>
      <c r="AG4372" s="2">
        <f ca="1"/>
        <v>0.66411143504376957</v>
      </c>
      <c r="AH4372" s="2" t="str">
        <f ca="1"/>
        <v>Bad</v>
      </c>
    </row>
    <row r="4373" spans="2:34" x14ac:dyDescent="0.2">
      <c r="B4373" s="2">
        <f ca="1"/>
        <v>0.57957786911833553</v>
      </c>
      <c r="O4373" s="2">
        <f ca="1"/>
        <v>-0.62998021836969198</v>
      </c>
      <c r="X4373" s="2">
        <f ca="1"/>
        <v>32.483403882145907</v>
      </c>
      <c r="AG4373" s="2">
        <f ca="1"/>
        <v>0.19575059126921368</v>
      </c>
      <c r="AH4373" s="2" t="str">
        <f ca="1"/>
        <v>OK</v>
      </c>
    </row>
    <row r="4374" spans="2:34" x14ac:dyDescent="0.2">
      <c r="B4374" s="2">
        <f ca="1"/>
        <v>0.62837281791754651</v>
      </c>
      <c r="O4374" s="2">
        <f ca="1"/>
        <v>-9.2954641739819779E-2</v>
      </c>
      <c r="X4374" s="2">
        <f ca="1"/>
        <v>53.609354909147847</v>
      </c>
      <c r="AG4374" s="2">
        <f ca="1"/>
        <v>0.66525596704517165</v>
      </c>
      <c r="AH4374" s="2" t="str">
        <f ca="1"/>
        <v>Bad</v>
      </c>
    </row>
    <row r="4375" spans="2:34" x14ac:dyDescent="0.2">
      <c r="B4375" s="2">
        <f ca="1"/>
        <v>9.1823011908992891E-2</v>
      </c>
      <c r="O4375" s="2">
        <f ca="1"/>
        <v>-1.2506605087384799</v>
      </c>
      <c r="X4375" s="2">
        <f ca="1"/>
        <v>47.407226058474123</v>
      </c>
      <c r="AG4375" s="2">
        <f ca="1"/>
        <v>0.23192506906507271</v>
      </c>
      <c r="AH4375" s="2" t="str">
        <f ca="1"/>
        <v>OK</v>
      </c>
    </row>
    <row r="4376" spans="2:34" x14ac:dyDescent="0.2">
      <c r="B4376" s="2">
        <f ca="1"/>
        <v>2.4083794895628508E-3</v>
      </c>
      <c r="O4376" s="2">
        <f ca="1"/>
        <v>0.45219054518123325</v>
      </c>
      <c r="X4376" s="2">
        <f ca="1"/>
        <v>57.895228630675462</v>
      </c>
      <c r="AG4376" s="2">
        <f ca="1"/>
        <v>0.23918555680112918</v>
      </c>
      <c r="AH4376" s="2" t="str">
        <f ca="1"/>
        <v>OK</v>
      </c>
    </row>
    <row r="4377" spans="2:34" x14ac:dyDescent="0.2">
      <c r="B4377" s="2">
        <f ca="1"/>
        <v>0.78168651313337634</v>
      </c>
      <c r="O4377" s="2">
        <f ca="1"/>
        <v>0.86532619823590273</v>
      </c>
      <c r="X4377" s="2">
        <f ca="1"/>
        <v>31.59417749850029</v>
      </c>
      <c r="AG4377" s="2">
        <f ca="1"/>
        <v>0.56166172335342202</v>
      </c>
      <c r="AH4377" s="2" t="str">
        <f ca="1"/>
        <v>Bad</v>
      </c>
    </row>
    <row r="4378" spans="2:34" x14ac:dyDescent="0.2">
      <c r="B4378" s="2">
        <f ca="1"/>
        <v>0.26560890817983984</v>
      </c>
      <c r="O4378" s="2">
        <f ca="1"/>
        <v>-0.32474065817367681</v>
      </c>
      <c r="X4378" s="2">
        <f ca="1"/>
        <v>30.833105343302005</v>
      </c>
      <c r="AG4378" s="2">
        <f ca="1"/>
        <v>0.97992374565643781</v>
      </c>
      <c r="AH4378" s="2" t="str">
        <f ca="1"/>
        <v>Bad</v>
      </c>
    </row>
    <row r="4379" spans="2:34" x14ac:dyDescent="0.2">
      <c r="B4379" s="2">
        <f ca="1"/>
        <v>0.96294979713087581</v>
      </c>
      <c r="O4379" s="2">
        <f ca="1"/>
        <v>-0.58597264801937499</v>
      </c>
      <c r="X4379" s="2">
        <f ca="1"/>
        <v>45.0942530473136</v>
      </c>
      <c r="AG4379" s="2">
        <f ca="1"/>
        <v>0.82581484906323221</v>
      </c>
      <c r="AH4379" s="2" t="str">
        <f ca="1"/>
        <v>Bad</v>
      </c>
    </row>
    <row r="4380" spans="2:34" x14ac:dyDescent="0.2">
      <c r="B4380" s="2">
        <f ca="1"/>
        <v>0.68815874419874756</v>
      </c>
      <c r="O4380" s="2">
        <f ca="1"/>
        <v>0.20679445167088836</v>
      </c>
      <c r="X4380" s="2">
        <f ca="1"/>
        <v>47.832667205674973</v>
      </c>
      <c r="AG4380" s="2">
        <f ca="1"/>
        <v>0.4852628508613257</v>
      </c>
      <c r="AH4380" s="2" t="str">
        <f ca="1"/>
        <v>Bad</v>
      </c>
    </row>
    <row r="4381" spans="2:34" x14ac:dyDescent="0.2">
      <c r="B4381" s="2">
        <f ca="1"/>
        <v>0.6794556388374573</v>
      </c>
      <c r="O4381" s="2">
        <f ca="1"/>
        <v>-0.33510637869882098</v>
      </c>
      <c r="X4381" s="2">
        <f ca="1"/>
        <v>31.894172037391307</v>
      </c>
      <c r="AG4381" s="2">
        <f ca="1"/>
        <v>0.7732112063764518</v>
      </c>
      <c r="AH4381" s="2" t="str">
        <f ca="1"/>
        <v>Bad</v>
      </c>
    </row>
    <row r="4382" spans="2:34" x14ac:dyDescent="0.2">
      <c r="B4382" s="2">
        <f ca="1"/>
        <v>0.89665116387941657</v>
      </c>
      <c r="O4382" s="2">
        <f ca="1"/>
        <v>-1.1751622212321136</v>
      </c>
      <c r="X4382" s="2">
        <f ca="1"/>
        <v>36.942406793545281</v>
      </c>
      <c r="AG4382" s="2">
        <f ca="1"/>
        <v>0.15522259758273371</v>
      </c>
      <c r="AH4382" s="2" t="str">
        <f ca="1"/>
        <v>OK</v>
      </c>
    </row>
    <row r="4383" spans="2:34" x14ac:dyDescent="0.2">
      <c r="B4383" s="2">
        <f ca="1"/>
        <v>0.2540270090119694</v>
      </c>
      <c r="O4383" s="2">
        <f ca="1"/>
        <v>-2.6770805270177396E-2</v>
      </c>
      <c r="X4383" s="2">
        <f ca="1"/>
        <v>56.39728905957233</v>
      </c>
      <c r="AG4383" s="2">
        <f ca="1"/>
        <v>0.81542304889647865</v>
      </c>
      <c r="AH4383" s="2" t="str">
        <f ca="1"/>
        <v>Bad</v>
      </c>
    </row>
    <row r="4384" spans="2:34" x14ac:dyDescent="0.2">
      <c r="B4384" s="2">
        <f ca="1"/>
        <v>0.21094617506110147</v>
      </c>
      <c r="O4384" s="2">
        <f ca="1"/>
        <v>-2.4486177166182663E-2</v>
      </c>
      <c r="X4384" s="2">
        <f ca="1"/>
        <v>51.035354239693959</v>
      </c>
      <c r="AG4384" s="2">
        <f ca="1"/>
        <v>0.11975896801161978</v>
      </c>
      <c r="AH4384" s="2" t="str">
        <f ca="1"/>
        <v>OK</v>
      </c>
    </row>
    <row r="4385" spans="2:34" x14ac:dyDescent="0.2">
      <c r="B4385" s="2">
        <f ca="1"/>
        <v>0.36427694271891831</v>
      </c>
      <c r="O4385" s="2">
        <f ca="1"/>
        <v>-0.78237869834600759</v>
      </c>
      <c r="X4385" s="2">
        <f ca="1"/>
        <v>21.233228865498628</v>
      </c>
      <c r="AG4385" s="2">
        <f ca="1"/>
        <v>0.29934904681577668</v>
      </c>
      <c r="AH4385" s="2" t="str">
        <f ca="1"/>
        <v>OK</v>
      </c>
    </row>
    <row r="4386" spans="2:34" x14ac:dyDescent="0.2">
      <c r="B4386" s="2">
        <f ca="1"/>
        <v>0.15482484334011382</v>
      </c>
      <c r="O4386" s="2">
        <f ca="1"/>
        <v>-0.17689562072466841</v>
      </c>
      <c r="X4386" s="2">
        <f ca="1"/>
        <v>67.218999402519032</v>
      </c>
      <c r="AG4386" s="2">
        <f ca="1"/>
        <v>0.9043711508749539</v>
      </c>
      <c r="AH4386" s="2" t="str">
        <f ca="1"/>
        <v>Bad</v>
      </c>
    </row>
    <row r="4387" spans="2:34" x14ac:dyDescent="0.2">
      <c r="B4387" s="2">
        <f ca="1"/>
        <v>0.70179686485155113</v>
      </c>
      <c r="O4387" s="2">
        <f ca="1"/>
        <v>0.33429955346920748</v>
      </c>
      <c r="X4387" s="2">
        <f ca="1"/>
        <v>68.220970509821541</v>
      </c>
      <c r="AG4387" s="2">
        <f ca="1"/>
        <v>0.23487501540026856</v>
      </c>
      <c r="AH4387" s="2" t="str">
        <f ca="1"/>
        <v>OK</v>
      </c>
    </row>
    <row r="4388" spans="2:34" x14ac:dyDescent="0.2">
      <c r="B4388" s="2">
        <f ca="1"/>
        <v>0.74675659462999788</v>
      </c>
      <c r="O4388" s="2">
        <f ca="1"/>
        <v>-1.8711478407556994</v>
      </c>
      <c r="X4388" s="2">
        <f ca="1"/>
        <v>60.471303153687344</v>
      </c>
      <c r="AG4388" s="2">
        <f ca="1"/>
        <v>0.25604298757635346</v>
      </c>
      <c r="AH4388" s="2" t="str">
        <f ca="1"/>
        <v>OK</v>
      </c>
    </row>
    <row r="4389" spans="2:34" x14ac:dyDescent="0.2">
      <c r="B4389" s="2">
        <f ca="1"/>
        <v>0.44386041274499632</v>
      </c>
      <c r="O4389" s="2">
        <f ca="1"/>
        <v>1.6022616708439705</v>
      </c>
      <c r="X4389" s="2">
        <f ca="1"/>
        <v>42.489071169397199</v>
      </c>
      <c r="AG4389" s="2">
        <f ca="1"/>
        <v>3.3329002931000717E-2</v>
      </c>
      <c r="AH4389" s="2" t="str">
        <f ca="1"/>
        <v>Good</v>
      </c>
    </row>
    <row r="4390" spans="2:34" x14ac:dyDescent="0.2">
      <c r="B4390" s="2">
        <f ca="1"/>
        <v>0.64842733613805792</v>
      </c>
      <c r="O4390" s="2">
        <f ca="1"/>
        <v>1.5667827801932275</v>
      </c>
      <c r="X4390" s="2">
        <f ca="1"/>
        <v>25.118049481334115</v>
      </c>
      <c r="AG4390" s="2">
        <f ca="1"/>
        <v>0.85617080432756398</v>
      </c>
      <c r="AH4390" s="2" t="str">
        <f ca="1"/>
        <v>Bad</v>
      </c>
    </row>
    <row r="4391" spans="2:34" x14ac:dyDescent="0.2">
      <c r="B4391" s="2">
        <f ca="1"/>
        <v>0.69080996063219158</v>
      </c>
      <c r="O4391" s="2">
        <f ca="1"/>
        <v>-2.8074970399345815E-4</v>
      </c>
      <c r="X4391" s="2">
        <f ca="1"/>
        <v>58.316580401089553</v>
      </c>
      <c r="AG4391" s="2">
        <f ca="1"/>
        <v>0.62484130942782001</v>
      </c>
      <c r="AH4391" s="2" t="str">
        <f ca="1"/>
        <v>Bad</v>
      </c>
    </row>
    <row r="4392" spans="2:34" x14ac:dyDescent="0.2">
      <c r="B4392" s="2">
        <f ca="1"/>
        <v>0.31323473366753585</v>
      </c>
      <c r="O4392" s="2">
        <f ca="1"/>
        <v>-1.3517320721813508</v>
      </c>
      <c r="X4392" s="2">
        <f ca="1"/>
        <v>49.109665507728899</v>
      </c>
      <c r="AG4392" s="2">
        <f ca="1"/>
        <v>0.55224847504108365</v>
      </c>
      <c r="AH4392" s="2" t="str">
        <f ca="1"/>
        <v>Bad</v>
      </c>
    </row>
    <row r="4393" spans="2:34" x14ac:dyDescent="0.2">
      <c r="B4393" s="2">
        <f ca="1"/>
        <v>0.43840402343069762</v>
      </c>
      <c r="O4393" s="2">
        <f ca="1"/>
        <v>-1.2161655612168329</v>
      </c>
      <c r="X4393" s="2">
        <f ca="1"/>
        <v>51.520585107404827</v>
      </c>
      <c r="AG4393" s="2">
        <f ca="1"/>
        <v>0.45530688666062646</v>
      </c>
      <c r="AH4393" s="2" t="str">
        <f ca="1"/>
        <v>Bad</v>
      </c>
    </row>
    <row r="4394" spans="2:34" x14ac:dyDescent="0.2">
      <c r="B4394" s="2">
        <f ca="1"/>
        <v>0.84517651753099909</v>
      </c>
      <c r="O4394" s="2">
        <f ca="1"/>
        <v>6.6807391064674128E-3</v>
      </c>
      <c r="X4394" s="2">
        <f ca="1"/>
        <v>64.399071359669577</v>
      </c>
      <c r="AG4394" s="2">
        <f ca="1"/>
        <v>0.96514270743599329</v>
      </c>
      <c r="AH4394" s="2" t="str">
        <f ca="1"/>
        <v>Bad</v>
      </c>
    </row>
    <row r="4395" spans="2:34" x14ac:dyDescent="0.2">
      <c r="B4395" s="2">
        <f ca="1"/>
        <v>0.42026206286887691</v>
      </c>
      <c r="O4395" s="2">
        <f ca="1"/>
        <v>-0.53028164055829119</v>
      </c>
      <c r="X4395" s="2">
        <f ca="1"/>
        <v>67.713937268181979</v>
      </c>
      <c r="AG4395" s="2">
        <f ca="1"/>
        <v>0.47880586960437133</v>
      </c>
      <c r="AH4395" s="2" t="str">
        <f ca="1"/>
        <v>Bad</v>
      </c>
    </row>
    <row r="4396" spans="2:34" x14ac:dyDescent="0.2">
      <c r="B4396" s="2">
        <f ca="1"/>
        <v>0.71543053774991394</v>
      </c>
      <c r="O4396" s="2">
        <f ca="1"/>
        <v>9.5648084723804733E-2</v>
      </c>
      <c r="X4396" s="2">
        <f ca="1"/>
        <v>43.5319810321528</v>
      </c>
      <c r="AG4396" s="2">
        <f ca="1"/>
        <v>0.20706958850253088</v>
      </c>
      <c r="AH4396" s="2" t="str">
        <f ca="1"/>
        <v>OK</v>
      </c>
    </row>
    <row r="4397" spans="2:34" x14ac:dyDescent="0.2">
      <c r="B4397" s="2">
        <f ca="1"/>
        <v>0.57287866998019421</v>
      </c>
      <c r="O4397" s="2">
        <f ca="1"/>
        <v>-0.3647201715941692</v>
      </c>
      <c r="X4397" s="2">
        <f ca="1"/>
        <v>40.547061799082968</v>
      </c>
      <c r="AG4397" s="2">
        <f ca="1"/>
        <v>0.82193606241595663</v>
      </c>
      <c r="AH4397" s="2" t="str">
        <f ca="1"/>
        <v>Bad</v>
      </c>
    </row>
    <row r="4398" spans="2:34" x14ac:dyDescent="0.2">
      <c r="B4398" s="2">
        <f ca="1"/>
        <v>0.37951877946127111</v>
      </c>
      <c r="O4398" s="2">
        <f ca="1"/>
        <v>2.0932127870680222</v>
      </c>
      <c r="X4398" s="2">
        <f ca="1"/>
        <v>53.393999175650478</v>
      </c>
      <c r="AG4398" s="2">
        <f ca="1"/>
        <v>0.22170592541352163</v>
      </c>
      <c r="AH4398" s="2" t="str">
        <f ca="1"/>
        <v>OK</v>
      </c>
    </row>
    <row r="4399" spans="2:34" x14ac:dyDescent="0.2">
      <c r="B4399" s="2">
        <f ca="1"/>
        <v>0.85325426961301742</v>
      </c>
      <c r="O4399" s="2">
        <f ca="1"/>
        <v>0.95056286221694375</v>
      </c>
      <c r="X4399" s="2">
        <f ca="1"/>
        <v>51.142397513558151</v>
      </c>
      <c r="AG4399" s="2">
        <f ca="1"/>
        <v>0.9344556888818929</v>
      </c>
      <c r="AH4399" s="2" t="str">
        <f ca="1"/>
        <v>Bad</v>
      </c>
    </row>
    <row r="4400" spans="2:34" x14ac:dyDescent="0.2">
      <c r="B4400" s="2">
        <f ca="1"/>
        <v>0.76137353384774342</v>
      </c>
      <c r="O4400" s="2">
        <f ca="1"/>
        <v>0.84466564114013321</v>
      </c>
      <c r="X4400" s="2">
        <f ca="1"/>
        <v>30.993699236222302</v>
      </c>
      <c r="AG4400" s="2">
        <f ca="1"/>
        <v>0.87508368286292604</v>
      </c>
      <c r="AH4400" s="2" t="str">
        <f ca="1"/>
        <v>Bad</v>
      </c>
    </row>
    <row r="4401" spans="2:34" x14ac:dyDescent="0.2">
      <c r="B4401" s="2">
        <f ca="1"/>
        <v>0.26878259221475909</v>
      </c>
      <c r="O4401" s="2">
        <f ca="1"/>
        <v>0.77679248528508671</v>
      </c>
      <c r="X4401" s="2">
        <f ca="1"/>
        <v>54.948943995684836</v>
      </c>
      <c r="AG4401" s="2">
        <f ca="1"/>
        <v>0.90570164691246591</v>
      </c>
      <c r="AH4401" s="2" t="str">
        <f ca="1"/>
        <v>Bad</v>
      </c>
    </row>
    <row r="4402" spans="2:34" x14ac:dyDescent="0.2">
      <c r="B4402" s="2">
        <f ca="1"/>
        <v>0.65046484393804338</v>
      </c>
      <c r="O4402" s="2">
        <f ca="1"/>
        <v>0.55782599378519759</v>
      </c>
      <c r="X4402" s="2">
        <f ca="1"/>
        <v>46.744382653469415</v>
      </c>
      <c r="AG4402" s="2">
        <f ca="1"/>
        <v>0.96140348840476575</v>
      </c>
      <c r="AH4402" s="2" t="str">
        <f ca="1"/>
        <v>Bad</v>
      </c>
    </row>
    <row r="4403" spans="2:34" x14ac:dyDescent="0.2">
      <c r="B4403" s="2">
        <f ca="1"/>
        <v>0.45031424998160574</v>
      </c>
      <c r="O4403" s="2">
        <f ca="1"/>
        <v>-0.7623679891525349</v>
      </c>
      <c r="X4403" s="2">
        <f ca="1"/>
        <v>54.297766272598558</v>
      </c>
      <c r="AG4403" s="2">
        <f ca="1"/>
        <v>0.60974515412937347</v>
      </c>
      <c r="AH4403" s="2" t="str">
        <f ca="1"/>
        <v>Bad</v>
      </c>
    </row>
    <row r="4404" spans="2:34" x14ac:dyDescent="0.2">
      <c r="B4404" s="2">
        <f ca="1"/>
        <v>6.7851723831164001E-2</v>
      </c>
      <c r="O4404" s="2">
        <f ca="1"/>
        <v>-0.12382336588287383</v>
      </c>
      <c r="X4404" s="2">
        <f ca="1"/>
        <v>75.822378645241571</v>
      </c>
      <c r="AG4404" s="2">
        <f ca="1"/>
        <v>0.29639103531883371</v>
      </c>
      <c r="AH4404" s="2" t="str">
        <f ca="1"/>
        <v>OK</v>
      </c>
    </row>
    <row r="4405" spans="2:34" x14ac:dyDescent="0.2">
      <c r="B4405" s="2">
        <f ca="1"/>
        <v>0.82998674834459707</v>
      </c>
      <c r="O4405" s="2">
        <f ca="1"/>
        <v>3.338948590464335</v>
      </c>
      <c r="X4405" s="2">
        <f ca="1"/>
        <v>64.70439188057216</v>
      </c>
      <c r="AG4405" s="2">
        <f ca="1"/>
        <v>0.74133948672841266</v>
      </c>
      <c r="AH4405" s="2" t="str">
        <f ca="1"/>
        <v>Bad</v>
      </c>
    </row>
    <row r="4406" spans="2:34" x14ac:dyDescent="0.2">
      <c r="B4406" s="2">
        <f ca="1"/>
        <v>0.17037153414560446</v>
      </c>
      <c r="O4406" s="2">
        <f ca="1"/>
        <v>-1.4109509417292951</v>
      </c>
      <c r="X4406" s="2">
        <f ca="1"/>
        <v>54.711214586652666</v>
      </c>
      <c r="AG4406" s="2">
        <f ca="1"/>
        <v>0.58156618144521</v>
      </c>
      <c r="AH4406" s="2" t="str">
        <f ca="1"/>
        <v>Bad</v>
      </c>
    </row>
    <row r="4407" spans="2:34" x14ac:dyDescent="0.2">
      <c r="B4407" s="2">
        <f ca="1"/>
        <v>0.74356378871092677</v>
      </c>
      <c r="O4407" s="2">
        <f ca="1"/>
        <v>0.57873622512256873</v>
      </c>
      <c r="X4407" s="2">
        <f ca="1"/>
        <v>66.408779652176463</v>
      </c>
      <c r="AG4407" s="2">
        <f ca="1"/>
        <v>0.79342951731912303</v>
      </c>
      <c r="AH4407" s="2" t="str">
        <f ca="1"/>
        <v>Bad</v>
      </c>
    </row>
    <row r="4408" spans="2:34" x14ac:dyDescent="0.2">
      <c r="B4408" s="2">
        <f ca="1"/>
        <v>0.51691037417865293</v>
      </c>
      <c r="O4408" s="2">
        <f ca="1"/>
        <v>2.1605705687173522</v>
      </c>
      <c r="X4408" s="2">
        <f ca="1"/>
        <v>46.546669307722873</v>
      </c>
      <c r="AG4408" s="2">
        <f ca="1"/>
        <v>0.36142191894540487</v>
      </c>
      <c r="AH4408" s="2" t="str">
        <f ca="1"/>
        <v>OK</v>
      </c>
    </row>
    <row r="4409" spans="2:34" x14ac:dyDescent="0.2">
      <c r="B4409" s="2">
        <f ca="1"/>
        <v>0.99712502254381663</v>
      </c>
      <c r="O4409" s="2">
        <f ca="1"/>
        <v>0.76636436024219545</v>
      </c>
      <c r="X4409" s="2">
        <f ca="1"/>
        <v>40.277749845070716</v>
      </c>
      <c r="AG4409" s="2">
        <f ca="1"/>
        <v>0.68190941379216152</v>
      </c>
      <c r="AH4409" s="2" t="str">
        <f ca="1"/>
        <v>Bad</v>
      </c>
    </row>
    <row r="4410" spans="2:34" x14ac:dyDescent="0.2">
      <c r="B4410" s="2">
        <f ca="1"/>
        <v>0.8202899255480538</v>
      </c>
      <c r="O4410" s="2">
        <f ca="1"/>
        <v>-1.8547020282090627</v>
      </c>
      <c r="X4410" s="2">
        <f ca="1"/>
        <v>45.425584069545913</v>
      </c>
      <c r="AG4410" s="2">
        <f ca="1"/>
        <v>0.40963175751458603</v>
      </c>
      <c r="AH4410" s="2" t="str">
        <f ca="1"/>
        <v>Bad</v>
      </c>
    </row>
    <row r="4411" spans="2:34" x14ac:dyDescent="0.2">
      <c r="B4411" s="2">
        <f ca="1"/>
        <v>0.76434545362726558</v>
      </c>
      <c r="O4411" s="2">
        <f ca="1"/>
        <v>-1.0207500093433195</v>
      </c>
      <c r="X4411" s="2">
        <f ca="1"/>
        <v>66.5530075778548</v>
      </c>
      <c r="AG4411" s="2">
        <f ca="1"/>
        <v>0.79610832249531138</v>
      </c>
      <c r="AH4411" s="2" t="str">
        <f ca="1"/>
        <v>Bad</v>
      </c>
    </row>
    <row r="4412" spans="2:34" x14ac:dyDescent="0.2">
      <c r="B4412" s="2">
        <f ca="1"/>
        <v>5.1824986480920376E-2</v>
      </c>
      <c r="O4412" s="2">
        <f ca="1"/>
        <v>-0.2502612871246318</v>
      </c>
      <c r="X4412" s="2">
        <f ca="1"/>
        <v>46.352590277155599</v>
      </c>
      <c r="AG4412" s="2">
        <f ca="1"/>
        <v>0.20468584432733095</v>
      </c>
      <c r="AH4412" s="2" t="str">
        <f ca="1"/>
        <v>OK</v>
      </c>
    </row>
    <row r="4413" spans="2:34" x14ac:dyDescent="0.2">
      <c r="B4413" s="2">
        <f ca="1"/>
        <v>0.17388761047307399</v>
      </c>
      <c r="O4413" s="2">
        <f ca="1"/>
        <v>-0.98011820964499741</v>
      </c>
      <c r="X4413" s="2">
        <f ca="1"/>
        <v>51.788294240203399</v>
      </c>
      <c r="AG4413" s="2">
        <f ca="1"/>
        <v>0.38808936905809399</v>
      </c>
      <c r="AH4413" s="2" t="str">
        <f ca="1"/>
        <v>OK</v>
      </c>
    </row>
    <row r="4414" spans="2:34" x14ac:dyDescent="0.2">
      <c r="B4414" s="2">
        <f ca="1"/>
        <v>0.27600319122670602</v>
      </c>
      <c r="O4414" s="2">
        <f ca="1"/>
        <v>-9.8932910560070742E-3</v>
      </c>
      <c r="X4414" s="2">
        <f ca="1"/>
        <v>65.402183825131274</v>
      </c>
      <c r="AG4414" s="2">
        <f ca="1"/>
        <v>0.93892114501893764</v>
      </c>
      <c r="AH4414" s="2" t="str">
        <f ca="1"/>
        <v>Bad</v>
      </c>
    </row>
    <row r="4415" spans="2:34" x14ac:dyDescent="0.2">
      <c r="B4415" s="2">
        <f ca="1"/>
        <v>0.50903291103974668</v>
      </c>
      <c r="O4415" s="2">
        <f ca="1"/>
        <v>-0.13779165347111497</v>
      </c>
      <c r="X4415" s="2">
        <f ca="1"/>
        <v>45.954993329559635</v>
      </c>
      <c r="AG4415" s="2">
        <f ca="1"/>
        <v>0.9411887487255437</v>
      </c>
      <c r="AH4415" s="2" t="str">
        <f ca="1"/>
        <v>Bad</v>
      </c>
    </row>
    <row r="4416" spans="2:34" x14ac:dyDescent="0.2">
      <c r="B4416" s="2">
        <f ca="1"/>
        <v>0.90119754701316879</v>
      </c>
      <c r="O4416" s="2">
        <f ca="1"/>
        <v>-1.14533957443623</v>
      </c>
      <c r="X4416" s="2">
        <f ca="1"/>
        <v>20.184768070012492</v>
      </c>
      <c r="AG4416" s="2">
        <f ca="1"/>
        <v>0.83471106569145959</v>
      </c>
      <c r="AH4416" s="2" t="str">
        <f ca="1"/>
        <v>Bad</v>
      </c>
    </row>
    <row r="4417" spans="2:34" x14ac:dyDescent="0.2">
      <c r="B4417" s="2">
        <f ca="1"/>
        <v>0.73979458716429303</v>
      </c>
      <c r="O4417" s="2">
        <f ca="1"/>
        <v>-1.0475067306154904</v>
      </c>
      <c r="X4417" s="2">
        <f ca="1"/>
        <v>27.773646298641612</v>
      </c>
      <c r="AG4417" s="2">
        <f ca="1"/>
        <v>0.21678522190403715</v>
      </c>
      <c r="AH4417" s="2" t="str">
        <f ca="1"/>
        <v>OK</v>
      </c>
    </row>
    <row r="4418" spans="2:34" x14ac:dyDescent="0.2">
      <c r="B4418" s="2">
        <f ca="1"/>
        <v>0.10155681875895306</v>
      </c>
      <c r="O4418" s="2">
        <f ca="1"/>
        <v>0.30107542170888307</v>
      </c>
      <c r="X4418" s="2">
        <f ca="1"/>
        <v>55.094178521166654</v>
      </c>
      <c r="AG4418" s="2">
        <f ca="1"/>
        <v>0.55508227222350959</v>
      </c>
      <c r="AH4418" s="2" t="str">
        <f ca="1"/>
        <v>Bad</v>
      </c>
    </row>
    <row r="4419" spans="2:34" x14ac:dyDescent="0.2">
      <c r="B4419" s="2">
        <f ca="1"/>
        <v>0.49446965590323533</v>
      </c>
      <c r="O4419" s="2">
        <f ca="1"/>
        <v>-0.15725897014187309</v>
      </c>
      <c r="X4419" s="2">
        <f ca="1"/>
        <v>45.578540096278502</v>
      </c>
      <c r="AG4419" s="2">
        <f ca="1"/>
        <v>0.7410976200589432</v>
      </c>
      <c r="AH4419" s="2" t="str">
        <f ca="1"/>
        <v>Bad</v>
      </c>
    </row>
    <row r="4420" spans="2:34" x14ac:dyDescent="0.2">
      <c r="B4420" s="2">
        <f ca="1"/>
        <v>0.15593454613095781</v>
      </c>
      <c r="O4420" s="2">
        <f ca="1"/>
        <v>-0.26182859067533037</v>
      </c>
      <c r="X4420" s="2">
        <f ca="1"/>
        <v>73.080924474471985</v>
      </c>
      <c r="AG4420" s="2">
        <f ca="1"/>
        <v>0.10367952983378781</v>
      </c>
      <c r="AH4420" s="2" t="str">
        <f ca="1"/>
        <v>OK</v>
      </c>
    </row>
    <row r="4421" spans="2:34" x14ac:dyDescent="0.2">
      <c r="B4421" s="2">
        <f ca="1"/>
        <v>0.79372698708069378</v>
      </c>
      <c r="O4421" s="2">
        <f ca="1"/>
        <v>-2.1782167240543191</v>
      </c>
      <c r="X4421" s="2">
        <f ca="1"/>
        <v>60.77584515305837</v>
      </c>
      <c r="AG4421" s="2">
        <f ca="1"/>
        <v>9.2129893033991994E-2</v>
      </c>
      <c r="AH4421" s="2" t="str">
        <f ca="1"/>
        <v>OK</v>
      </c>
    </row>
    <row r="4422" spans="2:34" x14ac:dyDescent="0.2">
      <c r="B4422" s="2">
        <f ca="1"/>
        <v>0.23266302838443198</v>
      </c>
      <c r="O4422" s="2">
        <f ca="1"/>
        <v>-0.13557112763594184</v>
      </c>
      <c r="X4422" s="2">
        <f ca="1"/>
        <v>38.611147487963031</v>
      </c>
      <c r="AG4422" s="2">
        <f ca="1"/>
        <v>0.77797316553562545</v>
      </c>
      <c r="AH4422" s="2" t="str">
        <f ca="1"/>
        <v>Bad</v>
      </c>
    </row>
    <row r="4423" spans="2:34" x14ac:dyDescent="0.2">
      <c r="B4423" s="2">
        <f ca="1"/>
        <v>0.95492592449998304</v>
      </c>
      <c r="O4423" s="2">
        <f ca="1"/>
        <v>-0.22787102923713742</v>
      </c>
      <c r="X4423" s="2">
        <f ca="1"/>
        <v>43.470735990099023</v>
      </c>
      <c r="AG4423" s="2">
        <f ca="1"/>
        <v>0.32635865536337927</v>
      </c>
      <c r="AH4423" s="2" t="str">
        <f ca="1"/>
        <v>OK</v>
      </c>
    </row>
    <row r="4424" spans="2:34" x14ac:dyDescent="0.2">
      <c r="B4424" s="2">
        <f ca="1"/>
        <v>0.91514377805847524</v>
      </c>
      <c r="O4424" s="2">
        <f ca="1"/>
        <v>-1.8466197867064371</v>
      </c>
      <c r="X4424" s="2">
        <f ca="1"/>
        <v>61.776912752558673</v>
      </c>
      <c r="AG4424" s="2">
        <f ca="1"/>
        <v>0.37033933201881042</v>
      </c>
      <c r="AH4424" s="2" t="str">
        <f ca="1"/>
        <v>OK</v>
      </c>
    </row>
    <row r="4425" spans="2:34" x14ac:dyDescent="0.2">
      <c r="B4425" s="2">
        <f ca="1"/>
        <v>0.11797168601745955</v>
      </c>
      <c r="O4425" s="2">
        <f ca="1"/>
        <v>-1.1886844643272649</v>
      </c>
      <c r="X4425" s="2">
        <f ca="1"/>
        <v>67.071915252990891</v>
      </c>
      <c r="AG4425" s="2">
        <f ca="1"/>
        <v>0.14915908149443213</v>
      </c>
      <c r="AH4425" s="2" t="str">
        <f ca="1"/>
        <v>OK</v>
      </c>
    </row>
    <row r="4426" spans="2:34" x14ac:dyDescent="0.2">
      <c r="B4426" s="2">
        <f ca="1"/>
        <v>0.88400247790602826</v>
      </c>
      <c r="O4426" s="2">
        <f ca="1"/>
        <v>-0.2832867674161455</v>
      </c>
      <c r="X4426" s="2">
        <f ca="1"/>
        <v>33.345230108802674</v>
      </c>
      <c r="AG4426" s="2">
        <f ca="1"/>
        <v>0.7157392177964641</v>
      </c>
      <c r="AH4426" s="2" t="str">
        <f ca="1"/>
        <v>Bad</v>
      </c>
    </row>
    <row r="4427" spans="2:34" x14ac:dyDescent="0.2">
      <c r="B4427" s="2">
        <f ca="1"/>
        <v>0.64913340626773364</v>
      </c>
      <c r="O4427" s="2">
        <f ca="1"/>
        <v>4.2983391047776563E-2</v>
      </c>
      <c r="X4427" s="2">
        <f ca="1"/>
        <v>51.769251324006433</v>
      </c>
      <c r="AG4427" s="2">
        <f ca="1"/>
        <v>8.783718089970427E-2</v>
      </c>
      <c r="AH4427" s="2" t="str">
        <f ca="1"/>
        <v>OK</v>
      </c>
    </row>
    <row r="4428" spans="2:34" x14ac:dyDescent="0.2">
      <c r="B4428" s="2">
        <f ca="1"/>
        <v>0.68203239693746265</v>
      </c>
      <c r="O4428" s="2">
        <f ca="1"/>
        <v>-0.12094475616500894</v>
      </c>
      <c r="X4428" s="2">
        <f ca="1"/>
        <v>56.769509082803168</v>
      </c>
      <c r="AG4428" s="2">
        <f ca="1"/>
        <v>0.23146299985751195</v>
      </c>
      <c r="AH4428" s="2" t="str">
        <f ca="1"/>
        <v>OK</v>
      </c>
    </row>
    <row r="4429" spans="2:34" x14ac:dyDescent="0.2">
      <c r="B4429" s="2">
        <f ca="1"/>
        <v>0.58086439139488943</v>
      </c>
      <c r="O4429" s="2">
        <f ca="1"/>
        <v>0.35486695218235159</v>
      </c>
      <c r="X4429" s="2">
        <f ca="1"/>
        <v>69.459160881456626</v>
      </c>
      <c r="AG4429" s="2">
        <f ca="1"/>
        <v>0.38678233024119457</v>
      </c>
      <c r="AH4429" s="2" t="str">
        <f ca="1"/>
        <v>OK</v>
      </c>
    </row>
    <row r="4430" spans="2:34" x14ac:dyDescent="0.2">
      <c r="B4430" s="2">
        <f ca="1"/>
        <v>0.46888560856609129</v>
      </c>
      <c r="O4430" s="2">
        <f ca="1"/>
        <v>-5.1350419721433636E-2</v>
      </c>
      <c r="X4430" s="2">
        <f ca="1"/>
        <v>62.514291130365045</v>
      </c>
      <c r="AG4430" s="2">
        <f ca="1"/>
        <v>0.66729401455983917</v>
      </c>
      <c r="AH4430" s="2" t="str">
        <f ca="1"/>
        <v>Bad</v>
      </c>
    </row>
    <row r="4431" spans="2:34" x14ac:dyDescent="0.2">
      <c r="B4431" s="2">
        <f ca="1"/>
        <v>3.2014419075291567E-2</v>
      </c>
      <c r="O4431" s="2">
        <f ca="1"/>
        <v>1.53977588342046</v>
      </c>
      <c r="X4431" s="2">
        <f ca="1"/>
        <v>69.675519300906643</v>
      </c>
      <c r="AG4431" s="2">
        <f ca="1"/>
        <v>0.8297906936774655</v>
      </c>
      <c r="AH4431" s="2" t="str">
        <f ca="1"/>
        <v>Bad</v>
      </c>
    </row>
    <row r="4432" spans="2:34" x14ac:dyDescent="0.2">
      <c r="B4432" s="2">
        <f ca="1"/>
        <v>0.46937048258259528</v>
      </c>
      <c r="O4432" s="2">
        <f ca="1"/>
        <v>-9.3045471325920837E-2</v>
      </c>
      <c r="X4432" s="2">
        <f ca="1"/>
        <v>35.234279366180317</v>
      </c>
      <c r="AG4432" s="2">
        <f ca="1"/>
        <v>0.55857446824629653</v>
      </c>
      <c r="AH4432" s="2" t="str">
        <f ca="1"/>
        <v>Bad</v>
      </c>
    </row>
    <row r="4433" spans="2:34" x14ac:dyDescent="0.2">
      <c r="B4433" s="2">
        <f ca="1"/>
        <v>0.44849249192638796</v>
      </c>
      <c r="O4433" s="2">
        <f ca="1"/>
        <v>-1.3816076430958566</v>
      </c>
      <c r="X4433" s="2">
        <f ca="1"/>
        <v>29.197664425790684</v>
      </c>
      <c r="AG4433" s="2">
        <f ca="1"/>
        <v>0.85312035267010566</v>
      </c>
      <c r="AH4433" s="2" t="str">
        <f ca="1"/>
        <v>Bad</v>
      </c>
    </row>
    <row r="4434" spans="2:34" x14ac:dyDescent="0.2">
      <c r="B4434" s="2">
        <f ca="1"/>
        <v>0.71982813178700034</v>
      </c>
      <c r="O4434" s="2">
        <f ca="1"/>
        <v>-0.30979791139003821</v>
      </c>
      <c r="X4434" s="2">
        <f ca="1"/>
        <v>25.064034465178704</v>
      </c>
      <c r="AG4434" s="2">
        <f ca="1"/>
        <v>0.28824191103318775</v>
      </c>
      <c r="AH4434" s="2" t="str">
        <f ca="1"/>
        <v>OK</v>
      </c>
    </row>
    <row r="4435" spans="2:34" x14ac:dyDescent="0.2">
      <c r="B4435" s="2">
        <f ca="1"/>
        <v>0.64711595634003416</v>
      </c>
      <c r="O4435" s="2">
        <f ca="1"/>
        <v>1.968231911474744</v>
      </c>
      <c r="X4435" s="2">
        <f ca="1"/>
        <v>56.50673190935531</v>
      </c>
      <c r="AG4435" s="2">
        <f ca="1"/>
        <v>0.7639446251436619</v>
      </c>
      <c r="AH4435" s="2" t="str">
        <f ca="1"/>
        <v>Bad</v>
      </c>
    </row>
    <row r="4436" spans="2:34" x14ac:dyDescent="0.2">
      <c r="B4436" s="2">
        <f ca="1"/>
        <v>0.86646825940405869</v>
      </c>
      <c r="O4436" s="2">
        <f ca="1"/>
        <v>0.11480400542164354</v>
      </c>
      <c r="X4436" s="2">
        <f ca="1"/>
        <v>45.58645862479986</v>
      </c>
      <c r="AG4436" s="2">
        <f ca="1"/>
        <v>0.1834953343418515</v>
      </c>
      <c r="AH4436" s="2" t="str">
        <f ca="1"/>
        <v>OK</v>
      </c>
    </row>
    <row r="4437" spans="2:34" x14ac:dyDescent="0.2">
      <c r="B4437" s="2">
        <f ca="1"/>
        <v>0.82021653244775439</v>
      </c>
      <c r="O4437" s="2">
        <f ca="1"/>
        <v>0.75832441009000295</v>
      </c>
      <c r="X4437" s="2">
        <f ca="1"/>
        <v>41.806486402091238</v>
      </c>
      <c r="AG4437" s="2">
        <f ca="1"/>
        <v>0.32940217759376034</v>
      </c>
      <c r="AH4437" s="2" t="str">
        <f ca="1"/>
        <v>OK</v>
      </c>
    </row>
    <row r="4438" spans="2:34" x14ac:dyDescent="0.2">
      <c r="B4438" s="2">
        <f ca="1"/>
        <v>0.95424944828510982</v>
      </c>
      <c r="O4438" s="2">
        <f ca="1"/>
        <v>0.15448385924990296</v>
      </c>
      <c r="X4438" s="2">
        <f ca="1"/>
        <v>31.595404524072784</v>
      </c>
      <c r="AG4438" s="2">
        <f ca="1"/>
        <v>0.22831907512452165</v>
      </c>
      <c r="AH4438" s="2" t="str">
        <f ca="1"/>
        <v>OK</v>
      </c>
    </row>
    <row r="4439" spans="2:34" x14ac:dyDescent="0.2">
      <c r="B4439" s="2">
        <f ca="1"/>
        <v>0.57097117214343851</v>
      </c>
      <c r="O4439" s="2">
        <f ca="1"/>
        <v>-0.52633072084821053</v>
      </c>
      <c r="X4439" s="2">
        <f ca="1"/>
        <v>50.534461310300507</v>
      </c>
      <c r="AG4439" s="2">
        <f ca="1"/>
        <v>0.73616852291390211</v>
      </c>
      <c r="AH4439" s="2" t="str">
        <f ca="1"/>
        <v>Bad</v>
      </c>
    </row>
    <row r="4440" spans="2:34" x14ac:dyDescent="0.2">
      <c r="B4440" s="2">
        <f ca="1"/>
        <v>0.59136931789196856</v>
      </c>
      <c r="O4440" s="2">
        <f ca="1"/>
        <v>-0.38551178901678507</v>
      </c>
      <c r="X4440" s="2">
        <f ca="1"/>
        <v>35.99240901020503</v>
      </c>
      <c r="AG4440" s="2">
        <f ca="1"/>
        <v>0.45689144433751205</v>
      </c>
      <c r="AH4440" s="2" t="str">
        <f ca="1"/>
        <v>Bad</v>
      </c>
    </row>
    <row r="4441" spans="2:34" x14ac:dyDescent="0.2">
      <c r="B4441" s="2">
        <f ca="1"/>
        <v>0.33706767193562759</v>
      </c>
      <c r="O4441" s="2">
        <f ca="1"/>
        <v>0.35459468474552092</v>
      </c>
      <c r="X4441" s="2">
        <f ca="1"/>
        <v>58.616059357155059</v>
      </c>
      <c r="AG4441" s="2">
        <f ca="1"/>
        <v>0.39062998698198204</v>
      </c>
      <c r="AH4441" s="2" t="str">
        <f ca="1"/>
        <v>OK</v>
      </c>
    </row>
    <row r="4442" spans="2:34" x14ac:dyDescent="0.2">
      <c r="B4442" s="2">
        <f ca="1"/>
        <v>0.26039423732264599</v>
      </c>
      <c r="O4442" s="2">
        <f ca="1"/>
        <v>2.3725486001598028E-2</v>
      </c>
      <c r="X4442" s="2">
        <f ca="1"/>
        <v>47.792081439276892</v>
      </c>
      <c r="AG4442" s="2">
        <f ca="1"/>
        <v>0.20664263619203527</v>
      </c>
      <c r="AH4442" s="2" t="str">
        <f ca="1"/>
        <v>OK</v>
      </c>
    </row>
    <row r="4443" spans="2:34" x14ac:dyDescent="0.2">
      <c r="B4443" s="2">
        <f ca="1"/>
        <v>8.8067883323062146E-2</v>
      </c>
      <c r="O4443" s="2">
        <f ca="1"/>
        <v>-2.2134051209904757</v>
      </c>
      <c r="X4443" s="2">
        <f ca="1"/>
        <v>54.561272160362613</v>
      </c>
      <c r="AG4443" s="2">
        <f ca="1"/>
        <v>0.36823105934929123</v>
      </c>
      <c r="AH4443" s="2" t="str">
        <f ca="1"/>
        <v>OK</v>
      </c>
    </row>
    <row r="4444" spans="2:34" x14ac:dyDescent="0.2">
      <c r="B4444" s="2">
        <f ca="1"/>
        <v>0.18643752100230881</v>
      </c>
      <c r="O4444" s="2">
        <f ca="1"/>
        <v>9.1743459231642357E-2</v>
      </c>
      <c r="X4444" s="2">
        <f ca="1"/>
        <v>42.543638511385552</v>
      </c>
      <c r="AG4444" s="2">
        <f ca="1"/>
        <v>0.65917407975468989</v>
      </c>
      <c r="AH4444" s="2" t="str">
        <f ca="1"/>
        <v>Bad</v>
      </c>
    </row>
    <row r="4445" spans="2:34" x14ac:dyDescent="0.2">
      <c r="B4445" s="2">
        <f ca="1"/>
        <v>0.52913905889960966</v>
      </c>
      <c r="O4445" s="2">
        <f ca="1"/>
        <v>1.1924153286213353</v>
      </c>
      <c r="X4445" s="2">
        <f ca="1"/>
        <v>49.091251028226168</v>
      </c>
      <c r="AG4445" s="2">
        <f ca="1"/>
        <v>0.28421124684189736</v>
      </c>
      <c r="AH4445" s="2" t="str">
        <f ca="1"/>
        <v>OK</v>
      </c>
    </row>
    <row r="4446" spans="2:34" x14ac:dyDescent="0.2">
      <c r="B4446" s="2">
        <f ca="1"/>
        <v>0.85135915591944733</v>
      </c>
      <c r="O4446" s="2">
        <f ca="1"/>
        <v>-0.61252903306736417</v>
      </c>
      <c r="X4446" s="2">
        <f ca="1"/>
        <v>40.506952207385268</v>
      </c>
      <c r="AG4446" s="2">
        <f ca="1"/>
        <v>0.69621803677430183</v>
      </c>
      <c r="AH4446" s="2" t="str">
        <f ca="1"/>
        <v>Bad</v>
      </c>
    </row>
    <row r="4447" spans="2:34" x14ac:dyDescent="0.2">
      <c r="B4447" s="2">
        <f ca="1"/>
        <v>0.22395518674163317</v>
      </c>
      <c r="O4447" s="2">
        <f ca="1"/>
        <v>-0.64998633123805361</v>
      </c>
      <c r="X4447" s="2">
        <f ca="1"/>
        <v>22.891228175943432</v>
      </c>
      <c r="AG4447" s="2">
        <f ca="1"/>
        <v>0.85410607809095285</v>
      </c>
      <c r="AH4447" s="2" t="str">
        <f ca="1"/>
        <v>Bad</v>
      </c>
    </row>
    <row r="4448" spans="2:34" x14ac:dyDescent="0.2">
      <c r="B4448" s="2">
        <f ca="1"/>
        <v>0.46259837385064473</v>
      </c>
      <c r="O4448" s="2">
        <f ca="1"/>
        <v>-0.39819207929865585</v>
      </c>
      <c r="X4448" s="2">
        <f ca="1"/>
        <v>45.017583251635457</v>
      </c>
      <c r="AG4448" s="2">
        <f ca="1"/>
        <v>0.60840410106622689</v>
      </c>
      <c r="AH4448" s="2" t="str">
        <f ca="1"/>
        <v>Bad</v>
      </c>
    </row>
    <row r="4449" spans="2:34" x14ac:dyDescent="0.2">
      <c r="B4449" s="2">
        <f ca="1"/>
        <v>0.53375462394447548</v>
      </c>
      <c r="O4449" s="2">
        <f ca="1"/>
        <v>-1.4491985817126189</v>
      </c>
      <c r="X4449" s="2">
        <f ca="1"/>
        <v>77.747387182590018</v>
      </c>
      <c r="AG4449" s="2">
        <f ca="1"/>
        <v>2.1231604072579291E-2</v>
      </c>
      <c r="AH4449" s="2" t="str">
        <f ca="1"/>
        <v>Good</v>
      </c>
    </row>
    <row r="4450" spans="2:34" x14ac:dyDescent="0.2">
      <c r="B4450" s="2">
        <f ca="1"/>
        <v>0.40339587757624384</v>
      </c>
      <c r="O4450" s="2">
        <f ca="1"/>
        <v>-0.44728669819371769</v>
      </c>
      <c r="X4450" s="2">
        <f ca="1"/>
        <v>53.735972044277318</v>
      </c>
      <c r="AG4450" s="2">
        <f ca="1"/>
        <v>0.17482844364669714</v>
      </c>
      <c r="AH4450" s="2" t="str">
        <f ca="1"/>
        <v>OK</v>
      </c>
    </row>
    <row r="4451" spans="2:34" x14ac:dyDescent="0.2">
      <c r="B4451" s="2">
        <f ca="1"/>
        <v>0.45681467607017989</v>
      </c>
      <c r="O4451" s="2">
        <f ca="1"/>
        <v>-4.9863348100743658E-2</v>
      </c>
      <c r="X4451" s="2">
        <f ca="1"/>
        <v>53.811152037220246</v>
      </c>
      <c r="AG4451" s="2">
        <f ca="1"/>
        <v>0.46479893638836933</v>
      </c>
      <c r="AH4451" s="2" t="str">
        <f ca="1"/>
        <v>Bad</v>
      </c>
    </row>
    <row r="4452" spans="2:34" x14ac:dyDescent="0.2">
      <c r="B4452" s="2">
        <f ca="1"/>
        <v>0.13032160214789701</v>
      </c>
      <c r="O4452" s="2">
        <f ca="1"/>
        <v>1.1457686475227526</v>
      </c>
      <c r="X4452" s="2">
        <f ca="1"/>
        <v>68.244781291676716</v>
      </c>
      <c r="AG4452" s="2">
        <f ca="1"/>
        <v>9.0470616657668312E-2</v>
      </c>
      <c r="AH4452" s="2" t="str">
        <f ca="1"/>
        <v>OK</v>
      </c>
    </row>
    <row r="4453" spans="2:34" x14ac:dyDescent="0.2">
      <c r="B4453" s="2">
        <f ca="1"/>
        <v>0.9356724609523619</v>
      </c>
      <c r="O4453" s="2">
        <f ca="1"/>
        <v>-0.11644204711335666</v>
      </c>
      <c r="X4453" s="2">
        <f ca="1"/>
        <v>47.049426454596521</v>
      </c>
      <c r="AG4453" s="2">
        <f ca="1"/>
        <v>0.96120458257403585</v>
      </c>
      <c r="AH4453" s="2" t="str">
        <f ca="1"/>
        <v>Bad</v>
      </c>
    </row>
    <row r="4454" spans="2:34" x14ac:dyDescent="0.2">
      <c r="B4454" s="2">
        <f ca="1"/>
        <v>0.77966800273087333</v>
      </c>
      <c r="O4454" s="2">
        <f ca="1"/>
        <v>7.8391496683861334E-2</v>
      </c>
      <c r="X4454" s="2">
        <f ca="1"/>
        <v>44.756945174204589</v>
      </c>
      <c r="AG4454" s="2">
        <f ca="1"/>
        <v>6.993657444348278E-2</v>
      </c>
      <c r="AH4454" s="2" t="str">
        <f ca="1"/>
        <v>OK</v>
      </c>
    </row>
    <row r="4455" spans="2:34" x14ac:dyDescent="0.2">
      <c r="B4455" s="2">
        <f ca="1"/>
        <v>0.89310924477322406</v>
      </c>
      <c r="O4455" s="2">
        <f ca="1"/>
        <v>-0.12003215557992174</v>
      </c>
      <c r="X4455" s="2">
        <f ca="1"/>
        <v>48.787429235776251</v>
      </c>
      <c r="AG4455" s="2">
        <f ca="1"/>
        <v>0.44466491469971636</v>
      </c>
      <c r="AH4455" s="2" t="str">
        <f ca="1"/>
        <v>Bad</v>
      </c>
    </row>
    <row r="4456" spans="2:34" x14ac:dyDescent="0.2">
      <c r="B4456" s="2">
        <f ca="1"/>
        <v>0.66634078873281144</v>
      </c>
      <c r="O4456" s="2">
        <f ca="1"/>
        <v>-6.8489650478850125E-2</v>
      </c>
      <c r="X4456" s="2">
        <f ca="1"/>
        <v>84.327223070296057</v>
      </c>
      <c r="AG4456" s="2">
        <f ca="1"/>
        <v>0.82923716441400286</v>
      </c>
      <c r="AH4456" s="2" t="str">
        <f ca="1"/>
        <v>Bad</v>
      </c>
    </row>
    <row r="4457" spans="2:34" x14ac:dyDescent="0.2">
      <c r="B4457" s="2">
        <f ca="1"/>
        <v>0.24473483661044493</v>
      </c>
      <c r="O4457" s="2">
        <f ca="1"/>
        <v>-0.21995419434596125</v>
      </c>
      <c r="X4457" s="2">
        <f ca="1"/>
        <v>34.068659570184387</v>
      </c>
      <c r="AG4457" s="2">
        <f ca="1"/>
        <v>0.11838046079164077</v>
      </c>
      <c r="AH4457" s="2" t="str">
        <f ca="1"/>
        <v>OK</v>
      </c>
    </row>
    <row r="4458" spans="2:34" x14ac:dyDescent="0.2">
      <c r="B4458" s="2">
        <f ca="1"/>
        <v>0.9703155193045383</v>
      </c>
      <c r="O4458" s="2">
        <f ca="1"/>
        <v>0.12332461197371893</v>
      </c>
      <c r="X4458" s="2">
        <f ca="1"/>
        <v>32.271160865801107</v>
      </c>
      <c r="AG4458" s="2">
        <f ca="1"/>
        <v>0.84207954665573026</v>
      </c>
      <c r="AH4458" s="2" t="str">
        <f ca="1"/>
        <v>Bad</v>
      </c>
    </row>
    <row r="4459" spans="2:34" x14ac:dyDescent="0.2">
      <c r="B4459" s="2">
        <f ca="1"/>
        <v>0.1829796476927652</v>
      </c>
      <c r="O4459" s="2">
        <f ca="1"/>
        <v>-0.30289582700219031</v>
      </c>
      <c r="X4459" s="2">
        <f ca="1"/>
        <v>37.043299622917566</v>
      </c>
      <c r="AG4459" s="2">
        <f ca="1"/>
        <v>0.11242836201415751</v>
      </c>
      <c r="AH4459" s="2" t="str">
        <f ca="1"/>
        <v>OK</v>
      </c>
    </row>
    <row r="4460" spans="2:34" x14ac:dyDescent="0.2">
      <c r="B4460" s="2">
        <f ca="1"/>
        <v>6.7684881412820141E-2</v>
      </c>
      <c r="O4460" s="2">
        <f ca="1"/>
        <v>0.43930378596728431</v>
      </c>
      <c r="X4460" s="2">
        <f ca="1"/>
        <v>88.830163959618204</v>
      </c>
      <c r="AG4460" s="2">
        <f ca="1"/>
        <v>0.59626832071333458</v>
      </c>
      <c r="AH4460" s="2" t="str">
        <f ca="1"/>
        <v>Bad</v>
      </c>
    </row>
    <row r="4461" spans="2:34" x14ac:dyDescent="0.2">
      <c r="B4461" s="2">
        <f ca="1"/>
        <v>0.29438659027205416</v>
      </c>
      <c r="O4461" s="2">
        <f ca="1"/>
        <v>1.1062582992003642</v>
      </c>
      <c r="X4461" s="2">
        <f ca="1"/>
        <v>51.517460065833127</v>
      </c>
      <c r="AG4461" s="2">
        <f ca="1"/>
        <v>0.93186558260554264</v>
      </c>
      <c r="AH4461" s="2" t="str">
        <f ca="1"/>
        <v>Bad</v>
      </c>
    </row>
    <row r="4462" spans="2:34" x14ac:dyDescent="0.2">
      <c r="B4462" s="2">
        <f ca="1"/>
        <v>0.10627476772700284</v>
      </c>
      <c r="O4462" s="2">
        <f ca="1"/>
        <v>0.43219983709112852</v>
      </c>
      <c r="X4462" s="2">
        <f ca="1"/>
        <v>34.256148338168437</v>
      </c>
      <c r="AG4462" s="2">
        <f ca="1"/>
        <v>0.34143612928816958</v>
      </c>
      <c r="AH4462" s="2" t="str">
        <f ca="1"/>
        <v>OK</v>
      </c>
    </row>
    <row r="4463" spans="2:34" x14ac:dyDescent="0.2">
      <c r="B4463" s="2">
        <f ca="1"/>
        <v>0.61295602387543857</v>
      </c>
      <c r="O4463" s="2">
        <f ca="1"/>
        <v>1.9485316888603816</v>
      </c>
      <c r="X4463" s="2">
        <f ca="1"/>
        <v>44.766327409152503</v>
      </c>
      <c r="AG4463" s="2">
        <f ca="1"/>
        <v>0.61015443431294125</v>
      </c>
      <c r="AH4463" s="2" t="str">
        <f ca="1"/>
        <v>Bad</v>
      </c>
    </row>
    <row r="4464" spans="2:34" x14ac:dyDescent="0.2">
      <c r="B4464" s="2">
        <f ca="1"/>
        <v>0.16359309241960718</v>
      </c>
      <c r="O4464" s="2">
        <f ca="1"/>
        <v>-7.3475301213090691E-2</v>
      </c>
      <c r="X4464" s="2">
        <f ca="1"/>
        <v>52.919879695991057</v>
      </c>
      <c r="AG4464" s="2">
        <f ca="1"/>
        <v>0.57318380080523301</v>
      </c>
      <c r="AH4464" s="2" t="str">
        <f ca="1"/>
        <v>Bad</v>
      </c>
    </row>
    <row r="4465" spans="2:34" x14ac:dyDescent="0.2">
      <c r="B4465" s="2">
        <f ca="1"/>
        <v>0.95945723906783686</v>
      </c>
      <c r="O4465" s="2">
        <f ca="1"/>
        <v>-1.1059148713249374</v>
      </c>
      <c r="X4465" s="2">
        <f ca="1"/>
        <v>46.116825810072264</v>
      </c>
      <c r="AG4465" s="2">
        <f ca="1"/>
        <v>0.44394078816685001</v>
      </c>
      <c r="AH4465" s="2" t="str">
        <f ca="1"/>
        <v>Bad</v>
      </c>
    </row>
    <row r="4466" spans="2:34" x14ac:dyDescent="0.2">
      <c r="B4466" s="2">
        <f ca="1"/>
        <v>0.62887354771208548</v>
      </c>
      <c r="O4466" s="2">
        <f ca="1"/>
        <v>0.59959813655589755</v>
      </c>
      <c r="X4466" s="2">
        <f ca="1"/>
        <v>54.323205037880548</v>
      </c>
      <c r="AG4466" s="2">
        <f ca="1"/>
        <v>0.99674811795391949</v>
      </c>
      <c r="AH4466" s="2" t="str">
        <f ca="1"/>
        <v>Bad</v>
      </c>
    </row>
    <row r="4467" spans="2:34" x14ac:dyDescent="0.2">
      <c r="B4467" s="2">
        <f ca="1"/>
        <v>0.96295128077278291</v>
      </c>
      <c r="O4467" s="2">
        <f ca="1"/>
        <v>0.11857856825816999</v>
      </c>
      <c r="X4467" s="2">
        <f ca="1"/>
        <v>39.160666507950509</v>
      </c>
      <c r="AG4467" s="2">
        <f ca="1"/>
        <v>9.2231546353632954E-2</v>
      </c>
      <c r="AH4467" s="2" t="str">
        <f ca="1"/>
        <v>OK</v>
      </c>
    </row>
    <row r="4468" spans="2:34" x14ac:dyDescent="0.2">
      <c r="B4468" s="2">
        <f ca="1"/>
        <v>0.90531181943443673</v>
      </c>
      <c r="O4468" s="2">
        <f ca="1"/>
        <v>0.94199854778196179</v>
      </c>
      <c r="X4468" s="2">
        <f ca="1"/>
        <v>45.344108412671808</v>
      </c>
      <c r="AG4468" s="2">
        <f ca="1"/>
        <v>0.29800692347314239</v>
      </c>
      <c r="AH4468" s="2" t="str">
        <f ca="1"/>
        <v>OK</v>
      </c>
    </row>
    <row r="4469" spans="2:34" x14ac:dyDescent="0.2">
      <c r="B4469" s="2">
        <f ca="1"/>
        <v>0.75438531290672417</v>
      </c>
      <c r="O4469" s="2">
        <f ca="1"/>
        <v>-1.2200499626651811</v>
      </c>
      <c r="X4469" s="2">
        <f ca="1"/>
        <v>76.759181012218733</v>
      </c>
      <c r="AG4469" s="2">
        <f ca="1"/>
        <v>0.27005792808187645</v>
      </c>
      <c r="AH4469" s="2" t="str">
        <f ca="1"/>
        <v>OK</v>
      </c>
    </row>
    <row r="4470" spans="2:34" x14ac:dyDescent="0.2">
      <c r="B4470" s="2">
        <f ca="1"/>
        <v>0.4810918443558212</v>
      </c>
      <c r="O4470" s="2">
        <f ca="1"/>
        <v>-5.2087824527680168E-2</v>
      </c>
      <c r="X4470" s="2">
        <f ca="1"/>
        <v>52.5903755859553</v>
      </c>
      <c r="AG4470" s="2">
        <f ca="1"/>
        <v>0.29604023541006663</v>
      </c>
      <c r="AH4470" s="2" t="str">
        <f ca="1"/>
        <v>OK</v>
      </c>
    </row>
    <row r="4471" spans="2:34" x14ac:dyDescent="0.2">
      <c r="B4471" s="2">
        <f ca="1"/>
        <v>0.49273759319849209</v>
      </c>
      <c r="O4471" s="2">
        <f ca="1"/>
        <v>-0.86971533572517057</v>
      </c>
      <c r="X4471" s="2">
        <f ca="1"/>
        <v>41.192671277269177</v>
      </c>
      <c r="AG4471" s="2">
        <f ca="1"/>
        <v>0.81978618332271491</v>
      </c>
      <c r="AH4471" s="2" t="str">
        <f ca="1"/>
        <v>Bad</v>
      </c>
    </row>
    <row r="4472" spans="2:34" x14ac:dyDescent="0.2">
      <c r="B4472" s="2">
        <f ca="1"/>
        <v>0.44674636808758073</v>
      </c>
      <c r="O4472" s="2">
        <f ca="1"/>
        <v>1.505581781569638</v>
      </c>
      <c r="X4472" s="2">
        <f ca="1"/>
        <v>52.322368407384033</v>
      </c>
      <c r="AG4472" s="2">
        <f ca="1"/>
        <v>0.74368384275155996</v>
      </c>
      <c r="AH4472" s="2" t="str">
        <f ca="1"/>
        <v>Bad</v>
      </c>
    </row>
    <row r="4473" spans="2:34" x14ac:dyDescent="0.2">
      <c r="B4473" s="2">
        <f ca="1"/>
        <v>0.65530725276521906</v>
      </c>
      <c r="O4473" s="2">
        <f ca="1"/>
        <v>-1.0674321968210831</v>
      </c>
      <c r="X4473" s="2">
        <f ca="1"/>
        <v>56.207817319355129</v>
      </c>
      <c r="AG4473" s="2">
        <f ca="1"/>
        <v>0.95774955222465552</v>
      </c>
      <c r="AH4473" s="2" t="str">
        <f ca="1"/>
        <v>Bad</v>
      </c>
    </row>
    <row r="4474" spans="2:34" x14ac:dyDescent="0.2">
      <c r="B4474" s="2">
        <f ca="1"/>
        <v>0.48370465916520433</v>
      </c>
      <c r="O4474" s="2">
        <f ca="1"/>
        <v>-0.24718547164860175</v>
      </c>
      <c r="X4474" s="2">
        <f ca="1"/>
        <v>34.278740328917394</v>
      </c>
      <c r="AG4474" s="2">
        <f ca="1"/>
        <v>0.86147678359313873</v>
      </c>
      <c r="AH4474" s="2" t="str">
        <f ca="1"/>
        <v>Bad</v>
      </c>
    </row>
    <row r="4475" spans="2:34" x14ac:dyDescent="0.2">
      <c r="B4475" s="2">
        <f ca="1"/>
        <v>0.12581697958631755</v>
      </c>
      <c r="O4475" s="2">
        <f ca="1"/>
        <v>-4.0934876269312213E-2</v>
      </c>
      <c r="X4475" s="2">
        <f ca="1"/>
        <v>50.668395294258545</v>
      </c>
      <c r="AG4475" s="2">
        <f ca="1"/>
        <v>0.18177249166726428</v>
      </c>
      <c r="AH4475" s="2" t="str">
        <f ca="1"/>
        <v>OK</v>
      </c>
    </row>
    <row r="4476" spans="2:34" x14ac:dyDescent="0.2">
      <c r="B4476" s="2">
        <f ca="1"/>
        <v>0.58018469964378738</v>
      </c>
      <c r="O4476" s="2">
        <f ca="1"/>
        <v>-1.6439402874313029</v>
      </c>
      <c r="X4476" s="2">
        <f ca="1"/>
        <v>49.856697582241765</v>
      </c>
      <c r="AG4476" s="2">
        <f ca="1"/>
        <v>0.62406704326009677</v>
      </c>
      <c r="AH4476" s="2" t="str">
        <f ca="1"/>
        <v>Bad</v>
      </c>
    </row>
    <row r="4477" spans="2:34" x14ac:dyDescent="0.2">
      <c r="B4477" s="2">
        <f ca="1"/>
        <v>0.53748262510806311</v>
      </c>
      <c r="O4477" s="2">
        <f ca="1"/>
        <v>1.8516973749330998</v>
      </c>
      <c r="X4477" s="2">
        <f ca="1"/>
        <v>37.946581573704165</v>
      </c>
      <c r="AG4477" s="2">
        <f ca="1"/>
        <v>0.32823112556828771</v>
      </c>
      <c r="AH4477" s="2" t="str">
        <f ca="1"/>
        <v>OK</v>
      </c>
    </row>
    <row r="4478" spans="2:34" x14ac:dyDescent="0.2">
      <c r="B4478" s="2">
        <f ca="1"/>
        <v>5.0348877139846149E-2</v>
      </c>
      <c r="O4478" s="2">
        <f ca="1"/>
        <v>-0.80055630224128216</v>
      </c>
      <c r="X4478" s="2">
        <f ca="1"/>
        <v>46.110449796677926</v>
      </c>
      <c r="AG4478" s="2">
        <f ca="1"/>
        <v>0.75052074144915104</v>
      </c>
      <c r="AH4478" s="2" t="str">
        <f ca="1"/>
        <v>Bad</v>
      </c>
    </row>
    <row r="4479" spans="2:34" x14ac:dyDescent="0.2">
      <c r="B4479" s="2">
        <f ca="1"/>
        <v>0.21160452618544889</v>
      </c>
      <c r="O4479" s="2">
        <f ca="1"/>
        <v>-0.69274646609961144</v>
      </c>
      <c r="X4479" s="2">
        <f ca="1"/>
        <v>47.693831229090335</v>
      </c>
      <c r="AG4479" s="2">
        <f ca="1"/>
        <v>0.41244280983534054</v>
      </c>
      <c r="AH4479" s="2" t="str">
        <f ca="1"/>
        <v>Bad</v>
      </c>
    </row>
    <row r="4480" spans="2:34" x14ac:dyDescent="0.2">
      <c r="B4480" s="2">
        <f ca="1"/>
        <v>0.65917860773790071</v>
      </c>
      <c r="O4480" s="2">
        <f ca="1"/>
        <v>1.0921337209429305</v>
      </c>
      <c r="X4480" s="2">
        <f ca="1"/>
        <v>41.089944163732675</v>
      </c>
      <c r="AG4480" s="2">
        <f ca="1"/>
        <v>0.40412255811971942</v>
      </c>
      <c r="AH4480" s="2" t="str">
        <f ca="1"/>
        <v>Bad</v>
      </c>
    </row>
    <row r="4481" spans="2:34" x14ac:dyDescent="0.2">
      <c r="B4481" s="2">
        <f ca="1"/>
        <v>5.8166545922382795E-2</v>
      </c>
      <c r="O4481" s="2">
        <f ca="1"/>
        <v>-0.62634431346580588</v>
      </c>
      <c r="X4481" s="2">
        <f ca="1"/>
        <v>38.575402665333108</v>
      </c>
      <c r="AG4481" s="2">
        <f ca="1"/>
        <v>0.3963453337172862</v>
      </c>
      <c r="AH4481" s="2" t="str">
        <f ca="1"/>
        <v>OK</v>
      </c>
    </row>
    <row r="4482" spans="2:34" x14ac:dyDescent="0.2">
      <c r="B4482" s="2">
        <f ca="1"/>
        <v>0.47311076365829718</v>
      </c>
      <c r="O4482" s="2">
        <f ca="1"/>
        <v>-0.8277173793835314</v>
      </c>
      <c r="X4482" s="2">
        <f ca="1"/>
        <v>36.89714843961459</v>
      </c>
      <c r="AG4482" s="2">
        <f ca="1"/>
        <v>0.50574616920968274</v>
      </c>
      <c r="AH4482" s="2" t="str">
        <f ca="1"/>
        <v>Bad</v>
      </c>
    </row>
    <row r="4483" spans="2:34" x14ac:dyDescent="0.2">
      <c r="B4483" s="2">
        <f ca="1"/>
        <v>0.67275114484846132</v>
      </c>
      <c r="O4483" s="2">
        <f ca="1"/>
        <v>-0.26882148277896545</v>
      </c>
      <c r="X4483" s="2">
        <f ca="1"/>
        <v>62.91238542738229</v>
      </c>
      <c r="AG4483" s="2">
        <f ca="1"/>
        <v>0.9478353402903521</v>
      </c>
      <c r="AH4483" s="2" t="str">
        <f ca="1"/>
        <v>Bad</v>
      </c>
    </row>
    <row r="4484" spans="2:34" x14ac:dyDescent="0.2">
      <c r="B4484" s="2">
        <f ca="1"/>
        <v>0.71965930858209748</v>
      </c>
      <c r="O4484" s="2">
        <f ca="1"/>
        <v>-1.2771134807207083</v>
      </c>
      <c r="X4484" s="2">
        <f ca="1"/>
        <v>62.136447014397184</v>
      </c>
      <c r="AG4484" s="2">
        <f ca="1"/>
        <v>0.50232056438306971</v>
      </c>
      <c r="AH4484" s="2" t="str">
        <f ca="1"/>
        <v>Bad</v>
      </c>
    </row>
    <row r="4485" spans="2:34" x14ac:dyDescent="0.2">
      <c r="B4485" s="2">
        <f ca="1"/>
        <v>7.268218467504628E-2</v>
      </c>
      <c r="O4485" s="2">
        <f ca="1"/>
        <v>3.003015017395684</v>
      </c>
      <c r="X4485" s="2">
        <f ca="1"/>
        <v>40.417703339621688</v>
      </c>
      <c r="AG4485" s="2">
        <f ca="1"/>
        <v>0.23917977091977227</v>
      </c>
      <c r="AH4485" s="2" t="str">
        <f ca="1"/>
        <v>OK</v>
      </c>
    </row>
    <row r="4486" spans="2:34" x14ac:dyDescent="0.2">
      <c r="B4486" s="2">
        <f ca="1"/>
        <v>0.69535021430363564</v>
      </c>
      <c r="O4486" s="2">
        <f ca="1"/>
        <v>0.34470530641562208</v>
      </c>
      <c r="X4486" s="2">
        <f ca="1"/>
        <v>63.559733531281367</v>
      </c>
      <c r="AG4486" s="2">
        <f ca="1"/>
        <v>5.010198218315387E-2</v>
      </c>
      <c r="AH4486" s="2" t="str">
        <f ca="1"/>
        <v>OK</v>
      </c>
    </row>
    <row r="4487" spans="2:34" x14ac:dyDescent="0.2">
      <c r="B4487" s="2">
        <f ca="1"/>
        <v>0.75053244768810878</v>
      </c>
      <c r="O4487" s="2">
        <f ca="1"/>
        <v>0.176026217786832</v>
      </c>
      <c r="X4487" s="2">
        <f ca="1"/>
        <v>37.653708971926761</v>
      </c>
      <c r="AG4487" s="2">
        <f ca="1"/>
        <v>0.47028069741975687</v>
      </c>
      <c r="AH4487" s="2" t="str">
        <f ca="1"/>
        <v>Bad</v>
      </c>
    </row>
    <row r="4488" spans="2:34" x14ac:dyDescent="0.2">
      <c r="B4488" s="2">
        <f ca="1"/>
        <v>0.38479870654917225</v>
      </c>
      <c r="O4488" s="2">
        <f ca="1"/>
        <v>9.7791063276554593E-3</v>
      </c>
      <c r="X4488" s="2">
        <f ca="1"/>
        <v>30.751008705236206</v>
      </c>
      <c r="AG4488" s="2">
        <f ca="1"/>
        <v>0.10183100403160128</v>
      </c>
      <c r="AH4488" s="2" t="str">
        <f ca="1"/>
        <v>OK</v>
      </c>
    </row>
    <row r="4489" spans="2:34" x14ac:dyDescent="0.2">
      <c r="B4489" s="2">
        <f ca="1"/>
        <v>0.58921941086116414</v>
      </c>
      <c r="O4489" s="2">
        <f ca="1"/>
        <v>-1.0307324439536787</v>
      </c>
      <c r="X4489" s="2">
        <f ca="1"/>
        <v>59.767612872944937</v>
      </c>
      <c r="AG4489" s="2">
        <f ca="1"/>
        <v>0.10906120774448391</v>
      </c>
      <c r="AH4489" s="2" t="str">
        <f ca="1"/>
        <v>OK</v>
      </c>
    </row>
    <row r="4490" spans="2:34" x14ac:dyDescent="0.2">
      <c r="B4490" s="2">
        <f ca="1"/>
        <v>0.84305605939034511</v>
      </c>
      <c r="O4490" s="2">
        <f ca="1"/>
        <v>-0.86573635270081528</v>
      </c>
      <c r="X4490" s="2">
        <f ca="1"/>
        <v>50.648579063027547</v>
      </c>
      <c r="AG4490" s="2">
        <f ca="1"/>
        <v>4.1273245818169046E-2</v>
      </c>
      <c r="AH4490" s="2" t="str">
        <f ca="1"/>
        <v>Good</v>
      </c>
    </row>
    <row r="4491" spans="2:34" x14ac:dyDescent="0.2">
      <c r="B4491" s="2">
        <f ca="1"/>
        <v>0.721561346248492</v>
      </c>
      <c r="O4491" s="2">
        <f ca="1"/>
        <v>-0.63430625136449958</v>
      </c>
      <c r="X4491" s="2">
        <f ca="1"/>
        <v>91.789620432048039</v>
      </c>
      <c r="AG4491" s="2">
        <f ca="1"/>
        <v>3.6608570477654201E-2</v>
      </c>
      <c r="AH4491" s="2" t="str">
        <f ca="1"/>
        <v>Good</v>
      </c>
    </row>
    <row r="4492" spans="2:34" x14ac:dyDescent="0.2">
      <c r="B4492" s="2">
        <f ca="1"/>
        <v>0.54969376125666147</v>
      </c>
      <c r="O4492" s="2">
        <f ca="1"/>
        <v>-0.42147485406614305</v>
      </c>
      <c r="X4492" s="2">
        <f ca="1"/>
        <v>38.157574592081403</v>
      </c>
      <c r="AG4492" s="2">
        <f ca="1"/>
        <v>0.60530305427633779</v>
      </c>
      <c r="AH4492" s="2" t="str">
        <f ca="1"/>
        <v>Bad</v>
      </c>
    </row>
    <row r="4493" spans="2:34" x14ac:dyDescent="0.2">
      <c r="B4493" s="2">
        <f ca="1"/>
        <v>0.22291597323389611</v>
      </c>
      <c r="O4493" s="2">
        <f ca="1"/>
        <v>-1.2813866027820378</v>
      </c>
      <c r="X4493" s="2">
        <f ca="1"/>
        <v>32.859466054439096</v>
      </c>
      <c r="AG4493" s="2">
        <f ca="1"/>
        <v>0.54872749630728568</v>
      </c>
      <c r="AH4493" s="2" t="str">
        <f ca="1"/>
        <v>Bad</v>
      </c>
    </row>
    <row r="4494" spans="2:34" x14ac:dyDescent="0.2">
      <c r="B4494" s="2">
        <f ca="1"/>
        <v>0.97830275502933484</v>
      </c>
      <c r="O4494" s="2">
        <f ca="1"/>
        <v>-2.1248017091857632</v>
      </c>
      <c r="X4494" s="2">
        <f ca="1"/>
        <v>65.556418912437962</v>
      </c>
      <c r="AG4494" s="2">
        <f ca="1"/>
        <v>0.38801294035884681</v>
      </c>
      <c r="AH4494" s="2" t="str">
        <f ca="1"/>
        <v>OK</v>
      </c>
    </row>
    <row r="4495" spans="2:34" x14ac:dyDescent="0.2">
      <c r="B4495" s="2">
        <f ca="1"/>
        <v>0.33643068548450628</v>
      </c>
      <c r="O4495" s="2">
        <f ca="1"/>
        <v>-1.0046462032378136</v>
      </c>
      <c r="X4495" s="2">
        <f ca="1"/>
        <v>26.261132291562859</v>
      </c>
      <c r="AG4495" s="2">
        <f ca="1"/>
        <v>0.26241538745720661</v>
      </c>
      <c r="AH4495" s="2" t="str">
        <f ca="1"/>
        <v>OK</v>
      </c>
    </row>
    <row r="4496" spans="2:34" x14ac:dyDescent="0.2">
      <c r="B4496" s="2">
        <f ca="1"/>
        <v>0.17784171790283931</v>
      </c>
      <c r="O4496" s="2">
        <f ca="1"/>
        <v>1.0913728539571848</v>
      </c>
      <c r="X4496" s="2">
        <f ca="1"/>
        <v>33.284701231218769</v>
      </c>
      <c r="AG4496" s="2">
        <f ca="1"/>
        <v>9.4829549501793453E-2</v>
      </c>
      <c r="AH4496" s="2" t="str">
        <f ca="1"/>
        <v>OK</v>
      </c>
    </row>
    <row r="4497" spans="2:34" x14ac:dyDescent="0.2">
      <c r="B4497" s="2">
        <f ca="1"/>
        <v>0.51799693498807264</v>
      </c>
      <c r="O4497" s="2">
        <f ca="1"/>
        <v>2.4574553501251821</v>
      </c>
      <c r="X4497" s="2">
        <f ca="1"/>
        <v>63.815795939967941</v>
      </c>
      <c r="AG4497" s="2">
        <f ca="1"/>
        <v>0.96733599901048684</v>
      </c>
      <c r="AH4497" s="2" t="str">
        <f ca="1"/>
        <v>Bad</v>
      </c>
    </row>
    <row r="4498" spans="2:34" x14ac:dyDescent="0.2">
      <c r="B4498" s="2">
        <f ca="1"/>
        <v>0.27527215643539371</v>
      </c>
      <c r="O4498" s="2">
        <f ca="1"/>
        <v>-0.92405253365377238</v>
      </c>
      <c r="X4498" s="2">
        <f ca="1"/>
        <v>60.986637737930131</v>
      </c>
      <c r="AG4498" s="2">
        <f ca="1"/>
        <v>0.43130588390416058</v>
      </c>
      <c r="AH4498" s="2" t="str">
        <f ca="1"/>
        <v>Bad</v>
      </c>
    </row>
    <row r="4499" spans="2:34" x14ac:dyDescent="0.2">
      <c r="B4499" s="2">
        <f ca="1"/>
        <v>0.79491339622093204</v>
      </c>
      <c r="O4499" s="2">
        <f ca="1"/>
        <v>-1.3857038651416038</v>
      </c>
      <c r="X4499" s="2">
        <f ca="1"/>
        <v>27.205882214487303</v>
      </c>
      <c r="AG4499" s="2">
        <f ca="1"/>
        <v>0.86991364083675982</v>
      </c>
      <c r="AH4499" s="2" t="str">
        <f ca="1"/>
        <v>Bad</v>
      </c>
    </row>
    <row r="4500" spans="2:34" x14ac:dyDescent="0.2">
      <c r="B4500" s="2">
        <f ca="1"/>
        <v>0.3259908818759909</v>
      </c>
      <c r="O4500" s="2">
        <f ca="1"/>
        <v>1.9050450281294744</v>
      </c>
      <c r="X4500" s="2">
        <f ca="1"/>
        <v>123.88378755111006</v>
      </c>
      <c r="AG4500" s="2">
        <f ca="1"/>
        <v>0.56187024223970505</v>
      </c>
      <c r="AH4500" s="2" t="str">
        <f ca="1"/>
        <v>Bad</v>
      </c>
    </row>
    <row r="4501" spans="2:34" x14ac:dyDescent="0.2">
      <c r="B4501" s="2">
        <f ca="1"/>
        <v>0.87948027039888621</v>
      </c>
      <c r="O4501" s="2">
        <f ca="1"/>
        <v>0.68920436691647458</v>
      </c>
      <c r="X4501" s="2">
        <f ca="1"/>
        <v>39.785312872938178</v>
      </c>
      <c r="AG4501" s="2">
        <f ca="1"/>
        <v>0.42384059556016851</v>
      </c>
      <c r="AH4501" s="2" t="str">
        <f ca="1"/>
        <v>Bad</v>
      </c>
    </row>
    <row r="4502" spans="2:34" x14ac:dyDescent="0.2">
      <c r="B4502" s="2">
        <f ca="1"/>
        <v>2.2211941499977739E-2</v>
      </c>
      <c r="O4502" s="2">
        <f ca="1"/>
        <v>-3.2610485628297914</v>
      </c>
      <c r="X4502" s="2">
        <f ca="1"/>
        <v>45.621540559234006</v>
      </c>
      <c r="AG4502" s="2">
        <f ca="1"/>
        <v>0.24240777350931464</v>
      </c>
      <c r="AH4502" s="2" t="str">
        <f ca="1"/>
        <v>OK</v>
      </c>
    </row>
    <row r="4503" spans="2:34" x14ac:dyDescent="0.2">
      <c r="B4503" s="2">
        <f ca="1"/>
        <v>0.17571624352820892</v>
      </c>
      <c r="O4503" s="2">
        <f ca="1"/>
        <v>0.10273125630320909</v>
      </c>
      <c r="X4503" s="2">
        <f ca="1"/>
        <v>76.031400407704766</v>
      </c>
      <c r="AG4503" s="2">
        <f ca="1"/>
        <v>0.73187084808155078</v>
      </c>
      <c r="AH4503" s="2" t="str">
        <f ca="1"/>
        <v>Bad</v>
      </c>
    </row>
    <row r="4504" spans="2:34" x14ac:dyDescent="0.2">
      <c r="B4504" s="2">
        <f ca="1"/>
        <v>0.17603125426588018</v>
      </c>
      <c r="O4504" s="2">
        <f ca="1"/>
        <v>1.2081215035440709</v>
      </c>
      <c r="X4504" s="2">
        <f ca="1"/>
        <v>31.359405501155507</v>
      </c>
      <c r="AG4504" s="2">
        <f ca="1"/>
        <v>0.71976654965025366</v>
      </c>
      <c r="AH4504" s="2" t="str">
        <f ca="1"/>
        <v>Bad</v>
      </c>
    </row>
    <row r="4505" spans="2:34" x14ac:dyDescent="0.2">
      <c r="B4505" s="2">
        <f ca="1"/>
        <v>0.88932500303719575</v>
      </c>
      <c r="O4505" s="2">
        <f ca="1"/>
        <v>-0.24636031159180566</v>
      </c>
      <c r="X4505" s="2">
        <f ca="1"/>
        <v>41.138415389088053</v>
      </c>
      <c r="AG4505" s="2">
        <f ca="1"/>
        <v>0.23211779276587996</v>
      </c>
      <c r="AH4505" s="2" t="str">
        <f ca="1"/>
        <v>OK</v>
      </c>
    </row>
    <row r="4506" spans="2:34" x14ac:dyDescent="0.2">
      <c r="B4506" s="2">
        <f ca="1"/>
        <v>0.99334298613763994</v>
      </c>
      <c r="O4506" s="2">
        <f ca="1"/>
        <v>1.6744530556088739</v>
      </c>
      <c r="X4506" s="2">
        <f ca="1"/>
        <v>36.493928024320851</v>
      </c>
      <c r="AG4506" s="2">
        <f ca="1"/>
        <v>0.37677135723223154</v>
      </c>
      <c r="AH4506" s="2" t="str">
        <f ca="1"/>
        <v>OK</v>
      </c>
    </row>
    <row r="4507" spans="2:34" x14ac:dyDescent="0.2">
      <c r="B4507" s="2">
        <f ca="1"/>
        <v>5.7432360503583801E-2</v>
      </c>
      <c r="O4507" s="2">
        <f ca="1"/>
        <v>0.24650670439272951</v>
      </c>
      <c r="X4507" s="2">
        <f ca="1"/>
        <v>40.373339089344157</v>
      </c>
      <c r="AG4507" s="2">
        <f ca="1"/>
        <v>0.89355465079158702</v>
      </c>
      <c r="AH4507" s="2" t="str">
        <f ca="1"/>
        <v>Bad</v>
      </c>
    </row>
    <row r="4508" spans="2:34" x14ac:dyDescent="0.2">
      <c r="B4508" s="2">
        <f ca="1"/>
        <v>4.7047342510275758E-3</v>
      </c>
      <c r="O4508" s="2">
        <f ca="1"/>
        <v>-0.35397239877590936</v>
      </c>
      <c r="X4508" s="2">
        <f ca="1"/>
        <v>69.714217834717573</v>
      </c>
      <c r="AG4508" s="2">
        <f ca="1"/>
        <v>0.98842687769305937</v>
      </c>
      <c r="AH4508" s="2" t="str">
        <f ca="1"/>
        <v>Bad</v>
      </c>
    </row>
    <row r="4509" spans="2:34" x14ac:dyDescent="0.2">
      <c r="B4509" s="2">
        <f ca="1"/>
        <v>7.7115896930699757E-2</v>
      </c>
      <c r="O4509" s="2">
        <f ca="1"/>
        <v>0.39860141300210511</v>
      </c>
      <c r="X4509" s="2">
        <f ca="1"/>
        <v>44.546025883600734</v>
      </c>
      <c r="AG4509" s="2">
        <f ca="1"/>
        <v>0.51286488498218574</v>
      </c>
      <c r="AH4509" s="2" t="str">
        <f ca="1"/>
        <v>Bad</v>
      </c>
    </row>
    <row r="4510" spans="2:34" x14ac:dyDescent="0.2">
      <c r="B4510" s="2">
        <f ca="1"/>
        <v>0.53823077706613232</v>
      </c>
      <c r="O4510" s="2">
        <f ca="1"/>
        <v>-2.682518772437794E-2</v>
      </c>
      <c r="X4510" s="2">
        <f ca="1"/>
        <v>53.801029928951166</v>
      </c>
      <c r="AG4510" s="2">
        <f ca="1"/>
        <v>0.22947364720517172</v>
      </c>
      <c r="AH4510" s="2" t="str">
        <f ca="1"/>
        <v>OK</v>
      </c>
    </row>
    <row r="4511" spans="2:34" x14ac:dyDescent="0.2">
      <c r="B4511" s="2">
        <f ca="1"/>
        <v>0.19497857293199394</v>
      </c>
      <c r="O4511" s="2">
        <f ca="1"/>
        <v>0.14692216953560119</v>
      </c>
      <c r="X4511" s="2">
        <f ca="1"/>
        <v>63.75723446465603</v>
      </c>
      <c r="AG4511" s="2">
        <f ca="1"/>
        <v>9.9657921335807753E-2</v>
      </c>
      <c r="AH4511" s="2" t="str">
        <f ca="1"/>
        <v>OK</v>
      </c>
    </row>
    <row r="4512" spans="2:34" x14ac:dyDescent="0.2">
      <c r="B4512" s="2">
        <f ca="1"/>
        <v>0.17932120262424989</v>
      </c>
      <c r="O4512" s="2">
        <f ca="1"/>
        <v>-0.19225727560697431</v>
      </c>
      <c r="X4512" s="2">
        <f ca="1"/>
        <v>57.589665375436979</v>
      </c>
      <c r="AG4512" s="2">
        <f ca="1"/>
        <v>0.66188830621820083</v>
      </c>
      <c r="AH4512" s="2" t="str">
        <f ca="1"/>
        <v>Bad</v>
      </c>
    </row>
    <row r="4513" spans="2:34" x14ac:dyDescent="0.2">
      <c r="B4513" s="2">
        <f ca="1"/>
        <v>0.73765061977627711</v>
      </c>
      <c r="O4513" s="2">
        <f ca="1"/>
        <v>0.28769053223143526</v>
      </c>
      <c r="X4513" s="2">
        <f ca="1"/>
        <v>24.879111690995074</v>
      </c>
      <c r="AG4513" s="2">
        <f ca="1"/>
        <v>0.36112522140629877</v>
      </c>
      <c r="AH4513" s="2" t="str">
        <f ca="1"/>
        <v>OK</v>
      </c>
    </row>
    <row r="4514" spans="2:34" x14ac:dyDescent="0.2">
      <c r="B4514" s="2">
        <f ca="1"/>
        <v>0.2506963434431313</v>
      </c>
      <c r="O4514" s="2">
        <f ca="1"/>
        <v>-0.85965551850926714</v>
      </c>
      <c r="X4514" s="2">
        <f ca="1"/>
        <v>32.771748591584405</v>
      </c>
      <c r="AG4514" s="2">
        <f ca="1"/>
        <v>0.77314176887005148</v>
      </c>
      <c r="AH4514" s="2" t="str">
        <f ca="1"/>
        <v>Bad</v>
      </c>
    </row>
    <row r="4515" spans="2:34" x14ac:dyDescent="0.2">
      <c r="B4515" s="2">
        <f ca="1"/>
        <v>0.33578487799547796</v>
      </c>
      <c r="O4515" s="2">
        <f ca="1"/>
        <v>0.99212770224838853</v>
      </c>
      <c r="X4515" s="2">
        <f ca="1"/>
        <v>86.945097313068885</v>
      </c>
      <c r="AG4515" s="2">
        <f ca="1"/>
        <v>0.71931471532373759</v>
      </c>
      <c r="AH4515" s="2" t="str">
        <f ca="1"/>
        <v>Bad</v>
      </c>
    </row>
    <row r="4516" spans="2:34" x14ac:dyDescent="0.2">
      <c r="B4516" s="2">
        <f ca="1"/>
        <v>0.26364134249549687</v>
      </c>
      <c r="O4516" s="2">
        <f ca="1"/>
        <v>1.31396185139996</v>
      </c>
      <c r="X4516" s="2">
        <f ca="1"/>
        <v>65.461320828169903</v>
      </c>
      <c r="AG4516" s="2">
        <f ca="1"/>
        <v>0.21500718787272244</v>
      </c>
      <c r="AH4516" s="2" t="str">
        <f ca="1"/>
        <v>OK</v>
      </c>
    </row>
    <row r="4517" spans="2:34" x14ac:dyDescent="0.2">
      <c r="B4517" s="2">
        <f ca="1"/>
        <v>0.93848898109365586</v>
      </c>
      <c r="O4517" s="2">
        <f ca="1"/>
        <v>-1.7451079695972675</v>
      </c>
      <c r="X4517" s="2">
        <f ca="1"/>
        <v>43.340146064697535</v>
      </c>
      <c r="AG4517" s="2">
        <f ca="1"/>
        <v>0.18136559399690944</v>
      </c>
      <c r="AH4517" s="2" t="str">
        <f ca="1"/>
        <v>OK</v>
      </c>
    </row>
    <row r="4518" spans="2:34" x14ac:dyDescent="0.2">
      <c r="B4518" s="2">
        <f ca="1"/>
        <v>0.75365363746324299</v>
      </c>
      <c r="O4518" s="2">
        <f ca="1"/>
        <v>-0.70659155857405676</v>
      </c>
      <c r="X4518" s="2">
        <f ca="1"/>
        <v>49.195719581690973</v>
      </c>
      <c r="AG4518" s="2">
        <f ca="1"/>
        <v>0.79177964798773526</v>
      </c>
      <c r="AH4518" s="2" t="str">
        <f ca="1"/>
        <v>Bad</v>
      </c>
    </row>
    <row r="4519" spans="2:34" x14ac:dyDescent="0.2">
      <c r="B4519" s="2">
        <f ca="1"/>
        <v>0.23311309105333278</v>
      </c>
      <c r="O4519" s="2">
        <f ca="1"/>
        <v>0.74543661405965012</v>
      </c>
      <c r="X4519" s="2">
        <f ca="1"/>
        <v>42.145988820351583</v>
      </c>
      <c r="AG4519" s="2">
        <f ca="1"/>
        <v>0.34616793759736741</v>
      </c>
      <c r="AH4519" s="2" t="str">
        <f ca="1"/>
        <v>OK</v>
      </c>
    </row>
    <row r="4520" spans="2:34" x14ac:dyDescent="0.2">
      <c r="B4520" s="2">
        <f ca="1"/>
        <v>0.22232646872292583</v>
      </c>
      <c r="O4520" s="2">
        <f ca="1"/>
        <v>-1.1672958434653111</v>
      </c>
      <c r="X4520" s="2">
        <f ca="1"/>
        <v>44.203848707756528</v>
      </c>
      <c r="AG4520" s="2">
        <f ca="1"/>
        <v>0.45791330967731381</v>
      </c>
      <c r="AH4520" s="2" t="str">
        <f ca="1"/>
        <v>Bad</v>
      </c>
    </row>
    <row r="4521" spans="2:34" x14ac:dyDescent="0.2">
      <c r="B4521" s="2">
        <f ca="1"/>
        <v>0.84734927798614335</v>
      </c>
      <c r="O4521" s="2">
        <f ca="1"/>
        <v>-0.39638027122423747</v>
      </c>
      <c r="X4521" s="2">
        <f ca="1"/>
        <v>49.177395955904274</v>
      </c>
      <c r="AG4521" s="2">
        <f ca="1"/>
        <v>9.0171535683382098E-2</v>
      </c>
      <c r="AH4521" s="2" t="str">
        <f ca="1"/>
        <v>OK</v>
      </c>
    </row>
    <row r="4522" spans="2:34" x14ac:dyDescent="0.2">
      <c r="B4522" s="2">
        <f ca="1"/>
        <v>0.16396108200824511</v>
      </c>
      <c r="O4522" s="2">
        <f ca="1"/>
        <v>1.6340660705614454</v>
      </c>
      <c r="X4522" s="2">
        <f ca="1"/>
        <v>27.306291674847603</v>
      </c>
      <c r="AG4522" s="2">
        <f ca="1"/>
        <v>0.13470156333827377</v>
      </c>
      <c r="AH4522" s="2" t="str">
        <f ca="1"/>
        <v>OK</v>
      </c>
    </row>
    <row r="4523" spans="2:34" x14ac:dyDescent="0.2">
      <c r="B4523" s="2">
        <f ca="1"/>
        <v>0.56641611917715573</v>
      </c>
      <c r="O4523" s="2">
        <f ca="1"/>
        <v>2.6016825079331505</v>
      </c>
      <c r="X4523" s="2">
        <f ca="1"/>
        <v>39.193028307088881</v>
      </c>
      <c r="AG4523" s="2">
        <f ca="1"/>
        <v>0.32235407144967332</v>
      </c>
      <c r="AH4523" s="2" t="str">
        <f ca="1"/>
        <v>OK</v>
      </c>
    </row>
    <row r="4524" spans="2:34" x14ac:dyDescent="0.2">
      <c r="B4524" s="2">
        <f ca="1"/>
        <v>0.35432565353868384</v>
      </c>
      <c r="O4524" s="2">
        <f ca="1"/>
        <v>-0.84365805587414711</v>
      </c>
      <c r="X4524" s="2">
        <f ca="1"/>
        <v>64.766561585007082</v>
      </c>
      <c r="AG4524" s="2">
        <f ca="1"/>
        <v>0.89160763110925112</v>
      </c>
      <c r="AH4524" s="2" t="str">
        <f ca="1"/>
        <v>Bad</v>
      </c>
    </row>
    <row r="4525" spans="2:34" x14ac:dyDescent="0.2">
      <c r="B4525" s="2">
        <f ca="1"/>
        <v>0.87573209064993329</v>
      </c>
      <c r="O4525" s="2">
        <f ca="1"/>
        <v>-0.24867090516646079</v>
      </c>
      <c r="X4525" s="2">
        <f ca="1"/>
        <v>63.595496247126164</v>
      </c>
      <c r="AG4525" s="2">
        <f ca="1"/>
        <v>0.959617213099065</v>
      </c>
      <c r="AH4525" s="2" t="str">
        <f ca="1"/>
        <v>Bad</v>
      </c>
    </row>
    <row r="4526" spans="2:34" x14ac:dyDescent="0.2">
      <c r="B4526" s="2">
        <f ca="1"/>
        <v>0.72127957434319301</v>
      </c>
      <c r="O4526" s="2">
        <f ca="1"/>
        <v>0.34361122445985381</v>
      </c>
      <c r="X4526" s="2">
        <f ca="1"/>
        <v>37.860757164646706</v>
      </c>
      <c r="AG4526" s="2">
        <f ca="1"/>
        <v>0.50006764082709032</v>
      </c>
      <c r="AH4526" s="2" t="str">
        <f ca="1"/>
        <v>Bad</v>
      </c>
    </row>
    <row r="4527" spans="2:34" x14ac:dyDescent="0.2">
      <c r="B4527" s="2">
        <f ca="1"/>
        <v>0.4229778713244956</v>
      </c>
      <c r="O4527" s="2">
        <f ca="1"/>
        <v>1.0232821645407755</v>
      </c>
      <c r="X4527" s="2">
        <f ca="1"/>
        <v>48.568884965967129</v>
      </c>
      <c r="AG4527" s="2">
        <f ca="1"/>
        <v>0.129790081912174</v>
      </c>
      <c r="AH4527" s="2" t="str">
        <f ca="1"/>
        <v>OK</v>
      </c>
    </row>
    <row r="4528" spans="2:34" x14ac:dyDescent="0.2">
      <c r="B4528" s="2">
        <f ca="1"/>
        <v>0.84567547993620296</v>
      </c>
      <c r="O4528" s="2">
        <f ca="1"/>
        <v>0.66682050716707697</v>
      </c>
      <c r="X4528" s="2">
        <f ca="1"/>
        <v>24.956334387777876</v>
      </c>
      <c r="AG4528" s="2">
        <f ca="1"/>
        <v>0.6178812996593972</v>
      </c>
      <c r="AH4528" s="2" t="str">
        <f ca="1"/>
        <v>Bad</v>
      </c>
    </row>
    <row r="4529" spans="2:34" x14ac:dyDescent="0.2">
      <c r="B4529" s="2">
        <f ca="1"/>
        <v>0.14013319867637253</v>
      </c>
      <c r="O4529" s="2">
        <f ca="1"/>
        <v>-1.455689072476251</v>
      </c>
      <c r="X4529" s="2">
        <f ca="1"/>
        <v>55.356440519698111</v>
      </c>
      <c r="AG4529" s="2">
        <f ca="1"/>
        <v>2.9226646504954212E-2</v>
      </c>
      <c r="AH4529" s="2" t="str">
        <f ca="1"/>
        <v>Good</v>
      </c>
    </row>
    <row r="4530" spans="2:34" x14ac:dyDescent="0.2">
      <c r="B4530" s="2">
        <f ca="1"/>
        <v>4.024904173158772E-2</v>
      </c>
      <c r="O4530" s="2">
        <f ca="1"/>
        <v>-2.1733521433199523</v>
      </c>
      <c r="X4530" s="2">
        <f ca="1"/>
        <v>38.622050147125464</v>
      </c>
      <c r="AG4530" s="2">
        <f ca="1"/>
        <v>0.28292020100402371</v>
      </c>
      <c r="AH4530" s="2" t="str">
        <f ca="1"/>
        <v>OK</v>
      </c>
    </row>
    <row r="4531" spans="2:34" x14ac:dyDescent="0.2">
      <c r="B4531" s="2">
        <f ca="1"/>
        <v>0.20850337495515525</v>
      </c>
      <c r="O4531" s="2">
        <f ca="1"/>
        <v>1.8535922547276162</v>
      </c>
      <c r="X4531" s="2">
        <f ca="1"/>
        <v>30.165822708594785</v>
      </c>
      <c r="AG4531" s="2">
        <f ca="1"/>
        <v>0.72620173235341512</v>
      </c>
      <c r="AH4531" s="2" t="str">
        <f ca="1"/>
        <v>Bad</v>
      </c>
    </row>
    <row r="4532" spans="2:34" x14ac:dyDescent="0.2">
      <c r="B4532" s="2">
        <f ca="1"/>
        <v>0.75195526733454865</v>
      </c>
      <c r="O4532" s="2">
        <f ca="1"/>
        <v>1.0704907244457316</v>
      </c>
      <c r="X4532" s="2">
        <f ca="1"/>
        <v>54.700680110103178</v>
      </c>
      <c r="AG4532" s="2">
        <f ca="1"/>
        <v>0.87908913700112068</v>
      </c>
      <c r="AH4532" s="2" t="str">
        <f ca="1"/>
        <v>Bad</v>
      </c>
    </row>
    <row r="4533" spans="2:34" x14ac:dyDescent="0.2">
      <c r="B4533" s="2">
        <f ca="1"/>
        <v>0.4203252426752293</v>
      </c>
      <c r="O4533" s="2">
        <f ca="1"/>
        <v>0.61381302122444681</v>
      </c>
      <c r="X4533" s="2">
        <f ca="1"/>
        <v>81.66938404107475</v>
      </c>
      <c r="AG4533" s="2">
        <f ca="1"/>
        <v>0.84077665884264086</v>
      </c>
      <c r="AH4533" s="2" t="str">
        <f ca="1"/>
        <v>Bad</v>
      </c>
    </row>
    <row r="4534" spans="2:34" x14ac:dyDescent="0.2">
      <c r="B4534" s="2">
        <f ca="1"/>
        <v>0.3752016314618587</v>
      </c>
      <c r="O4534" s="2">
        <f ca="1"/>
        <v>0.36544222849379493</v>
      </c>
      <c r="X4534" s="2">
        <f ca="1"/>
        <v>55.628576925622241</v>
      </c>
      <c r="AG4534" s="2">
        <f ca="1"/>
        <v>3.8694560876827211E-2</v>
      </c>
      <c r="AH4534" s="2" t="str">
        <f ca="1"/>
        <v>Good</v>
      </c>
    </row>
    <row r="4535" spans="2:34" x14ac:dyDescent="0.2">
      <c r="B4535" s="2">
        <f ca="1"/>
        <v>0.58634343589477722</v>
      </c>
      <c r="O4535" s="2">
        <f ca="1"/>
        <v>1.3591441109500566</v>
      </c>
      <c r="X4535" s="2">
        <f ca="1"/>
        <v>48.287948831388903</v>
      </c>
      <c r="AG4535" s="2">
        <f ca="1"/>
        <v>0.19990305026748745</v>
      </c>
      <c r="AH4535" s="2" t="str">
        <f ca="1"/>
        <v>OK</v>
      </c>
    </row>
    <row r="4536" spans="2:34" x14ac:dyDescent="0.2">
      <c r="B4536" s="2">
        <f ca="1"/>
        <v>0.92069973966057739</v>
      </c>
      <c r="O4536" s="2">
        <f ca="1"/>
        <v>-0.68062884750030206</v>
      </c>
      <c r="X4536" s="2">
        <f ca="1"/>
        <v>46.29566083487677</v>
      </c>
      <c r="AG4536" s="2">
        <f ca="1"/>
        <v>0.79006656803963948</v>
      </c>
      <c r="AH4536" s="2" t="str">
        <f ca="1"/>
        <v>Bad</v>
      </c>
    </row>
    <row r="4537" spans="2:34" x14ac:dyDescent="0.2">
      <c r="B4537" s="2">
        <f ca="1"/>
        <v>0.96849287933730532</v>
      </c>
      <c r="O4537" s="2">
        <f ca="1"/>
        <v>-0.28362994313064149</v>
      </c>
      <c r="X4537" s="2">
        <f ca="1"/>
        <v>53.724648182511253</v>
      </c>
      <c r="AG4537" s="2">
        <f ca="1"/>
        <v>0.64323467309480509</v>
      </c>
      <c r="AH4537" s="2" t="str">
        <f ca="1"/>
        <v>Bad</v>
      </c>
    </row>
    <row r="4538" spans="2:34" x14ac:dyDescent="0.2">
      <c r="B4538" s="2">
        <f ca="1"/>
        <v>0.41382384486311952</v>
      </c>
      <c r="O4538" s="2">
        <f ca="1"/>
        <v>0.39296288572325866</v>
      </c>
      <c r="X4538" s="2">
        <f ca="1"/>
        <v>30.639748000405579</v>
      </c>
      <c r="AG4538" s="2">
        <f ca="1"/>
        <v>0.3128018549257976</v>
      </c>
      <c r="AH4538" s="2" t="str">
        <f ca="1"/>
        <v>OK</v>
      </c>
    </row>
    <row r="4539" spans="2:34" x14ac:dyDescent="0.2">
      <c r="B4539" s="2">
        <f ca="1"/>
        <v>5.5030110002597388E-2</v>
      </c>
      <c r="O4539" s="2">
        <f ca="1"/>
        <v>0.88152253193766161</v>
      </c>
      <c r="X4539" s="2">
        <f ca="1"/>
        <v>60.251702722878633</v>
      </c>
      <c r="AG4539" s="2">
        <f ca="1"/>
        <v>9.5285005963822611E-2</v>
      </c>
      <c r="AH4539" s="2" t="str">
        <f ca="1"/>
        <v>OK</v>
      </c>
    </row>
    <row r="4540" spans="2:34" x14ac:dyDescent="0.2">
      <c r="B4540" s="2">
        <f ca="1"/>
        <v>0.22454499020810692</v>
      </c>
      <c r="O4540" s="2">
        <f ca="1"/>
        <v>1.3667977788853196</v>
      </c>
      <c r="X4540" s="2">
        <f ca="1"/>
        <v>39.052639153276438</v>
      </c>
      <c r="AG4540" s="2">
        <f ca="1"/>
        <v>0.71363996241645067</v>
      </c>
      <c r="AH4540" s="2" t="str">
        <f ca="1"/>
        <v>Bad</v>
      </c>
    </row>
    <row r="4541" spans="2:34" x14ac:dyDescent="0.2">
      <c r="B4541" s="2">
        <f ca="1"/>
        <v>0.6180235479685261</v>
      </c>
      <c r="O4541" s="2">
        <f ca="1"/>
        <v>1.1587095098068929</v>
      </c>
      <c r="X4541" s="2">
        <f ca="1"/>
        <v>24.115381159665098</v>
      </c>
      <c r="AG4541" s="2">
        <f ca="1"/>
        <v>0.28257267856505375</v>
      </c>
      <c r="AH4541" s="2" t="str">
        <f ca="1"/>
        <v>OK</v>
      </c>
    </row>
    <row r="4542" spans="2:34" x14ac:dyDescent="0.2">
      <c r="B4542" s="2">
        <f ca="1"/>
        <v>0.65444759656511198</v>
      </c>
      <c r="O4542" s="2">
        <f ca="1"/>
        <v>1.2385909102429078</v>
      </c>
      <c r="X4542" s="2">
        <f ca="1"/>
        <v>31.264080687435502</v>
      </c>
      <c r="AG4542" s="2">
        <f ca="1"/>
        <v>0.83826648689825989</v>
      </c>
      <c r="AH4542" s="2" t="str">
        <f ca="1"/>
        <v>Bad</v>
      </c>
    </row>
    <row r="4543" spans="2:34" x14ac:dyDescent="0.2">
      <c r="B4543" s="2">
        <f ca="1"/>
        <v>0.18156543605455311</v>
      </c>
      <c r="O4543" s="2">
        <f ca="1"/>
        <v>0.99081445539004487</v>
      </c>
      <c r="X4543" s="2">
        <f ca="1"/>
        <v>51.569018903996152</v>
      </c>
      <c r="AG4543" s="2">
        <f ca="1"/>
        <v>9.4982490626292826E-2</v>
      </c>
      <c r="AH4543" s="2" t="str">
        <f ca="1"/>
        <v>OK</v>
      </c>
    </row>
    <row r="4544" spans="2:34" x14ac:dyDescent="0.2">
      <c r="B4544" s="2">
        <f ca="1"/>
        <v>0.16502915925032791</v>
      </c>
      <c r="O4544" s="2">
        <f ca="1"/>
        <v>0.72182710976278852</v>
      </c>
      <c r="X4544" s="2">
        <f ca="1"/>
        <v>45.418180806456512</v>
      </c>
      <c r="AG4544" s="2">
        <f ca="1"/>
        <v>1.9602328305054151E-2</v>
      </c>
      <c r="AH4544" s="2" t="str">
        <f ca="1"/>
        <v>Good</v>
      </c>
    </row>
    <row r="4545" spans="2:34" x14ac:dyDescent="0.2">
      <c r="B4545" s="2">
        <f ca="1"/>
        <v>0.47400277853980644</v>
      </c>
      <c r="O4545" s="2">
        <f ca="1"/>
        <v>0.77594311695561879</v>
      </c>
      <c r="X4545" s="2">
        <f ca="1"/>
        <v>52.185850939995973</v>
      </c>
      <c r="AG4545" s="2">
        <f ca="1"/>
        <v>0.11846925845678746</v>
      </c>
      <c r="AH4545" s="2" t="str">
        <f ca="1"/>
        <v>OK</v>
      </c>
    </row>
    <row r="4546" spans="2:34" x14ac:dyDescent="0.2">
      <c r="B4546" s="2">
        <f ca="1"/>
        <v>0.32234885461744001</v>
      </c>
      <c r="O4546" s="2">
        <f ca="1"/>
        <v>-0.47038515435623235</v>
      </c>
      <c r="X4546" s="2">
        <f ca="1"/>
        <v>46.344345823013271</v>
      </c>
      <c r="AG4546" s="2">
        <f ca="1"/>
        <v>0.41375166872100855</v>
      </c>
      <c r="AH4546" s="2" t="str">
        <f ca="1"/>
        <v>Bad</v>
      </c>
    </row>
    <row r="4547" spans="2:34" x14ac:dyDescent="0.2">
      <c r="B4547" s="2">
        <f ca="1"/>
        <v>0.1543170854528797</v>
      </c>
      <c r="O4547" s="2">
        <f ca="1"/>
        <v>-1.0765865225130034</v>
      </c>
      <c r="X4547" s="2">
        <f ca="1"/>
        <v>63.128016616225835</v>
      </c>
      <c r="AG4547" s="2">
        <f ca="1"/>
        <v>0.7347365503572183</v>
      </c>
      <c r="AH4547" s="2" t="str">
        <f ca="1"/>
        <v>Bad</v>
      </c>
    </row>
    <row r="4548" spans="2:34" x14ac:dyDescent="0.2">
      <c r="B4548" s="2">
        <f ca="1"/>
        <v>9.8598540757339759E-3</v>
      </c>
      <c r="O4548" s="2">
        <f ca="1"/>
        <v>-0.23542406047231199</v>
      </c>
      <c r="X4548" s="2">
        <f ca="1"/>
        <v>57.896719658787212</v>
      </c>
      <c r="AG4548" s="2">
        <f ca="1"/>
        <v>0.15994996025654595</v>
      </c>
      <c r="AH4548" s="2" t="str">
        <f ca="1"/>
        <v>OK</v>
      </c>
    </row>
    <row r="4549" spans="2:34" x14ac:dyDescent="0.2">
      <c r="B4549" s="2">
        <f ca="1"/>
        <v>0.15463593712395629</v>
      </c>
      <c r="O4549" s="2">
        <f ca="1"/>
        <v>-1.3899309193620784</v>
      </c>
      <c r="X4549" s="2">
        <f ca="1"/>
        <v>69.573979291229293</v>
      </c>
      <c r="AG4549" s="2">
        <f ca="1"/>
        <v>0.3297157189291835</v>
      </c>
      <c r="AH4549" s="2" t="str">
        <f ca="1"/>
        <v>OK</v>
      </c>
    </row>
    <row r="4550" spans="2:34" x14ac:dyDescent="0.2">
      <c r="B4550" s="2">
        <f ca="1"/>
        <v>0.89552454596281383</v>
      </c>
      <c r="O4550" s="2">
        <f ca="1"/>
        <v>0.81071431587544562</v>
      </c>
      <c r="X4550" s="2">
        <f ca="1"/>
        <v>58.825037385145158</v>
      </c>
      <c r="AG4550" s="2">
        <f ca="1"/>
        <v>0.90442622676016371</v>
      </c>
      <c r="AH4550" s="2" t="str">
        <f ca="1"/>
        <v>Bad</v>
      </c>
    </row>
    <row r="4551" spans="2:34" x14ac:dyDescent="0.2">
      <c r="B4551" s="2">
        <f ca="1"/>
        <v>0.61697282227778238</v>
      </c>
      <c r="O4551" s="2">
        <f ca="1"/>
        <v>-0.27532135707743421</v>
      </c>
      <c r="X4551" s="2">
        <f ca="1"/>
        <v>73.730784745783524</v>
      </c>
      <c r="AG4551" s="2">
        <f ca="1"/>
        <v>0.50456498830162699</v>
      </c>
      <c r="AH4551" s="2" t="str">
        <f ca="1"/>
        <v>Bad</v>
      </c>
    </row>
    <row r="4552" spans="2:34" x14ac:dyDescent="0.2">
      <c r="B4552" s="2">
        <f ca="1"/>
        <v>0.24652607544133032</v>
      </c>
      <c r="O4552" s="2">
        <f ca="1"/>
        <v>-2.1702338220187372</v>
      </c>
      <c r="X4552" s="2">
        <f ca="1"/>
        <v>48.059084893069866</v>
      </c>
      <c r="AG4552" s="2">
        <f ca="1"/>
        <v>0.38266333162979271</v>
      </c>
      <c r="AH4552" s="2" t="str">
        <f ca="1"/>
        <v>OK</v>
      </c>
    </row>
    <row r="4553" spans="2:34" x14ac:dyDescent="0.2">
      <c r="B4553" s="2">
        <f ca="1"/>
        <v>0.32960461795819773</v>
      </c>
      <c r="O4553" s="2">
        <f ca="1"/>
        <v>-2.0812638363345397</v>
      </c>
      <c r="X4553" s="2">
        <f ca="1"/>
        <v>40.919826638452165</v>
      </c>
      <c r="AG4553" s="2">
        <f ca="1"/>
        <v>0.41746551704471435</v>
      </c>
      <c r="AH4553" s="2" t="str">
        <f ca="1"/>
        <v>Bad</v>
      </c>
    </row>
    <row r="4554" spans="2:34" x14ac:dyDescent="0.2">
      <c r="B4554" s="2">
        <f ca="1"/>
        <v>0.65141100047261591</v>
      </c>
      <c r="O4554" s="2">
        <f ca="1"/>
        <v>2.516309148133991</v>
      </c>
      <c r="X4554" s="2">
        <f ca="1"/>
        <v>55.382831976878812</v>
      </c>
      <c r="AG4554" s="2">
        <f ca="1"/>
        <v>0.59529872981912124</v>
      </c>
      <c r="AH4554" s="2" t="str">
        <f ca="1"/>
        <v>Bad</v>
      </c>
    </row>
    <row r="4555" spans="2:34" x14ac:dyDescent="0.2">
      <c r="B4555" s="2">
        <f ca="1"/>
        <v>0.53436293334913598</v>
      </c>
      <c r="O4555" s="2">
        <f ca="1"/>
        <v>-1.1079214798970181</v>
      </c>
      <c r="X4555" s="2">
        <f ca="1"/>
        <v>45.521093442142309</v>
      </c>
      <c r="AG4555" s="2">
        <f ca="1"/>
        <v>0.89100487986212862</v>
      </c>
      <c r="AH4555" s="2" t="str">
        <f ca="1"/>
        <v>Bad</v>
      </c>
    </row>
    <row r="4556" spans="2:34" x14ac:dyDescent="0.2">
      <c r="B4556" s="2">
        <f ca="1"/>
        <v>0.15318887060284903</v>
      </c>
      <c r="O4556" s="2">
        <f ca="1"/>
        <v>0.63057013800948047</v>
      </c>
      <c r="X4556" s="2">
        <f ca="1"/>
        <v>47.416888543339979</v>
      </c>
      <c r="AG4556" s="2">
        <f ca="1"/>
        <v>0.93000270894681591</v>
      </c>
      <c r="AH4556" s="2" t="str">
        <f ca="1"/>
        <v>Bad</v>
      </c>
    </row>
    <row r="4557" spans="2:34" x14ac:dyDescent="0.2">
      <c r="B4557" s="2">
        <f ca="1"/>
        <v>0.31293012665847875</v>
      </c>
      <c r="O4557" s="2">
        <f ca="1"/>
        <v>0.45352294725914294</v>
      </c>
      <c r="X4557" s="2">
        <f ca="1"/>
        <v>48.740351212418467</v>
      </c>
      <c r="AG4557" s="2">
        <f ca="1"/>
        <v>0.85976560508911826</v>
      </c>
      <c r="AH4557" s="2" t="str">
        <f ca="1"/>
        <v>Bad</v>
      </c>
    </row>
    <row r="4558" spans="2:34" x14ac:dyDescent="0.2">
      <c r="B4558" s="2">
        <f ca="1"/>
        <v>0.95558036319490935</v>
      </c>
      <c r="O4558" s="2">
        <f ca="1"/>
        <v>-0.47736892620040261</v>
      </c>
      <c r="X4558" s="2">
        <f ca="1"/>
        <v>46.951867110810916</v>
      </c>
      <c r="AG4558" s="2">
        <f ca="1"/>
        <v>0.97147119065030041</v>
      </c>
      <c r="AH4558" s="2" t="str">
        <f ca="1"/>
        <v>Bad</v>
      </c>
    </row>
    <row r="4559" spans="2:34" x14ac:dyDescent="0.2">
      <c r="B4559" s="2">
        <f ca="1"/>
        <v>0.20558407002045365</v>
      </c>
      <c r="O4559" s="2">
        <f ca="1"/>
        <v>-0.19675484862054579</v>
      </c>
      <c r="X4559" s="2">
        <f ca="1"/>
        <v>55.194998502806634</v>
      </c>
      <c r="AG4559" s="2">
        <f ca="1"/>
        <v>0.76505359768741843</v>
      </c>
      <c r="AH4559" s="2" t="str">
        <f ca="1"/>
        <v>Bad</v>
      </c>
    </row>
    <row r="4560" spans="2:34" x14ac:dyDescent="0.2">
      <c r="B4560" s="2">
        <f ca="1"/>
        <v>0.35951574376554851</v>
      </c>
      <c r="O4560" s="2">
        <f ca="1"/>
        <v>0.96293334936031427</v>
      </c>
      <c r="X4560" s="2">
        <f ca="1"/>
        <v>45.077495140669832</v>
      </c>
      <c r="AG4560" s="2">
        <f ca="1"/>
        <v>8.5227419202685173E-2</v>
      </c>
      <c r="AH4560" s="2" t="str">
        <f ca="1"/>
        <v>OK</v>
      </c>
    </row>
    <row r="4561" spans="2:34" x14ac:dyDescent="0.2">
      <c r="B4561" s="2">
        <f ca="1"/>
        <v>0.89683604849209497</v>
      </c>
      <c r="O4561" s="2">
        <f ca="1"/>
        <v>-0.59197159733063731</v>
      </c>
      <c r="X4561" s="2">
        <f ca="1"/>
        <v>64.824708348900828</v>
      </c>
      <c r="AG4561" s="2">
        <f ca="1"/>
        <v>0.61585367590688134</v>
      </c>
      <c r="AH4561" s="2" t="str">
        <f ca="1"/>
        <v>Bad</v>
      </c>
    </row>
    <row r="4562" spans="2:34" x14ac:dyDescent="0.2">
      <c r="B4562" s="2">
        <f ca="1"/>
        <v>9.7559181420339813E-2</v>
      </c>
      <c r="O4562" s="2">
        <f ca="1"/>
        <v>0.86631562560821396</v>
      </c>
      <c r="X4562" s="2">
        <f ca="1"/>
        <v>63.212814330737842</v>
      </c>
      <c r="AG4562" s="2">
        <f ca="1"/>
        <v>2.9116195613833273E-2</v>
      </c>
      <c r="AH4562" s="2" t="str">
        <f ca="1"/>
        <v>Good</v>
      </c>
    </row>
    <row r="4563" spans="2:34" x14ac:dyDescent="0.2">
      <c r="B4563" s="2">
        <f ca="1"/>
        <v>3.1907356805638942E-2</v>
      </c>
      <c r="O4563" s="2">
        <f ca="1"/>
        <v>0.78975021589169081</v>
      </c>
      <c r="X4563" s="2">
        <f ca="1"/>
        <v>59.846090894714834</v>
      </c>
      <c r="AG4563" s="2">
        <f ca="1"/>
        <v>0.21400657441993665</v>
      </c>
      <c r="AH4563" s="2" t="str">
        <f ca="1"/>
        <v>OK</v>
      </c>
    </row>
    <row r="4564" spans="2:34" x14ac:dyDescent="0.2">
      <c r="B4564" s="2">
        <f ca="1"/>
        <v>0.14091938162520701</v>
      </c>
      <c r="O4564" s="2">
        <f ca="1"/>
        <v>0.88693582766085788</v>
      </c>
      <c r="X4564" s="2">
        <f ca="1"/>
        <v>55.574029954803478</v>
      </c>
      <c r="AG4564" s="2">
        <f ca="1"/>
        <v>7.6205544852918639E-3</v>
      </c>
      <c r="AH4564" s="2" t="str">
        <f ca="1"/>
        <v>Good</v>
      </c>
    </row>
    <row r="4565" spans="2:34" x14ac:dyDescent="0.2">
      <c r="B4565" s="2">
        <f ca="1"/>
        <v>0.50654077068993986</v>
      </c>
      <c r="O4565" s="2">
        <f ca="1"/>
        <v>-0.2274908256542866</v>
      </c>
      <c r="X4565" s="2">
        <f ca="1"/>
        <v>37.474162257252033</v>
      </c>
      <c r="AG4565" s="2">
        <f ca="1"/>
        <v>0.18513088928502297</v>
      </c>
      <c r="AH4565" s="2" t="str">
        <f ca="1"/>
        <v>OK</v>
      </c>
    </row>
    <row r="4566" spans="2:34" x14ac:dyDescent="0.2">
      <c r="B4566" s="2">
        <f ca="1"/>
        <v>0.89700755238834273</v>
      </c>
      <c r="O4566" s="2">
        <f ca="1"/>
        <v>0.44533829496906358</v>
      </c>
      <c r="X4566" s="2">
        <f ca="1"/>
        <v>52.878988498113806</v>
      </c>
      <c r="AG4566" s="2">
        <f ca="1"/>
        <v>0.59150390271934628</v>
      </c>
      <c r="AH4566" s="2" t="str">
        <f ca="1"/>
        <v>Bad</v>
      </c>
    </row>
    <row r="4567" spans="2:34" x14ac:dyDescent="0.2">
      <c r="B4567" s="2">
        <f ca="1"/>
        <v>0.69037326983796277</v>
      </c>
      <c r="O4567" s="2">
        <f ca="1"/>
        <v>0.55436481750748223</v>
      </c>
      <c r="X4567" s="2">
        <f ca="1"/>
        <v>52.2451373395402</v>
      </c>
      <c r="AG4567" s="2">
        <f ca="1"/>
        <v>0.13167762781339309</v>
      </c>
      <c r="AH4567" s="2" t="str">
        <f ca="1"/>
        <v>OK</v>
      </c>
    </row>
    <row r="4568" spans="2:34" x14ac:dyDescent="0.2">
      <c r="B4568" s="2">
        <f ca="1"/>
        <v>9.0995896609917137E-2</v>
      </c>
      <c r="O4568" s="2">
        <f ca="1"/>
        <v>1.4381358970600262</v>
      </c>
      <c r="X4568" s="2">
        <f ca="1"/>
        <v>62.358646018958964</v>
      </c>
      <c r="AG4568" s="2">
        <f ca="1"/>
        <v>0.10850198171453851</v>
      </c>
      <c r="AH4568" s="2" t="str">
        <f ca="1"/>
        <v>OK</v>
      </c>
    </row>
    <row r="4569" spans="2:34" x14ac:dyDescent="0.2">
      <c r="B4569" s="2">
        <f ca="1"/>
        <v>0.26434452511277806</v>
      </c>
      <c r="O4569" s="2">
        <f ca="1"/>
        <v>1.5912977178185308</v>
      </c>
      <c r="X4569" s="2">
        <f ca="1"/>
        <v>73.425408198866052</v>
      </c>
      <c r="AG4569" s="2">
        <f ca="1"/>
        <v>0.34382531544940398</v>
      </c>
      <c r="AH4569" s="2" t="str">
        <f ca="1"/>
        <v>OK</v>
      </c>
    </row>
    <row r="4570" spans="2:34" x14ac:dyDescent="0.2">
      <c r="B4570" s="2">
        <f ca="1"/>
        <v>0.84161734845588621</v>
      </c>
      <c r="O4570" s="2">
        <f ca="1"/>
        <v>-0.50222117618066575</v>
      </c>
      <c r="X4570" s="2">
        <f ca="1"/>
        <v>55.267116622101177</v>
      </c>
      <c r="AG4570" s="2">
        <f ca="1"/>
        <v>0.38954813481639716</v>
      </c>
      <c r="AH4570" s="2" t="str">
        <f ca="1"/>
        <v>OK</v>
      </c>
    </row>
    <row r="4571" spans="2:34" x14ac:dyDescent="0.2">
      <c r="B4571" s="2">
        <f ca="1"/>
        <v>0.96303506941505734</v>
      </c>
      <c r="O4571" s="2">
        <f ca="1"/>
        <v>-0.82265473074555473</v>
      </c>
      <c r="X4571" s="2">
        <f ca="1"/>
        <v>36.640777813704346</v>
      </c>
      <c r="AG4571" s="2">
        <f ca="1"/>
        <v>7.4236132439380764E-2</v>
      </c>
      <c r="AH4571" s="2" t="str">
        <f ca="1"/>
        <v>OK</v>
      </c>
    </row>
    <row r="4572" spans="2:34" x14ac:dyDescent="0.2">
      <c r="B4572" s="2">
        <f ca="1"/>
        <v>0.81609836896956756</v>
      </c>
      <c r="O4572" s="2">
        <f ca="1"/>
        <v>-2.4198354041151726E-2</v>
      </c>
      <c r="X4572" s="2">
        <f ca="1"/>
        <v>54.238270550669625</v>
      </c>
      <c r="AG4572" s="2">
        <f ca="1"/>
        <v>0.87676664250945735</v>
      </c>
      <c r="AH4572" s="2" t="str">
        <f ca="1"/>
        <v>Bad</v>
      </c>
    </row>
    <row r="4573" spans="2:34" x14ac:dyDescent="0.2">
      <c r="B4573" s="2">
        <f ca="1"/>
        <v>0.8898273818086464</v>
      </c>
      <c r="O4573" s="2">
        <f ca="1"/>
        <v>-0.13211225155290962</v>
      </c>
      <c r="X4573" s="2">
        <f ca="1"/>
        <v>37.516323807035327</v>
      </c>
      <c r="AG4573" s="2">
        <f ca="1"/>
        <v>0.17484728186517606</v>
      </c>
      <c r="AH4573" s="2" t="str">
        <f ca="1"/>
        <v>OK</v>
      </c>
    </row>
    <row r="4574" spans="2:34" x14ac:dyDescent="0.2">
      <c r="B4574" s="2">
        <f ca="1"/>
        <v>0.51809930167453966</v>
      </c>
      <c r="O4574" s="2">
        <f ca="1"/>
        <v>-0.61151515921456212</v>
      </c>
      <c r="X4574" s="2">
        <f ca="1"/>
        <v>69.089335757657523</v>
      </c>
      <c r="AG4574" s="2">
        <f ca="1"/>
        <v>9.7985465130073335E-2</v>
      </c>
      <c r="AH4574" s="2" t="str">
        <f ca="1"/>
        <v>OK</v>
      </c>
    </row>
    <row r="4575" spans="2:34" x14ac:dyDescent="0.2">
      <c r="B4575" s="2">
        <f ca="1"/>
        <v>0.98987482031958463</v>
      </c>
      <c r="O4575" s="2">
        <f ca="1"/>
        <v>0.30000265019644806</v>
      </c>
      <c r="X4575" s="2">
        <f ca="1"/>
        <v>46.411611411569865</v>
      </c>
      <c r="AG4575" s="2">
        <f ca="1"/>
        <v>0.20264739576270374</v>
      </c>
      <c r="AH4575" s="2" t="str">
        <f ca="1"/>
        <v>OK</v>
      </c>
    </row>
    <row r="4576" spans="2:34" x14ac:dyDescent="0.2">
      <c r="B4576" s="2">
        <f ca="1"/>
        <v>0.9419011797555763</v>
      </c>
      <c r="O4576" s="2">
        <f ca="1"/>
        <v>0.44516048027073801</v>
      </c>
      <c r="X4576" s="2">
        <f ca="1"/>
        <v>55.493598746523737</v>
      </c>
      <c r="AG4576" s="2">
        <f ca="1"/>
        <v>0.93155168830601109</v>
      </c>
      <c r="AH4576" s="2" t="str">
        <f ca="1"/>
        <v>Bad</v>
      </c>
    </row>
    <row r="4577" spans="2:34" x14ac:dyDescent="0.2">
      <c r="B4577" s="2">
        <f ca="1"/>
        <v>5.4746006971865713E-2</v>
      </c>
      <c r="O4577" s="2">
        <f ca="1"/>
        <v>-1.380416198217022</v>
      </c>
      <c r="X4577" s="2">
        <f ca="1"/>
        <v>48.406168778393983</v>
      </c>
      <c r="AG4577" s="2">
        <f ca="1"/>
        <v>0.49325431460231539</v>
      </c>
      <c r="AH4577" s="2" t="str">
        <f ca="1"/>
        <v>Bad</v>
      </c>
    </row>
    <row r="4578" spans="2:34" x14ac:dyDescent="0.2">
      <c r="B4578" s="2">
        <f ca="1"/>
        <v>0.72284554830844994</v>
      </c>
      <c r="O4578" s="2">
        <f ca="1"/>
        <v>-0.65082044725355259</v>
      </c>
      <c r="X4578" s="2">
        <f ca="1"/>
        <v>33.107462032747755</v>
      </c>
      <c r="AG4578" s="2">
        <f ca="1"/>
        <v>0.6702548509133035</v>
      </c>
      <c r="AH4578" s="2" t="str">
        <f ca="1"/>
        <v>Bad</v>
      </c>
    </row>
    <row r="4579" spans="2:34" x14ac:dyDescent="0.2">
      <c r="B4579" s="2">
        <f ca="1"/>
        <v>3.5372911501627691E-3</v>
      </c>
      <c r="O4579" s="2">
        <f ca="1"/>
        <v>-0.60272740459847207</v>
      </c>
      <c r="X4579" s="2">
        <f ca="1"/>
        <v>35.086949975055546</v>
      </c>
      <c r="AG4579" s="2">
        <f ca="1"/>
        <v>0.38790125417843968</v>
      </c>
      <c r="AH4579" s="2" t="str">
        <f ca="1"/>
        <v>OK</v>
      </c>
    </row>
    <row r="4580" spans="2:34" x14ac:dyDescent="0.2">
      <c r="B4580" s="2">
        <f ca="1"/>
        <v>0.79549206905524472</v>
      </c>
      <c r="O4580" s="2">
        <f ca="1"/>
        <v>-0.38766033786798498</v>
      </c>
      <c r="X4580" s="2">
        <f ca="1"/>
        <v>32.482066400729551</v>
      </c>
      <c r="AG4580" s="2">
        <f ca="1"/>
        <v>0.76620278551279153</v>
      </c>
      <c r="AH4580" s="2" t="str">
        <f ca="1"/>
        <v>Bad</v>
      </c>
    </row>
    <row r="4581" spans="2:34" x14ac:dyDescent="0.2">
      <c r="B4581" s="2">
        <f ca="1"/>
        <v>0.7623496481752603</v>
      </c>
      <c r="O4581" s="2">
        <f ca="1"/>
        <v>0.92536890191014021</v>
      </c>
      <c r="X4581" s="2">
        <f ca="1"/>
        <v>22.869858794251691</v>
      </c>
      <c r="AG4581" s="2">
        <f ca="1"/>
        <v>0.67198029593808983</v>
      </c>
      <c r="AH4581" s="2" t="str">
        <f ca="1"/>
        <v>Bad</v>
      </c>
    </row>
    <row r="4582" spans="2:34" x14ac:dyDescent="0.2">
      <c r="B4582" s="2">
        <f ca="1"/>
        <v>0.85172007755823254</v>
      </c>
      <c r="O4582" s="2">
        <f ca="1"/>
        <v>-1.4257934360780742</v>
      </c>
      <c r="X4582" s="2">
        <f ca="1"/>
        <v>72.988038247376721</v>
      </c>
      <c r="AG4582" s="2">
        <f ca="1"/>
        <v>0.28577746262903703</v>
      </c>
      <c r="AH4582" s="2" t="str">
        <f ca="1"/>
        <v>OK</v>
      </c>
    </row>
    <row r="4583" spans="2:34" x14ac:dyDescent="0.2">
      <c r="B4583" s="2">
        <f ca="1"/>
        <v>5.1180817943015988E-2</v>
      </c>
      <c r="O4583" s="2">
        <f ca="1"/>
        <v>0.34579290933454443</v>
      </c>
      <c r="X4583" s="2">
        <f ca="1"/>
        <v>66.090626656532606</v>
      </c>
      <c r="AG4583" s="2">
        <f ca="1"/>
        <v>0.73828078113802342</v>
      </c>
      <c r="AH4583" s="2" t="str">
        <f ca="1"/>
        <v>Bad</v>
      </c>
    </row>
    <row r="4584" spans="2:34" x14ac:dyDescent="0.2">
      <c r="B4584" s="2">
        <f ca="1"/>
        <v>0.97944181713675516</v>
      </c>
      <c r="O4584" s="2">
        <f ca="1"/>
        <v>0.69724851575847802</v>
      </c>
      <c r="X4584" s="2">
        <f ca="1"/>
        <v>93.128962767780763</v>
      </c>
      <c r="AG4584" s="2">
        <f ca="1"/>
        <v>0.27228953383203147</v>
      </c>
      <c r="AH4584" s="2" t="str">
        <f ca="1"/>
        <v>OK</v>
      </c>
    </row>
    <row r="4585" spans="2:34" x14ac:dyDescent="0.2">
      <c r="B4585" s="2">
        <f ca="1"/>
        <v>0.63201509804947031</v>
      </c>
      <c r="O4585" s="2">
        <f ca="1"/>
        <v>2.0815015271355666</v>
      </c>
      <c r="X4585" s="2">
        <f ca="1"/>
        <v>41.248621757881011</v>
      </c>
      <c r="AG4585" s="2">
        <f ca="1"/>
        <v>0.97923925400886191</v>
      </c>
      <c r="AH4585" s="2" t="str">
        <f ca="1"/>
        <v>Bad</v>
      </c>
    </row>
    <row r="4586" spans="2:34" x14ac:dyDescent="0.2">
      <c r="B4586" s="2">
        <f ca="1"/>
        <v>0.77065688119065401</v>
      </c>
      <c r="O4586" s="2">
        <f ca="1"/>
        <v>-0.55365670593520044</v>
      </c>
      <c r="X4586" s="2">
        <f ca="1"/>
        <v>59.742394562243604</v>
      </c>
      <c r="AG4586" s="2">
        <f ca="1"/>
        <v>0.83676341097561791</v>
      </c>
      <c r="AH4586" s="2" t="str">
        <f ca="1"/>
        <v>Bad</v>
      </c>
    </row>
    <row r="4587" spans="2:34" x14ac:dyDescent="0.2">
      <c r="B4587" s="2">
        <f ca="1"/>
        <v>9.9243130300547655E-2</v>
      </c>
      <c r="O4587" s="2">
        <f ca="1"/>
        <v>0.22770392634615441</v>
      </c>
      <c r="X4587" s="2">
        <f ca="1"/>
        <v>61.813725276493905</v>
      </c>
      <c r="AG4587" s="2">
        <f ca="1"/>
        <v>0.39150221130502638</v>
      </c>
      <c r="AH4587" s="2" t="str">
        <f ca="1"/>
        <v>OK</v>
      </c>
    </row>
    <row r="4588" spans="2:34" x14ac:dyDescent="0.2">
      <c r="B4588" s="2">
        <f ca="1"/>
        <v>0.7252887097107954</v>
      </c>
      <c r="O4588" s="2">
        <f ca="1"/>
        <v>0.35814750916391402</v>
      </c>
      <c r="X4588" s="2">
        <f ca="1"/>
        <v>38.365102630852725</v>
      </c>
      <c r="AG4588" s="2">
        <f ca="1"/>
        <v>0.94067567367635663</v>
      </c>
      <c r="AH4588" s="2" t="str">
        <f ca="1"/>
        <v>Bad</v>
      </c>
    </row>
    <row r="4589" spans="2:34" x14ac:dyDescent="0.2">
      <c r="B4589" s="2">
        <f ca="1"/>
        <v>1.0912089401255987E-3</v>
      </c>
      <c r="O4589" s="2">
        <f ca="1"/>
        <v>0.81299611245256898</v>
      </c>
      <c r="X4589" s="2">
        <f ca="1"/>
        <v>79.475912087041436</v>
      </c>
      <c r="AG4589" s="2">
        <f ca="1"/>
        <v>0.40681970675454049</v>
      </c>
      <c r="AH4589" s="2" t="str">
        <f ca="1"/>
        <v>Bad</v>
      </c>
    </row>
    <row r="4590" spans="2:34" x14ac:dyDescent="0.2">
      <c r="B4590" s="2">
        <f ca="1"/>
        <v>0.27576533459947594</v>
      </c>
      <c r="O4590" s="2">
        <f ca="1"/>
        <v>-0.21689822854290186</v>
      </c>
      <c r="X4590" s="2">
        <f ca="1"/>
        <v>50.09012932623569</v>
      </c>
      <c r="AG4590" s="2">
        <f ca="1"/>
        <v>0.33722825880550089</v>
      </c>
      <c r="AH4590" s="2" t="str">
        <f ca="1"/>
        <v>OK</v>
      </c>
    </row>
    <row r="4591" spans="2:34" x14ac:dyDescent="0.2">
      <c r="B4591" s="2">
        <f ca="1"/>
        <v>4.1297011622775104E-2</v>
      </c>
      <c r="O4591" s="2">
        <f ca="1"/>
        <v>0.57087964453349771</v>
      </c>
      <c r="X4591" s="2">
        <f ca="1"/>
        <v>61.486430362974573</v>
      </c>
      <c r="AG4591" s="2">
        <f ca="1"/>
        <v>0.77034766992607873</v>
      </c>
      <c r="AH4591" s="2" t="str">
        <f ca="1"/>
        <v>Bad</v>
      </c>
    </row>
    <row r="4592" spans="2:34" x14ac:dyDescent="0.2">
      <c r="B4592" s="2">
        <f ca="1"/>
        <v>0.75212851314303597</v>
      </c>
      <c r="O4592" s="2">
        <f ca="1"/>
        <v>-0.74347675835738547</v>
      </c>
      <c r="X4592" s="2">
        <f ca="1"/>
        <v>60.121005312624106</v>
      </c>
      <c r="AG4592" s="2">
        <f ca="1"/>
        <v>0.23633418567054498</v>
      </c>
      <c r="AH4592" s="2" t="str">
        <f ca="1"/>
        <v>OK</v>
      </c>
    </row>
    <row r="4593" spans="2:34" x14ac:dyDescent="0.2">
      <c r="B4593" s="2">
        <f ca="1"/>
        <v>0.23113005672425713</v>
      </c>
      <c r="O4593" s="2">
        <f ca="1"/>
        <v>-0.26876922036125661</v>
      </c>
      <c r="X4593" s="2">
        <f ca="1"/>
        <v>47.21755046015722</v>
      </c>
      <c r="AG4593" s="2">
        <f ca="1"/>
        <v>0.34835149356218054</v>
      </c>
      <c r="AH4593" s="2" t="str">
        <f ca="1"/>
        <v>OK</v>
      </c>
    </row>
    <row r="4594" spans="2:34" x14ac:dyDescent="0.2">
      <c r="B4594" s="2">
        <f ca="1"/>
        <v>0.19171283954485219</v>
      </c>
      <c r="O4594" s="2">
        <f ca="1"/>
        <v>-0.26778033881082114</v>
      </c>
      <c r="X4594" s="2">
        <f ca="1"/>
        <v>44.450812966442506</v>
      </c>
      <c r="AG4594" s="2">
        <f ca="1"/>
        <v>0.32710706301397585</v>
      </c>
      <c r="AH4594" s="2" t="str">
        <f ca="1"/>
        <v>OK</v>
      </c>
    </row>
    <row r="4595" spans="2:34" x14ac:dyDescent="0.2">
      <c r="B4595" s="2">
        <f ca="1"/>
        <v>0.15722968776780388</v>
      </c>
      <c r="O4595" s="2">
        <f ca="1"/>
        <v>-0.40445514314625447</v>
      </c>
      <c r="X4595" s="2">
        <f ca="1"/>
        <v>58.790741377269654</v>
      </c>
      <c r="AG4595" s="2">
        <f ca="1"/>
        <v>0.19058881008112794</v>
      </c>
      <c r="AH4595" s="2" t="str">
        <f ca="1"/>
        <v>OK</v>
      </c>
    </row>
    <row r="4596" spans="2:34" x14ac:dyDescent="0.2">
      <c r="B4596" s="2">
        <f ca="1"/>
        <v>0.17231079990598208</v>
      </c>
      <c r="O4596" s="2">
        <f ca="1"/>
        <v>9.1316659667557032E-2</v>
      </c>
      <c r="X4596" s="2">
        <f ca="1"/>
        <v>47.383988113300092</v>
      </c>
      <c r="AG4596" s="2">
        <f ca="1"/>
        <v>0.59445533238588588</v>
      </c>
      <c r="AH4596" s="2" t="str">
        <f ca="1"/>
        <v>Bad</v>
      </c>
    </row>
    <row r="4597" spans="2:34" x14ac:dyDescent="0.2">
      <c r="B4597" s="2">
        <f ca="1"/>
        <v>0.16990015143424331</v>
      </c>
      <c r="O4597" s="2">
        <f ca="1"/>
        <v>-1.6944191064576908</v>
      </c>
      <c r="X4597" s="2">
        <f ca="1"/>
        <v>51.91032681221327</v>
      </c>
      <c r="AG4597" s="2">
        <f ca="1"/>
        <v>9.8736956067970727E-3</v>
      </c>
      <c r="AH4597" s="2" t="str">
        <f ca="1"/>
        <v>Good</v>
      </c>
    </row>
    <row r="4598" spans="2:34" x14ac:dyDescent="0.2">
      <c r="B4598" s="2">
        <f ca="1"/>
        <v>0.38171700794221874</v>
      </c>
      <c r="O4598" s="2">
        <f ca="1"/>
        <v>-7.4289052514233067E-2</v>
      </c>
      <c r="X4598" s="2">
        <f ca="1"/>
        <v>46.908141872849868</v>
      </c>
      <c r="AG4598" s="2">
        <f ca="1"/>
        <v>0.83954417594755593</v>
      </c>
      <c r="AH4598" s="2" t="str">
        <f ca="1"/>
        <v>Bad</v>
      </c>
    </row>
    <row r="4599" spans="2:34" x14ac:dyDescent="0.2">
      <c r="B4599" s="2">
        <f ca="1"/>
        <v>0.32150273460810763</v>
      </c>
      <c r="O4599" s="2">
        <f ca="1"/>
        <v>-4.3342446680103147E-2</v>
      </c>
      <c r="X4599" s="2">
        <f ca="1"/>
        <v>43.839650073446393</v>
      </c>
      <c r="AG4599" s="2">
        <f ca="1"/>
        <v>0.41215195040429853</v>
      </c>
      <c r="AH4599" s="2" t="str">
        <f ca="1"/>
        <v>Bad</v>
      </c>
    </row>
    <row r="4600" spans="2:34" x14ac:dyDescent="0.2">
      <c r="B4600" s="2">
        <f ca="1"/>
        <v>0.56658427636683273</v>
      </c>
      <c r="O4600" s="2">
        <f ca="1"/>
        <v>0.81393488859073204</v>
      </c>
      <c r="X4600" s="2">
        <f ca="1"/>
        <v>30.62659773386294</v>
      </c>
      <c r="AG4600" s="2">
        <f ca="1"/>
        <v>0.90645924615646112</v>
      </c>
      <c r="AH4600" s="2" t="str">
        <f ca="1"/>
        <v>Bad</v>
      </c>
    </row>
    <row r="4601" spans="2:34" x14ac:dyDescent="0.2">
      <c r="B4601" s="2">
        <f ca="1"/>
        <v>0.59163203304668599</v>
      </c>
      <c r="O4601" s="2">
        <f ca="1"/>
        <v>-0.18305285046996572</v>
      </c>
      <c r="X4601" s="2">
        <f ca="1"/>
        <v>44.612461776624286</v>
      </c>
      <c r="AG4601" s="2">
        <f ca="1"/>
        <v>0.28121503181031882</v>
      </c>
      <c r="AH4601" s="2" t="str">
        <f ca="1"/>
        <v>OK</v>
      </c>
    </row>
    <row r="4602" spans="2:34" x14ac:dyDescent="0.2">
      <c r="B4602" s="2">
        <f ca="1"/>
        <v>0.21266904238625961</v>
      </c>
      <c r="O4602" s="2">
        <f ca="1"/>
        <v>-0.23726060957776091</v>
      </c>
      <c r="X4602" s="2">
        <f ca="1"/>
        <v>42.751092570176688</v>
      </c>
      <c r="AG4602" s="2">
        <f ca="1"/>
        <v>0.14876642622545111</v>
      </c>
      <c r="AH4602" s="2" t="str">
        <f ca="1"/>
        <v>OK</v>
      </c>
    </row>
    <row r="4603" spans="2:34" x14ac:dyDescent="0.2">
      <c r="B4603" s="2">
        <f ca="1"/>
        <v>0.21569745495399162</v>
      </c>
      <c r="O4603" s="2">
        <f ca="1"/>
        <v>0.87885041118565632</v>
      </c>
      <c r="X4603" s="2">
        <f ca="1"/>
        <v>61.865684893404051</v>
      </c>
      <c r="AG4603" s="2">
        <f ca="1"/>
        <v>0.72022825429095239</v>
      </c>
      <c r="AH4603" s="2" t="str">
        <f ca="1"/>
        <v>Bad</v>
      </c>
    </row>
    <row r="4604" spans="2:34" x14ac:dyDescent="0.2">
      <c r="B4604" s="2">
        <f ca="1"/>
        <v>0.91773921741099485</v>
      </c>
      <c r="O4604" s="2">
        <f ca="1"/>
        <v>-0.51455170064745626</v>
      </c>
      <c r="X4604" s="2">
        <f ca="1"/>
        <v>48.844481749983224</v>
      </c>
      <c r="AG4604" s="2">
        <f ca="1"/>
        <v>0.61534003933616854</v>
      </c>
      <c r="AH4604" s="2" t="str">
        <f ca="1"/>
        <v>Bad</v>
      </c>
    </row>
    <row r="4605" spans="2:34" x14ac:dyDescent="0.2">
      <c r="B4605" s="2">
        <f ca="1"/>
        <v>0.68760035514974516</v>
      </c>
      <c r="O4605" s="2">
        <f ca="1"/>
        <v>0.11141006753131211</v>
      </c>
      <c r="X4605" s="2">
        <f ca="1"/>
        <v>51.202104103007272</v>
      </c>
      <c r="AG4605" s="2">
        <f ca="1"/>
        <v>0.59250116527804608</v>
      </c>
      <c r="AH4605" s="2" t="str">
        <f ca="1"/>
        <v>Bad</v>
      </c>
    </row>
    <row r="4606" spans="2:34" x14ac:dyDescent="0.2">
      <c r="B4606" s="2">
        <f ca="1"/>
        <v>0.5602982510138701</v>
      </c>
      <c r="O4606" s="2">
        <f ca="1"/>
        <v>-1.8832893917139648</v>
      </c>
      <c r="X4606" s="2">
        <f ca="1"/>
        <v>49.502217991407178</v>
      </c>
      <c r="AG4606" s="2">
        <f ca="1"/>
        <v>0.11734402711286696</v>
      </c>
      <c r="AH4606" s="2" t="str">
        <f ca="1"/>
        <v>OK</v>
      </c>
    </row>
    <row r="4607" spans="2:34" x14ac:dyDescent="0.2">
      <c r="B4607" s="2">
        <f ca="1"/>
        <v>0.90949435829718706</v>
      </c>
      <c r="O4607" s="2">
        <f ca="1"/>
        <v>-0.85680551842824404</v>
      </c>
      <c r="X4607" s="2">
        <f ca="1"/>
        <v>45.115849002239571</v>
      </c>
      <c r="AG4607" s="2">
        <f ca="1"/>
        <v>5.8230989916648213E-2</v>
      </c>
      <c r="AH4607" s="2" t="str">
        <f ca="1"/>
        <v>OK</v>
      </c>
    </row>
    <row r="4608" spans="2:34" x14ac:dyDescent="0.2">
      <c r="B4608" s="2">
        <f ca="1"/>
        <v>0.98090289655925722</v>
      </c>
      <c r="O4608" s="2">
        <f ca="1"/>
        <v>-1.237554123303132</v>
      </c>
      <c r="X4608" s="2">
        <f ca="1"/>
        <v>58.869473509285598</v>
      </c>
      <c r="AG4608" s="2">
        <f ca="1"/>
        <v>0.92540183298836287</v>
      </c>
      <c r="AH4608" s="2" t="str">
        <f ca="1"/>
        <v>Bad</v>
      </c>
    </row>
    <row r="4609" spans="2:34" x14ac:dyDescent="0.2">
      <c r="B4609" s="2">
        <f ca="1"/>
        <v>0.10594907482450577</v>
      </c>
      <c r="O4609" s="2">
        <f ca="1"/>
        <v>0.23278634631249442</v>
      </c>
      <c r="X4609" s="2">
        <f ca="1"/>
        <v>42.260241885941596</v>
      </c>
      <c r="AG4609" s="2">
        <f ca="1"/>
        <v>0.14536741638554895</v>
      </c>
      <c r="AH4609" s="2" t="str">
        <f ca="1"/>
        <v>OK</v>
      </c>
    </row>
    <row r="4610" spans="2:34" x14ac:dyDescent="0.2">
      <c r="B4610" s="2">
        <f ca="1"/>
        <v>0.60222377100222557</v>
      </c>
      <c r="O4610" s="2">
        <f ca="1"/>
        <v>-0.85492711263558974</v>
      </c>
      <c r="X4610" s="2">
        <f ca="1"/>
        <v>83.71544689011175</v>
      </c>
      <c r="AG4610" s="2">
        <f ca="1"/>
        <v>0.89888020223672083</v>
      </c>
      <c r="AH4610" s="2" t="str">
        <f ca="1"/>
        <v>Bad</v>
      </c>
    </row>
    <row r="4611" spans="2:34" x14ac:dyDescent="0.2">
      <c r="B4611" s="2">
        <f ca="1"/>
        <v>8.8154393519940255E-2</v>
      </c>
      <c r="O4611" s="2">
        <f ca="1"/>
        <v>0.37521385088690806</v>
      </c>
      <c r="X4611" s="2">
        <f ca="1"/>
        <v>65.843386418222551</v>
      </c>
      <c r="AG4611" s="2">
        <f ca="1"/>
        <v>0.47617321234348742</v>
      </c>
      <c r="AH4611" s="2" t="str">
        <f ca="1"/>
        <v>Bad</v>
      </c>
    </row>
    <row r="4612" spans="2:34" x14ac:dyDescent="0.2">
      <c r="B4612" s="2">
        <f ca="1"/>
        <v>0.72117025519777411</v>
      </c>
      <c r="O4612" s="2">
        <f ca="1"/>
        <v>3.3790359259526274E-2</v>
      </c>
      <c r="X4612" s="2">
        <f ca="1"/>
        <v>45.420633644389497</v>
      </c>
      <c r="AG4612" s="2">
        <f ca="1"/>
        <v>0.54742613799576234</v>
      </c>
      <c r="AH4612" s="2" t="str">
        <f ca="1"/>
        <v>Bad</v>
      </c>
    </row>
    <row r="4613" spans="2:34" x14ac:dyDescent="0.2">
      <c r="B4613" s="2">
        <f ca="1"/>
        <v>0.64159179270573974</v>
      </c>
      <c r="O4613" s="2">
        <f ca="1"/>
        <v>-0.60199773903383902</v>
      </c>
      <c r="X4613" s="2">
        <f ca="1"/>
        <v>76.694375779376173</v>
      </c>
      <c r="AG4613" s="2">
        <f ca="1"/>
        <v>6.9314547092807599E-2</v>
      </c>
      <c r="AH4613" s="2" t="str">
        <f ca="1"/>
        <v>OK</v>
      </c>
    </row>
    <row r="4614" spans="2:34" x14ac:dyDescent="0.2">
      <c r="B4614" s="2">
        <f ca="1"/>
        <v>0.89644513555622374</v>
      </c>
      <c r="O4614" s="2">
        <f ca="1"/>
        <v>-2.2388588533177924</v>
      </c>
      <c r="X4614" s="2">
        <f ca="1"/>
        <v>41.979358238753179</v>
      </c>
      <c r="AG4614" s="2">
        <f ca="1"/>
        <v>0.24648493161484986</v>
      </c>
      <c r="AH4614" s="2" t="str">
        <f ca="1"/>
        <v>OK</v>
      </c>
    </row>
    <row r="4615" spans="2:34" x14ac:dyDescent="0.2">
      <c r="B4615" s="2">
        <f ca="1"/>
        <v>6.7730947482075088E-2</v>
      </c>
      <c r="O4615" s="2">
        <f ca="1"/>
        <v>-1.5536523250285115</v>
      </c>
      <c r="X4615" s="2">
        <f ca="1"/>
        <v>41.520514653507092</v>
      </c>
      <c r="AG4615" s="2">
        <f ca="1"/>
        <v>0.37315505879596489</v>
      </c>
      <c r="AH4615" s="2" t="str">
        <f ca="1"/>
        <v>OK</v>
      </c>
    </row>
    <row r="4616" spans="2:34" x14ac:dyDescent="0.2">
      <c r="B4616" s="2">
        <f ca="1"/>
        <v>0.5589058946248342</v>
      </c>
      <c r="O4616" s="2">
        <f ca="1"/>
        <v>-0.35116820864887122</v>
      </c>
      <c r="X4616" s="2">
        <f ca="1"/>
        <v>47.497597729844259</v>
      </c>
      <c r="AG4616" s="2">
        <f ca="1"/>
        <v>0.471736535040159</v>
      </c>
      <c r="AH4616" s="2" t="str">
        <f ca="1"/>
        <v>Bad</v>
      </c>
    </row>
    <row r="4617" spans="2:34" x14ac:dyDescent="0.2">
      <c r="B4617" s="2">
        <f ca="1"/>
        <v>0.26784908237674654</v>
      </c>
      <c r="O4617" s="2">
        <f ca="1"/>
        <v>-0.45034594009050199</v>
      </c>
      <c r="X4617" s="2">
        <f ca="1"/>
        <v>46.05316484823868</v>
      </c>
      <c r="AG4617" s="2">
        <f ca="1"/>
        <v>0.95234506527483065</v>
      </c>
      <c r="AH4617" s="2" t="str">
        <f ca="1"/>
        <v>Bad</v>
      </c>
    </row>
    <row r="4618" spans="2:34" x14ac:dyDescent="0.2">
      <c r="B4618" s="2">
        <f ca="1"/>
        <v>0.78615202708339393</v>
      </c>
      <c r="O4618" s="2">
        <f ca="1"/>
        <v>9.2263535256410109E-2</v>
      </c>
      <c r="X4618" s="2">
        <f ca="1"/>
        <v>50.986921480962614</v>
      </c>
      <c r="AG4618" s="2">
        <f ca="1"/>
        <v>0.20808959796648008</v>
      </c>
      <c r="AH4618" s="2" t="str">
        <f ca="1"/>
        <v>OK</v>
      </c>
    </row>
    <row r="4619" spans="2:34" x14ac:dyDescent="0.2">
      <c r="B4619" s="2">
        <f ca="1"/>
        <v>0.94322043471048089</v>
      </c>
      <c r="O4619" s="2">
        <f ca="1"/>
        <v>0.23443582713748909</v>
      </c>
      <c r="X4619" s="2">
        <f ca="1"/>
        <v>51.098058243620734</v>
      </c>
      <c r="AG4619" s="2">
        <f ca="1"/>
        <v>1.147852724273557E-2</v>
      </c>
      <c r="AH4619" s="2" t="str">
        <f ca="1"/>
        <v>Good</v>
      </c>
    </row>
    <row r="4620" spans="2:34" x14ac:dyDescent="0.2">
      <c r="B4620" s="2">
        <f ca="1"/>
        <v>0.70311332712161878</v>
      </c>
      <c r="O4620" s="2">
        <f ca="1"/>
        <v>0.41268606982054473</v>
      </c>
      <c r="X4620" s="2">
        <f ca="1"/>
        <v>22.904611825522707</v>
      </c>
      <c r="AG4620" s="2">
        <f ca="1"/>
        <v>0.83238949764192172</v>
      </c>
      <c r="AH4620" s="2" t="str">
        <f ca="1"/>
        <v>Bad</v>
      </c>
    </row>
    <row r="4621" spans="2:34" x14ac:dyDescent="0.2">
      <c r="B4621" s="2">
        <f ca="1"/>
        <v>0.77385231288705958</v>
      </c>
      <c r="O4621" s="2">
        <f ca="1"/>
        <v>0.94729234798518591</v>
      </c>
      <c r="X4621" s="2">
        <f ca="1"/>
        <v>78.026590144810143</v>
      </c>
      <c r="AG4621" s="2">
        <f ca="1"/>
        <v>0.61982286457975788</v>
      </c>
      <c r="AH4621" s="2" t="str">
        <f ca="1"/>
        <v>Bad</v>
      </c>
    </row>
    <row r="4622" spans="2:34" x14ac:dyDescent="0.2">
      <c r="B4622" s="2">
        <f ca="1"/>
        <v>0.58035416197651579</v>
      </c>
      <c r="O4622" s="2">
        <f ca="1"/>
        <v>0.22485709743993224</v>
      </c>
      <c r="X4622" s="2">
        <f ca="1"/>
        <v>76.225982500974695</v>
      </c>
      <c r="AG4622" s="2">
        <f ca="1"/>
        <v>0.52156817869148608</v>
      </c>
      <c r="AH4622" s="2" t="str">
        <f ca="1"/>
        <v>Bad</v>
      </c>
    </row>
    <row r="4623" spans="2:34" x14ac:dyDescent="0.2">
      <c r="B4623" s="2">
        <f ca="1"/>
        <v>0.3133456554035392</v>
      </c>
      <c r="O4623" s="2">
        <f ca="1"/>
        <v>0.74594305596615273</v>
      </c>
      <c r="X4623" s="2">
        <f ca="1"/>
        <v>41.413116192574236</v>
      </c>
      <c r="AG4623" s="2">
        <f ca="1"/>
        <v>0.82367588492948296</v>
      </c>
      <c r="AH4623" s="2" t="str">
        <f ca="1"/>
        <v>Bad</v>
      </c>
    </row>
    <row r="4624" spans="2:34" x14ac:dyDescent="0.2">
      <c r="B4624" s="2">
        <f ca="1"/>
        <v>0.14895622148315391</v>
      </c>
      <c r="O4624" s="2">
        <f ca="1"/>
        <v>0.2645520200337384</v>
      </c>
      <c r="X4624" s="2">
        <f ca="1"/>
        <v>39.648739888373193</v>
      </c>
      <c r="AG4624" s="2">
        <f ca="1"/>
        <v>0.59080520388431035</v>
      </c>
      <c r="AH4624" s="2" t="str">
        <f ca="1"/>
        <v>Bad</v>
      </c>
    </row>
    <row r="4625" spans="2:34" x14ac:dyDescent="0.2">
      <c r="B4625" s="2">
        <f ca="1"/>
        <v>2.3114183739142646E-2</v>
      </c>
      <c r="O4625" s="2">
        <f ca="1"/>
        <v>-0.45841199303599506</v>
      </c>
      <c r="X4625" s="2">
        <f ca="1"/>
        <v>37.668115278735272</v>
      </c>
      <c r="AG4625" s="2">
        <f ca="1"/>
        <v>0.2839698906418926</v>
      </c>
      <c r="AH4625" s="2" t="str">
        <f ca="1"/>
        <v>OK</v>
      </c>
    </row>
    <row r="4626" spans="2:34" x14ac:dyDescent="0.2">
      <c r="B4626" s="2">
        <f ca="1"/>
        <v>0.37741104722811847</v>
      </c>
      <c r="O4626" s="2">
        <f ca="1"/>
        <v>1.5329026380468243</v>
      </c>
      <c r="X4626" s="2">
        <f ca="1"/>
        <v>62.3559359044609</v>
      </c>
      <c r="AG4626" s="2">
        <f ca="1"/>
        <v>0.83861620707668605</v>
      </c>
      <c r="AH4626" s="2" t="str">
        <f ca="1"/>
        <v>Bad</v>
      </c>
    </row>
    <row r="4627" spans="2:34" x14ac:dyDescent="0.2">
      <c r="B4627" s="2">
        <f ca="1"/>
        <v>0.47345657661917961</v>
      </c>
      <c r="O4627" s="2">
        <f ca="1"/>
        <v>0.15853241956941716</v>
      </c>
      <c r="X4627" s="2">
        <f ca="1"/>
        <v>32.54064548248283</v>
      </c>
      <c r="AG4627" s="2">
        <f ca="1"/>
        <v>0.56647691065221584</v>
      </c>
      <c r="AH4627" s="2" t="str">
        <f ca="1"/>
        <v>Bad</v>
      </c>
    </row>
    <row r="4628" spans="2:34" x14ac:dyDescent="0.2">
      <c r="B4628" s="2">
        <f ca="1"/>
        <v>8.7389637022720512E-2</v>
      </c>
      <c r="O4628" s="2">
        <f ca="1"/>
        <v>-1.5317767542382947</v>
      </c>
      <c r="X4628" s="2">
        <f ca="1"/>
        <v>35.056374686581137</v>
      </c>
      <c r="AG4628" s="2">
        <f ca="1"/>
        <v>0.11674080069655468</v>
      </c>
      <c r="AH4628" s="2" t="str">
        <f ca="1"/>
        <v>OK</v>
      </c>
    </row>
    <row r="4629" spans="2:34" x14ac:dyDescent="0.2">
      <c r="B4629" s="2">
        <f ca="1"/>
        <v>0.68622360604972354</v>
      </c>
      <c r="O4629" s="2">
        <f ca="1"/>
        <v>1.9082643129795012</v>
      </c>
      <c r="X4629" s="2">
        <f ca="1"/>
        <v>50.658408626951712</v>
      </c>
      <c r="AG4629" s="2">
        <f ca="1"/>
        <v>0.72160941092250441</v>
      </c>
      <c r="AH4629" s="2" t="str">
        <f ca="1"/>
        <v>Bad</v>
      </c>
    </row>
    <row r="4630" spans="2:34" x14ac:dyDescent="0.2">
      <c r="B4630" s="2">
        <f ca="1"/>
        <v>0.91082023764235598</v>
      </c>
      <c r="O4630" s="2">
        <f ca="1"/>
        <v>-0.72106057685781499</v>
      </c>
      <c r="X4630" s="2">
        <f ca="1"/>
        <v>49.540634794277707</v>
      </c>
      <c r="AG4630" s="2">
        <f ca="1"/>
        <v>0.55978756573476196</v>
      </c>
      <c r="AH4630" s="2" t="str">
        <f ca="1"/>
        <v>Bad</v>
      </c>
    </row>
    <row r="4631" spans="2:34" x14ac:dyDescent="0.2">
      <c r="B4631" s="2">
        <f ca="1"/>
        <v>8.9424949596719649E-2</v>
      </c>
      <c r="O4631" s="2">
        <f ca="1"/>
        <v>0.37265714681826095</v>
      </c>
      <c r="X4631" s="2">
        <f ca="1"/>
        <v>25.840207064779861</v>
      </c>
      <c r="AG4631" s="2">
        <f ca="1"/>
        <v>0.13341670231598113</v>
      </c>
      <c r="AH4631" s="2" t="str">
        <f ca="1"/>
        <v>OK</v>
      </c>
    </row>
    <row r="4632" spans="2:34" x14ac:dyDescent="0.2">
      <c r="B4632" s="2">
        <f ca="1"/>
        <v>0.80203308159380882</v>
      </c>
      <c r="O4632" s="2">
        <f ca="1"/>
        <v>-0.50626270314031274</v>
      </c>
      <c r="X4632" s="2">
        <f ca="1"/>
        <v>33.293639867162511</v>
      </c>
      <c r="AG4632" s="2">
        <f ca="1"/>
        <v>0.57667313446457968</v>
      </c>
      <c r="AH4632" s="2" t="str">
        <f ca="1"/>
        <v>Bad</v>
      </c>
    </row>
    <row r="4633" spans="2:34" x14ac:dyDescent="0.2">
      <c r="B4633" s="2">
        <f ca="1"/>
        <v>0.54756824130879389</v>
      </c>
      <c r="O4633" s="2">
        <f ca="1"/>
        <v>0.56417966825803323</v>
      </c>
      <c r="X4633" s="2">
        <f ca="1"/>
        <v>91.451647390914218</v>
      </c>
      <c r="AG4633" s="2">
        <f ca="1"/>
        <v>0.26100128618756657</v>
      </c>
      <c r="AH4633" s="2" t="str">
        <f ca="1"/>
        <v>OK</v>
      </c>
    </row>
    <row r="4634" spans="2:34" x14ac:dyDescent="0.2">
      <c r="B4634" s="2">
        <f ca="1"/>
        <v>0.9512717247322291</v>
      </c>
      <c r="O4634" s="2">
        <f ca="1"/>
        <v>-0.53253681483795101</v>
      </c>
      <c r="X4634" s="2">
        <f ca="1"/>
        <v>67.089107967630298</v>
      </c>
      <c r="AG4634" s="2">
        <f ca="1"/>
        <v>0.18621739215427269</v>
      </c>
      <c r="AH4634" s="2" t="str">
        <f ca="1"/>
        <v>OK</v>
      </c>
    </row>
    <row r="4635" spans="2:34" x14ac:dyDescent="0.2">
      <c r="B4635" s="2">
        <f ca="1"/>
        <v>6.5788091095265067E-2</v>
      </c>
      <c r="O4635" s="2">
        <f ca="1"/>
        <v>0.65110125933752494</v>
      </c>
      <c r="X4635" s="2">
        <f ca="1"/>
        <v>24.524625424893532</v>
      </c>
      <c r="AG4635" s="2">
        <f ca="1"/>
        <v>0.35935295645642817</v>
      </c>
      <c r="AH4635" s="2" t="str">
        <f ca="1"/>
        <v>OK</v>
      </c>
    </row>
    <row r="4636" spans="2:34" x14ac:dyDescent="0.2">
      <c r="B4636" s="2">
        <f ca="1"/>
        <v>0.15145291319323673</v>
      </c>
      <c r="O4636" s="2">
        <f ca="1"/>
        <v>-0.46594838546393819</v>
      </c>
      <c r="X4636" s="2">
        <f ca="1"/>
        <v>45.597044950271609</v>
      </c>
      <c r="AG4636" s="2">
        <f ca="1"/>
        <v>0.94979568571274453</v>
      </c>
      <c r="AH4636" s="2" t="str">
        <f ca="1"/>
        <v>Bad</v>
      </c>
    </row>
    <row r="4637" spans="2:34" x14ac:dyDescent="0.2">
      <c r="B4637" s="2">
        <f ca="1"/>
        <v>0.91986250306258555</v>
      </c>
      <c r="O4637" s="2">
        <f ca="1"/>
        <v>0.42871185505324227</v>
      </c>
      <c r="X4637" s="2">
        <f ca="1"/>
        <v>44.300470782661286</v>
      </c>
      <c r="AG4637" s="2">
        <f ca="1"/>
        <v>0.64442568569222169</v>
      </c>
      <c r="AH4637" s="2" t="str">
        <f ca="1"/>
        <v>Bad</v>
      </c>
    </row>
    <row r="4638" spans="2:34" x14ac:dyDescent="0.2">
      <c r="B4638" s="2">
        <f ca="1"/>
        <v>0.12106548121195115</v>
      </c>
      <c r="O4638" s="2">
        <f ca="1"/>
        <v>-0.70181933866322088</v>
      </c>
      <c r="X4638" s="2">
        <f ca="1"/>
        <v>88.930021145968269</v>
      </c>
      <c r="AG4638" s="2">
        <f ca="1"/>
        <v>0.10698975300990354</v>
      </c>
      <c r="AH4638" s="2" t="str">
        <f ca="1"/>
        <v>OK</v>
      </c>
    </row>
    <row r="4639" spans="2:34" x14ac:dyDescent="0.2">
      <c r="B4639" s="2">
        <f ca="1"/>
        <v>0.1381464631677205</v>
      </c>
      <c r="O4639" s="2">
        <f ca="1"/>
        <v>0.98784741509821072</v>
      </c>
      <c r="X4639" s="2">
        <f ca="1"/>
        <v>55.699682932725985</v>
      </c>
      <c r="AG4639" s="2">
        <f ca="1"/>
        <v>0.97694811918008861</v>
      </c>
      <c r="AH4639" s="2" t="str">
        <f ca="1"/>
        <v>Bad</v>
      </c>
    </row>
    <row r="4640" spans="2:34" x14ac:dyDescent="0.2">
      <c r="B4640" s="2">
        <f ca="1"/>
        <v>0.44086250534803173</v>
      </c>
      <c r="O4640" s="2">
        <f ca="1"/>
        <v>-9.2012834381705803E-4</v>
      </c>
      <c r="X4640" s="2">
        <f ca="1"/>
        <v>25.694264333362192</v>
      </c>
      <c r="AG4640" s="2">
        <f ca="1"/>
        <v>0.57137979909804804</v>
      </c>
      <c r="AH4640" s="2" t="str">
        <f ca="1"/>
        <v>Bad</v>
      </c>
    </row>
    <row r="4641" spans="2:34" x14ac:dyDescent="0.2">
      <c r="B4641" s="2">
        <f ca="1"/>
        <v>0.33690212050396129</v>
      </c>
      <c r="O4641" s="2">
        <f ca="1"/>
        <v>-0.45692286024777251</v>
      </c>
      <c r="X4641" s="2">
        <f ca="1"/>
        <v>48.197445149199709</v>
      </c>
      <c r="AG4641" s="2">
        <f ca="1"/>
        <v>0.67892930763669779</v>
      </c>
      <c r="AH4641" s="2" t="str">
        <f ca="1"/>
        <v>Bad</v>
      </c>
    </row>
    <row r="4642" spans="2:34" x14ac:dyDescent="0.2">
      <c r="B4642" s="2">
        <f ca="1"/>
        <v>0.49673438432611516</v>
      </c>
      <c r="O4642" s="2">
        <f ca="1"/>
        <v>0.61653525787314201</v>
      </c>
      <c r="X4642" s="2">
        <f ca="1"/>
        <v>48.210941003828374</v>
      </c>
      <c r="AG4642" s="2">
        <f ca="1"/>
        <v>0.68429593812582934</v>
      </c>
      <c r="AH4642" s="2" t="str">
        <f ca="1"/>
        <v>Bad</v>
      </c>
    </row>
    <row r="4643" spans="2:34" x14ac:dyDescent="0.2">
      <c r="B4643" s="2">
        <f ca="1"/>
        <v>0.71390586207872708</v>
      </c>
      <c r="O4643" s="2">
        <f ca="1"/>
        <v>1.5212289712049649</v>
      </c>
      <c r="X4643" s="2">
        <f ca="1"/>
        <v>29.824715546923333</v>
      </c>
      <c r="AG4643" s="2">
        <f ca="1"/>
        <v>0.68821684444273123</v>
      </c>
      <c r="AH4643" s="2" t="str">
        <f ca="1"/>
        <v>Bad</v>
      </c>
    </row>
    <row r="4644" spans="2:34" x14ac:dyDescent="0.2">
      <c r="B4644" s="2">
        <f ca="1"/>
        <v>0.49825127283032256</v>
      </c>
      <c r="O4644" s="2">
        <f ca="1"/>
        <v>-0.71944666710848493</v>
      </c>
      <c r="X4644" s="2">
        <f ca="1"/>
        <v>35.808816507964167</v>
      </c>
      <c r="AG4644" s="2">
        <f ca="1"/>
        <v>0.33343705927860001</v>
      </c>
      <c r="AH4644" s="2" t="str">
        <f ca="1"/>
        <v>OK</v>
      </c>
    </row>
    <row r="4645" spans="2:34" x14ac:dyDescent="0.2">
      <c r="B4645" s="2">
        <f ca="1"/>
        <v>0.5247144348271664</v>
      </c>
      <c r="O4645" s="2">
        <f ca="1"/>
        <v>-0.1248964481052357</v>
      </c>
      <c r="X4645" s="2">
        <f ca="1"/>
        <v>52.563375232919256</v>
      </c>
      <c r="AG4645" s="2">
        <f ca="1"/>
        <v>0.29062204790951207</v>
      </c>
      <c r="AH4645" s="2" t="str">
        <f ca="1"/>
        <v>OK</v>
      </c>
    </row>
    <row r="4646" spans="2:34" x14ac:dyDescent="0.2">
      <c r="B4646" s="2">
        <f ca="1"/>
        <v>0.31044030705185022</v>
      </c>
      <c r="O4646" s="2">
        <f ca="1"/>
        <v>1.7460427506332403</v>
      </c>
      <c r="X4646" s="2">
        <f ca="1"/>
        <v>41.799031039993679</v>
      </c>
      <c r="AG4646" s="2">
        <f ca="1"/>
        <v>0.491196664863772</v>
      </c>
      <c r="AH4646" s="2" t="str">
        <f ca="1"/>
        <v>Bad</v>
      </c>
    </row>
    <row r="4647" spans="2:34" x14ac:dyDescent="0.2">
      <c r="B4647" s="2">
        <f ca="1"/>
        <v>0.17199108459288914</v>
      </c>
      <c r="O4647" s="2">
        <f ca="1"/>
        <v>-1.5793093110642253</v>
      </c>
      <c r="X4647" s="2">
        <f ca="1"/>
        <v>36.16970437115944</v>
      </c>
      <c r="AG4647" s="2">
        <f ca="1"/>
        <v>0.34837406632566115</v>
      </c>
      <c r="AH4647" s="2" t="str">
        <f ca="1"/>
        <v>OK</v>
      </c>
    </row>
    <row r="4648" spans="2:34" x14ac:dyDescent="0.2">
      <c r="B4648" s="2">
        <f ca="1"/>
        <v>0.35119684415901786</v>
      </c>
      <c r="O4648" s="2">
        <f ca="1"/>
        <v>0.6898557505639672</v>
      </c>
      <c r="X4648" s="2">
        <f ca="1"/>
        <v>43.290423037230354</v>
      </c>
      <c r="AG4648" s="2">
        <f ca="1"/>
        <v>7.296000511840095E-3</v>
      </c>
      <c r="AH4648" s="2" t="str">
        <f ca="1"/>
        <v>Good</v>
      </c>
    </row>
    <row r="4649" spans="2:34" x14ac:dyDescent="0.2">
      <c r="B4649" s="2">
        <f ca="1"/>
        <v>0.24384275209920236</v>
      </c>
      <c r="O4649" s="2">
        <f ca="1"/>
        <v>9.8796196990443994E-2</v>
      </c>
      <c r="X4649" s="2">
        <f ca="1"/>
        <v>32.741275451166395</v>
      </c>
      <c r="AG4649" s="2">
        <f ca="1"/>
        <v>0.58223610048287844</v>
      </c>
      <c r="AH4649" s="2" t="str">
        <f ca="1"/>
        <v>Bad</v>
      </c>
    </row>
    <row r="4650" spans="2:34" x14ac:dyDescent="0.2">
      <c r="B4650" s="2">
        <f ca="1"/>
        <v>0.72067267368391419</v>
      </c>
      <c r="O4650" s="2">
        <f ca="1"/>
        <v>1.4701625621128067</v>
      </c>
      <c r="X4650" s="2">
        <f ca="1"/>
        <v>31.949317204023014</v>
      </c>
      <c r="AG4650" s="2">
        <f ca="1"/>
        <v>0.18792894367170931</v>
      </c>
      <c r="AH4650" s="2" t="str">
        <f ca="1"/>
        <v>OK</v>
      </c>
    </row>
    <row r="4651" spans="2:34" x14ac:dyDescent="0.2">
      <c r="B4651" s="2">
        <f ca="1"/>
        <v>0.48125103143967718</v>
      </c>
      <c r="O4651" s="2">
        <f ca="1"/>
        <v>-0.26120840416624369</v>
      </c>
      <c r="X4651" s="2">
        <f ca="1"/>
        <v>30.987253713866959</v>
      </c>
      <c r="AG4651" s="2">
        <f ca="1"/>
        <v>0.27055986320021219</v>
      </c>
      <c r="AH4651" s="2" t="str">
        <f ca="1"/>
        <v>OK</v>
      </c>
    </row>
    <row r="4652" spans="2:34" x14ac:dyDescent="0.2">
      <c r="B4652" s="2">
        <f ca="1"/>
        <v>0.65340336668669474</v>
      </c>
      <c r="O4652" s="2">
        <f ca="1"/>
        <v>-0.7933812686644065</v>
      </c>
      <c r="X4652" s="2">
        <f ca="1"/>
        <v>48.550091745303618</v>
      </c>
      <c r="AG4652" s="2">
        <f ca="1"/>
        <v>0.22358394465309561</v>
      </c>
      <c r="AH4652" s="2" t="str">
        <f ca="1"/>
        <v>OK</v>
      </c>
    </row>
    <row r="4653" spans="2:34" x14ac:dyDescent="0.2">
      <c r="B4653" s="2">
        <f ca="1"/>
        <v>0.70576181530301341</v>
      </c>
      <c r="O4653" s="2">
        <f ca="1"/>
        <v>0.35241260480044512</v>
      </c>
      <c r="X4653" s="2">
        <f ca="1"/>
        <v>41.027845680044365</v>
      </c>
      <c r="AG4653" s="2">
        <f ca="1"/>
        <v>0.84554648617047667</v>
      </c>
      <c r="AH4653" s="2" t="str">
        <f ca="1"/>
        <v>Bad</v>
      </c>
    </row>
    <row r="4654" spans="2:34" x14ac:dyDescent="0.2">
      <c r="B4654" s="2">
        <f ca="1"/>
        <v>0.81182407070198592</v>
      </c>
      <c r="O4654" s="2">
        <f ca="1"/>
        <v>-9.2053896289875634E-2</v>
      </c>
      <c r="X4654" s="2">
        <f ca="1"/>
        <v>44.743147324430993</v>
      </c>
      <c r="AG4654" s="2">
        <f ca="1"/>
        <v>0.61140559019886109</v>
      </c>
      <c r="AH4654" s="2" t="str">
        <f ca="1"/>
        <v>Bad</v>
      </c>
    </row>
    <row r="4655" spans="2:34" x14ac:dyDescent="0.2">
      <c r="B4655" s="2">
        <f ca="1"/>
        <v>0.87419560712202449</v>
      </c>
      <c r="O4655" s="2">
        <f ca="1"/>
        <v>0.71590671008700824</v>
      </c>
      <c r="X4655" s="2">
        <f ca="1"/>
        <v>44.50522738607107</v>
      </c>
      <c r="AG4655" s="2">
        <f ca="1"/>
        <v>0.19126181975599232</v>
      </c>
      <c r="AH4655" s="2" t="str">
        <f ca="1"/>
        <v>OK</v>
      </c>
    </row>
    <row r="4656" spans="2:34" x14ac:dyDescent="0.2">
      <c r="B4656" s="2">
        <f ca="1"/>
        <v>0.59271292929138752</v>
      </c>
      <c r="O4656" s="2">
        <f ca="1"/>
        <v>7.9204837701394276E-2</v>
      </c>
      <c r="X4656" s="2">
        <f ca="1"/>
        <v>33.093676335150853</v>
      </c>
      <c r="AG4656" s="2">
        <f ca="1"/>
        <v>0.70362462356301614</v>
      </c>
      <c r="AH4656" s="2" t="str">
        <f ca="1"/>
        <v>Bad</v>
      </c>
    </row>
    <row r="4657" spans="2:34" x14ac:dyDescent="0.2">
      <c r="B4657" s="2">
        <f ca="1"/>
        <v>0.67667534672982588</v>
      </c>
      <c r="O4657" s="2">
        <f ca="1"/>
        <v>0.98725203939802852</v>
      </c>
      <c r="X4657" s="2">
        <f ca="1"/>
        <v>39.686465082269102</v>
      </c>
      <c r="AG4657" s="2">
        <f ca="1"/>
        <v>0.48634740243532226</v>
      </c>
      <c r="AH4657" s="2" t="str">
        <f ca="1"/>
        <v>Bad</v>
      </c>
    </row>
    <row r="4658" spans="2:34" x14ac:dyDescent="0.2">
      <c r="B4658" s="2">
        <f ca="1"/>
        <v>3.5284179100413926E-2</v>
      </c>
      <c r="O4658" s="2">
        <f ca="1"/>
        <v>0.4981223866566617</v>
      </c>
      <c r="X4658" s="2">
        <f ca="1"/>
        <v>48.501570942646282</v>
      </c>
      <c r="AG4658" s="2">
        <f ca="1"/>
        <v>0.28183925822378431</v>
      </c>
      <c r="AH4658" s="2" t="str">
        <f ca="1"/>
        <v>OK</v>
      </c>
    </row>
    <row r="4659" spans="2:34" x14ac:dyDescent="0.2">
      <c r="B4659" s="2">
        <f ca="1"/>
        <v>0.22736291210069992</v>
      </c>
      <c r="O4659" s="2">
        <f ca="1"/>
        <v>0.26262905999011299</v>
      </c>
      <c r="X4659" s="2">
        <f ca="1"/>
        <v>65.467584234533106</v>
      </c>
      <c r="AG4659" s="2">
        <f ca="1"/>
        <v>0.28987685256188156</v>
      </c>
      <c r="AH4659" s="2" t="str">
        <f ca="1"/>
        <v>OK</v>
      </c>
    </row>
    <row r="4660" spans="2:34" x14ac:dyDescent="0.2">
      <c r="B4660" s="2">
        <f ca="1"/>
        <v>0.90458940151967981</v>
      </c>
      <c r="O4660" s="2">
        <f ca="1"/>
        <v>0.36189254290903516</v>
      </c>
      <c r="X4660" s="2">
        <f ca="1"/>
        <v>61.20647711809994</v>
      </c>
      <c r="AG4660" s="2">
        <f ca="1"/>
        <v>5.7643959288410596E-2</v>
      </c>
      <c r="AH4660" s="2" t="str">
        <f ca="1"/>
        <v>OK</v>
      </c>
    </row>
    <row r="4661" spans="2:34" x14ac:dyDescent="0.2">
      <c r="B4661" s="2">
        <f ca="1"/>
        <v>0.37660221925538639</v>
      </c>
      <c r="O4661" s="2">
        <f ca="1"/>
        <v>1.3052578366925656</v>
      </c>
      <c r="X4661" s="2">
        <f ca="1"/>
        <v>37.553415780641679</v>
      </c>
      <c r="AG4661" s="2">
        <f ca="1"/>
        <v>0.13814426155484294</v>
      </c>
      <c r="AH4661" s="2" t="str">
        <f ca="1"/>
        <v>OK</v>
      </c>
    </row>
    <row r="4662" spans="2:34" x14ac:dyDescent="0.2">
      <c r="B4662" s="2">
        <f ca="1"/>
        <v>0.881565473698108</v>
      </c>
      <c r="O4662" s="2">
        <f ca="1"/>
        <v>0.55183026627975018</v>
      </c>
      <c r="X4662" s="2">
        <f ca="1"/>
        <v>48.98808530658107</v>
      </c>
      <c r="AG4662" s="2">
        <f ca="1"/>
        <v>2.7603454215734402E-2</v>
      </c>
      <c r="AH4662" s="2" t="str">
        <f ca="1"/>
        <v>Good</v>
      </c>
    </row>
    <row r="4663" spans="2:34" x14ac:dyDescent="0.2">
      <c r="B4663" s="2">
        <f ca="1"/>
        <v>0.44800356436870081</v>
      </c>
      <c r="O4663" s="2">
        <f ca="1"/>
        <v>0.63857507627106203</v>
      </c>
      <c r="X4663" s="2">
        <f ca="1"/>
        <v>55.698709978047553</v>
      </c>
      <c r="AG4663" s="2">
        <f ca="1"/>
        <v>0.86933611845437886</v>
      </c>
      <c r="AH4663" s="2" t="str">
        <f ca="1"/>
        <v>Bad</v>
      </c>
    </row>
    <row r="4664" spans="2:34" x14ac:dyDescent="0.2">
      <c r="B4664" s="2">
        <f ca="1"/>
        <v>0.16919452971029569</v>
      </c>
      <c r="O4664" s="2">
        <f ca="1"/>
        <v>0.47869040260825313</v>
      </c>
      <c r="X4664" s="2">
        <f ca="1"/>
        <v>48.127171269813019</v>
      </c>
      <c r="AG4664" s="2">
        <f ca="1"/>
        <v>0.82746806332783218</v>
      </c>
      <c r="AH4664" s="2" t="str">
        <f ca="1"/>
        <v>Bad</v>
      </c>
    </row>
    <row r="4665" spans="2:34" x14ac:dyDescent="0.2">
      <c r="B4665" s="2">
        <f ca="1"/>
        <v>0.36228336831287344</v>
      </c>
      <c r="O4665" s="2">
        <f ca="1"/>
        <v>-0.44295780641626725</v>
      </c>
      <c r="X4665" s="2">
        <f ca="1"/>
        <v>30.970068900557525</v>
      </c>
      <c r="AG4665" s="2">
        <f ca="1"/>
        <v>0.78511120747472773</v>
      </c>
      <c r="AH4665" s="2" t="str">
        <f ca="1"/>
        <v>Bad</v>
      </c>
    </row>
    <row r="4666" spans="2:34" x14ac:dyDescent="0.2">
      <c r="B4666" s="2">
        <f ca="1"/>
        <v>0.71540799141592459</v>
      </c>
      <c r="O4666" s="2">
        <f ca="1"/>
        <v>0.37522864662439626</v>
      </c>
      <c r="X4666" s="2">
        <f ca="1"/>
        <v>29.960174323977032</v>
      </c>
      <c r="AG4666" s="2">
        <f ca="1"/>
        <v>0.85301153159581444</v>
      </c>
      <c r="AH4666" s="2" t="str">
        <f ca="1"/>
        <v>Bad</v>
      </c>
    </row>
    <row r="4667" spans="2:34" x14ac:dyDescent="0.2">
      <c r="B4667" s="2">
        <f ca="1"/>
        <v>0.76518182276331692</v>
      </c>
      <c r="O4667" s="2">
        <f ca="1"/>
        <v>-0.57775889642028377</v>
      </c>
      <c r="X4667" s="2">
        <f ca="1"/>
        <v>35.894663704860761</v>
      </c>
      <c r="AG4667" s="2">
        <f ca="1"/>
        <v>0.26378980977223221</v>
      </c>
      <c r="AH4667" s="2" t="str">
        <f ca="1"/>
        <v>OK</v>
      </c>
    </row>
    <row r="4668" spans="2:34" x14ac:dyDescent="0.2">
      <c r="B4668" s="2">
        <f ca="1"/>
        <v>0.74610227167340626</v>
      </c>
      <c r="O4668" s="2">
        <f ca="1"/>
        <v>-0.38319665533242686</v>
      </c>
      <c r="X4668" s="2">
        <f ca="1"/>
        <v>66.167060220204448</v>
      </c>
      <c r="AG4668" s="2">
        <f ca="1"/>
        <v>0.93235099261882226</v>
      </c>
      <c r="AH4668" s="2" t="str">
        <f ca="1"/>
        <v>Bad</v>
      </c>
    </row>
    <row r="4669" spans="2:34" x14ac:dyDescent="0.2">
      <c r="B4669" s="2">
        <f ca="1"/>
        <v>0.4963216880243857</v>
      </c>
      <c r="O4669" s="2">
        <f ca="1"/>
        <v>-1.0425542696225105</v>
      </c>
      <c r="X4669" s="2">
        <f ca="1"/>
        <v>42.190080220244461</v>
      </c>
      <c r="AG4669" s="2">
        <f ca="1"/>
        <v>9.5869114350710216E-2</v>
      </c>
      <c r="AH4669" s="2" t="str">
        <f ca="1"/>
        <v>OK</v>
      </c>
    </row>
    <row r="4670" spans="2:34" x14ac:dyDescent="0.2">
      <c r="B4670" s="2">
        <f ca="1"/>
        <v>0.80594399784819126</v>
      </c>
      <c r="O4670" s="2">
        <f ca="1"/>
        <v>0.7252638165079186</v>
      </c>
      <c r="X4670" s="2">
        <f ca="1"/>
        <v>42.040216466750465</v>
      </c>
      <c r="AG4670" s="2">
        <f ca="1"/>
        <v>0.44779529157503628</v>
      </c>
      <c r="AH4670" s="2" t="str">
        <f ca="1"/>
        <v>Bad</v>
      </c>
    </row>
    <row r="4671" spans="2:34" x14ac:dyDescent="0.2">
      <c r="B4671" s="2">
        <f ca="1"/>
        <v>0.80494583082915461</v>
      </c>
      <c r="O4671" s="2">
        <f ca="1"/>
        <v>-0.84968155400336409</v>
      </c>
      <c r="X4671" s="2">
        <f ca="1"/>
        <v>51.082798729607873</v>
      </c>
      <c r="AG4671" s="2">
        <f ca="1"/>
        <v>0.11479513135668928</v>
      </c>
      <c r="AH4671" s="2" t="str">
        <f ca="1"/>
        <v>OK</v>
      </c>
    </row>
    <row r="4672" spans="2:34" x14ac:dyDescent="0.2">
      <c r="B4672" s="2">
        <f ca="1"/>
        <v>0.12788059569594767</v>
      </c>
      <c r="O4672" s="2">
        <f ca="1"/>
        <v>0.54056437794901668</v>
      </c>
      <c r="X4672" s="2">
        <f ca="1"/>
        <v>50.632942546109746</v>
      </c>
      <c r="AG4672" s="2">
        <f ca="1"/>
        <v>0.55553447573207038</v>
      </c>
      <c r="AH4672" s="2" t="str">
        <f ca="1"/>
        <v>Bad</v>
      </c>
    </row>
    <row r="4673" spans="2:34" x14ac:dyDescent="0.2">
      <c r="B4673" s="2">
        <f ca="1"/>
        <v>0.15657202000840154</v>
      </c>
      <c r="O4673" s="2">
        <f ca="1"/>
        <v>-1.4762942239741417</v>
      </c>
      <c r="X4673" s="2">
        <f ca="1"/>
        <v>52.478971783442162</v>
      </c>
      <c r="AG4673" s="2">
        <f ca="1"/>
        <v>0.41148778726500845</v>
      </c>
      <c r="AH4673" s="2" t="str">
        <f ca="1"/>
        <v>Bad</v>
      </c>
    </row>
    <row r="4674" spans="2:34" x14ac:dyDescent="0.2">
      <c r="B4674" s="2">
        <f ca="1"/>
        <v>0.67420351404457368</v>
      </c>
      <c r="O4674" s="2">
        <f ca="1"/>
        <v>0.76297868284639381</v>
      </c>
      <c r="X4674" s="2">
        <f ca="1"/>
        <v>62.541863505733282</v>
      </c>
      <c r="AG4674" s="2">
        <f ca="1"/>
        <v>0.25543588226854741</v>
      </c>
      <c r="AH4674" s="2" t="str">
        <f ca="1"/>
        <v>OK</v>
      </c>
    </row>
    <row r="4675" spans="2:34" x14ac:dyDescent="0.2">
      <c r="B4675" s="2">
        <f ca="1"/>
        <v>0.14455346545018588</v>
      </c>
      <c r="O4675" s="2">
        <f ca="1"/>
        <v>-0.30601836502579938</v>
      </c>
      <c r="X4675" s="2">
        <f ca="1"/>
        <v>63.190048015528681</v>
      </c>
      <c r="AG4675" s="2">
        <f ca="1"/>
        <v>0.99906122287338484</v>
      </c>
      <c r="AH4675" s="2" t="str">
        <f ca="1"/>
        <v>Bad</v>
      </c>
    </row>
    <row r="4676" spans="2:34" x14ac:dyDescent="0.2">
      <c r="B4676" s="2">
        <f ca="1"/>
        <v>0.54250801818444261</v>
      </c>
      <c r="O4676" s="2">
        <f ca="1"/>
        <v>1.3754405474886102</v>
      </c>
      <c r="X4676" s="2">
        <f ca="1"/>
        <v>59.278036392055249</v>
      </c>
      <c r="AG4676" s="2">
        <f ca="1"/>
        <v>0.25660485571127056</v>
      </c>
      <c r="AH4676" s="2" t="str">
        <f ca="1"/>
        <v>OK</v>
      </c>
    </row>
    <row r="4677" spans="2:34" x14ac:dyDescent="0.2">
      <c r="B4677" s="2">
        <f ca="1"/>
        <v>0.94815091383958316</v>
      </c>
      <c r="O4677" s="2">
        <f ca="1"/>
        <v>-1.7220456547982212</v>
      </c>
      <c r="X4677" s="2">
        <f ca="1"/>
        <v>58.692785827518478</v>
      </c>
      <c r="AG4677" s="2">
        <f ca="1"/>
        <v>0.36231256832701275</v>
      </c>
      <c r="AH4677" s="2" t="str">
        <f ca="1"/>
        <v>OK</v>
      </c>
    </row>
    <row r="4678" spans="2:34" x14ac:dyDescent="0.2">
      <c r="B4678" s="2">
        <f ca="1"/>
        <v>0.44313830097434903</v>
      </c>
      <c r="O4678" s="2">
        <f ca="1"/>
        <v>0.64985542330298929</v>
      </c>
      <c r="X4678" s="2">
        <f ca="1"/>
        <v>36.439634233439165</v>
      </c>
      <c r="AG4678" s="2">
        <f ca="1"/>
        <v>0.76674572673294294</v>
      </c>
      <c r="AH4678" s="2" t="str">
        <f ca="1"/>
        <v>Bad</v>
      </c>
    </row>
    <row r="4679" spans="2:34" x14ac:dyDescent="0.2">
      <c r="B4679" s="2">
        <f ca="1"/>
        <v>0.42705994241917677</v>
      </c>
      <c r="O4679" s="2">
        <f ca="1"/>
        <v>0.35932325971938139</v>
      </c>
      <c r="X4679" s="2">
        <f ca="1"/>
        <v>30.398017075375755</v>
      </c>
      <c r="AG4679" s="2">
        <f ca="1"/>
        <v>0.78287118546255097</v>
      </c>
      <c r="AH4679" s="2" t="str">
        <f ca="1"/>
        <v>Bad</v>
      </c>
    </row>
    <row r="4680" spans="2:34" x14ac:dyDescent="0.2">
      <c r="B4680" s="2">
        <f ca="1"/>
        <v>0.85373443494382717</v>
      </c>
      <c r="O4680" s="2">
        <f ca="1"/>
        <v>1.2380725718991434</v>
      </c>
      <c r="X4680" s="2">
        <f ca="1"/>
        <v>43.316203262229763</v>
      </c>
      <c r="AG4680" s="2">
        <f ca="1"/>
        <v>0.20788911776069741</v>
      </c>
      <c r="AH4680" s="2" t="str">
        <f ca="1"/>
        <v>OK</v>
      </c>
    </row>
    <row r="4681" spans="2:34" x14ac:dyDescent="0.2">
      <c r="B4681" s="2">
        <f ca="1"/>
        <v>0.34861724748981993</v>
      </c>
      <c r="O4681" s="2">
        <f ca="1"/>
        <v>1.1675701003864076</v>
      </c>
      <c r="X4681" s="2">
        <f ca="1"/>
        <v>42.805411069794658</v>
      </c>
      <c r="AG4681" s="2">
        <f ca="1"/>
        <v>2.7247763590787066E-2</v>
      </c>
      <c r="AH4681" s="2" t="str">
        <f ca="1"/>
        <v>Good</v>
      </c>
    </row>
    <row r="4682" spans="2:34" x14ac:dyDescent="0.2">
      <c r="B4682" s="2">
        <f ca="1"/>
        <v>0.89890667071444552</v>
      </c>
      <c r="O4682" s="2">
        <f ca="1"/>
        <v>1.476178315276226</v>
      </c>
      <c r="X4682" s="2">
        <f ca="1"/>
        <v>17.90640055955825</v>
      </c>
      <c r="AG4682" s="2">
        <f ca="1"/>
        <v>0.19781901765246857</v>
      </c>
      <c r="AH4682" s="2" t="str">
        <f ca="1"/>
        <v>OK</v>
      </c>
    </row>
    <row r="4683" spans="2:34" x14ac:dyDescent="0.2">
      <c r="B4683" s="2">
        <f ca="1"/>
        <v>0.16710693642621721</v>
      </c>
      <c r="O4683" s="2">
        <f ca="1"/>
        <v>-6.3319906999395256E-3</v>
      </c>
      <c r="X4683" s="2">
        <f ca="1"/>
        <v>42.547169646432351</v>
      </c>
      <c r="AG4683" s="2">
        <f ca="1"/>
        <v>0.26524854676321485</v>
      </c>
      <c r="AH4683" s="2" t="str">
        <f ca="1"/>
        <v>OK</v>
      </c>
    </row>
    <row r="4684" spans="2:34" x14ac:dyDescent="0.2">
      <c r="B4684" s="2">
        <f ca="1"/>
        <v>0.18493878491979299</v>
      </c>
      <c r="O4684" s="2">
        <f ca="1"/>
        <v>-1.9304895403335232</v>
      </c>
      <c r="X4684" s="2">
        <f ca="1"/>
        <v>58.068921599374519</v>
      </c>
      <c r="AG4684" s="2">
        <f ca="1"/>
        <v>0.37313575240551966</v>
      </c>
      <c r="AH4684" s="2" t="str">
        <f ca="1"/>
        <v>OK</v>
      </c>
    </row>
    <row r="4685" spans="2:34" x14ac:dyDescent="0.2">
      <c r="B4685" s="2">
        <f ca="1"/>
        <v>0.40579417357440017</v>
      </c>
      <c r="O4685" s="2">
        <f ca="1"/>
        <v>-9.2629438581571036E-2</v>
      </c>
      <c r="X4685" s="2">
        <f ca="1"/>
        <v>52.852627492770949</v>
      </c>
      <c r="AG4685" s="2">
        <f ca="1"/>
        <v>0.58864583871817922</v>
      </c>
      <c r="AH4685" s="2" t="str">
        <f ca="1"/>
        <v>Bad</v>
      </c>
    </row>
    <row r="4686" spans="2:34" x14ac:dyDescent="0.2">
      <c r="B4686" s="2">
        <f ca="1"/>
        <v>0.16181996131226262</v>
      </c>
      <c r="O4686" s="2">
        <f ca="1"/>
        <v>1.6060990978964977</v>
      </c>
      <c r="X4686" s="2">
        <f ca="1"/>
        <v>40.172977145347289</v>
      </c>
      <c r="AG4686" s="2">
        <f ca="1"/>
        <v>0.62554594301900646</v>
      </c>
      <c r="AH4686" s="2" t="str">
        <f ca="1"/>
        <v>Bad</v>
      </c>
    </row>
    <row r="4687" spans="2:34" x14ac:dyDescent="0.2">
      <c r="B4687" s="2">
        <f ca="1"/>
        <v>0.39472802604905377</v>
      </c>
      <c r="O4687" s="2">
        <f ca="1"/>
        <v>0.82769180105292084</v>
      </c>
      <c r="X4687" s="2">
        <f ca="1"/>
        <v>42.024131908144007</v>
      </c>
      <c r="AG4687" s="2">
        <f ca="1"/>
        <v>0.11130841440874861</v>
      </c>
      <c r="AH4687" s="2" t="str">
        <f ca="1"/>
        <v>OK</v>
      </c>
    </row>
    <row r="4688" spans="2:34" x14ac:dyDescent="0.2">
      <c r="B4688" s="2">
        <f ca="1"/>
        <v>0.59099538281793107</v>
      </c>
      <c r="O4688" s="2">
        <f ca="1"/>
        <v>-0.6936195270611033</v>
      </c>
      <c r="X4688" s="2">
        <f ca="1"/>
        <v>45.461333536551727</v>
      </c>
      <c r="AG4688" s="2">
        <f ca="1"/>
        <v>0.17851195251360319</v>
      </c>
      <c r="AH4688" s="2" t="str">
        <f ca="1"/>
        <v>OK</v>
      </c>
    </row>
    <row r="4689" spans="2:34" x14ac:dyDescent="0.2">
      <c r="B4689" s="2">
        <f ca="1"/>
        <v>0.44485604258298883</v>
      </c>
      <c r="O4689" s="2">
        <f ca="1"/>
        <v>0.20288896431595357</v>
      </c>
      <c r="X4689" s="2">
        <f ca="1"/>
        <v>36.53712013415209</v>
      </c>
      <c r="AG4689" s="2">
        <f ca="1"/>
        <v>0.84724576265155815</v>
      </c>
      <c r="AH4689" s="2" t="str">
        <f ca="1"/>
        <v>Bad</v>
      </c>
    </row>
    <row r="4690" spans="2:34" x14ac:dyDescent="0.2">
      <c r="B4690" s="2">
        <f ca="1"/>
        <v>0.69428376622026922</v>
      </c>
      <c r="O4690" s="2">
        <f ca="1"/>
        <v>-0.2717541492785937</v>
      </c>
      <c r="X4690" s="2">
        <f ca="1"/>
        <v>51.402291796155659</v>
      </c>
      <c r="AG4690" s="2">
        <f ca="1"/>
        <v>0.51772305819689213</v>
      </c>
      <c r="AH4690" s="2" t="str">
        <f ca="1"/>
        <v>Bad</v>
      </c>
    </row>
    <row r="4691" spans="2:34" x14ac:dyDescent="0.2">
      <c r="B4691" s="2">
        <f ca="1"/>
        <v>0.60807806802621722</v>
      </c>
      <c r="O4691" s="2">
        <f ca="1"/>
        <v>-0.56239264208293049</v>
      </c>
      <c r="X4691" s="2">
        <f ca="1"/>
        <v>52.813757308607343</v>
      </c>
      <c r="AG4691" s="2">
        <f ca="1"/>
        <v>0.87998607309362731</v>
      </c>
      <c r="AH4691" s="2" t="str">
        <f ca="1"/>
        <v>Bad</v>
      </c>
    </row>
    <row r="4692" spans="2:34" x14ac:dyDescent="0.2">
      <c r="B4692" s="2">
        <f ca="1"/>
        <v>0.92499204845780247</v>
      </c>
      <c r="O4692" s="2">
        <f ca="1"/>
        <v>-1.8967125786288588</v>
      </c>
      <c r="X4692" s="2">
        <f ca="1"/>
        <v>46.2769584576439</v>
      </c>
      <c r="AG4692" s="2">
        <f ca="1"/>
        <v>0.13222386307185507</v>
      </c>
      <c r="AH4692" s="2" t="str">
        <f ca="1"/>
        <v>OK</v>
      </c>
    </row>
    <row r="4693" spans="2:34" x14ac:dyDescent="0.2">
      <c r="B4693" s="2">
        <f ca="1"/>
        <v>0.24903629217277756</v>
      </c>
      <c r="O4693" s="2">
        <f ca="1"/>
        <v>-0.76763690143550201</v>
      </c>
      <c r="X4693" s="2">
        <f ca="1"/>
        <v>26.106002341336755</v>
      </c>
      <c r="AG4693" s="2">
        <f ca="1"/>
        <v>0.97713557225238601</v>
      </c>
      <c r="AH4693" s="2" t="str">
        <f ca="1"/>
        <v>Bad</v>
      </c>
    </row>
    <row r="4694" spans="2:34" x14ac:dyDescent="0.2">
      <c r="B4694" s="2">
        <f ca="1"/>
        <v>0.23479436938758247</v>
      </c>
      <c r="O4694" s="2">
        <f ca="1"/>
        <v>-0.77664505171229903</v>
      </c>
      <c r="X4694" s="2">
        <f ca="1"/>
        <v>30.657631655775603</v>
      </c>
      <c r="AG4694" s="2">
        <f ca="1"/>
        <v>0.9264657690190703</v>
      </c>
      <c r="AH4694" s="2" t="str">
        <f ca="1"/>
        <v>Bad</v>
      </c>
    </row>
    <row r="4695" spans="2:34" x14ac:dyDescent="0.2">
      <c r="B4695" s="2">
        <f ca="1"/>
        <v>4.4175979008336252E-2</v>
      </c>
      <c r="O4695" s="2">
        <f ca="1"/>
        <v>-0.89813031687847411</v>
      </c>
      <c r="X4695" s="2">
        <f ca="1"/>
        <v>91.24319285019844</v>
      </c>
      <c r="AG4695" s="2">
        <f ca="1"/>
        <v>0.78994827881025764</v>
      </c>
      <c r="AH4695" s="2" t="str">
        <f ca="1"/>
        <v>Bad</v>
      </c>
    </row>
    <row r="4696" spans="2:34" x14ac:dyDescent="0.2">
      <c r="B4696" s="2">
        <f ca="1"/>
        <v>0.5007480052335187</v>
      </c>
      <c r="O4696" s="2">
        <f ca="1"/>
        <v>0.74596026988361164</v>
      </c>
      <c r="X4696" s="2">
        <f ca="1"/>
        <v>85.325366168097219</v>
      </c>
      <c r="AG4696" s="2">
        <f ca="1"/>
        <v>0.7344218158474225</v>
      </c>
      <c r="AH4696" s="2" t="str">
        <f ca="1"/>
        <v>Bad</v>
      </c>
    </row>
    <row r="4697" spans="2:34" x14ac:dyDescent="0.2">
      <c r="B4697" s="2">
        <f ca="1"/>
        <v>0.46648239489126553</v>
      </c>
      <c r="O4697" s="2">
        <f ca="1"/>
        <v>0.62946943964709445</v>
      </c>
      <c r="X4697" s="2">
        <f ca="1"/>
        <v>66.839047046236018</v>
      </c>
      <c r="AG4697" s="2">
        <f ca="1"/>
        <v>7.1386388460870087E-2</v>
      </c>
      <c r="AH4697" s="2" t="str">
        <f ca="1"/>
        <v>OK</v>
      </c>
    </row>
    <row r="4698" spans="2:34" x14ac:dyDescent="0.2">
      <c r="B4698" s="2">
        <f ca="1"/>
        <v>0.36963908356175024</v>
      </c>
      <c r="O4698" s="2">
        <f ca="1"/>
        <v>0.36809272853852676</v>
      </c>
      <c r="X4698" s="2">
        <f ca="1"/>
        <v>85.502628008869394</v>
      </c>
      <c r="AG4698" s="2">
        <f ca="1"/>
        <v>0.76391525101086133</v>
      </c>
      <c r="AH4698" s="2" t="str">
        <f ca="1"/>
        <v>Bad</v>
      </c>
    </row>
    <row r="4699" spans="2:34" x14ac:dyDescent="0.2">
      <c r="B4699" s="2">
        <f ca="1"/>
        <v>0.45117243172579902</v>
      </c>
      <c r="O4699" s="2">
        <f ca="1"/>
        <v>0.62532505641405434</v>
      </c>
      <c r="X4699" s="2">
        <f ca="1"/>
        <v>43.761071285033751</v>
      </c>
      <c r="AG4699" s="2">
        <f ca="1"/>
        <v>0.90812105154563905</v>
      </c>
      <c r="AH4699" s="2" t="str">
        <f ca="1"/>
        <v>Bad</v>
      </c>
    </row>
    <row r="4700" spans="2:34" x14ac:dyDescent="0.2">
      <c r="B4700" s="2">
        <f ca="1"/>
        <v>0.10620410964277061</v>
      </c>
      <c r="O4700" s="2">
        <f ca="1"/>
        <v>-0.1386469927439842</v>
      </c>
      <c r="X4700" s="2">
        <f ca="1"/>
        <v>50.043522905343131</v>
      </c>
      <c r="AG4700" s="2">
        <f ca="1"/>
        <v>0.57382067527857061</v>
      </c>
      <c r="AH4700" s="2" t="str">
        <f ca="1"/>
        <v>Bad</v>
      </c>
    </row>
    <row r="4701" spans="2:34" x14ac:dyDescent="0.2">
      <c r="B4701" s="2">
        <f ca="1"/>
        <v>0.229681765349524</v>
      </c>
      <c r="O4701" s="2">
        <f ca="1"/>
        <v>-1.3482293695890792</v>
      </c>
      <c r="X4701" s="2">
        <f ca="1"/>
        <v>39.988623633412772</v>
      </c>
      <c r="AG4701" s="2">
        <f ca="1"/>
        <v>0.73966034884303977</v>
      </c>
      <c r="AH4701" s="2" t="str">
        <f ca="1"/>
        <v>Bad</v>
      </c>
    </row>
    <row r="4702" spans="2:34" x14ac:dyDescent="0.2">
      <c r="B4702" s="2">
        <f ca="1"/>
        <v>0.55054052191528391</v>
      </c>
      <c r="O4702" s="2">
        <f ca="1"/>
        <v>0.6303023001505268</v>
      </c>
      <c r="X4702" s="2">
        <f ca="1"/>
        <v>36.547575272787455</v>
      </c>
      <c r="AG4702" s="2">
        <f ca="1"/>
        <v>0.34064935695644105</v>
      </c>
      <c r="AH4702" s="2" t="str">
        <f ca="1"/>
        <v>OK</v>
      </c>
    </row>
    <row r="4703" spans="2:34" x14ac:dyDescent="0.2">
      <c r="B4703" s="2">
        <f ca="1"/>
        <v>0.5971888209825158</v>
      </c>
      <c r="O4703" s="2">
        <f ca="1"/>
        <v>0.76176322423799114</v>
      </c>
      <c r="X4703" s="2">
        <f ca="1"/>
        <v>30.311749573479613</v>
      </c>
      <c r="AG4703" s="2">
        <f ca="1"/>
        <v>0.19076663147125617</v>
      </c>
      <c r="AH4703" s="2" t="str">
        <f ca="1"/>
        <v>OK</v>
      </c>
    </row>
    <row r="4704" spans="2:34" x14ac:dyDescent="0.2">
      <c r="B4704" s="2">
        <f ca="1"/>
        <v>0.81235304345210957</v>
      </c>
      <c r="O4704" s="2">
        <f ca="1"/>
        <v>0.87332415663002094</v>
      </c>
      <c r="X4704" s="2">
        <f ca="1"/>
        <v>53.274068119842035</v>
      </c>
      <c r="AG4704" s="2">
        <f ca="1"/>
        <v>0.99992844150094262</v>
      </c>
      <c r="AH4704" s="2" t="str">
        <f ca="1"/>
        <v>Bad</v>
      </c>
    </row>
    <row r="4705" spans="2:34" x14ac:dyDescent="0.2">
      <c r="B4705" s="2">
        <f ca="1"/>
        <v>0.55839792481298667</v>
      </c>
      <c r="O4705" s="2">
        <f ca="1"/>
        <v>-0.15568565481232918</v>
      </c>
      <c r="X4705" s="2">
        <f ca="1"/>
        <v>69.396967754934749</v>
      </c>
      <c r="AG4705" s="2">
        <f ca="1"/>
        <v>0.56152265685359537</v>
      </c>
      <c r="AH4705" s="2" t="str">
        <f ca="1"/>
        <v>Bad</v>
      </c>
    </row>
    <row r="4706" spans="2:34" x14ac:dyDescent="0.2">
      <c r="B4706" s="2">
        <f ca="1"/>
        <v>4.6779749313667907E-3</v>
      </c>
      <c r="O4706" s="2">
        <f ca="1"/>
        <v>-3.8529812305641863E-2</v>
      </c>
      <c r="X4706" s="2">
        <f ca="1"/>
        <v>37.374206160993857</v>
      </c>
      <c r="AG4706" s="2">
        <f ca="1"/>
        <v>0.68006741482880528</v>
      </c>
      <c r="AH4706" s="2" t="str">
        <f ca="1"/>
        <v>Bad</v>
      </c>
    </row>
    <row r="4707" spans="2:34" x14ac:dyDescent="0.2">
      <c r="B4707" s="2">
        <f ca="1"/>
        <v>0.19147576804989996</v>
      </c>
      <c r="O4707" s="2">
        <f ca="1"/>
        <v>-1.2463780497794437</v>
      </c>
      <c r="X4707" s="2">
        <f ca="1"/>
        <v>35.677628893545183</v>
      </c>
      <c r="AG4707" s="2">
        <f ca="1"/>
        <v>0.48003542600396876</v>
      </c>
      <c r="AH4707" s="2" t="str">
        <f ca="1"/>
        <v>Bad</v>
      </c>
    </row>
    <row r="4708" spans="2:34" x14ac:dyDescent="0.2">
      <c r="B4708" s="2">
        <f ca="1"/>
        <v>0.59368093961813129</v>
      </c>
      <c r="O4708" s="2">
        <f ca="1"/>
        <v>0.28464249882575832</v>
      </c>
      <c r="X4708" s="2">
        <f ca="1"/>
        <v>50.141523346143693</v>
      </c>
      <c r="AG4708" s="2">
        <f ca="1"/>
        <v>0.6391512449949508</v>
      </c>
      <c r="AH4708" s="2" t="str">
        <f ca="1"/>
        <v>Bad</v>
      </c>
    </row>
    <row r="4709" spans="2:34" x14ac:dyDescent="0.2">
      <c r="B4709" s="2">
        <f ca="1"/>
        <v>0.54091059956938925</v>
      </c>
      <c r="O4709" s="2">
        <f ca="1"/>
        <v>-2.2465272447622055E-2</v>
      </c>
      <c r="X4709" s="2">
        <f ca="1"/>
        <v>73.465882216001503</v>
      </c>
      <c r="AG4709" s="2">
        <f ca="1"/>
        <v>0.83079001871469371</v>
      </c>
      <c r="AH4709" s="2" t="str">
        <f ca="1"/>
        <v>Bad</v>
      </c>
    </row>
    <row r="4710" spans="2:34" x14ac:dyDescent="0.2">
      <c r="B4710" s="2">
        <f ca="1"/>
        <v>0.70692111286686266</v>
      </c>
      <c r="O4710" s="2">
        <f ca="1"/>
        <v>-0.11408771431030179</v>
      </c>
      <c r="X4710" s="2">
        <f ca="1"/>
        <v>44.310116237433739</v>
      </c>
      <c r="AG4710" s="2">
        <f ca="1"/>
        <v>0.87252883778316126</v>
      </c>
      <c r="AH4710" s="2" t="str">
        <f ca="1"/>
        <v>Bad</v>
      </c>
    </row>
    <row r="4711" spans="2:34" x14ac:dyDescent="0.2">
      <c r="B4711" s="2">
        <f ca="1"/>
        <v>0.25989313482834064</v>
      </c>
      <c r="O4711" s="2">
        <f ca="1"/>
        <v>-4.992377870323049E-2</v>
      </c>
      <c r="X4711" s="2">
        <f ca="1"/>
        <v>30.903703615553408</v>
      </c>
      <c r="AG4711" s="2">
        <f ca="1"/>
        <v>0.26968854506678142</v>
      </c>
      <c r="AH4711" s="2" t="str">
        <f ca="1"/>
        <v>OK</v>
      </c>
    </row>
    <row r="4712" spans="2:34" x14ac:dyDescent="0.2">
      <c r="B4712" s="2">
        <f ca="1"/>
        <v>0.7572995482502054</v>
      </c>
      <c r="O4712" s="2">
        <f ca="1"/>
        <v>8.1125096540323641E-2</v>
      </c>
      <c r="X4712" s="2">
        <f ca="1"/>
        <v>31.011818438219439</v>
      </c>
      <c r="AG4712" s="2">
        <f ca="1"/>
        <v>0.11643451173749075</v>
      </c>
      <c r="AH4712" s="2" t="str">
        <f ca="1"/>
        <v>OK</v>
      </c>
    </row>
    <row r="4713" spans="2:34" x14ac:dyDescent="0.2">
      <c r="B4713" s="2">
        <f ca="1"/>
        <v>0.40141934115184497</v>
      </c>
      <c r="O4713" s="2">
        <f ca="1"/>
        <v>-0.76311147235332577</v>
      </c>
      <c r="X4713" s="2">
        <f ca="1"/>
        <v>43.211645155485236</v>
      </c>
      <c r="AG4713" s="2">
        <f ca="1"/>
        <v>0.19143401937456694</v>
      </c>
      <c r="AH4713" s="2" t="str">
        <f ca="1"/>
        <v>OK</v>
      </c>
    </row>
    <row r="4714" spans="2:34" x14ac:dyDescent="0.2">
      <c r="B4714" s="2">
        <f ca="1"/>
        <v>9.3930488993827499E-2</v>
      </c>
      <c r="O4714" s="2">
        <f ca="1"/>
        <v>-0.30617106032423391</v>
      </c>
      <c r="X4714" s="2">
        <f ca="1"/>
        <v>50.422155130981281</v>
      </c>
      <c r="AG4714" s="2">
        <f ca="1"/>
        <v>0.82287915723464167</v>
      </c>
      <c r="AH4714" s="2" t="str">
        <f ca="1"/>
        <v>Bad</v>
      </c>
    </row>
    <row r="4715" spans="2:34" x14ac:dyDescent="0.2">
      <c r="B4715" s="2">
        <f ca="1"/>
        <v>4.8574618494599875E-2</v>
      </c>
      <c r="O4715" s="2">
        <f ca="1"/>
        <v>-2.1945155786176538</v>
      </c>
      <c r="X4715" s="2">
        <f ca="1"/>
        <v>55.385125768660487</v>
      </c>
      <c r="AG4715" s="2">
        <f ca="1"/>
        <v>0.76281036537869973</v>
      </c>
      <c r="AH4715" s="2" t="str">
        <f ca="1"/>
        <v>Bad</v>
      </c>
    </row>
    <row r="4716" spans="2:34" x14ac:dyDescent="0.2">
      <c r="B4716" s="2">
        <f ca="1"/>
        <v>0.2346520396005809</v>
      </c>
      <c r="O4716" s="2">
        <f ca="1"/>
        <v>0.9952621083447305</v>
      </c>
      <c r="X4716" s="2">
        <f ca="1"/>
        <v>28.228501490298452</v>
      </c>
      <c r="AG4716" s="2">
        <f ca="1"/>
        <v>0.21328972617562947</v>
      </c>
      <c r="AH4716" s="2" t="str">
        <f ca="1"/>
        <v>OK</v>
      </c>
    </row>
    <row r="4717" spans="2:34" x14ac:dyDescent="0.2">
      <c r="B4717" s="2">
        <f ca="1"/>
        <v>0.89061442884812125</v>
      </c>
      <c r="O4717" s="2">
        <f ca="1"/>
        <v>-1.5358778336306238</v>
      </c>
      <c r="X4717" s="2">
        <f ca="1"/>
        <v>60.596938584658233</v>
      </c>
      <c r="AG4717" s="2">
        <f ca="1"/>
        <v>8.5651087486014132E-2</v>
      </c>
      <c r="AH4717" s="2" t="str">
        <f ca="1"/>
        <v>OK</v>
      </c>
    </row>
    <row r="4718" spans="2:34" x14ac:dyDescent="0.2">
      <c r="B4718" s="2">
        <f ca="1"/>
        <v>0.8321977519085213</v>
      </c>
      <c r="O4718" s="2">
        <f ca="1"/>
        <v>-0.60606228622778602</v>
      </c>
      <c r="X4718" s="2">
        <f ca="1"/>
        <v>62.495970281979254</v>
      </c>
      <c r="AG4718" s="2">
        <f ca="1"/>
        <v>0.3634586423376247</v>
      </c>
      <c r="AH4718" s="2" t="str">
        <f ca="1"/>
        <v>OK</v>
      </c>
    </row>
    <row r="4719" spans="2:34" x14ac:dyDescent="0.2">
      <c r="B4719" s="2">
        <f ca="1"/>
        <v>0.54862091330188112</v>
      </c>
      <c r="O4719" s="2">
        <f ca="1"/>
        <v>-1.7766862942090313</v>
      </c>
      <c r="X4719" s="2">
        <f ca="1"/>
        <v>58.212326229517259</v>
      </c>
      <c r="AG4719" s="2">
        <f ca="1"/>
        <v>0.47277727557429317</v>
      </c>
      <c r="AH4719" s="2" t="str">
        <f ca="1"/>
        <v>Bad</v>
      </c>
    </row>
    <row r="4720" spans="2:34" x14ac:dyDescent="0.2">
      <c r="B4720" s="2">
        <f ca="1"/>
        <v>0.46080488533643438</v>
      </c>
      <c r="O4720" s="2">
        <f ca="1"/>
        <v>1.6166711165553833</v>
      </c>
      <c r="X4720" s="2">
        <f ca="1"/>
        <v>67.619941997070526</v>
      </c>
      <c r="AG4720" s="2">
        <f ca="1"/>
        <v>0.22520519232275737</v>
      </c>
      <c r="AH4720" s="2" t="str">
        <f ca="1"/>
        <v>OK</v>
      </c>
    </row>
    <row r="4721" spans="2:34" x14ac:dyDescent="0.2">
      <c r="B4721" s="2">
        <f ca="1"/>
        <v>0.80048261907601503</v>
      </c>
      <c r="O4721" s="2">
        <f ca="1"/>
        <v>-1.5177433093208853E-3</v>
      </c>
      <c r="X4721" s="2">
        <f ca="1"/>
        <v>57.93913719670887</v>
      </c>
      <c r="AG4721" s="2">
        <f ca="1"/>
        <v>0.17438458040375782</v>
      </c>
      <c r="AH4721" s="2" t="str">
        <f ca="1"/>
        <v>OK</v>
      </c>
    </row>
    <row r="4722" spans="2:34" x14ac:dyDescent="0.2">
      <c r="B4722" s="2">
        <f ca="1"/>
        <v>3.4053710036846097E-2</v>
      </c>
      <c r="O4722" s="2">
        <f ca="1"/>
        <v>-0.5929479058813597</v>
      </c>
      <c r="X4722" s="2">
        <f ca="1"/>
        <v>53.25623784206762</v>
      </c>
      <c r="AG4722" s="2">
        <f ca="1"/>
        <v>0.17825721922903237</v>
      </c>
      <c r="AH4722" s="2" t="str">
        <f ca="1"/>
        <v>OK</v>
      </c>
    </row>
    <row r="4723" spans="2:34" x14ac:dyDescent="0.2">
      <c r="B4723" s="2">
        <f ca="1"/>
        <v>0.94034756081910542</v>
      </c>
      <c r="O4723" s="2">
        <f ca="1"/>
        <v>-1.0731123499576607</v>
      </c>
      <c r="X4723" s="2">
        <f ca="1"/>
        <v>67.048757310784183</v>
      </c>
      <c r="AG4723" s="2">
        <f ca="1"/>
        <v>9.1181091041658835E-2</v>
      </c>
      <c r="AH4723" s="2" t="str">
        <f ca="1"/>
        <v>OK</v>
      </c>
    </row>
    <row r="4724" spans="2:34" x14ac:dyDescent="0.2">
      <c r="B4724" s="2">
        <f ca="1"/>
        <v>0.89471894768938598</v>
      </c>
      <c r="O4724" s="2">
        <f ca="1"/>
        <v>-0.30496371429468511</v>
      </c>
      <c r="X4724" s="2">
        <f ca="1"/>
        <v>29.60219933922771</v>
      </c>
      <c r="AG4724" s="2">
        <f ca="1"/>
        <v>0.51498864554554391</v>
      </c>
      <c r="AH4724" s="2" t="str">
        <f ca="1"/>
        <v>Bad</v>
      </c>
    </row>
    <row r="4725" spans="2:34" x14ac:dyDescent="0.2">
      <c r="B4725" s="2">
        <f ca="1"/>
        <v>0.39782692492694438</v>
      </c>
      <c r="O4725" s="2">
        <f ca="1"/>
        <v>0.58467004439008274</v>
      </c>
      <c r="X4725" s="2">
        <f ca="1"/>
        <v>61.928418216779363</v>
      </c>
      <c r="AG4725" s="2">
        <f ca="1"/>
        <v>2.5722181796683063E-2</v>
      </c>
      <c r="AH4725" s="2" t="str">
        <f ca="1"/>
        <v>Good</v>
      </c>
    </row>
    <row r="4726" spans="2:34" x14ac:dyDescent="0.2">
      <c r="B4726" s="2">
        <f ca="1"/>
        <v>0.15486282258198858</v>
      </c>
      <c r="O4726" s="2">
        <f ca="1"/>
        <v>-1.0431808218289194</v>
      </c>
      <c r="X4726" s="2">
        <f ca="1"/>
        <v>55.025248371157872</v>
      </c>
      <c r="AG4726" s="2">
        <f ca="1"/>
        <v>5.3139661375532388E-2</v>
      </c>
      <c r="AH4726" s="2" t="str">
        <f ca="1"/>
        <v>OK</v>
      </c>
    </row>
    <row r="4727" spans="2:34" x14ac:dyDescent="0.2">
      <c r="B4727" s="2">
        <f ca="1"/>
        <v>0.84417024436714927</v>
      </c>
      <c r="O4727" s="2">
        <f ca="1"/>
        <v>1.2363427201987549</v>
      </c>
      <c r="X4727" s="2">
        <f ca="1"/>
        <v>47.229876134739499</v>
      </c>
      <c r="AG4727" s="2">
        <f ca="1"/>
        <v>0.40805747837496575</v>
      </c>
      <c r="AH4727" s="2" t="str">
        <f ca="1"/>
        <v>Bad</v>
      </c>
    </row>
    <row r="4728" spans="2:34" x14ac:dyDescent="0.2">
      <c r="B4728" s="2">
        <f ca="1"/>
        <v>0.43447251907036777</v>
      </c>
      <c r="O4728" s="2">
        <f ca="1"/>
        <v>0.78918726745270351</v>
      </c>
      <c r="X4728" s="2">
        <f ca="1"/>
        <v>63.262740894736197</v>
      </c>
      <c r="AG4728" s="2">
        <f ca="1"/>
        <v>0.90470982089128782</v>
      </c>
      <c r="AH4728" s="2" t="str">
        <f ca="1"/>
        <v>Bad</v>
      </c>
    </row>
    <row r="4729" spans="2:34" x14ac:dyDescent="0.2">
      <c r="B4729" s="2">
        <f ca="1"/>
        <v>0.51819946569555841</v>
      </c>
      <c r="O4729" s="2">
        <f ca="1"/>
        <v>-0.185849004457075</v>
      </c>
      <c r="X4729" s="2">
        <f ca="1"/>
        <v>33.349250584970925</v>
      </c>
      <c r="AG4729" s="2">
        <f ca="1"/>
        <v>0.8229899485537453</v>
      </c>
      <c r="AH4729" s="2" t="str">
        <f ca="1"/>
        <v>Bad</v>
      </c>
    </row>
    <row r="4730" spans="2:34" x14ac:dyDescent="0.2">
      <c r="B4730" s="2">
        <f ca="1"/>
        <v>0.2382643536089859</v>
      </c>
      <c r="O4730" s="2">
        <f ca="1"/>
        <v>0.60865822741347175</v>
      </c>
      <c r="X4730" s="2">
        <f ca="1"/>
        <v>43.430689619801086</v>
      </c>
      <c r="AG4730" s="2">
        <f ca="1"/>
        <v>0.67612854133103228</v>
      </c>
      <c r="AH4730" s="2" t="str">
        <f ca="1"/>
        <v>Bad</v>
      </c>
    </row>
    <row r="4731" spans="2:34" x14ac:dyDescent="0.2">
      <c r="B4731" s="2">
        <f ca="1"/>
        <v>0.3264718305455141</v>
      </c>
      <c r="O4731" s="2">
        <f ca="1"/>
        <v>1.9631266127082174</v>
      </c>
      <c r="X4731" s="2">
        <f ca="1"/>
        <v>26.489469769033395</v>
      </c>
      <c r="AG4731" s="2">
        <f ca="1"/>
        <v>0.85339643120489628</v>
      </c>
      <c r="AH4731" s="2" t="str">
        <f ca="1"/>
        <v>Bad</v>
      </c>
    </row>
    <row r="4732" spans="2:34" x14ac:dyDescent="0.2">
      <c r="B4732" s="2">
        <f ca="1"/>
        <v>0.63647989373277225</v>
      </c>
      <c r="O4732" s="2">
        <f ca="1"/>
        <v>1.2287008670931097</v>
      </c>
      <c r="X4732" s="2">
        <f ca="1"/>
        <v>44.274189899530107</v>
      </c>
      <c r="AG4732" s="2">
        <f ca="1"/>
        <v>0.98410625139173624</v>
      </c>
      <c r="AH4732" s="2" t="str">
        <f ca="1"/>
        <v>Bad</v>
      </c>
    </row>
    <row r="4733" spans="2:34" x14ac:dyDescent="0.2">
      <c r="B4733" s="2">
        <f ca="1"/>
        <v>0.2808942868456461</v>
      </c>
      <c r="O4733" s="2">
        <f ca="1"/>
        <v>-1.2080675207024167</v>
      </c>
      <c r="X4733" s="2">
        <f ca="1"/>
        <v>50.365016120062123</v>
      </c>
      <c r="AG4733" s="2">
        <f ca="1"/>
        <v>0.73311174773949372</v>
      </c>
      <c r="AH4733" s="2" t="str">
        <f ca="1"/>
        <v>Bad</v>
      </c>
    </row>
    <row r="4734" spans="2:34" x14ac:dyDescent="0.2">
      <c r="B4734" s="2">
        <f ca="1"/>
        <v>0.74328078881036208</v>
      </c>
      <c r="O4734" s="2">
        <f ca="1"/>
        <v>-0.74947974383017024</v>
      </c>
      <c r="X4734" s="2">
        <f ca="1"/>
        <v>91.95976123989476</v>
      </c>
      <c r="AG4734" s="2">
        <f ca="1"/>
        <v>0.27688531959691964</v>
      </c>
      <c r="AH4734" s="2" t="str">
        <f ca="1"/>
        <v>OK</v>
      </c>
    </row>
    <row r="4735" spans="2:34" x14ac:dyDescent="0.2">
      <c r="B4735" s="2">
        <f ca="1"/>
        <v>0.3197344481000044</v>
      </c>
      <c r="O4735" s="2">
        <f ca="1"/>
        <v>0.74048596916174791</v>
      </c>
      <c r="X4735" s="2">
        <f ca="1"/>
        <v>63.823909900634554</v>
      </c>
      <c r="AG4735" s="2">
        <f ca="1"/>
        <v>0.82839990246698902</v>
      </c>
      <c r="AH4735" s="2" t="str">
        <f ca="1"/>
        <v>Bad</v>
      </c>
    </row>
    <row r="4736" spans="2:34" x14ac:dyDescent="0.2">
      <c r="B4736" s="2">
        <f ca="1"/>
        <v>0.6916286609786042</v>
      </c>
      <c r="O4736" s="2">
        <f ca="1"/>
        <v>0.95805289724598575</v>
      </c>
      <c r="X4736" s="2">
        <f ca="1"/>
        <v>68.124496405417986</v>
      </c>
      <c r="AG4736" s="2">
        <f ca="1"/>
        <v>0.1993278634107174</v>
      </c>
      <c r="AH4736" s="2" t="str">
        <f ca="1"/>
        <v>OK</v>
      </c>
    </row>
    <row r="4737" spans="2:34" x14ac:dyDescent="0.2">
      <c r="B4737" s="2">
        <f ca="1"/>
        <v>0.31976621504246006</v>
      </c>
      <c r="O4737" s="2">
        <f ca="1"/>
        <v>0.22743238040181596</v>
      </c>
      <c r="X4737" s="2">
        <f ca="1"/>
        <v>65.287726483714962</v>
      </c>
      <c r="AG4737" s="2">
        <f ca="1"/>
        <v>0.64294114379423006</v>
      </c>
      <c r="AH4737" s="2" t="str">
        <f ca="1"/>
        <v>Bad</v>
      </c>
    </row>
    <row r="4738" spans="2:34" x14ac:dyDescent="0.2">
      <c r="B4738" s="2">
        <f ca="1"/>
        <v>0.30987729727143787</v>
      </c>
      <c r="O4738" s="2">
        <f ca="1"/>
        <v>-0.14115986541983194</v>
      </c>
      <c r="X4738" s="2">
        <f ca="1"/>
        <v>78.602579822897795</v>
      </c>
      <c r="AG4738" s="2">
        <f ca="1"/>
        <v>0.58738992838288606</v>
      </c>
      <c r="AH4738" s="2" t="str">
        <f ca="1"/>
        <v>Bad</v>
      </c>
    </row>
    <row r="4739" spans="2:34" x14ac:dyDescent="0.2">
      <c r="B4739" s="2">
        <f ca="1"/>
        <v>0.6232651601261876</v>
      </c>
      <c r="O4739" s="2">
        <f ca="1"/>
        <v>0.2883460852954457</v>
      </c>
      <c r="X4739" s="2">
        <f ca="1"/>
        <v>63.969983841196729</v>
      </c>
      <c r="AG4739" s="2">
        <f ca="1"/>
        <v>0.93164317372434446</v>
      </c>
      <c r="AH4739" s="2" t="str">
        <f ca="1"/>
        <v>Bad</v>
      </c>
    </row>
    <row r="4740" spans="2:34" x14ac:dyDescent="0.2">
      <c r="B4740" s="2">
        <f ca="1"/>
        <v>5.8396514187921911E-2</v>
      </c>
      <c r="O4740" s="2">
        <f ca="1"/>
        <v>0.33222264067627044</v>
      </c>
      <c r="X4740" s="2">
        <f ca="1"/>
        <v>56.61921149902544</v>
      </c>
      <c r="AG4740" s="2">
        <f ca="1"/>
        <v>0.24463095997288153</v>
      </c>
      <c r="AH4740" s="2" t="str">
        <f ca="1"/>
        <v>OK</v>
      </c>
    </row>
    <row r="4741" spans="2:34" x14ac:dyDescent="0.2">
      <c r="B4741" s="2">
        <f ca="1"/>
        <v>0.88158730763063886</v>
      </c>
      <c r="O4741" s="2">
        <f ca="1"/>
        <v>0.37003547225326855</v>
      </c>
      <c r="X4741" s="2">
        <f ca="1"/>
        <v>69.765800484988375</v>
      </c>
      <c r="AG4741" s="2">
        <f ca="1"/>
        <v>0.70905168545637731</v>
      </c>
      <c r="AH4741" s="2" t="str">
        <f ca="1"/>
        <v>Bad</v>
      </c>
    </row>
    <row r="4742" spans="2:34" x14ac:dyDescent="0.2">
      <c r="B4742" s="2">
        <f ca="1"/>
        <v>0.97487921660069921</v>
      </c>
      <c r="O4742" s="2">
        <f ca="1"/>
        <v>-0.58375943304125255</v>
      </c>
      <c r="X4742" s="2">
        <f ca="1"/>
        <v>23.460447706391019</v>
      </c>
      <c r="AG4742" s="2">
        <f ca="1"/>
        <v>0.5256946223972494</v>
      </c>
      <c r="AH4742" s="2" t="str">
        <f ca="1"/>
        <v>Bad</v>
      </c>
    </row>
    <row r="4743" spans="2:34" x14ac:dyDescent="0.2">
      <c r="B4743" s="2">
        <f ca="1"/>
        <v>0.31642522874934387</v>
      </c>
      <c r="O4743" s="2">
        <f ca="1"/>
        <v>1.8854699857314985</v>
      </c>
      <c r="X4743" s="2">
        <f ca="1"/>
        <v>53.10222315853423</v>
      </c>
      <c r="AG4743" s="2">
        <f ca="1"/>
        <v>0.1813944475831557</v>
      </c>
      <c r="AH4743" s="2" t="str">
        <f ca="1"/>
        <v>OK</v>
      </c>
    </row>
    <row r="4744" spans="2:34" x14ac:dyDescent="0.2">
      <c r="B4744" s="2">
        <f ca="1"/>
        <v>0.40751754941497209</v>
      </c>
      <c r="O4744" s="2">
        <f ca="1"/>
        <v>0.30666198496535896</v>
      </c>
      <c r="X4744" s="2">
        <f ca="1"/>
        <v>38.009991999893884</v>
      </c>
      <c r="AG4744" s="2">
        <f ca="1"/>
        <v>0.20626931126705661</v>
      </c>
      <c r="AH4744" s="2" t="str">
        <f ca="1"/>
        <v>OK</v>
      </c>
    </row>
    <row r="4745" spans="2:34" x14ac:dyDescent="0.2">
      <c r="B4745" s="2">
        <f ca="1"/>
        <v>4.5009969566071062E-2</v>
      </c>
      <c r="O4745" s="2">
        <f ca="1"/>
        <v>-0.35814884933354429</v>
      </c>
      <c r="X4745" s="2">
        <f ca="1"/>
        <v>40.723471228198477</v>
      </c>
      <c r="AG4745" s="2">
        <f ca="1"/>
        <v>0.55050819923653105</v>
      </c>
      <c r="AH4745" s="2" t="str">
        <f ca="1"/>
        <v>Bad</v>
      </c>
    </row>
    <row r="4746" spans="2:34" x14ac:dyDescent="0.2">
      <c r="B4746" s="2">
        <f ca="1"/>
        <v>0.21005108707046771</v>
      </c>
      <c r="O4746" s="2">
        <f ca="1"/>
        <v>-9.9751578545474867E-2</v>
      </c>
      <c r="X4746" s="2">
        <f ca="1"/>
        <v>71.036700890795544</v>
      </c>
      <c r="AG4746" s="2">
        <f ca="1"/>
        <v>0.24322653094072599</v>
      </c>
      <c r="AH4746" s="2" t="str">
        <f ca="1"/>
        <v>OK</v>
      </c>
    </row>
    <row r="4747" spans="2:34" x14ac:dyDescent="0.2">
      <c r="B4747" s="2">
        <f ca="1"/>
        <v>0.28622425449121391</v>
      </c>
      <c r="O4747" s="2">
        <f ca="1"/>
        <v>0.93188488950309067</v>
      </c>
      <c r="X4747" s="2">
        <f ca="1"/>
        <v>63.534190713821594</v>
      </c>
      <c r="AG4747" s="2">
        <f ca="1"/>
        <v>0.55924770333667273</v>
      </c>
      <c r="AH4747" s="2" t="str">
        <f ca="1"/>
        <v>Bad</v>
      </c>
    </row>
    <row r="4748" spans="2:34" x14ac:dyDescent="0.2">
      <c r="B4748" s="2">
        <f ca="1"/>
        <v>0.73765993990781165</v>
      </c>
      <c r="O4748" s="2">
        <f ca="1"/>
        <v>0.62456573864795795</v>
      </c>
      <c r="X4748" s="2">
        <f ca="1"/>
        <v>37.604072439112116</v>
      </c>
      <c r="AG4748" s="2">
        <f ca="1"/>
        <v>0.24719388495422479</v>
      </c>
      <c r="AH4748" s="2" t="str">
        <f ca="1"/>
        <v>OK</v>
      </c>
    </row>
    <row r="4749" spans="2:34" x14ac:dyDescent="0.2">
      <c r="B4749" s="2">
        <f ca="1"/>
        <v>0.25745392364173969</v>
      </c>
      <c r="O4749" s="2">
        <f ca="1"/>
        <v>-0.28976730780546528</v>
      </c>
      <c r="X4749" s="2">
        <f ca="1"/>
        <v>50.782669273653497</v>
      </c>
      <c r="AG4749" s="2">
        <f ca="1"/>
        <v>0.8166700597401686</v>
      </c>
      <c r="AH4749" s="2" t="str">
        <f ca="1"/>
        <v>Bad</v>
      </c>
    </row>
    <row r="4750" spans="2:34" x14ac:dyDescent="0.2">
      <c r="B4750" s="2">
        <f ca="1"/>
        <v>0.90687553075847571</v>
      </c>
      <c r="O4750" s="2">
        <f ca="1"/>
        <v>1.1045795526806612</v>
      </c>
      <c r="X4750" s="2">
        <f ca="1"/>
        <v>36.849455830114209</v>
      </c>
      <c r="AG4750" s="2">
        <f ca="1"/>
        <v>9.929408669939721E-2</v>
      </c>
      <c r="AH4750" s="2" t="str">
        <f ca="1"/>
        <v>OK</v>
      </c>
    </row>
    <row r="4751" spans="2:34" x14ac:dyDescent="0.2">
      <c r="B4751" s="2">
        <f ca="1"/>
        <v>0.84128959391808178</v>
      </c>
      <c r="O4751" s="2">
        <f ca="1"/>
        <v>-0.39782403135721256</v>
      </c>
      <c r="X4751" s="2">
        <f ca="1"/>
        <v>60.205471701513716</v>
      </c>
      <c r="AG4751" s="2">
        <f ca="1"/>
        <v>0.99602100310427044</v>
      </c>
      <c r="AH4751" s="2" t="str">
        <f ca="1"/>
        <v>Bad</v>
      </c>
    </row>
    <row r="4752" spans="2:34" x14ac:dyDescent="0.2">
      <c r="B4752" s="2">
        <f ca="1"/>
        <v>0.47664191288684754</v>
      </c>
      <c r="O4752" s="2">
        <f ca="1"/>
        <v>-0.53607788104691934</v>
      </c>
      <c r="X4752" s="2">
        <f ca="1"/>
        <v>52.298008979128845</v>
      </c>
      <c r="AG4752" s="2">
        <f ca="1"/>
        <v>0.62196852599899621</v>
      </c>
      <c r="AH4752" s="2" t="str">
        <f ca="1"/>
        <v>Bad</v>
      </c>
    </row>
    <row r="4753" spans="2:34" x14ac:dyDescent="0.2">
      <c r="B4753" s="2">
        <f ca="1"/>
        <v>0.69742017411789714</v>
      </c>
      <c r="O4753" s="2">
        <f ca="1"/>
        <v>1.1168782850070575</v>
      </c>
      <c r="X4753" s="2">
        <f ca="1"/>
        <v>50.774382115381719</v>
      </c>
      <c r="AG4753" s="2">
        <f ca="1"/>
        <v>0.46760695043604228</v>
      </c>
      <c r="AH4753" s="2" t="str">
        <f ca="1"/>
        <v>Bad</v>
      </c>
    </row>
    <row r="4754" spans="2:34" x14ac:dyDescent="0.2">
      <c r="B4754" s="2">
        <f ca="1"/>
        <v>0.13669728142789594</v>
      </c>
      <c r="O4754" s="2">
        <f ca="1"/>
        <v>2.2417599834933313</v>
      </c>
      <c r="X4754" s="2">
        <f ca="1"/>
        <v>39.566514032412265</v>
      </c>
      <c r="AG4754" s="2">
        <f ca="1"/>
        <v>0.11195184324644769</v>
      </c>
      <c r="AH4754" s="2" t="str">
        <f ca="1"/>
        <v>OK</v>
      </c>
    </row>
    <row r="4755" spans="2:34" x14ac:dyDescent="0.2">
      <c r="B4755" s="2">
        <f ca="1"/>
        <v>0.73439352493341681</v>
      </c>
      <c r="O4755" s="2">
        <f ca="1"/>
        <v>0.70039896871576479</v>
      </c>
      <c r="X4755" s="2">
        <f ca="1"/>
        <v>68.954686505136181</v>
      </c>
      <c r="AG4755" s="2">
        <f ca="1"/>
        <v>4.864076345938817E-2</v>
      </c>
      <c r="AH4755" s="2" t="str">
        <f ca="1"/>
        <v>Good</v>
      </c>
    </row>
    <row r="4756" spans="2:34" x14ac:dyDescent="0.2">
      <c r="B4756" s="2">
        <f ca="1"/>
        <v>0.7396813698691127</v>
      </c>
      <c r="O4756" s="2">
        <f ca="1"/>
        <v>1.1335041470657785</v>
      </c>
      <c r="X4756" s="2">
        <f ca="1"/>
        <v>47.316257994656901</v>
      </c>
      <c r="AG4756" s="2">
        <f ca="1"/>
        <v>0.3799500259512516</v>
      </c>
      <c r="AH4756" s="2" t="str">
        <f ca="1"/>
        <v>OK</v>
      </c>
    </row>
    <row r="4757" spans="2:34" x14ac:dyDescent="0.2">
      <c r="B4757" s="2">
        <f ca="1"/>
        <v>0.85321381367008131</v>
      </c>
      <c r="O4757" s="2">
        <f ca="1"/>
        <v>-0.80945239736273777</v>
      </c>
      <c r="X4757" s="2">
        <f ca="1"/>
        <v>39.413988697044388</v>
      </c>
      <c r="AG4757" s="2">
        <f ca="1"/>
        <v>0.4692994065139382</v>
      </c>
      <c r="AH4757" s="2" t="str">
        <f ca="1"/>
        <v>Bad</v>
      </c>
    </row>
    <row r="4758" spans="2:34" x14ac:dyDescent="0.2">
      <c r="B4758" s="2">
        <f ca="1"/>
        <v>0.57982513917008593</v>
      </c>
      <c r="O4758" s="2">
        <f ca="1"/>
        <v>2.2580089881178762</v>
      </c>
      <c r="X4758" s="2">
        <f ca="1"/>
        <v>36.359180003616189</v>
      </c>
      <c r="AG4758" s="2">
        <f ca="1"/>
        <v>0.74217854259968874</v>
      </c>
      <c r="AH4758" s="2" t="str">
        <f ca="1"/>
        <v>Bad</v>
      </c>
    </row>
    <row r="4759" spans="2:34" x14ac:dyDescent="0.2">
      <c r="B4759" s="2">
        <f ca="1"/>
        <v>0.80285054768379083</v>
      </c>
      <c r="O4759" s="2">
        <f ca="1"/>
        <v>0.96234425096704901</v>
      </c>
      <c r="X4759" s="2">
        <f ca="1"/>
        <v>47.809018531334225</v>
      </c>
      <c r="AG4759" s="2">
        <f ca="1"/>
        <v>0.51596689216499647</v>
      </c>
      <c r="AH4759" s="2" t="str">
        <f ca="1"/>
        <v>Bad</v>
      </c>
    </row>
    <row r="4760" spans="2:34" x14ac:dyDescent="0.2">
      <c r="B4760" s="2">
        <f ca="1"/>
        <v>0.63375635877904268</v>
      </c>
      <c r="O4760" s="2">
        <f ca="1"/>
        <v>-0.20322517199361981</v>
      </c>
      <c r="X4760" s="2">
        <f ca="1"/>
        <v>67.688354803412324</v>
      </c>
      <c r="AG4760" s="2">
        <f ca="1"/>
        <v>0.47162781163865497</v>
      </c>
      <c r="AH4760" s="2" t="str">
        <f ca="1"/>
        <v>Bad</v>
      </c>
    </row>
    <row r="4761" spans="2:34" x14ac:dyDescent="0.2">
      <c r="B4761" s="2">
        <f ca="1"/>
        <v>0.87112465788616289</v>
      </c>
      <c r="O4761" s="2">
        <f ca="1"/>
        <v>-0.54713694965941106</v>
      </c>
      <c r="X4761" s="2">
        <f ca="1"/>
        <v>41.138528556034295</v>
      </c>
      <c r="AG4761" s="2">
        <f ca="1"/>
        <v>0.27348476043415748</v>
      </c>
      <c r="AH4761" s="2" t="str">
        <f ca="1"/>
        <v>OK</v>
      </c>
    </row>
    <row r="4762" spans="2:34" x14ac:dyDescent="0.2">
      <c r="B4762" s="2">
        <f ca="1"/>
        <v>0.69837457187888385</v>
      </c>
      <c r="O4762" s="2">
        <f ca="1"/>
        <v>1.3812879732531864</v>
      </c>
      <c r="X4762" s="2">
        <f ca="1"/>
        <v>62.773515508016963</v>
      </c>
      <c r="AG4762" s="2">
        <f ca="1"/>
        <v>0.25879265717054123</v>
      </c>
      <c r="AH4762" s="2" t="str">
        <f ca="1"/>
        <v>OK</v>
      </c>
    </row>
    <row r="4763" spans="2:34" x14ac:dyDescent="0.2">
      <c r="B4763" s="2">
        <f ca="1"/>
        <v>0.62376485983358032</v>
      </c>
      <c r="O4763" s="2">
        <f ca="1"/>
        <v>0.17306191316748745</v>
      </c>
      <c r="X4763" s="2">
        <f ca="1"/>
        <v>56.608246514651981</v>
      </c>
      <c r="AG4763" s="2">
        <f ca="1"/>
        <v>0.17470345760629047</v>
      </c>
      <c r="AH4763" s="2" t="str">
        <f ca="1"/>
        <v>OK</v>
      </c>
    </row>
    <row r="4764" spans="2:34" x14ac:dyDescent="0.2">
      <c r="B4764" s="2">
        <f ca="1"/>
        <v>0.93786205106263254</v>
      </c>
      <c r="O4764" s="2">
        <f ca="1"/>
        <v>1.6774893447083448</v>
      </c>
      <c r="X4764" s="2">
        <f ca="1"/>
        <v>33.248724748212126</v>
      </c>
      <c r="AG4764" s="2">
        <f ca="1"/>
        <v>0.1070682730027257</v>
      </c>
      <c r="AH4764" s="2" t="str">
        <f ca="1"/>
        <v>OK</v>
      </c>
    </row>
    <row r="4765" spans="2:34" x14ac:dyDescent="0.2">
      <c r="B4765" s="2">
        <f ca="1"/>
        <v>0.6328022376050817</v>
      </c>
      <c r="O4765" s="2">
        <f ca="1"/>
        <v>0.18062371849168032</v>
      </c>
      <c r="X4765" s="2">
        <f ca="1"/>
        <v>61.519701077888044</v>
      </c>
      <c r="AG4765" s="2">
        <f ca="1"/>
        <v>0.8792151879145842</v>
      </c>
      <c r="AH4765" s="2" t="str">
        <f ca="1"/>
        <v>Bad</v>
      </c>
    </row>
    <row r="4766" spans="2:34" x14ac:dyDescent="0.2">
      <c r="B4766" s="2">
        <f ca="1"/>
        <v>3.2428466757260521E-2</v>
      </c>
      <c r="O4766" s="2">
        <f ca="1"/>
        <v>0.16159169986623337</v>
      </c>
      <c r="X4766" s="2">
        <f ca="1"/>
        <v>31.459187337038934</v>
      </c>
      <c r="AG4766" s="2">
        <f ca="1"/>
        <v>0.68163840939505538</v>
      </c>
      <c r="AH4766" s="2" t="str">
        <f ca="1"/>
        <v>Bad</v>
      </c>
    </row>
    <row r="4767" spans="2:34" x14ac:dyDescent="0.2">
      <c r="B4767" s="2">
        <f ca="1"/>
        <v>0.57307258143741024</v>
      </c>
      <c r="O4767" s="2">
        <f ca="1"/>
        <v>0.4544487020930007</v>
      </c>
      <c r="X4767" s="2">
        <f ca="1"/>
        <v>52.796156153812518</v>
      </c>
      <c r="AG4767" s="2">
        <f ca="1"/>
        <v>0.25005393988395208</v>
      </c>
      <c r="AH4767" s="2" t="str">
        <f ca="1"/>
        <v>OK</v>
      </c>
    </row>
    <row r="4768" spans="2:34" x14ac:dyDescent="0.2">
      <c r="B4768" s="2">
        <f ca="1"/>
        <v>0.24190054707537545</v>
      </c>
      <c r="O4768" s="2">
        <f ca="1"/>
        <v>0.67878512853751627</v>
      </c>
      <c r="X4768" s="2">
        <f ca="1"/>
        <v>48.072594537212716</v>
      </c>
      <c r="AG4768" s="2">
        <f ca="1"/>
        <v>9.5875390393911353E-2</v>
      </c>
      <c r="AH4768" s="2" t="str">
        <f ca="1"/>
        <v>OK</v>
      </c>
    </row>
    <row r="4769" spans="2:34" x14ac:dyDescent="0.2">
      <c r="B4769" s="2">
        <f ca="1"/>
        <v>0.47495688588770535</v>
      </c>
      <c r="O4769" s="2">
        <f ca="1"/>
        <v>5.0461330117115455E-2</v>
      </c>
      <c r="X4769" s="2">
        <f ca="1"/>
        <v>35.05398526937087</v>
      </c>
      <c r="AG4769" s="2">
        <f ca="1"/>
        <v>7.3654623426999688E-3</v>
      </c>
      <c r="AH4769" s="2" t="str">
        <f ca="1"/>
        <v>Good</v>
      </c>
    </row>
    <row r="4770" spans="2:34" x14ac:dyDescent="0.2">
      <c r="B4770" s="2">
        <f ca="1"/>
        <v>0.51502135175921926</v>
      </c>
      <c r="O4770" s="2">
        <f ca="1"/>
        <v>0.2876129572263933</v>
      </c>
      <c r="X4770" s="2">
        <f ca="1"/>
        <v>68.343571348541261</v>
      </c>
      <c r="AG4770" s="2">
        <f ca="1"/>
        <v>0.73596753723044417</v>
      </c>
      <c r="AH4770" s="2" t="str">
        <f ca="1"/>
        <v>Bad</v>
      </c>
    </row>
    <row r="4771" spans="2:34" x14ac:dyDescent="0.2">
      <c r="B4771" s="2">
        <f ca="1"/>
        <v>0.15484537316831881</v>
      </c>
      <c r="O4771" s="2">
        <f ca="1"/>
        <v>1.7862732976083235</v>
      </c>
      <c r="X4771" s="2">
        <f ca="1"/>
        <v>55.677691932599139</v>
      </c>
      <c r="AG4771" s="2">
        <f ca="1"/>
        <v>1.6048021500726373E-2</v>
      </c>
      <c r="AH4771" s="2" t="str">
        <f ca="1"/>
        <v>Good</v>
      </c>
    </row>
    <row r="4772" spans="2:34" x14ac:dyDescent="0.2">
      <c r="B4772" s="2">
        <f ca="1"/>
        <v>0.89909312525676666</v>
      </c>
      <c r="O4772" s="2">
        <f ca="1"/>
        <v>-1.4027717104749573</v>
      </c>
      <c r="X4772" s="2">
        <f ca="1"/>
        <v>42.101728913993483</v>
      </c>
      <c r="AG4772" s="2">
        <f ca="1"/>
        <v>0.34143774697648643</v>
      </c>
      <c r="AH4772" s="2" t="str">
        <f ca="1"/>
        <v>OK</v>
      </c>
    </row>
    <row r="4773" spans="2:34" x14ac:dyDescent="0.2">
      <c r="B4773" s="2">
        <f ca="1"/>
        <v>2.1536784311556811E-2</v>
      </c>
      <c r="O4773" s="2">
        <f ca="1"/>
        <v>2.3506163625747529</v>
      </c>
      <c r="X4773" s="2">
        <f ca="1"/>
        <v>51.213729764484398</v>
      </c>
      <c r="AG4773" s="2">
        <f ca="1"/>
        <v>0.82746759167663297</v>
      </c>
      <c r="AH4773" s="2" t="str">
        <f ca="1"/>
        <v>Bad</v>
      </c>
    </row>
    <row r="4774" spans="2:34" x14ac:dyDescent="0.2">
      <c r="B4774" s="2">
        <f ca="1"/>
        <v>0.71563063690493056</v>
      </c>
      <c r="O4774" s="2">
        <f ca="1"/>
        <v>-1.0076556460279147</v>
      </c>
      <c r="X4774" s="2">
        <f ca="1"/>
        <v>48.14551645013934</v>
      </c>
      <c r="AG4774" s="2">
        <f ca="1"/>
        <v>0.69188216684206894</v>
      </c>
      <c r="AH4774" s="2" t="str">
        <f ca="1"/>
        <v>Bad</v>
      </c>
    </row>
    <row r="4775" spans="2:34" x14ac:dyDescent="0.2">
      <c r="B4775" s="2">
        <f ca="1"/>
        <v>0.87236130207312579</v>
      </c>
      <c r="O4775" s="2">
        <f ca="1"/>
        <v>6.9171113799040132E-2</v>
      </c>
      <c r="X4775" s="2">
        <f ca="1"/>
        <v>42.24946278080342</v>
      </c>
      <c r="AG4775" s="2">
        <f ca="1"/>
        <v>0.85508287336008748</v>
      </c>
      <c r="AH4775" s="2" t="str">
        <f ca="1"/>
        <v>Bad</v>
      </c>
    </row>
    <row r="4776" spans="2:34" x14ac:dyDescent="0.2">
      <c r="B4776" s="2">
        <f ca="1"/>
        <v>0.88548151155540444</v>
      </c>
      <c r="O4776" s="2">
        <f ca="1"/>
        <v>-1.6004374380962132</v>
      </c>
      <c r="X4776" s="2">
        <f ca="1"/>
        <v>35.254492031770809</v>
      </c>
      <c r="AG4776" s="2">
        <f ca="1"/>
        <v>0.28799254352237802</v>
      </c>
      <c r="AH4776" s="2" t="str">
        <f ca="1"/>
        <v>OK</v>
      </c>
    </row>
    <row r="4777" spans="2:34" x14ac:dyDescent="0.2">
      <c r="B4777" s="2">
        <f ca="1"/>
        <v>0.17997317745779462</v>
      </c>
      <c r="O4777" s="2">
        <f ca="1"/>
        <v>-0.24055843651188344</v>
      </c>
      <c r="X4777" s="2">
        <f ca="1"/>
        <v>37.208493897227235</v>
      </c>
      <c r="AG4777" s="2">
        <f ca="1"/>
        <v>0.6044207603560956</v>
      </c>
      <c r="AH4777" s="2" t="str">
        <f ca="1"/>
        <v>Bad</v>
      </c>
    </row>
    <row r="4778" spans="2:34" x14ac:dyDescent="0.2">
      <c r="B4778" s="2">
        <f ca="1"/>
        <v>0.35583246817062952</v>
      </c>
      <c r="O4778" s="2">
        <f ca="1"/>
        <v>-0.281172164154597</v>
      </c>
      <c r="X4778" s="2">
        <f ca="1"/>
        <v>52.943938310411284</v>
      </c>
      <c r="AG4778" s="2">
        <f ca="1"/>
        <v>2.3488593029899363E-2</v>
      </c>
      <c r="AH4778" s="2" t="str">
        <f ca="1"/>
        <v>Good</v>
      </c>
    </row>
    <row r="4779" spans="2:34" x14ac:dyDescent="0.2">
      <c r="B4779" s="2">
        <f ca="1"/>
        <v>0.94124341017019408</v>
      </c>
      <c r="O4779" s="2">
        <f ca="1"/>
        <v>1.2918746768027964</v>
      </c>
      <c r="X4779" s="2">
        <f ca="1"/>
        <v>58.951314008756022</v>
      </c>
      <c r="AG4779" s="2">
        <f ca="1"/>
        <v>0.31775168034077272</v>
      </c>
      <c r="AH4779" s="2" t="str">
        <f ca="1"/>
        <v>OK</v>
      </c>
    </row>
    <row r="4780" spans="2:34" x14ac:dyDescent="0.2">
      <c r="B4780" s="2">
        <f ca="1"/>
        <v>0.91094788350577893</v>
      </c>
      <c r="O4780" s="2">
        <f ca="1"/>
        <v>0.63567527870536289</v>
      </c>
      <c r="X4780" s="2">
        <f ca="1"/>
        <v>42.118775696633868</v>
      </c>
      <c r="AG4780" s="2">
        <f ca="1"/>
        <v>2.5236306782241424E-2</v>
      </c>
      <c r="AH4780" s="2" t="str">
        <f ca="1"/>
        <v>Good</v>
      </c>
    </row>
    <row r="4781" spans="2:34" x14ac:dyDescent="0.2">
      <c r="B4781" s="2">
        <f ca="1"/>
        <v>0.5188007924795992</v>
      </c>
      <c r="O4781" s="2">
        <f ca="1"/>
        <v>1.1569710445397421</v>
      </c>
      <c r="X4781" s="2">
        <f ca="1"/>
        <v>34.515752670773388</v>
      </c>
      <c r="AG4781" s="2">
        <f ca="1"/>
        <v>0.65724780104898439</v>
      </c>
      <c r="AH4781" s="2" t="str">
        <f ca="1"/>
        <v>Bad</v>
      </c>
    </row>
    <row r="4782" spans="2:34" x14ac:dyDescent="0.2">
      <c r="B4782" s="2">
        <f ca="1"/>
        <v>0.43206913017138016</v>
      </c>
      <c r="O4782" s="2">
        <f ca="1"/>
        <v>-0.10111343202276084</v>
      </c>
      <c r="X4782" s="2">
        <f ca="1"/>
        <v>49.663766136896655</v>
      </c>
      <c r="AG4782" s="2">
        <f ca="1"/>
        <v>9.3851064594562494E-2</v>
      </c>
      <c r="AH4782" s="2" t="str">
        <f ca="1"/>
        <v>OK</v>
      </c>
    </row>
    <row r="4783" spans="2:34" x14ac:dyDescent="0.2">
      <c r="B4783" s="2">
        <f ca="1"/>
        <v>0.88099166223040926</v>
      </c>
      <c r="O4783" s="2">
        <f ca="1"/>
        <v>1.0384669241738018</v>
      </c>
      <c r="X4783" s="2">
        <f ca="1"/>
        <v>51.539288746849437</v>
      </c>
      <c r="AG4783" s="2">
        <f ca="1"/>
        <v>0.64956276176689909</v>
      </c>
      <c r="AH4783" s="2" t="str">
        <f ca="1"/>
        <v>Bad</v>
      </c>
    </row>
    <row r="4784" spans="2:34" x14ac:dyDescent="0.2">
      <c r="B4784" s="2">
        <f ca="1"/>
        <v>2.4976155306296377E-2</v>
      </c>
      <c r="O4784" s="2">
        <f ca="1"/>
        <v>-1.2089265122542456</v>
      </c>
      <c r="X4784" s="2">
        <f ca="1"/>
        <v>61.771008080139481</v>
      </c>
      <c r="AG4784" s="2">
        <f ca="1"/>
        <v>0.76365447391778218</v>
      </c>
      <c r="AH4784" s="2" t="str">
        <f ca="1"/>
        <v>Bad</v>
      </c>
    </row>
    <row r="4785" spans="2:34" x14ac:dyDescent="0.2">
      <c r="B4785" s="2">
        <f ca="1"/>
        <v>6.8945137740946238E-2</v>
      </c>
      <c r="O4785" s="2">
        <f ca="1"/>
        <v>1.428045113867545</v>
      </c>
      <c r="X4785" s="2">
        <f ca="1"/>
        <v>49.701725491820561</v>
      </c>
      <c r="AG4785" s="2">
        <f ca="1"/>
        <v>0.37116159498222956</v>
      </c>
      <c r="AH4785" s="2" t="str">
        <f ca="1"/>
        <v>OK</v>
      </c>
    </row>
    <row r="4786" spans="2:34" x14ac:dyDescent="0.2">
      <c r="B4786" s="2">
        <f ca="1"/>
        <v>0.72661176060103294</v>
      </c>
      <c r="O4786" s="2">
        <f ca="1"/>
        <v>1.197177173900007</v>
      </c>
      <c r="X4786" s="2">
        <f ca="1"/>
        <v>32.213520124666815</v>
      </c>
      <c r="AG4786" s="2">
        <f ca="1"/>
        <v>0.44025454639660078</v>
      </c>
      <c r="AH4786" s="2" t="str">
        <f ca="1"/>
        <v>Bad</v>
      </c>
    </row>
    <row r="4787" spans="2:34" x14ac:dyDescent="0.2">
      <c r="B4787" s="2">
        <f ca="1"/>
        <v>0.87000673394533812</v>
      </c>
      <c r="O4787" s="2">
        <f ca="1"/>
        <v>0.9658155624704331</v>
      </c>
      <c r="X4787" s="2">
        <f ca="1"/>
        <v>28.020141577081908</v>
      </c>
      <c r="AG4787" s="2">
        <f ca="1"/>
        <v>0.54531394001681455</v>
      </c>
      <c r="AH4787" s="2" t="str">
        <f ca="1"/>
        <v>Bad</v>
      </c>
    </row>
    <row r="4788" spans="2:34" x14ac:dyDescent="0.2">
      <c r="B4788" s="2">
        <f ca="1"/>
        <v>0.8735389584279214</v>
      </c>
      <c r="O4788" s="2">
        <f ca="1"/>
        <v>-2.1121149387763944</v>
      </c>
      <c r="X4788" s="2">
        <f ca="1"/>
        <v>51.267694491715801</v>
      </c>
      <c r="AG4788" s="2">
        <f ca="1"/>
        <v>0.79691923842614898</v>
      </c>
      <c r="AH4788" s="2" t="str">
        <f ca="1"/>
        <v>Bad</v>
      </c>
    </row>
    <row r="4789" spans="2:34" x14ac:dyDescent="0.2">
      <c r="B4789" s="2">
        <f ca="1"/>
        <v>5.3211189428226113E-3</v>
      </c>
      <c r="O4789" s="2">
        <f ca="1"/>
        <v>1.6994256330932067</v>
      </c>
      <c r="X4789" s="2">
        <f ca="1"/>
        <v>29.254412307562006</v>
      </c>
      <c r="AG4789" s="2">
        <f ca="1"/>
        <v>0.16206540323315877</v>
      </c>
      <c r="AH4789" s="2" t="str">
        <f ca="1"/>
        <v>OK</v>
      </c>
    </row>
    <row r="4790" spans="2:34" x14ac:dyDescent="0.2">
      <c r="B4790" s="2">
        <f ca="1"/>
        <v>0.10269407025243216</v>
      </c>
      <c r="O4790" s="2">
        <f ca="1"/>
        <v>-0.94451217931684872</v>
      </c>
      <c r="X4790" s="2">
        <f ca="1"/>
        <v>58.879011029385246</v>
      </c>
      <c r="AG4790" s="2">
        <f ca="1"/>
        <v>0.1710304821098465</v>
      </c>
      <c r="AH4790" s="2" t="str">
        <f ca="1"/>
        <v>OK</v>
      </c>
    </row>
    <row r="4791" spans="2:34" x14ac:dyDescent="0.2">
      <c r="B4791" s="2">
        <f ca="1"/>
        <v>0.8912100010322781</v>
      </c>
      <c r="O4791" s="2">
        <f ca="1"/>
        <v>-1.0518201809684637</v>
      </c>
      <c r="X4791" s="2">
        <f ca="1"/>
        <v>43.551175614190726</v>
      </c>
      <c r="AG4791" s="2">
        <f ca="1"/>
        <v>0.25419075350879061</v>
      </c>
      <c r="AH4791" s="2" t="str">
        <f ca="1"/>
        <v>OK</v>
      </c>
    </row>
    <row r="4792" spans="2:34" x14ac:dyDescent="0.2">
      <c r="B4792" s="2">
        <f ca="1"/>
        <v>0.38618444428886134</v>
      </c>
      <c r="O4792" s="2">
        <f ca="1"/>
        <v>2.4051495587700562</v>
      </c>
      <c r="X4792" s="2">
        <f ca="1"/>
        <v>46.783952071316378</v>
      </c>
      <c r="AG4792" s="2">
        <f ca="1"/>
        <v>0.24247219238042317</v>
      </c>
      <c r="AH4792" s="2" t="str">
        <f ca="1"/>
        <v>OK</v>
      </c>
    </row>
    <row r="4793" spans="2:34" x14ac:dyDescent="0.2">
      <c r="B4793" s="2">
        <f ca="1"/>
        <v>0.42707034471003547</v>
      </c>
      <c r="O4793" s="2">
        <f ca="1"/>
        <v>-0.19511364390959002</v>
      </c>
      <c r="X4793" s="2">
        <f ca="1"/>
        <v>59.875113967825072</v>
      </c>
      <c r="AG4793" s="2">
        <f ca="1"/>
        <v>0.47763438782139733</v>
      </c>
      <c r="AH4793" s="2" t="str">
        <f ca="1"/>
        <v>Bad</v>
      </c>
    </row>
    <row r="4794" spans="2:34" x14ac:dyDescent="0.2">
      <c r="B4794" s="2">
        <f ca="1"/>
        <v>0.15743178388363299</v>
      </c>
      <c r="O4794" s="2">
        <f ca="1"/>
        <v>-0.9591215743628998</v>
      </c>
      <c r="X4794" s="2">
        <f ca="1"/>
        <v>81.243175396309027</v>
      </c>
      <c r="AG4794" s="2">
        <f ca="1"/>
        <v>0.40568005819719111</v>
      </c>
      <c r="AH4794" s="2" t="str">
        <f ca="1"/>
        <v>Bad</v>
      </c>
    </row>
    <row r="4795" spans="2:34" x14ac:dyDescent="0.2">
      <c r="B4795" s="2">
        <f ca="1"/>
        <v>0.30198804808476853</v>
      </c>
      <c r="O4795" s="2">
        <f ca="1"/>
        <v>0.60040325892333746</v>
      </c>
      <c r="X4795" s="2">
        <f ca="1"/>
        <v>76.400710281543297</v>
      </c>
      <c r="AG4795" s="2">
        <f ca="1"/>
        <v>0.44398058189371192</v>
      </c>
      <c r="AH4795" s="2" t="str">
        <f ca="1"/>
        <v>Bad</v>
      </c>
    </row>
    <row r="4796" spans="2:34" x14ac:dyDescent="0.2">
      <c r="B4796" s="2">
        <f ca="1"/>
        <v>0.65479553884459007</v>
      </c>
      <c r="O4796" s="2">
        <f ca="1"/>
        <v>0.10090035892155469</v>
      </c>
      <c r="X4796" s="2">
        <f ca="1"/>
        <v>62.403238665405553</v>
      </c>
      <c r="AG4796" s="2">
        <f ca="1"/>
        <v>0.79095853709712927</v>
      </c>
      <c r="AH4796" s="2" t="str">
        <f ca="1"/>
        <v>Bad</v>
      </c>
    </row>
    <row r="4797" spans="2:34" x14ac:dyDescent="0.2">
      <c r="B4797" s="2">
        <f ca="1"/>
        <v>0.70344416031789603</v>
      </c>
      <c r="O4797" s="2">
        <f ca="1"/>
        <v>-4.592518652909456E-2</v>
      </c>
      <c r="X4797" s="2">
        <f ca="1"/>
        <v>24.435431305827638</v>
      </c>
      <c r="AG4797" s="2">
        <f ca="1"/>
        <v>0.51163724805080957</v>
      </c>
      <c r="AH4797" s="2" t="str">
        <f ca="1"/>
        <v>Bad</v>
      </c>
    </row>
    <row r="4798" spans="2:34" x14ac:dyDescent="0.2">
      <c r="B4798" s="2">
        <f ca="1"/>
        <v>3.9203729181619629E-2</v>
      </c>
      <c r="O4798" s="2">
        <f ca="1"/>
        <v>1.0208056380750987</v>
      </c>
      <c r="X4798" s="2">
        <f ca="1"/>
        <v>26.281010012015933</v>
      </c>
      <c r="AG4798" s="2">
        <f ca="1"/>
        <v>0.87169657052608041</v>
      </c>
      <c r="AH4798" s="2" t="str">
        <f ca="1"/>
        <v>Bad</v>
      </c>
    </row>
    <row r="4799" spans="2:34" x14ac:dyDescent="0.2">
      <c r="B4799" s="2">
        <f ca="1"/>
        <v>7.0587040949319668E-2</v>
      </c>
      <c r="O4799" s="2">
        <f ca="1"/>
        <v>-1.1881430706741005</v>
      </c>
      <c r="X4799" s="2">
        <f ca="1"/>
        <v>43.923964627146212</v>
      </c>
      <c r="AG4799" s="2">
        <f ca="1"/>
        <v>0.44322530473565203</v>
      </c>
      <c r="AH4799" s="2" t="str">
        <f ca="1"/>
        <v>Bad</v>
      </c>
    </row>
    <row r="4800" spans="2:34" x14ac:dyDescent="0.2">
      <c r="B4800" s="2">
        <f ca="1"/>
        <v>0.30979079820560318</v>
      </c>
      <c r="O4800" s="2">
        <f ca="1"/>
        <v>0.33734054299580962</v>
      </c>
      <c r="X4800" s="2">
        <f ca="1"/>
        <v>78.474144604633068</v>
      </c>
      <c r="AG4800" s="2">
        <f ca="1"/>
        <v>0.72169918476993833</v>
      </c>
      <c r="AH4800" s="2" t="str">
        <f ca="1"/>
        <v>Bad</v>
      </c>
    </row>
    <row r="4801" spans="2:34" x14ac:dyDescent="0.2">
      <c r="B4801" s="2">
        <f ca="1"/>
        <v>0.9377525184176474</v>
      </c>
      <c r="O4801" s="2">
        <f ca="1"/>
        <v>-0.50327588412115565</v>
      </c>
      <c r="X4801" s="2">
        <f ca="1"/>
        <v>29.665250128021214</v>
      </c>
      <c r="AG4801" s="2">
        <f ca="1"/>
        <v>0.19992397676030516</v>
      </c>
      <c r="AH4801" s="2" t="str">
        <f ca="1"/>
        <v>OK</v>
      </c>
    </row>
    <row r="4802" spans="2:34" x14ac:dyDescent="0.2">
      <c r="B4802" s="2">
        <f ca="1"/>
        <v>0.39717957300200268</v>
      </c>
      <c r="O4802" s="2">
        <f ca="1"/>
        <v>-0.2872786128957307</v>
      </c>
      <c r="X4802" s="2">
        <f ca="1"/>
        <v>53.343458839989026</v>
      </c>
      <c r="AG4802" s="2">
        <f ca="1"/>
        <v>0.52700036393112959</v>
      </c>
      <c r="AH4802" s="2" t="str">
        <f ca="1"/>
        <v>Bad</v>
      </c>
    </row>
    <row r="4803" spans="2:34" x14ac:dyDescent="0.2">
      <c r="B4803" s="2">
        <f ca="1"/>
        <v>0.83914588150319269</v>
      </c>
      <c r="O4803" s="2">
        <f ca="1"/>
        <v>-0.98701767672123997</v>
      </c>
      <c r="X4803" s="2">
        <f ca="1"/>
        <v>41.366484990894101</v>
      </c>
      <c r="AG4803" s="2">
        <f ca="1"/>
        <v>4.755423915792889E-2</v>
      </c>
      <c r="AH4803" s="2" t="str">
        <f ca="1"/>
        <v>Good</v>
      </c>
    </row>
    <row r="4804" spans="2:34" x14ac:dyDescent="0.2">
      <c r="B4804" s="2">
        <f ca="1"/>
        <v>0.41803150961332336</v>
      </c>
      <c r="O4804" s="2">
        <f ca="1"/>
        <v>0.97029040196287442</v>
      </c>
      <c r="X4804" s="2">
        <f ca="1"/>
        <v>65.53992722484486</v>
      </c>
      <c r="AG4804" s="2">
        <f ca="1"/>
        <v>0.76596357385299108</v>
      </c>
      <c r="AH4804" s="2" t="str">
        <f ca="1"/>
        <v>Bad</v>
      </c>
    </row>
    <row r="4805" spans="2:34" x14ac:dyDescent="0.2">
      <c r="B4805" s="2">
        <f ca="1"/>
        <v>0.41812353465142094</v>
      </c>
      <c r="O4805" s="2">
        <f ca="1"/>
        <v>0.98800136536138017</v>
      </c>
      <c r="X4805" s="2">
        <f ca="1"/>
        <v>74.241832729880613</v>
      </c>
      <c r="AG4805" s="2">
        <f ca="1"/>
        <v>0.339401129654471</v>
      </c>
      <c r="AH4805" s="2" t="str">
        <f ca="1"/>
        <v>OK</v>
      </c>
    </row>
    <row r="4806" spans="2:34" x14ac:dyDescent="0.2">
      <c r="B4806" s="2">
        <f ca="1"/>
        <v>0.34656010450248775</v>
      </c>
      <c r="O4806" s="2">
        <f ca="1"/>
        <v>1.9726705409135137</v>
      </c>
      <c r="X4806" s="2">
        <f ca="1"/>
        <v>36.612354440718214</v>
      </c>
      <c r="AG4806" s="2">
        <f ca="1"/>
        <v>0.29499788283104689</v>
      </c>
      <c r="AH4806" s="2" t="str">
        <f ca="1"/>
        <v>OK</v>
      </c>
    </row>
    <row r="4807" spans="2:34" x14ac:dyDescent="0.2">
      <c r="B4807" s="2">
        <f ca="1"/>
        <v>0.63053691543426438</v>
      </c>
      <c r="O4807" s="2">
        <f ca="1"/>
        <v>-0.49960717447071906</v>
      </c>
      <c r="X4807" s="2">
        <f ca="1"/>
        <v>64.028358319674624</v>
      </c>
      <c r="AG4807" s="2">
        <f ca="1"/>
        <v>0.16342859693928635</v>
      </c>
      <c r="AH4807" s="2" t="str">
        <f ca="1"/>
        <v>OK</v>
      </c>
    </row>
    <row r="4808" spans="2:34" x14ac:dyDescent="0.2">
      <c r="B4808" s="2">
        <f ca="1"/>
        <v>0.22875803264950179</v>
      </c>
      <c r="O4808" s="2">
        <f ca="1"/>
        <v>0.41448123429485467</v>
      </c>
      <c r="X4808" s="2">
        <f ca="1"/>
        <v>50.881492196996156</v>
      </c>
      <c r="AG4808" s="2">
        <f ca="1"/>
        <v>0.48354815838358545</v>
      </c>
      <c r="AH4808" s="2" t="str">
        <f ca="1"/>
        <v>Bad</v>
      </c>
    </row>
    <row r="4809" spans="2:34" x14ac:dyDescent="0.2">
      <c r="B4809" s="2">
        <f ca="1"/>
        <v>0.25364466239720196</v>
      </c>
      <c r="O4809" s="2">
        <f ca="1"/>
        <v>-0.37007897612973023</v>
      </c>
      <c r="X4809" s="2">
        <f ca="1"/>
        <v>42.870864244765123</v>
      </c>
      <c r="AG4809" s="2">
        <f ca="1"/>
        <v>0.38682880466193903</v>
      </c>
      <c r="AH4809" s="2" t="str">
        <f ca="1"/>
        <v>OK</v>
      </c>
    </row>
    <row r="4810" spans="2:34" x14ac:dyDescent="0.2">
      <c r="B4810" s="2">
        <f ca="1"/>
        <v>0.10336355571574751</v>
      </c>
      <c r="O4810" s="2">
        <f ca="1"/>
        <v>1.5176895248479487</v>
      </c>
      <c r="X4810" s="2">
        <f ca="1"/>
        <v>38.636083312990081</v>
      </c>
      <c r="AG4810" s="2">
        <f ca="1"/>
        <v>0.41008655094139557</v>
      </c>
      <c r="AH4810" s="2" t="str">
        <f ca="1"/>
        <v>Bad</v>
      </c>
    </row>
    <row r="4811" spans="2:34" x14ac:dyDescent="0.2">
      <c r="B4811" s="2">
        <f ca="1"/>
        <v>0.42355380068146276</v>
      </c>
      <c r="O4811" s="2">
        <f ca="1"/>
        <v>1.6147561726670903</v>
      </c>
      <c r="X4811" s="2">
        <f ca="1"/>
        <v>33.577066744284082</v>
      </c>
      <c r="AG4811" s="2">
        <f ca="1"/>
        <v>0.32561911850769354</v>
      </c>
      <c r="AH4811" s="2" t="str">
        <f ca="1"/>
        <v>OK</v>
      </c>
    </row>
    <row r="4812" spans="2:34" x14ac:dyDescent="0.2">
      <c r="B4812" s="2">
        <f ca="1"/>
        <v>0.73853691046891523</v>
      </c>
      <c r="O4812" s="2">
        <f ca="1"/>
        <v>-0.31571329155117939</v>
      </c>
      <c r="X4812" s="2">
        <f ca="1"/>
        <v>34.404003837482072</v>
      </c>
      <c r="AG4812" s="2">
        <f ca="1"/>
        <v>0.99774258794334592</v>
      </c>
      <c r="AH4812" s="2" t="str">
        <f ca="1"/>
        <v>Bad</v>
      </c>
    </row>
    <row r="4813" spans="2:34" x14ac:dyDescent="0.2">
      <c r="B4813" s="2">
        <f ca="1"/>
        <v>0.69417650225938088</v>
      </c>
      <c r="O4813" s="2">
        <f ca="1"/>
        <v>2.2693014687362809</v>
      </c>
      <c r="X4813" s="2">
        <f ca="1"/>
        <v>66.780196954830885</v>
      </c>
      <c r="AG4813" s="2">
        <f ca="1"/>
        <v>0.33003753775104916</v>
      </c>
      <c r="AH4813" s="2" t="str">
        <f ca="1"/>
        <v>OK</v>
      </c>
    </row>
    <row r="4814" spans="2:34" x14ac:dyDescent="0.2">
      <c r="B4814" s="2">
        <f ca="1"/>
        <v>0.16675501885510724</v>
      </c>
      <c r="O4814" s="2">
        <f ca="1"/>
        <v>0.71583188378090201</v>
      </c>
      <c r="X4814" s="2">
        <f ca="1"/>
        <v>33.737874361936562</v>
      </c>
      <c r="AG4814" s="2">
        <f ca="1"/>
        <v>0.94121640247941651</v>
      </c>
      <c r="AH4814" s="2" t="str">
        <f ca="1"/>
        <v>Bad</v>
      </c>
    </row>
    <row r="4815" spans="2:34" x14ac:dyDescent="0.2">
      <c r="B4815" s="2">
        <f ca="1"/>
        <v>0.43969372449562916</v>
      </c>
      <c r="O4815" s="2">
        <f ca="1"/>
        <v>0.71022788587167851</v>
      </c>
      <c r="X4815" s="2">
        <f ca="1"/>
        <v>36.304468307513552</v>
      </c>
      <c r="AG4815" s="2">
        <f ca="1"/>
        <v>0.55712833228254888</v>
      </c>
      <c r="AH4815" s="2" t="str">
        <f ca="1"/>
        <v>Bad</v>
      </c>
    </row>
    <row r="4816" spans="2:34" x14ac:dyDescent="0.2">
      <c r="B4816" s="2">
        <f ca="1"/>
        <v>8.0496583833301161E-2</v>
      </c>
      <c r="O4816" s="2">
        <f ca="1"/>
        <v>-1.4887300363728293</v>
      </c>
      <c r="X4816" s="2">
        <f ca="1"/>
        <v>47.218688071307575</v>
      </c>
      <c r="AG4816" s="2">
        <f ca="1"/>
        <v>0.11987424914844613</v>
      </c>
      <c r="AH4816" s="2" t="str">
        <f ca="1"/>
        <v>OK</v>
      </c>
    </row>
    <row r="4817" spans="2:34" x14ac:dyDescent="0.2">
      <c r="B4817" s="2">
        <f ca="1"/>
        <v>0.41318372375720491</v>
      </c>
      <c r="O4817" s="2">
        <f ca="1"/>
        <v>0.22841016004142611</v>
      </c>
      <c r="X4817" s="2">
        <f ca="1"/>
        <v>62.092877015009151</v>
      </c>
      <c r="AG4817" s="2">
        <f ca="1"/>
        <v>0.30782613138484338</v>
      </c>
      <c r="AH4817" s="2" t="str">
        <f ca="1"/>
        <v>OK</v>
      </c>
    </row>
    <row r="4818" spans="2:34" x14ac:dyDescent="0.2">
      <c r="B4818" s="2">
        <f ca="1"/>
        <v>0.26108770204978349</v>
      </c>
      <c r="O4818" s="2">
        <f ca="1"/>
        <v>5.9436632249358287E-2</v>
      </c>
      <c r="X4818" s="2">
        <f ca="1"/>
        <v>59.499152383126074</v>
      </c>
      <c r="AG4818" s="2">
        <f ca="1"/>
        <v>0.60762344670363921</v>
      </c>
      <c r="AH4818" s="2" t="str">
        <f ca="1"/>
        <v>Bad</v>
      </c>
    </row>
    <row r="4819" spans="2:34" x14ac:dyDescent="0.2">
      <c r="B4819" s="2">
        <f ca="1"/>
        <v>0.16986143281398514</v>
      </c>
      <c r="O4819" s="2">
        <f ca="1"/>
        <v>-1.5412141822306311</v>
      </c>
      <c r="X4819" s="2">
        <f ca="1"/>
        <v>38.526899062350992</v>
      </c>
      <c r="AG4819" s="2">
        <f ca="1"/>
        <v>0.7452149134273125</v>
      </c>
      <c r="AH4819" s="2" t="str">
        <f ca="1"/>
        <v>Bad</v>
      </c>
    </row>
    <row r="4820" spans="2:34" x14ac:dyDescent="0.2">
      <c r="B4820" s="2">
        <f ca="1"/>
        <v>0.72551582064562581</v>
      </c>
      <c r="O4820" s="2">
        <f ca="1"/>
        <v>-1.8365125851127624</v>
      </c>
      <c r="X4820" s="2">
        <f ca="1"/>
        <v>44.821996870233811</v>
      </c>
      <c r="AG4820" s="2">
        <f ca="1"/>
        <v>0.13957633300664929</v>
      </c>
      <c r="AH4820" s="2" t="str">
        <f ca="1"/>
        <v>OK</v>
      </c>
    </row>
    <row r="4821" spans="2:34" x14ac:dyDescent="0.2">
      <c r="B4821" s="2">
        <f ca="1"/>
        <v>8.8527866042095615E-2</v>
      </c>
      <c r="O4821" s="2">
        <f ca="1"/>
        <v>2.267206105402809</v>
      </c>
      <c r="X4821" s="2">
        <f ca="1"/>
        <v>43.076502840886349</v>
      </c>
      <c r="AG4821" s="2">
        <f ca="1"/>
        <v>0.30991431385797874</v>
      </c>
      <c r="AH4821" s="2" t="str">
        <f ca="1"/>
        <v>OK</v>
      </c>
    </row>
    <row r="4822" spans="2:34" x14ac:dyDescent="0.2">
      <c r="B4822" s="2">
        <f ca="1"/>
        <v>0.17791706791436401</v>
      </c>
      <c r="O4822" s="2">
        <f ca="1"/>
        <v>0.40568723512604349</v>
      </c>
      <c r="X4822" s="2">
        <f ca="1"/>
        <v>67.34110933415046</v>
      </c>
      <c r="AG4822" s="2">
        <f ca="1"/>
        <v>0.36303436227442876</v>
      </c>
      <c r="AH4822" s="2" t="str">
        <f ca="1"/>
        <v>OK</v>
      </c>
    </row>
    <row r="4823" spans="2:34" x14ac:dyDescent="0.2">
      <c r="B4823" s="2">
        <f ca="1"/>
        <v>0.36346155888222986</v>
      </c>
      <c r="O4823" s="2">
        <f ca="1"/>
        <v>0.37681942546307368</v>
      </c>
      <c r="X4823" s="2">
        <f ca="1"/>
        <v>44.653190806612891</v>
      </c>
      <c r="AG4823" s="2">
        <f ca="1"/>
        <v>0.51676060913595201</v>
      </c>
      <c r="AH4823" s="2" t="str">
        <f ca="1"/>
        <v>Bad</v>
      </c>
    </row>
    <row r="4824" spans="2:34" x14ac:dyDescent="0.2">
      <c r="B4824" s="2">
        <f ca="1"/>
        <v>0.57732981187881349</v>
      </c>
      <c r="O4824" s="2">
        <f ca="1"/>
        <v>-0.39323492832387963</v>
      </c>
      <c r="X4824" s="2">
        <f ca="1"/>
        <v>56.594976020499018</v>
      </c>
      <c r="AG4824" s="2">
        <f ca="1"/>
        <v>0.58400965112818182</v>
      </c>
      <c r="AH4824" s="2" t="str">
        <f ca="1"/>
        <v>Bad</v>
      </c>
    </row>
    <row r="4825" spans="2:34" x14ac:dyDescent="0.2">
      <c r="B4825" s="2">
        <f ca="1"/>
        <v>9.2555915579850545E-2</v>
      </c>
      <c r="O4825" s="2">
        <f ca="1"/>
        <v>0.1112374697597219</v>
      </c>
      <c r="X4825" s="2">
        <f ca="1"/>
        <v>49.43581362297784</v>
      </c>
      <c r="AG4825" s="2">
        <f ca="1"/>
        <v>0.71349220910266364</v>
      </c>
      <c r="AH4825" s="2" t="str">
        <f ca="1"/>
        <v>Bad</v>
      </c>
    </row>
    <row r="4826" spans="2:34" x14ac:dyDescent="0.2">
      <c r="B4826" s="2">
        <f ca="1"/>
        <v>0.78455604517024091</v>
      </c>
      <c r="O4826" s="2">
        <f ca="1"/>
        <v>-0.7529724223028178</v>
      </c>
      <c r="X4826" s="2">
        <f ca="1"/>
        <v>90.0486866983575</v>
      </c>
      <c r="AG4826" s="2">
        <f ca="1"/>
        <v>0.19771612994479293</v>
      </c>
      <c r="AH4826" s="2" t="str">
        <f ca="1"/>
        <v>OK</v>
      </c>
    </row>
    <row r="4827" spans="2:34" x14ac:dyDescent="0.2">
      <c r="B4827" s="2">
        <f ca="1"/>
        <v>0.18695601147643592</v>
      </c>
      <c r="O4827" s="2">
        <f ca="1"/>
        <v>4.8418274782808635E-2</v>
      </c>
      <c r="X4827" s="2">
        <f ca="1"/>
        <v>35.219863851048871</v>
      </c>
      <c r="AG4827" s="2">
        <f ca="1"/>
        <v>0.93539157687932151</v>
      </c>
      <c r="AH4827" s="2" t="str">
        <f ca="1"/>
        <v>Bad</v>
      </c>
    </row>
    <row r="4828" spans="2:34" x14ac:dyDescent="0.2">
      <c r="B4828" s="2">
        <f ca="1"/>
        <v>0.96861100437115111</v>
      </c>
      <c r="O4828" s="2">
        <f ca="1"/>
        <v>0.15718653196780175</v>
      </c>
      <c r="X4828" s="2">
        <f ca="1"/>
        <v>26.390490450730248</v>
      </c>
      <c r="AG4828" s="2">
        <f ca="1"/>
        <v>0.39858464562023421</v>
      </c>
      <c r="AH4828" s="2" t="str">
        <f ca="1"/>
        <v>OK</v>
      </c>
    </row>
    <row r="4829" spans="2:34" x14ac:dyDescent="0.2">
      <c r="B4829" s="2">
        <f ca="1"/>
        <v>0.97309475311188076</v>
      </c>
      <c r="O4829" s="2">
        <f ca="1"/>
        <v>1.2702977790131915</v>
      </c>
      <c r="X4829" s="2">
        <f ca="1"/>
        <v>56.497659115095907</v>
      </c>
      <c r="AG4829" s="2">
        <f ca="1"/>
        <v>0.81177625979820123</v>
      </c>
      <c r="AH4829" s="2" t="str">
        <f ca="1"/>
        <v>Bad</v>
      </c>
    </row>
    <row r="4830" spans="2:34" x14ac:dyDescent="0.2">
      <c r="B4830" s="2">
        <f ca="1"/>
        <v>0.13736130629304233</v>
      </c>
      <c r="O4830" s="2">
        <f ca="1"/>
        <v>-0.17558985510292086</v>
      </c>
      <c r="X4830" s="2">
        <f ca="1"/>
        <v>36.262338676461688</v>
      </c>
      <c r="AG4830" s="2">
        <f ca="1"/>
        <v>0.51898370462652976</v>
      </c>
      <c r="AH4830" s="2" t="str">
        <f ca="1"/>
        <v>Bad</v>
      </c>
    </row>
    <row r="4831" spans="2:34" x14ac:dyDescent="0.2">
      <c r="B4831" s="2">
        <f ca="1"/>
        <v>0.18649255997058001</v>
      </c>
      <c r="O4831" s="2">
        <f ca="1"/>
        <v>8.3314769935496344E-2</v>
      </c>
      <c r="X4831" s="2">
        <f ca="1"/>
        <v>57.592409870691519</v>
      </c>
      <c r="AG4831" s="2">
        <f ca="1"/>
        <v>0.28651819359841668</v>
      </c>
      <c r="AH4831" s="2" t="str">
        <f ca="1"/>
        <v>OK</v>
      </c>
    </row>
    <row r="4832" spans="2:34" x14ac:dyDescent="0.2">
      <c r="B4832" s="2">
        <f ca="1"/>
        <v>0.34266279967007462</v>
      </c>
      <c r="O4832" s="2">
        <f ca="1"/>
        <v>-0.78488270888043854</v>
      </c>
      <c r="X4832" s="2">
        <f ca="1"/>
        <v>66.682472987915119</v>
      </c>
      <c r="AG4832" s="2">
        <f ca="1"/>
        <v>0.122561203216909</v>
      </c>
      <c r="AH4832" s="2" t="str">
        <f ca="1"/>
        <v>OK</v>
      </c>
    </row>
    <row r="4833" spans="2:34" x14ac:dyDescent="0.2">
      <c r="B4833" s="2">
        <f ca="1"/>
        <v>0.89735952549473441</v>
      </c>
      <c r="O4833" s="2">
        <f ca="1"/>
        <v>7.8058603482391867E-2</v>
      </c>
      <c r="X4833" s="2">
        <f ca="1"/>
        <v>64.225085530657012</v>
      </c>
      <c r="AG4833" s="2">
        <f ca="1"/>
        <v>9.5857788497733631E-2</v>
      </c>
      <c r="AH4833" s="2" t="str">
        <f ca="1"/>
        <v>OK</v>
      </c>
    </row>
    <row r="4834" spans="2:34" x14ac:dyDescent="0.2">
      <c r="B4834" s="2">
        <f ca="1"/>
        <v>0.47791721514188534</v>
      </c>
      <c r="O4834" s="2">
        <f ca="1"/>
        <v>0.27078640468236481</v>
      </c>
      <c r="X4834" s="2">
        <f ca="1"/>
        <v>30.869465146575536</v>
      </c>
      <c r="AG4834" s="2">
        <f ca="1"/>
        <v>0.13591800468894211</v>
      </c>
      <c r="AH4834" s="2" t="str">
        <f ca="1"/>
        <v>OK</v>
      </c>
    </row>
    <row r="4835" spans="2:34" x14ac:dyDescent="0.2">
      <c r="B4835" s="2">
        <f ca="1"/>
        <v>0.22162411421414419</v>
      </c>
      <c r="O4835" s="2">
        <f ca="1"/>
        <v>1.3415988143482156</v>
      </c>
      <c r="X4835" s="2">
        <f ca="1"/>
        <v>44.883742154989193</v>
      </c>
      <c r="AG4835" s="2">
        <f ca="1"/>
        <v>0.1497621808128784</v>
      </c>
      <c r="AH4835" s="2" t="str">
        <f ca="1"/>
        <v>OK</v>
      </c>
    </row>
    <row r="4836" spans="2:34" x14ac:dyDescent="0.2">
      <c r="B4836" s="2">
        <f ca="1"/>
        <v>8.3212318867663448E-2</v>
      </c>
      <c r="O4836" s="2">
        <f ca="1"/>
        <v>0.22103883920144521</v>
      </c>
      <c r="X4836" s="2">
        <f ca="1"/>
        <v>38.082314990595293</v>
      </c>
      <c r="AG4836" s="2">
        <f ca="1"/>
        <v>0.34861375908745162</v>
      </c>
      <c r="AH4836" s="2" t="str">
        <f ca="1"/>
        <v>OK</v>
      </c>
    </row>
    <row r="4837" spans="2:34" x14ac:dyDescent="0.2">
      <c r="B4837" s="2">
        <f ca="1"/>
        <v>0.28922243720194829</v>
      </c>
      <c r="O4837" s="2">
        <f ca="1"/>
        <v>0.60831633926257167</v>
      </c>
      <c r="X4837" s="2">
        <f ca="1"/>
        <v>40.790698038151795</v>
      </c>
      <c r="AG4837" s="2">
        <f ca="1"/>
        <v>0.27140823200000397</v>
      </c>
      <c r="AH4837" s="2" t="str">
        <f ca="1"/>
        <v>OK</v>
      </c>
    </row>
    <row r="4838" spans="2:34" x14ac:dyDescent="0.2">
      <c r="B4838" s="2">
        <f ca="1"/>
        <v>0.56414573004879909</v>
      </c>
      <c r="O4838" s="2">
        <f ca="1"/>
        <v>-0.41050357268426102</v>
      </c>
      <c r="X4838" s="2">
        <f ca="1"/>
        <v>27.674606475513215</v>
      </c>
      <c r="AG4838" s="2">
        <f ca="1"/>
        <v>5.2516997124500531E-2</v>
      </c>
      <c r="AH4838" s="2" t="str">
        <f ca="1"/>
        <v>OK</v>
      </c>
    </row>
    <row r="4839" spans="2:34" x14ac:dyDescent="0.2">
      <c r="B4839" s="2">
        <f ca="1"/>
        <v>3.0456854606055295E-2</v>
      </c>
      <c r="O4839" s="2">
        <f ca="1"/>
        <v>-0.66290840464123757</v>
      </c>
      <c r="X4839" s="2">
        <f ca="1"/>
        <v>55.010575177627452</v>
      </c>
      <c r="AG4839" s="2">
        <f ca="1"/>
        <v>0.80398441965165079</v>
      </c>
      <c r="AH4839" s="2" t="str">
        <f ca="1"/>
        <v>Bad</v>
      </c>
    </row>
    <row r="4840" spans="2:34" x14ac:dyDescent="0.2">
      <c r="B4840" s="2">
        <f ca="1"/>
        <v>0.69149076928210618</v>
      </c>
      <c r="O4840" s="2">
        <f ca="1"/>
        <v>-1.9193858692097951</v>
      </c>
      <c r="X4840" s="2">
        <f ca="1"/>
        <v>35.068724397450467</v>
      </c>
      <c r="AG4840" s="2">
        <f ca="1"/>
        <v>0.54051655442346425</v>
      </c>
      <c r="AH4840" s="2" t="str">
        <f ca="1"/>
        <v>Bad</v>
      </c>
    </row>
    <row r="4841" spans="2:34" x14ac:dyDescent="0.2">
      <c r="B4841" s="2">
        <f ca="1"/>
        <v>0.1272440301206017</v>
      </c>
      <c r="O4841" s="2">
        <f ca="1"/>
        <v>-0.60335602958564738</v>
      </c>
      <c r="X4841" s="2">
        <f ca="1"/>
        <v>31.003615777493646</v>
      </c>
      <c r="AG4841" s="2">
        <f ca="1"/>
        <v>0.65462727770451501</v>
      </c>
      <c r="AH4841" s="2" t="str">
        <f ca="1"/>
        <v>Bad</v>
      </c>
    </row>
    <row r="4842" spans="2:34" x14ac:dyDescent="0.2">
      <c r="B4842" s="2">
        <f ca="1"/>
        <v>0.4557460205242132</v>
      </c>
      <c r="O4842" s="2">
        <f ca="1"/>
        <v>-0.44069554135630079</v>
      </c>
      <c r="X4842" s="2">
        <f ca="1"/>
        <v>32.444341487452284</v>
      </c>
      <c r="AG4842" s="2">
        <f ca="1"/>
        <v>0.86773178962184594</v>
      </c>
      <c r="AH4842" s="2" t="str">
        <f ca="1"/>
        <v>Bad</v>
      </c>
    </row>
    <row r="4843" spans="2:34" x14ac:dyDescent="0.2">
      <c r="B4843" s="2">
        <f ca="1"/>
        <v>0.49814361361605708</v>
      </c>
      <c r="O4843" s="2">
        <f ca="1"/>
        <v>-0.27055563365532742</v>
      </c>
      <c r="X4843" s="2">
        <f ca="1"/>
        <v>47.175558858854785</v>
      </c>
      <c r="AG4843" s="2">
        <f ca="1"/>
        <v>0.64511602155172421</v>
      </c>
      <c r="AH4843" s="2" t="str">
        <f ca="1"/>
        <v>Bad</v>
      </c>
    </row>
    <row r="4844" spans="2:34" x14ac:dyDescent="0.2">
      <c r="B4844" s="2">
        <f ca="1"/>
        <v>0.85888174280902763</v>
      </c>
      <c r="O4844" s="2">
        <f ca="1"/>
        <v>-2.3177002664568507</v>
      </c>
      <c r="X4844" s="2">
        <f ca="1"/>
        <v>41.012468848032213</v>
      </c>
      <c r="AG4844" s="2">
        <f ca="1"/>
        <v>0.67797712265973997</v>
      </c>
      <c r="AH4844" s="2" t="str">
        <f ca="1"/>
        <v>Bad</v>
      </c>
    </row>
    <row r="4845" spans="2:34" x14ac:dyDescent="0.2">
      <c r="B4845" s="2">
        <f ca="1"/>
        <v>0.54889916389074278</v>
      </c>
      <c r="O4845" s="2">
        <f ca="1"/>
        <v>-1.2356930422752692</v>
      </c>
      <c r="X4845" s="2">
        <f ca="1"/>
        <v>40.512718863309601</v>
      </c>
      <c r="AG4845" s="2">
        <f ca="1"/>
        <v>0.84348444360215935</v>
      </c>
      <c r="AH4845" s="2" t="str">
        <f ca="1"/>
        <v>Bad</v>
      </c>
    </row>
    <row r="4846" spans="2:34" x14ac:dyDescent="0.2">
      <c r="B4846" s="2">
        <f ca="1"/>
        <v>0.6876377318529725</v>
      </c>
      <c r="O4846" s="2">
        <f ca="1"/>
        <v>-2.543640223514271</v>
      </c>
      <c r="X4846" s="2">
        <f ca="1"/>
        <v>53.809796006603683</v>
      </c>
      <c r="AG4846" s="2">
        <f ca="1"/>
        <v>0.9466971033783409</v>
      </c>
      <c r="AH4846" s="2" t="str">
        <f ca="1"/>
        <v>Bad</v>
      </c>
    </row>
    <row r="4847" spans="2:34" x14ac:dyDescent="0.2">
      <c r="B4847" s="2">
        <f ca="1"/>
        <v>0.51603339408088122</v>
      </c>
      <c r="O4847" s="2">
        <f ca="1"/>
        <v>0.28204369294574549</v>
      </c>
      <c r="X4847" s="2">
        <f ca="1"/>
        <v>39.268527442219181</v>
      </c>
      <c r="AG4847" s="2">
        <f ca="1"/>
        <v>0.98648779361080985</v>
      </c>
      <c r="AH4847" s="2" t="str">
        <f ca="1"/>
        <v>Bad</v>
      </c>
    </row>
    <row r="4848" spans="2:34" x14ac:dyDescent="0.2">
      <c r="B4848" s="2">
        <f ca="1"/>
        <v>0.47381808910223322</v>
      </c>
      <c r="O4848" s="2">
        <f ca="1"/>
        <v>1.5091256575505201</v>
      </c>
      <c r="X4848" s="2">
        <f ca="1"/>
        <v>41.562746098648276</v>
      </c>
      <c r="AG4848" s="2">
        <f ca="1"/>
        <v>0.21359547004446022</v>
      </c>
      <c r="AH4848" s="2" t="str">
        <f ca="1"/>
        <v>OK</v>
      </c>
    </row>
    <row r="4849" spans="2:34" x14ac:dyDescent="0.2">
      <c r="B4849" s="2">
        <f ca="1"/>
        <v>8.5668072200232759E-2</v>
      </c>
      <c r="O4849" s="2">
        <f ca="1"/>
        <v>1.2272617410938362</v>
      </c>
      <c r="X4849" s="2">
        <f ca="1"/>
        <v>44.45756518387158</v>
      </c>
      <c r="AG4849" s="2">
        <f ca="1"/>
        <v>0.36992986313015375</v>
      </c>
      <c r="AH4849" s="2" t="str">
        <f ca="1"/>
        <v>OK</v>
      </c>
    </row>
    <row r="4850" spans="2:34" x14ac:dyDescent="0.2">
      <c r="B4850" s="2">
        <f ca="1"/>
        <v>0.58030993598884351</v>
      </c>
      <c r="O4850" s="2">
        <f ca="1"/>
        <v>-0.5698997732395088</v>
      </c>
      <c r="X4850" s="2">
        <f ca="1"/>
        <v>28.581749217951675</v>
      </c>
      <c r="AG4850" s="2">
        <f ca="1"/>
        <v>0.95063755556663154</v>
      </c>
      <c r="AH4850" s="2" t="str">
        <f ca="1"/>
        <v>Bad</v>
      </c>
    </row>
    <row r="4851" spans="2:34" x14ac:dyDescent="0.2">
      <c r="B4851" s="2">
        <f ca="1"/>
        <v>0.75412088556737578</v>
      </c>
      <c r="O4851" s="2">
        <f ca="1"/>
        <v>1.5871682819611153</v>
      </c>
      <c r="X4851" s="2">
        <f ca="1"/>
        <v>87.67472224041903</v>
      </c>
      <c r="AG4851" s="2">
        <f ca="1"/>
        <v>0.48408558992976114</v>
      </c>
      <c r="AH4851" s="2" t="str">
        <f ca="1"/>
        <v>Bad</v>
      </c>
    </row>
    <row r="4852" spans="2:34" x14ac:dyDescent="0.2">
      <c r="B4852" s="2">
        <f ca="1"/>
        <v>0.25401326447014405</v>
      </c>
      <c r="O4852" s="2">
        <f ca="1"/>
        <v>1.7129573381121257</v>
      </c>
      <c r="X4852" s="2">
        <f ca="1"/>
        <v>47.359272098170237</v>
      </c>
      <c r="AG4852" s="2">
        <f ca="1"/>
        <v>0.17168813738755695</v>
      </c>
      <c r="AH4852" s="2" t="str">
        <f ca="1"/>
        <v>OK</v>
      </c>
    </row>
    <row r="4853" spans="2:34" x14ac:dyDescent="0.2">
      <c r="B4853" s="2">
        <f ca="1"/>
        <v>0.47115671533681347</v>
      </c>
      <c r="O4853" s="2">
        <f ca="1"/>
        <v>0.65309550694015672</v>
      </c>
      <c r="X4853" s="2">
        <f ca="1"/>
        <v>51.694588168244373</v>
      </c>
      <c r="AG4853" s="2">
        <f ca="1"/>
        <v>3.3476666715480441E-2</v>
      </c>
      <c r="AH4853" s="2" t="str">
        <f ca="1"/>
        <v>Good</v>
      </c>
    </row>
    <row r="4854" spans="2:34" x14ac:dyDescent="0.2">
      <c r="B4854" s="2">
        <f ca="1"/>
        <v>0.21419412445543728</v>
      </c>
      <c r="O4854" s="2">
        <f ca="1"/>
        <v>-0.39503207102219318</v>
      </c>
      <c r="X4854" s="2">
        <f ca="1"/>
        <v>55.507165243323854</v>
      </c>
      <c r="AG4854" s="2">
        <f ca="1"/>
        <v>0.80615980251543995</v>
      </c>
      <c r="AH4854" s="2" t="str">
        <f ca="1"/>
        <v>Bad</v>
      </c>
    </row>
    <row r="4855" spans="2:34" x14ac:dyDescent="0.2">
      <c r="B4855" s="2">
        <f ca="1"/>
        <v>0.7276124343651571</v>
      </c>
      <c r="O4855" s="2">
        <f ca="1"/>
        <v>-1.9453867523062403</v>
      </c>
      <c r="X4855" s="2">
        <f ca="1"/>
        <v>42.70335831890452</v>
      </c>
      <c r="AG4855" s="2">
        <f ca="1"/>
        <v>0.16602193601074444</v>
      </c>
      <c r="AH4855" s="2" t="str">
        <f ca="1"/>
        <v>OK</v>
      </c>
    </row>
    <row r="4856" spans="2:34" x14ac:dyDescent="0.2">
      <c r="B4856" s="2">
        <f ca="1"/>
        <v>0.55648910283611808</v>
      </c>
      <c r="O4856" s="2">
        <f ca="1"/>
        <v>3.9546316005207964E-2</v>
      </c>
      <c r="X4856" s="2">
        <f ca="1"/>
        <v>27.706691755270025</v>
      </c>
      <c r="AG4856" s="2">
        <f ca="1"/>
        <v>0.46755202135208007</v>
      </c>
      <c r="AH4856" s="2" t="str">
        <f ca="1"/>
        <v>Bad</v>
      </c>
    </row>
    <row r="4857" spans="2:34" x14ac:dyDescent="0.2">
      <c r="B4857" s="2">
        <f ca="1"/>
        <v>0.31234309055517651</v>
      </c>
      <c r="O4857" s="2">
        <f ca="1"/>
        <v>-0.12026344915808522</v>
      </c>
      <c r="X4857" s="2">
        <f ca="1"/>
        <v>64.283367791371205</v>
      </c>
      <c r="AG4857" s="2">
        <f ca="1"/>
        <v>0.62520592730707802</v>
      </c>
      <c r="AH4857" s="2" t="str">
        <f ca="1"/>
        <v>Bad</v>
      </c>
    </row>
    <row r="4858" spans="2:34" x14ac:dyDescent="0.2">
      <c r="B4858" s="2">
        <f ca="1"/>
        <v>6.1010116407701931E-2</v>
      </c>
      <c r="O4858" s="2">
        <f ca="1"/>
        <v>-0.73480348531529949</v>
      </c>
      <c r="X4858" s="2">
        <f ca="1"/>
        <v>28.920502400220585</v>
      </c>
      <c r="AG4858" s="2">
        <f ca="1"/>
        <v>0.1568111461449353</v>
      </c>
      <c r="AH4858" s="2" t="str">
        <f ca="1"/>
        <v>OK</v>
      </c>
    </row>
    <row r="4859" spans="2:34" x14ac:dyDescent="0.2">
      <c r="B4859" s="2">
        <f ca="1"/>
        <v>0.56511035465388093</v>
      </c>
      <c r="O4859" s="2">
        <f ca="1"/>
        <v>0.31507206448518632</v>
      </c>
      <c r="X4859" s="2">
        <f ca="1"/>
        <v>48.453994821761206</v>
      </c>
      <c r="AG4859" s="2">
        <f ca="1"/>
        <v>0.17767198552972463</v>
      </c>
      <c r="AH4859" s="2" t="str">
        <f ca="1"/>
        <v>OK</v>
      </c>
    </row>
    <row r="4860" spans="2:34" x14ac:dyDescent="0.2">
      <c r="B4860" s="2">
        <f ca="1"/>
        <v>9.5646701214803231E-2</v>
      </c>
      <c r="O4860" s="2">
        <f ca="1"/>
        <v>-1.330462558604065</v>
      </c>
      <c r="X4860" s="2">
        <f ca="1"/>
        <v>52.716518469844814</v>
      </c>
      <c r="AG4860" s="2">
        <f ca="1"/>
        <v>0.90566304022600574</v>
      </c>
      <c r="AH4860" s="2" t="str">
        <f ca="1"/>
        <v>Bad</v>
      </c>
    </row>
    <row r="4861" spans="2:34" x14ac:dyDescent="0.2">
      <c r="B4861" s="2">
        <f ca="1"/>
        <v>0.94045415874055416</v>
      </c>
      <c r="O4861" s="2">
        <f ca="1"/>
        <v>-0.80217103545710122</v>
      </c>
      <c r="X4861" s="2">
        <f ca="1"/>
        <v>27.721901468344004</v>
      </c>
      <c r="AG4861" s="2">
        <f ca="1"/>
        <v>0.59756461591392918</v>
      </c>
      <c r="AH4861" s="2" t="str">
        <f ca="1"/>
        <v>Bad</v>
      </c>
    </row>
    <row r="4862" spans="2:34" x14ac:dyDescent="0.2">
      <c r="B4862" s="2">
        <f ca="1"/>
        <v>0.7377093774616208</v>
      </c>
      <c r="O4862" s="2">
        <f ca="1"/>
        <v>-1.0332345901269298</v>
      </c>
      <c r="X4862" s="2">
        <f ca="1"/>
        <v>84.363354570152154</v>
      </c>
      <c r="AG4862" s="2">
        <f ca="1"/>
        <v>0.83754680486623667</v>
      </c>
      <c r="AH4862" s="2" t="str">
        <f ca="1"/>
        <v>Bad</v>
      </c>
    </row>
    <row r="4863" spans="2:34" x14ac:dyDescent="0.2">
      <c r="B4863" s="2">
        <f ca="1"/>
        <v>0.31779595451872322</v>
      </c>
      <c r="O4863" s="2">
        <f ca="1"/>
        <v>2.3180518928003369</v>
      </c>
      <c r="X4863" s="2">
        <f ca="1"/>
        <v>42.356875813175577</v>
      </c>
      <c r="AG4863" s="2">
        <f ca="1"/>
        <v>0.75608302452525322</v>
      </c>
      <c r="AH4863" s="2" t="str">
        <f ca="1"/>
        <v>Bad</v>
      </c>
    </row>
    <row r="4864" spans="2:34" x14ac:dyDescent="0.2">
      <c r="B4864" s="2">
        <f ca="1"/>
        <v>0.14202096970597622</v>
      </c>
      <c r="O4864" s="2">
        <f ca="1"/>
        <v>0.12953746776368949</v>
      </c>
      <c r="X4864" s="2">
        <f ca="1"/>
        <v>32.161390516678949</v>
      </c>
      <c r="AG4864" s="2">
        <f ca="1"/>
        <v>0.17355190525878816</v>
      </c>
      <c r="AH4864" s="2" t="str">
        <f ca="1"/>
        <v>OK</v>
      </c>
    </row>
    <row r="4865" spans="2:34" x14ac:dyDescent="0.2">
      <c r="B4865" s="2">
        <f ca="1"/>
        <v>0.30157421025286335</v>
      </c>
      <c r="O4865" s="2">
        <f ca="1"/>
        <v>0.40734112400795647</v>
      </c>
      <c r="X4865" s="2">
        <f ca="1"/>
        <v>48.755536902822129</v>
      </c>
      <c r="AG4865" s="2">
        <f ca="1"/>
        <v>0.87365631180290548</v>
      </c>
      <c r="AH4865" s="2" t="str">
        <f ca="1"/>
        <v>Bad</v>
      </c>
    </row>
    <row r="4866" spans="2:34" x14ac:dyDescent="0.2">
      <c r="B4866" s="2">
        <f ca="1"/>
        <v>0.79706193077831688</v>
      </c>
      <c r="O4866" s="2">
        <f ca="1"/>
        <v>0.98877188263702442</v>
      </c>
      <c r="X4866" s="2">
        <f ca="1"/>
        <v>48.8286172283985</v>
      </c>
      <c r="AG4866" s="2">
        <f ca="1"/>
        <v>0.26597152995961082</v>
      </c>
      <c r="AH4866" s="2" t="str">
        <f ca="1"/>
        <v>OK</v>
      </c>
    </row>
    <row r="4867" spans="2:34" x14ac:dyDescent="0.2">
      <c r="B4867" s="2">
        <f ca="1"/>
        <v>0.32276362210335696</v>
      </c>
      <c r="O4867" s="2">
        <f ca="1"/>
        <v>0.43965657066632313</v>
      </c>
      <c r="X4867" s="2">
        <f ca="1"/>
        <v>66.491506317080194</v>
      </c>
      <c r="AG4867" s="2">
        <f ca="1"/>
        <v>0.78321582983487792</v>
      </c>
      <c r="AH4867" s="2" t="str">
        <f ca="1"/>
        <v>Bad</v>
      </c>
    </row>
    <row r="4868" spans="2:34" x14ac:dyDescent="0.2">
      <c r="B4868" s="2">
        <f ca="1"/>
        <v>0.21090995441793758</v>
      </c>
      <c r="O4868" s="2">
        <f ca="1"/>
        <v>-1.0751692075378563</v>
      </c>
      <c r="X4868" s="2">
        <f ca="1"/>
        <v>32.136031960777188</v>
      </c>
      <c r="AG4868" s="2">
        <f ca="1"/>
        <v>0.52891908802895005</v>
      </c>
      <c r="AH4868" s="2" t="str">
        <f ca="1"/>
        <v>Bad</v>
      </c>
    </row>
    <row r="4869" spans="2:34" x14ac:dyDescent="0.2">
      <c r="B4869" s="2">
        <f ca="1"/>
        <v>0.2836085380341189</v>
      </c>
      <c r="O4869" s="2">
        <f ca="1"/>
        <v>0.64292282644442356</v>
      </c>
      <c r="X4869" s="2">
        <f ca="1"/>
        <v>23.494409794742118</v>
      </c>
      <c r="AG4869" s="2">
        <f ca="1"/>
        <v>0.1347903027193107</v>
      </c>
      <c r="AH4869" s="2" t="str">
        <f ca="1"/>
        <v>OK</v>
      </c>
    </row>
    <row r="4870" spans="2:34" x14ac:dyDescent="0.2">
      <c r="B4870" s="2">
        <f ca="1"/>
        <v>0.79493267869545114</v>
      </c>
      <c r="O4870" s="2">
        <f ca="1"/>
        <v>-0.19654810866395017</v>
      </c>
      <c r="X4870" s="2">
        <f ca="1"/>
        <v>25.100621393169277</v>
      </c>
      <c r="AG4870" s="2">
        <f ca="1"/>
        <v>0.54155614541067698</v>
      </c>
      <c r="AH4870" s="2" t="str">
        <f ca="1"/>
        <v>Bad</v>
      </c>
    </row>
    <row r="4871" spans="2:34" x14ac:dyDescent="0.2">
      <c r="B4871" s="2">
        <f ca="1"/>
        <v>0.84195285632580075</v>
      </c>
      <c r="O4871" s="2">
        <f ca="1"/>
        <v>1.2888454991533134</v>
      </c>
      <c r="X4871" s="2">
        <f ca="1"/>
        <v>41.503573370522574</v>
      </c>
      <c r="AG4871" s="2">
        <f ca="1"/>
        <v>0.59429407267048662</v>
      </c>
      <c r="AH4871" s="2" t="str">
        <f ca="1"/>
        <v>Bad</v>
      </c>
    </row>
    <row r="4872" spans="2:34" x14ac:dyDescent="0.2">
      <c r="B4872" s="2">
        <f ca="1"/>
        <v>0.916870014033208</v>
      </c>
      <c r="O4872" s="2">
        <f ca="1"/>
        <v>0.34051184126830303</v>
      </c>
      <c r="X4872" s="2">
        <f ca="1"/>
        <v>49.160900643577321</v>
      </c>
      <c r="AG4872" s="2">
        <f ca="1"/>
        <v>0.11394602783184382</v>
      </c>
      <c r="AH4872" s="2" t="str">
        <f ca="1"/>
        <v>OK</v>
      </c>
    </row>
    <row r="4873" spans="2:34" x14ac:dyDescent="0.2">
      <c r="B4873" s="2">
        <f ca="1"/>
        <v>9.8217284489689138E-2</v>
      </c>
      <c r="O4873" s="2">
        <f ca="1"/>
        <v>1.4696059647071644</v>
      </c>
      <c r="X4873" s="2">
        <f ca="1"/>
        <v>30.879920565176846</v>
      </c>
      <c r="AG4873" s="2">
        <f ca="1"/>
        <v>0.70587057050167878</v>
      </c>
      <c r="AH4873" s="2" t="str">
        <f ca="1"/>
        <v>Bad</v>
      </c>
    </row>
    <row r="4874" spans="2:34" x14ac:dyDescent="0.2">
      <c r="B4874" s="2">
        <f ca="1"/>
        <v>0.87033471872906421</v>
      </c>
      <c r="O4874" s="2">
        <f ca="1"/>
        <v>-9.5655112529664854E-2</v>
      </c>
      <c r="X4874" s="2">
        <f ca="1"/>
        <v>69.013928769393345</v>
      </c>
      <c r="AG4874" s="2">
        <f ca="1"/>
        <v>0.68239733220841359</v>
      </c>
      <c r="AH4874" s="2" t="str">
        <f ca="1"/>
        <v>Bad</v>
      </c>
    </row>
    <row r="4875" spans="2:34" x14ac:dyDescent="0.2">
      <c r="B4875" s="2">
        <f ca="1"/>
        <v>0.2538363952981133</v>
      </c>
      <c r="O4875" s="2">
        <f ca="1"/>
        <v>-1.9153932043583421</v>
      </c>
      <c r="X4875" s="2">
        <f ca="1"/>
        <v>55.917710777992504</v>
      </c>
      <c r="AG4875" s="2">
        <f ca="1"/>
        <v>0.53516560644629196</v>
      </c>
      <c r="AH4875" s="2" t="str">
        <f ca="1"/>
        <v>Bad</v>
      </c>
    </row>
    <row r="4876" spans="2:34" x14ac:dyDescent="0.2">
      <c r="B4876" s="2">
        <f ca="1"/>
        <v>0.59622377707327567</v>
      </c>
      <c r="O4876" s="2">
        <f ca="1"/>
        <v>0.50481655815956517</v>
      </c>
      <c r="X4876" s="2">
        <f ca="1"/>
        <v>87.751492207304466</v>
      </c>
      <c r="AG4876" s="2">
        <f ca="1"/>
        <v>2.1379572033589422E-2</v>
      </c>
      <c r="AH4876" s="2" t="str">
        <f ca="1"/>
        <v>Good</v>
      </c>
    </row>
    <row r="4877" spans="2:34" x14ac:dyDescent="0.2">
      <c r="B4877" s="2">
        <f ca="1"/>
        <v>0.72449493101431761</v>
      </c>
      <c r="O4877" s="2">
        <f ca="1"/>
        <v>-0.95831971303272356</v>
      </c>
      <c r="X4877" s="2">
        <f ca="1"/>
        <v>35.396910824785706</v>
      </c>
      <c r="AG4877" s="2">
        <f ca="1"/>
        <v>0.8595777230400552</v>
      </c>
      <c r="AH4877" s="2" t="str">
        <f ca="1"/>
        <v>Bad</v>
      </c>
    </row>
    <row r="4878" spans="2:34" x14ac:dyDescent="0.2">
      <c r="B4878" s="2">
        <f ca="1"/>
        <v>0.84027418678305343</v>
      </c>
      <c r="O4878" s="2">
        <f ca="1"/>
        <v>-0.20250200683145586</v>
      </c>
      <c r="X4878" s="2">
        <f ca="1"/>
        <v>49.270124676442066</v>
      </c>
      <c r="AG4878" s="2">
        <f ca="1"/>
        <v>0.83204374684002502</v>
      </c>
      <c r="AH4878" s="2" t="str">
        <f ca="1"/>
        <v>Bad</v>
      </c>
    </row>
    <row r="4879" spans="2:34" x14ac:dyDescent="0.2">
      <c r="B4879" s="2">
        <f ca="1"/>
        <v>0.29339152179560646</v>
      </c>
      <c r="O4879" s="2">
        <f ca="1"/>
        <v>0.84162867924144757</v>
      </c>
      <c r="X4879" s="2">
        <f ca="1"/>
        <v>52.598793252617369</v>
      </c>
      <c r="AG4879" s="2">
        <f ca="1"/>
        <v>0.17007590017412988</v>
      </c>
      <c r="AH4879" s="2" t="str">
        <f ca="1"/>
        <v>OK</v>
      </c>
    </row>
    <row r="4880" spans="2:34" x14ac:dyDescent="0.2">
      <c r="B4880" s="2">
        <f ca="1"/>
        <v>0.6152199398667777</v>
      </c>
      <c r="O4880" s="2">
        <f ca="1"/>
        <v>-0.22455620501657017</v>
      </c>
      <c r="X4880" s="2">
        <f ca="1"/>
        <v>59.23660264859592</v>
      </c>
      <c r="AG4880" s="2">
        <f ca="1"/>
        <v>0.1256896772868461</v>
      </c>
      <c r="AH4880" s="2" t="str">
        <f ca="1"/>
        <v>OK</v>
      </c>
    </row>
    <row r="4881" spans="2:34" x14ac:dyDescent="0.2">
      <c r="B4881" s="2">
        <f ca="1"/>
        <v>0.31346636426621943</v>
      </c>
      <c r="O4881" s="2">
        <f ca="1"/>
        <v>0.23005401168215203</v>
      </c>
      <c r="X4881" s="2">
        <f ca="1"/>
        <v>50.544805019811172</v>
      </c>
      <c r="AG4881" s="2">
        <f ca="1"/>
        <v>0.12024840693409544</v>
      </c>
      <c r="AH4881" s="2" t="str">
        <f ca="1"/>
        <v>OK</v>
      </c>
    </row>
    <row r="4882" spans="2:34" x14ac:dyDescent="0.2">
      <c r="B4882" s="2">
        <f ca="1"/>
        <v>0.45936742738566338</v>
      </c>
      <c r="O4882" s="2">
        <f ca="1"/>
        <v>-0.16078485732737016</v>
      </c>
      <c r="X4882" s="2">
        <f ca="1"/>
        <v>32.992879075488325</v>
      </c>
      <c r="AG4882" s="2">
        <f ca="1"/>
        <v>0.53022344234236218</v>
      </c>
      <c r="AH4882" s="2" t="str">
        <f ca="1"/>
        <v>Bad</v>
      </c>
    </row>
    <row r="4883" spans="2:34" x14ac:dyDescent="0.2">
      <c r="B4883" s="2">
        <f ca="1"/>
        <v>0.67568592816340356</v>
      </c>
      <c r="O4883" s="2">
        <f ca="1"/>
        <v>-0.63234135759134391</v>
      </c>
      <c r="X4883" s="2">
        <f ca="1"/>
        <v>46.385817857614065</v>
      </c>
      <c r="AG4883" s="2">
        <f ca="1"/>
        <v>1.4297967425405789E-2</v>
      </c>
      <c r="AH4883" s="2" t="str">
        <f ca="1"/>
        <v>Good</v>
      </c>
    </row>
    <row r="4884" spans="2:34" x14ac:dyDescent="0.2">
      <c r="B4884" s="2">
        <f ca="1"/>
        <v>0.18330127471487345</v>
      </c>
      <c r="O4884" s="2">
        <f ca="1"/>
        <v>2.309544398433093</v>
      </c>
      <c r="X4884" s="2">
        <f ca="1"/>
        <v>42.854795122800766</v>
      </c>
      <c r="AG4884" s="2">
        <f ca="1"/>
        <v>0.69858193027301496</v>
      </c>
      <c r="AH4884" s="2" t="str">
        <f ca="1"/>
        <v>Bad</v>
      </c>
    </row>
    <row r="4885" spans="2:34" x14ac:dyDescent="0.2">
      <c r="B4885" s="2">
        <f ca="1"/>
        <v>0.82754448403102332</v>
      </c>
      <c r="O4885" s="2">
        <f ca="1"/>
        <v>0.19462372230962435</v>
      </c>
      <c r="X4885" s="2">
        <f ca="1"/>
        <v>33.510101241286506</v>
      </c>
      <c r="AG4885" s="2">
        <f ca="1"/>
        <v>0.49099111830745157</v>
      </c>
      <c r="AH4885" s="2" t="str">
        <f ca="1"/>
        <v>Bad</v>
      </c>
    </row>
    <row r="4886" spans="2:34" x14ac:dyDescent="0.2">
      <c r="B4886" s="2">
        <f ca="1"/>
        <v>0.74827886825246059</v>
      </c>
      <c r="O4886" s="2">
        <f ca="1"/>
        <v>-1.069849739955904E-2</v>
      </c>
      <c r="X4886" s="2">
        <f ca="1"/>
        <v>67.190464163665126</v>
      </c>
      <c r="AG4886" s="2">
        <f ca="1"/>
        <v>0.11415077148353792</v>
      </c>
      <c r="AH4886" s="2" t="str">
        <f ca="1"/>
        <v>OK</v>
      </c>
    </row>
    <row r="4887" spans="2:34" x14ac:dyDescent="0.2">
      <c r="B4887" s="2">
        <f ca="1"/>
        <v>0.32387383891764099</v>
      </c>
      <c r="O4887" s="2">
        <f ca="1"/>
        <v>-0.75063228279665528</v>
      </c>
      <c r="X4887" s="2">
        <f ca="1"/>
        <v>36.393464076258191</v>
      </c>
      <c r="AG4887" s="2">
        <f ca="1"/>
        <v>0.62996984875502116</v>
      </c>
      <c r="AH4887" s="2" t="str">
        <f ca="1"/>
        <v>Bad</v>
      </c>
    </row>
    <row r="4888" spans="2:34" x14ac:dyDescent="0.2">
      <c r="B4888" s="2">
        <f ca="1"/>
        <v>0.83058030692545448</v>
      </c>
      <c r="O4888" s="2">
        <f ca="1"/>
        <v>0.84001427680713092</v>
      </c>
      <c r="X4888" s="2">
        <f ca="1"/>
        <v>54.232401575056997</v>
      </c>
      <c r="AG4888" s="2">
        <f ca="1"/>
        <v>0.89126729104483582</v>
      </c>
      <c r="AH4888" s="2" t="str">
        <f ca="1"/>
        <v>Bad</v>
      </c>
    </row>
    <row r="4889" spans="2:34" x14ac:dyDescent="0.2">
      <c r="B4889" s="2">
        <f ca="1"/>
        <v>0.64869553397096702</v>
      </c>
      <c r="O4889" s="2">
        <f ca="1"/>
        <v>-0.49519701765730645</v>
      </c>
      <c r="X4889" s="2">
        <f ca="1"/>
        <v>31.050528707761465</v>
      </c>
      <c r="AG4889" s="2">
        <f ca="1"/>
        <v>0.44322516519070732</v>
      </c>
      <c r="AH4889" s="2" t="str">
        <f ca="1"/>
        <v>Bad</v>
      </c>
    </row>
    <row r="4890" spans="2:34" x14ac:dyDescent="0.2">
      <c r="B4890" s="2">
        <f ca="1"/>
        <v>0.96033329484034868</v>
      </c>
      <c r="O4890" s="2">
        <f ca="1"/>
        <v>0.65065838005251964</v>
      </c>
      <c r="X4890" s="2">
        <f ca="1"/>
        <v>55.418330715092225</v>
      </c>
      <c r="AG4890" s="2">
        <f ca="1"/>
        <v>0.5176354419066489</v>
      </c>
      <c r="AH4890" s="2" t="str">
        <f ca="1"/>
        <v>Bad</v>
      </c>
    </row>
    <row r="4891" spans="2:34" x14ac:dyDescent="0.2">
      <c r="B4891" s="2">
        <f ca="1"/>
        <v>0.94352222551986054</v>
      </c>
      <c r="O4891" s="2">
        <f ca="1"/>
        <v>1.1341773044401928</v>
      </c>
      <c r="X4891" s="2">
        <f ca="1"/>
        <v>51.030532307822128</v>
      </c>
      <c r="AG4891" s="2">
        <f ca="1"/>
        <v>0.70574995609831204</v>
      </c>
      <c r="AH4891" s="2" t="str">
        <f ca="1"/>
        <v>Bad</v>
      </c>
    </row>
    <row r="4892" spans="2:34" x14ac:dyDescent="0.2">
      <c r="B4892" s="2">
        <f ca="1"/>
        <v>0.20102262264866844</v>
      </c>
      <c r="O4892" s="2">
        <f ca="1"/>
        <v>0.7290237770952962</v>
      </c>
      <c r="X4892" s="2">
        <f ca="1"/>
        <v>55.006047822001932</v>
      </c>
      <c r="AG4892" s="2">
        <f ca="1"/>
        <v>1.515992609137462E-2</v>
      </c>
      <c r="AH4892" s="2" t="str">
        <f ca="1"/>
        <v>Good</v>
      </c>
    </row>
    <row r="4893" spans="2:34" x14ac:dyDescent="0.2">
      <c r="B4893" s="2">
        <f ca="1"/>
        <v>0.74364447935455313</v>
      </c>
      <c r="O4893" s="2">
        <f ca="1"/>
        <v>1.1372053971567491</v>
      </c>
      <c r="X4893" s="2">
        <f ca="1"/>
        <v>41.762487456818285</v>
      </c>
      <c r="AG4893" s="2">
        <f ca="1"/>
        <v>0.4275531225855056</v>
      </c>
      <c r="AH4893" s="2" t="str">
        <f ca="1"/>
        <v>Bad</v>
      </c>
    </row>
    <row r="4894" spans="2:34" x14ac:dyDescent="0.2">
      <c r="B4894" s="2">
        <f ca="1"/>
        <v>0.58713277746460846</v>
      </c>
      <c r="O4894" s="2">
        <f ca="1"/>
        <v>0.91973967011111424</v>
      </c>
      <c r="X4894" s="2">
        <f ca="1"/>
        <v>32.924469732662558</v>
      </c>
      <c r="AG4894" s="2">
        <f ca="1"/>
        <v>0.12800871723796159</v>
      </c>
      <c r="AH4894" s="2" t="str">
        <f ca="1"/>
        <v>OK</v>
      </c>
    </row>
    <row r="4895" spans="2:34" x14ac:dyDescent="0.2">
      <c r="B4895" s="2">
        <f ca="1"/>
        <v>7.6117982722560873E-2</v>
      </c>
      <c r="O4895" s="2">
        <f ca="1"/>
        <v>-1.0467068317713968</v>
      </c>
      <c r="X4895" s="2">
        <f ca="1"/>
        <v>58.248213793689601</v>
      </c>
      <c r="AG4895" s="2">
        <f ca="1"/>
        <v>0.85857154998840501</v>
      </c>
      <c r="AH4895" s="2" t="str">
        <f ca="1"/>
        <v>Bad</v>
      </c>
    </row>
    <row r="4896" spans="2:34" x14ac:dyDescent="0.2">
      <c r="B4896" s="2">
        <f ca="1"/>
        <v>0.7941357715617301</v>
      </c>
      <c r="O4896" s="2">
        <f ca="1"/>
        <v>-0.76021868981404073</v>
      </c>
      <c r="X4896" s="2">
        <f ca="1"/>
        <v>36.036844491017007</v>
      </c>
      <c r="AG4896" s="2">
        <f ca="1"/>
        <v>0.95494047322387421</v>
      </c>
      <c r="AH4896" s="2" t="str">
        <f ca="1"/>
        <v>Bad</v>
      </c>
    </row>
    <row r="4897" spans="2:34" x14ac:dyDescent="0.2">
      <c r="B4897" s="2">
        <f ca="1"/>
        <v>0.64519954415805314</v>
      </c>
      <c r="O4897" s="2">
        <f ca="1"/>
        <v>-1.6609516911200666</v>
      </c>
      <c r="X4897" s="2">
        <f ca="1"/>
        <v>56.074193552094599</v>
      </c>
      <c r="AG4897" s="2">
        <f ca="1"/>
        <v>0.22045063507381002</v>
      </c>
      <c r="AH4897" s="2" t="str">
        <f ca="1"/>
        <v>OK</v>
      </c>
    </row>
    <row r="4898" spans="2:34" x14ac:dyDescent="0.2">
      <c r="B4898" s="2">
        <f ca="1"/>
        <v>0.11537317186462959</v>
      </c>
      <c r="O4898" s="2">
        <f ca="1"/>
        <v>0.85813199172820454</v>
      </c>
      <c r="X4898" s="2">
        <f ca="1"/>
        <v>51.40309024662244</v>
      </c>
      <c r="AG4898" s="2">
        <f ca="1"/>
        <v>0.85555987173565451</v>
      </c>
      <c r="AH4898" s="2" t="str">
        <f ca="1"/>
        <v>Bad</v>
      </c>
    </row>
    <row r="4899" spans="2:34" x14ac:dyDescent="0.2">
      <c r="B4899" s="2">
        <f ca="1"/>
        <v>0.55924888994184241</v>
      </c>
      <c r="O4899" s="2">
        <f ca="1"/>
        <v>-0.21729665880846086</v>
      </c>
      <c r="X4899" s="2">
        <f ca="1"/>
        <v>61.159449623107434</v>
      </c>
      <c r="AG4899" s="2">
        <f ca="1"/>
        <v>0.86086234806380313</v>
      </c>
      <c r="AH4899" s="2" t="str">
        <f ca="1"/>
        <v>Bad</v>
      </c>
    </row>
    <row r="4900" spans="2:34" x14ac:dyDescent="0.2">
      <c r="B4900" s="2">
        <f ca="1"/>
        <v>0.53309437836481588</v>
      </c>
      <c r="O4900" s="2">
        <f ca="1"/>
        <v>0.40586210201712131</v>
      </c>
      <c r="X4900" s="2">
        <f ca="1"/>
        <v>43.777802937275951</v>
      </c>
      <c r="AG4900" s="2">
        <f ca="1"/>
        <v>6.6434190319189845E-2</v>
      </c>
      <c r="AH4900" s="2" t="str">
        <f ca="1"/>
        <v>OK</v>
      </c>
    </row>
    <row r="4901" spans="2:34" x14ac:dyDescent="0.2">
      <c r="B4901" s="2">
        <f ca="1"/>
        <v>0.48306108530346092</v>
      </c>
      <c r="O4901" s="2">
        <f ca="1"/>
        <v>0.71777914949627397</v>
      </c>
      <c r="X4901" s="2">
        <f ca="1"/>
        <v>32.183218685376417</v>
      </c>
      <c r="AG4901" s="2">
        <f ca="1"/>
        <v>0.69272140408842109</v>
      </c>
      <c r="AH4901" s="2" t="str">
        <f ca="1"/>
        <v>Bad</v>
      </c>
    </row>
    <row r="4902" spans="2:34" x14ac:dyDescent="0.2">
      <c r="B4902" s="2">
        <f ca="1"/>
        <v>0.78990241545097639</v>
      </c>
      <c r="O4902" s="2">
        <f ca="1"/>
        <v>-1.2880831205378176</v>
      </c>
      <c r="X4902" s="2">
        <f ca="1"/>
        <v>67.759243359722902</v>
      </c>
      <c r="AG4902" s="2">
        <f ca="1"/>
        <v>0.87462940887839125</v>
      </c>
      <c r="AH4902" s="2" t="str">
        <f ca="1"/>
        <v>Bad</v>
      </c>
    </row>
    <row r="4903" spans="2:34" x14ac:dyDescent="0.2">
      <c r="B4903" s="2">
        <f ca="1"/>
        <v>0.25437892364599524</v>
      </c>
      <c r="O4903" s="2">
        <f ca="1"/>
        <v>-6.9535658608817413E-2</v>
      </c>
      <c r="X4903" s="2">
        <f ca="1"/>
        <v>81.000804881429474</v>
      </c>
      <c r="AG4903" s="2">
        <f ca="1"/>
        <v>0.92479900281933491</v>
      </c>
      <c r="AH4903" s="2" t="str">
        <f ca="1"/>
        <v>Bad</v>
      </c>
    </row>
    <row r="4904" spans="2:34" x14ac:dyDescent="0.2">
      <c r="B4904" s="2">
        <f ca="1"/>
        <v>0.26395889971285236</v>
      </c>
      <c r="O4904" s="2">
        <f ca="1"/>
        <v>0.28856716399494364</v>
      </c>
      <c r="X4904" s="2">
        <f ca="1"/>
        <v>61.516431259857725</v>
      </c>
      <c r="AG4904" s="2">
        <f ca="1"/>
        <v>0.56229787002125886</v>
      </c>
      <c r="AH4904" s="2" t="str">
        <f ca="1"/>
        <v>Bad</v>
      </c>
    </row>
    <row r="4905" spans="2:34" x14ac:dyDescent="0.2">
      <c r="B4905" s="2">
        <f ca="1"/>
        <v>0.2702096145362034</v>
      </c>
      <c r="O4905" s="2">
        <f ca="1"/>
        <v>0.43298884271590105</v>
      </c>
      <c r="X4905" s="2">
        <f ca="1"/>
        <v>20.938006923669729</v>
      </c>
      <c r="AG4905" s="2">
        <f ca="1"/>
        <v>0.10924697991088617</v>
      </c>
      <c r="AH4905" s="2" t="str">
        <f ca="1"/>
        <v>OK</v>
      </c>
    </row>
    <row r="4906" spans="2:34" x14ac:dyDescent="0.2">
      <c r="B4906" s="2">
        <f ca="1"/>
        <v>0.26448136997277172</v>
      </c>
      <c r="O4906" s="2">
        <f ca="1"/>
        <v>-0.4255097338113526</v>
      </c>
      <c r="X4906" s="2">
        <f ca="1"/>
        <v>24.139984870672983</v>
      </c>
      <c r="AG4906" s="2">
        <f ca="1"/>
        <v>0.26137933920217438</v>
      </c>
      <c r="AH4906" s="2" t="str">
        <f ca="1"/>
        <v>OK</v>
      </c>
    </row>
    <row r="4907" spans="2:34" x14ac:dyDescent="0.2">
      <c r="B4907" s="2">
        <f ca="1"/>
        <v>0.25997186868373956</v>
      </c>
      <c r="O4907" s="2">
        <f ca="1"/>
        <v>-1.0387568363651616</v>
      </c>
      <c r="X4907" s="2">
        <f ca="1"/>
        <v>55.530336995085875</v>
      </c>
      <c r="AG4907" s="2">
        <f ca="1"/>
        <v>0.92747643713967687</v>
      </c>
      <c r="AH4907" s="2" t="str">
        <f ca="1"/>
        <v>Bad</v>
      </c>
    </row>
    <row r="4908" spans="2:34" x14ac:dyDescent="0.2">
      <c r="B4908" s="2">
        <f ca="1"/>
        <v>0.34723002162860084</v>
      </c>
      <c r="O4908" s="2">
        <f ca="1"/>
        <v>-0.31199023475368431</v>
      </c>
      <c r="X4908" s="2">
        <f ca="1"/>
        <v>45.754264352103732</v>
      </c>
      <c r="AG4908" s="2">
        <f ca="1"/>
        <v>0.20603334568023701</v>
      </c>
      <c r="AH4908" s="2" t="str">
        <f ca="1"/>
        <v>OK</v>
      </c>
    </row>
    <row r="4909" spans="2:34" x14ac:dyDescent="0.2">
      <c r="B4909" s="2">
        <f ca="1"/>
        <v>0.89613193050197526</v>
      </c>
      <c r="O4909" s="2">
        <f ca="1"/>
        <v>-0.74094817259950163</v>
      </c>
      <c r="X4909" s="2">
        <f ca="1"/>
        <v>48.477179110592665</v>
      </c>
      <c r="AG4909" s="2">
        <f ca="1"/>
        <v>0.25497663714820895</v>
      </c>
      <c r="AH4909" s="2" t="str">
        <f ca="1"/>
        <v>OK</v>
      </c>
    </row>
    <row r="4910" spans="2:34" x14ac:dyDescent="0.2">
      <c r="B4910" s="2">
        <f ca="1"/>
        <v>0.31679901369225871</v>
      </c>
      <c r="O4910" s="2">
        <f ca="1"/>
        <v>0.95556216013567274</v>
      </c>
      <c r="X4910" s="2">
        <f ca="1"/>
        <v>72.170501214120605</v>
      </c>
      <c r="AG4910" s="2">
        <f ca="1"/>
        <v>0.33956379477829257</v>
      </c>
      <c r="AH4910" s="2" t="str">
        <f ca="1"/>
        <v>OK</v>
      </c>
    </row>
    <row r="4911" spans="2:34" x14ac:dyDescent="0.2">
      <c r="B4911" s="2">
        <f ca="1"/>
        <v>0.2051058380938624</v>
      </c>
      <c r="O4911" s="2">
        <f ca="1"/>
        <v>1.6379034740333214</v>
      </c>
      <c r="X4911" s="2">
        <f ca="1"/>
        <v>31.389150394135793</v>
      </c>
      <c r="AG4911" s="2">
        <f ca="1"/>
        <v>0.45887432152962471</v>
      </c>
      <c r="AH4911" s="2" t="str">
        <f ca="1"/>
        <v>Bad</v>
      </c>
    </row>
    <row r="4912" spans="2:34" x14ac:dyDescent="0.2">
      <c r="B4912" s="2">
        <f ca="1"/>
        <v>6.3182960989005332E-2</v>
      </c>
      <c r="O4912" s="2">
        <f ca="1"/>
        <v>0.84842535109873951</v>
      </c>
      <c r="X4912" s="2">
        <f ca="1"/>
        <v>38.096814835985576</v>
      </c>
      <c r="AG4912" s="2">
        <f ca="1"/>
        <v>0.70758295836333862</v>
      </c>
      <c r="AH4912" s="2" t="str">
        <f ca="1"/>
        <v>Bad</v>
      </c>
    </row>
    <row r="4913" spans="2:34" x14ac:dyDescent="0.2">
      <c r="B4913" s="2">
        <f ca="1"/>
        <v>0.42057860195708718</v>
      </c>
      <c r="O4913" s="2">
        <f ca="1"/>
        <v>0.91907276611594657</v>
      </c>
      <c r="X4913" s="2">
        <f ca="1"/>
        <v>69.271287207726743</v>
      </c>
      <c r="AG4913" s="2">
        <f ca="1"/>
        <v>0.17237232094865518</v>
      </c>
      <c r="AH4913" s="2" t="str">
        <f ca="1"/>
        <v>OK</v>
      </c>
    </row>
    <row r="4914" spans="2:34" x14ac:dyDescent="0.2">
      <c r="B4914" s="2">
        <f ca="1"/>
        <v>0.28687385558232781</v>
      </c>
      <c r="O4914" s="2">
        <f ca="1"/>
        <v>-0.99698024415090702</v>
      </c>
      <c r="X4914" s="2">
        <f ca="1"/>
        <v>36.85585144824541</v>
      </c>
      <c r="AG4914" s="2">
        <f ca="1"/>
        <v>0.33963548423151879</v>
      </c>
      <c r="AH4914" s="2" t="str">
        <f ca="1"/>
        <v>OK</v>
      </c>
    </row>
    <row r="4915" spans="2:34" x14ac:dyDescent="0.2">
      <c r="B4915" s="2">
        <f ca="1"/>
        <v>0.83330284938278476</v>
      </c>
      <c r="O4915" s="2">
        <f ca="1"/>
        <v>-0.75990993485069147</v>
      </c>
      <c r="X4915" s="2">
        <f ca="1"/>
        <v>66.908504762721776</v>
      </c>
      <c r="AG4915" s="2">
        <f ca="1"/>
        <v>0.468874714256025</v>
      </c>
      <c r="AH4915" s="2" t="str">
        <f ca="1"/>
        <v>Bad</v>
      </c>
    </row>
    <row r="4916" spans="2:34" x14ac:dyDescent="0.2">
      <c r="B4916" s="2">
        <f ca="1"/>
        <v>0.39548251301108661</v>
      </c>
      <c r="O4916" s="2">
        <f ca="1"/>
        <v>0.87058017993681946</v>
      </c>
      <c r="X4916" s="2">
        <f ca="1"/>
        <v>25.982861127715505</v>
      </c>
      <c r="AG4916" s="2">
        <f ca="1"/>
        <v>5.0832217135247548E-2</v>
      </c>
      <c r="AH4916" s="2" t="str">
        <f ca="1"/>
        <v>OK</v>
      </c>
    </row>
    <row r="4917" spans="2:34" x14ac:dyDescent="0.2">
      <c r="B4917" s="2">
        <f ca="1"/>
        <v>0.60428243689163241</v>
      </c>
      <c r="O4917" s="2">
        <f ca="1"/>
        <v>0.17946838788772501</v>
      </c>
      <c r="X4917" s="2">
        <f ca="1"/>
        <v>34.569228589677905</v>
      </c>
      <c r="AG4917" s="2">
        <f ca="1"/>
        <v>0.60279061658573241</v>
      </c>
      <c r="AH4917" s="2" t="str">
        <f ca="1"/>
        <v>Bad</v>
      </c>
    </row>
    <row r="4918" spans="2:34" x14ac:dyDescent="0.2">
      <c r="B4918" s="2">
        <f ca="1"/>
        <v>0.84079192528586111</v>
      </c>
      <c r="O4918" s="2">
        <f ca="1"/>
        <v>1.9638660026489732</v>
      </c>
      <c r="X4918" s="2">
        <f ca="1"/>
        <v>66.760499029013431</v>
      </c>
      <c r="AG4918" s="2">
        <f ca="1"/>
        <v>0.35818072577833204</v>
      </c>
      <c r="AH4918" s="2" t="str">
        <f ca="1"/>
        <v>OK</v>
      </c>
    </row>
    <row r="4919" spans="2:34" x14ac:dyDescent="0.2">
      <c r="B4919" s="2">
        <f ca="1"/>
        <v>0.58686565667733936</v>
      </c>
      <c r="O4919" s="2">
        <f ca="1"/>
        <v>1.5430866679404791</v>
      </c>
      <c r="X4919" s="2">
        <f ca="1"/>
        <v>49.225268631891723</v>
      </c>
      <c r="AG4919" s="2">
        <f ca="1"/>
        <v>0.85277311542994561</v>
      </c>
      <c r="AH4919" s="2" t="str">
        <f ca="1"/>
        <v>Bad</v>
      </c>
    </row>
    <row r="4920" spans="2:34" x14ac:dyDescent="0.2">
      <c r="B4920" s="2">
        <f ca="1"/>
        <v>0.26131075300654283</v>
      </c>
      <c r="O4920" s="2">
        <f ca="1"/>
        <v>-0.52238574059657172</v>
      </c>
      <c r="X4920" s="2">
        <f ca="1"/>
        <v>74.855811631887335</v>
      </c>
      <c r="AG4920" s="2">
        <f ca="1"/>
        <v>0.47916644597662361</v>
      </c>
      <c r="AH4920" s="2" t="str">
        <f ca="1"/>
        <v>Bad</v>
      </c>
    </row>
    <row r="4921" spans="2:34" x14ac:dyDescent="0.2">
      <c r="B4921" s="2">
        <f ca="1"/>
        <v>0.11038963048513972</v>
      </c>
      <c r="O4921" s="2">
        <f ca="1"/>
        <v>0.22813984417007863</v>
      </c>
      <c r="X4921" s="2">
        <f ca="1"/>
        <v>58.961512896099563</v>
      </c>
      <c r="AG4921" s="2">
        <f ca="1"/>
        <v>0.35062848464565222</v>
      </c>
      <c r="AH4921" s="2" t="str">
        <f ca="1"/>
        <v>OK</v>
      </c>
    </row>
    <row r="4922" spans="2:34" x14ac:dyDescent="0.2">
      <c r="B4922" s="2">
        <f ca="1"/>
        <v>8.7955011111607639E-2</v>
      </c>
      <c r="O4922" s="2">
        <f ca="1"/>
        <v>0.80514321927521992</v>
      </c>
      <c r="X4922" s="2">
        <f ca="1"/>
        <v>31.066286499386337</v>
      </c>
      <c r="AG4922" s="2">
        <f ca="1"/>
        <v>0.13158488091603893</v>
      </c>
      <c r="AH4922" s="2" t="str">
        <f ca="1"/>
        <v>OK</v>
      </c>
    </row>
    <row r="4923" spans="2:34" x14ac:dyDescent="0.2">
      <c r="B4923" s="2">
        <f ca="1"/>
        <v>5.2802222935215415E-3</v>
      </c>
      <c r="O4923" s="2">
        <f ca="1"/>
        <v>0.28171821818646187</v>
      </c>
      <c r="X4923" s="2">
        <f ca="1"/>
        <v>65.787881824538502</v>
      </c>
      <c r="AG4923" s="2">
        <f ca="1"/>
        <v>0.43108514094278982</v>
      </c>
      <c r="AH4923" s="2" t="str">
        <f ca="1"/>
        <v>Bad</v>
      </c>
    </row>
    <row r="4924" spans="2:34" x14ac:dyDescent="0.2">
      <c r="B4924" s="2">
        <f ca="1"/>
        <v>3.584971962757888E-2</v>
      </c>
      <c r="O4924" s="2">
        <f ca="1"/>
        <v>-0.27004935621209031</v>
      </c>
      <c r="X4924" s="2">
        <f ca="1"/>
        <v>81.562323799706292</v>
      </c>
      <c r="AG4924" s="2">
        <f ca="1"/>
        <v>0.90599310196822125</v>
      </c>
      <c r="AH4924" s="2" t="str">
        <f ca="1"/>
        <v>Bad</v>
      </c>
    </row>
    <row r="4925" spans="2:34" x14ac:dyDescent="0.2">
      <c r="B4925" s="2">
        <f ca="1"/>
        <v>0.71495774470539519</v>
      </c>
      <c r="O4925" s="2">
        <f ca="1"/>
        <v>-0.57333475755120733</v>
      </c>
      <c r="X4925" s="2">
        <f ca="1"/>
        <v>42.558056890610906</v>
      </c>
      <c r="AG4925" s="2">
        <f ca="1"/>
        <v>4.5870202496455015E-2</v>
      </c>
      <c r="AH4925" s="2" t="str">
        <f ca="1"/>
        <v>Good</v>
      </c>
    </row>
    <row r="4926" spans="2:34" x14ac:dyDescent="0.2">
      <c r="B4926" s="2">
        <f ca="1"/>
        <v>0.76401178129796921</v>
      </c>
      <c r="O4926" s="2">
        <f ca="1"/>
        <v>0.74867396114194285</v>
      </c>
      <c r="X4926" s="2">
        <f ca="1"/>
        <v>66.454839048145431</v>
      </c>
      <c r="AG4926" s="2">
        <f ca="1"/>
        <v>0.93264809920618696</v>
      </c>
      <c r="AH4926" s="2" t="str">
        <f ca="1"/>
        <v>Bad</v>
      </c>
    </row>
    <row r="4927" spans="2:34" x14ac:dyDescent="0.2">
      <c r="B4927" s="2">
        <f ca="1"/>
        <v>0.55446063696393244</v>
      </c>
      <c r="O4927" s="2">
        <f ca="1"/>
        <v>0.31250427624973004</v>
      </c>
      <c r="X4927" s="2">
        <f ca="1"/>
        <v>95.159097715355031</v>
      </c>
      <c r="AG4927" s="2">
        <f ca="1"/>
        <v>0.11607004639820717</v>
      </c>
      <c r="AH4927" s="2" t="str">
        <f ca="1"/>
        <v>OK</v>
      </c>
    </row>
    <row r="4928" spans="2:34" x14ac:dyDescent="0.2">
      <c r="B4928" s="2">
        <f ca="1"/>
        <v>0.25514110982823013</v>
      </c>
      <c r="O4928" s="2">
        <f ca="1"/>
        <v>0.16597076963896656</v>
      </c>
      <c r="X4928" s="2">
        <f ca="1"/>
        <v>36.458660574049219</v>
      </c>
      <c r="AG4928" s="2">
        <f ca="1"/>
        <v>0.17771936189819537</v>
      </c>
      <c r="AH4928" s="2" t="str">
        <f ca="1"/>
        <v>OK</v>
      </c>
    </row>
    <row r="4929" spans="2:34" x14ac:dyDescent="0.2">
      <c r="B4929" s="2">
        <f ca="1"/>
        <v>0.43049970633970647</v>
      </c>
      <c r="O4929" s="2">
        <f ca="1"/>
        <v>-1.6581465772432327</v>
      </c>
      <c r="X4929" s="2">
        <f ca="1"/>
        <v>73.052515011700095</v>
      </c>
      <c r="AG4929" s="2">
        <f ca="1"/>
        <v>0.78524460231179849</v>
      </c>
      <c r="AH4929" s="2" t="str">
        <f ca="1"/>
        <v>Bad</v>
      </c>
    </row>
    <row r="4930" spans="2:34" x14ac:dyDescent="0.2">
      <c r="B4930" s="2">
        <f ca="1"/>
        <v>0.91423437818870545</v>
      </c>
      <c r="O4930" s="2">
        <f ca="1"/>
        <v>5.5265508984338281E-3</v>
      </c>
      <c r="X4930" s="2">
        <f ca="1"/>
        <v>67.050486643298882</v>
      </c>
      <c r="AG4930" s="2">
        <f ca="1"/>
        <v>0.52806350559293369</v>
      </c>
      <c r="AH4930" s="2" t="str">
        <f ca="1"/>
        <v>Bad</v>
      </c>
    </row>
    <row r="4931" spans="2:34" x14ac:dyDescent="0.2">
      <c r="B4931" s="2">
        <f ca="1"/>
        <v>0.20973344468537403</v>
      </c>
      <c r="O4931" s="2">
        <f ca="1"/>
        <v>-4.2662460877314672E-2</v>
      </c>
      <c r="X4931" s="2">
        <f ca="1"/>
        <v>23.88122554946731</v>
      </c>
      <c r="AG4931" s="2">
        <f ca="1"/>
        <v>3.0940295478841362E-2</v>
      </c>
      <c r="AH4931" s="2" t="str">
        <f ca="1"/>
        <v>Good</v>
      </c>
    </row>
    <row r="4932" spans="2:34" x14ac:dyDescent="0.2">
      <c r="B4932" s="2">
        <f ca="1"/>
        <v>0.41555422505677186</v>
      </c>
      <c r="O4932" s="2">
        <f ca="1"/>
        <v>1.291166681210236</v>
      </c>
      <c r="X4932" s="2">
        <f ca="1"/>
        <v>49.194648201874742</v>
      </c>
      <c r="AG4932" s="2">
        <f ca="1"/>
        <v>0.58919379895629498</v>
      </c>
      <c r="AH4932" s="2" t="str">
        <f ca="1"/>
        <v>Bad</v>
      </c>
    </row>
    <row r="4933" spans="2:34" x14ac:dyDescent="0.2">
      <c r="B4933" s="2">
        <f ca="1"/>
        <v>0.69411173420767924</v>
      </c>
      <c r="O4933" s="2">
        <f ca="1"/>
        <v>-0.10808046851650036</v>
      </c>
      <c r="X4933" s="2">
        <f ca="1"/>
        <v>46.171720967378612</v>
      </c>
      <c r="AG4933" s="2">
        <f ca="1"/>
        <v>6.6702318611164824E-2</v>
      </c>
      <c r="AH4933" s="2" t="str">
        <f ca="1"/>
        <v>OK</v>
      </c>
    </row>
    <row r="4934" spans="2:34" x14ac:dyDescent="0.2">
      <c r="B4934" s="2">
        <f ca="1"/>
        <v>0.21891916786978349</v>
      </c>
      <c r="O4934" s="2">
        <f ca="1"/>
        <v>-1.0546281206345638</v>
      </c>
      <c r="X4934" s="2">
        <f ca="1"/>
        <v>54.450455608167225</v>
      </c>
      <c r="AG4934" s="2">
        <f ca="1"/>
        <v>0.90889521394668482</v>
      </c>
      <c r="AH4934" s="2" t="str">
        <f ca="1"/>
        <v>Bad</v>
      </c>
    </row>
    <row r="4935" spans="2:34" x14ac:dyDescent="0.2">
      <c r="B4935" s="2">
        <f ca="1"/>
        <v>0.23821941957024673</v>
      </c>
      <c r="O4935" s="2">
        <f ca="1"/>
        <v>0.99415153774060649</v>
      </c>
      <c r="X4935" s="2">
        <f ca="1"/>
        <v>62.176485574955848</v>
      </c>
      <c r="AG4935" s="2">
        <f ca="1"/>
        <v>0.81432511482658332</v>
      </c>
      <c r="AH4935" s="2" t="str">
        <f ca="1"/>
        <v>Bad</v>
      </c>
    </row>
    <row r="4936" spans="2:34" x14ac:dyDescent="0.2">
      <c r="B4936" s="2">
        <f ca="1"/>
        <v>0.71503538368200337</v>
      </c>
      <c r="O4936" s="2">
        <f ca="1"/>
        <v>0.41622395535413997</v>
      </c>
      <c r="X4936" s="2">
        <f ca="1"/>
        <v>58.937430584237191</v>
      </c>
      <c r="AG4936" s="2">
        <f ca="1"/>
        <v>0.79390976609701336</v>
      </c>
      <c r="AH4936" s="2" t="str">
        <f ca="1"/>
        <v>Bad</v>
      </c>
    </row>
    <row r="4937" spans="2:34" x14ac:dyDescent="0.2">
      <c r="B4937" s="2">
        <f ca="1"/>
        <v>0.21745373155159409</v>
      </c>
      <c r="O4937" s="2">
        <f ca="1"/>
        <v>2.2269352065226884</v>
      </c>
      <c r="X4937" s="2">
        <f ca="1"/>
        <v>51.98174555255224</v>
      </c>
      <c r="AG4937" s="2">
        <f ca="1"/>
        <v>0.28092716611642565</v>
      </c>
      <c r="AH4937" s="2" t="str">
        <f ca="1"/>
        <v>OK</v>
      </c>
    </row>
    <row r="4938" spans="2:34" x14ac:dyDescent="0.2">
      <c r="B4938" s="2">
        <f ca="1"/>
        <v>0.37185572247940502</v>
      </c>
      <c r="O4938" s="2">
        <f ca="1"/>
        <v>2.1853614495089789E-3</v>
      </c>
      <c r="X4938" s="2">
        <f ca="1"/>
        <v>38.728048856699758</v>
      </c>
      <c r="AG4938" s="2">
        <f ca="1"/>
        <v>0.54907537905324011</v>
      </c>
      <c r="AH4938" s="2" t="str">
        <f ca="1"/>
        <v>Bad</v>
      </c>
    </row>
    <row r="4939" spans="2:34" x14ac:dyDescent="0.2">
      <c r="B4939" s="2">
        <f ca="1"/>
        <v>0.88265110883346476</v>
      </c>
      <c r="O4939" s="2">
        <f ca="1"/>
        <v>0.46474922293281423</v>
      </c>
      <c r="X4939" s="2">
        <f ca="1"/>
        <v>64.947412285830481</v>
      </c>
      <c r="AG4939" s="2">
        <f ca="1"/>
        <v>0.72223565753268204</v>
      </c>
      <c r="AH4939" s="2" t="str">
        <f ca="1"/>
        <v>Bad</v>
      </c>
    </row>
    <row r="4940" spans="2:34" x14ac:dyDescent="0.2">
      <c r="B4940" s="2">
        <f ca="1"/>
        <v>0.21853569972907572</v>
      </c>
      <c r="O4940" s="2">
        <f ca="1"/>
        <v>0.94287460023567016</v>
      </c>
      <c r="X4940" s="2">
        <f ca="1"/>
        <v>66.905067214668478</v>
      </c>
      <c r="AG4940" s="2">
        <f ca="1"/>
        <v>0.44659718051152275</v>
      </c>
      <c r="AH4940" s="2" t="str">
        <f ca="1"/>
        <v>Bad</v>
      </c>
    </row>
    <row r="4941" spans="2:34" x14ac:dyDescent="0.2">
      <c r="B4941" s="2">
        <f ca="1"/>
        <v>0.65954685428061977</v>
      </c>
      <c r="O4941" s="2">
        <f ca="1"/>
        <v>0.63716569388834687</v>
      </c>
      <c r="X4941" s="2">
        <f ca="1"/>
        <v>33.78944328172804</v>
      </c>
      <c r="AG4941" s="2">
        <f ca="1"/>
        <v>0.48461762875420344</v>
      </c>
      <c r="AH4941" s="2" t="str">
        <f ca="1"/>
        <v>Bad</v>
      </c>
    </row>
    <row r="4942" spans="2:34" x14ac:dyDescent="0.2">
      <c r="B4942" s="2">
        <f ca="1"/>
        <v>0.63948422458707466</v>
      </c>
      <c r="O4942" s="2">
        <f ca="1"/>
        <v>-0.84148109025062112</v>
      </c>
      <c r="X4942" s="2">
        <f ca="1"/>
        <v>57.155030892714613</v>
      </c>
      <c r="AG4942" s="2">
        <f ca="1"/>
        <v>0.29015796073225242</v>
      </c>
      <c r="AH4942" s="2" t="str">
        <f ca="1"/>
        <v>OK</v>
      </c>
    </row>
    <row r="4943" spans="2:34" x14ac:dyDescent="0.2">
      <c r="B4943" s="2">
        <f ca="1"/>
        <v>0.92371185637842679</v>
      </c>
      <c r="O4943" s="2">
        <f ca="1"/>
        <v>-0.44039316429758807</v>
      </c>
      <c r="X4943" s="2">
        <f ca="1"/>
        <v>36.108814699275371</v>
      </c>
      <c r="AG4943" s="2">
        <f ca="1"/>
        <v>0.44991587279530787</v>
      </c>
      <c r="AH4943" s="2" t="str">
        <f ca="1"/>
        <v>Bad</v>
      </c>
    </row>
    <row r="4944" spans="2:34" x14ac:dyDescent="0.2">
      <c r="B4944" s="2">
        <f ca="1"/>
        <v>0.60944458641503219</v>
      </c>
      <c r="O4944" s="2">
        <f ca="1"/>
        <v>0.21927854716647271</v>
      </c>
      <c r="X4944" s="2">
        <f ca="1"/>
        <v>43.790519879613086</v>
      </c>
      <c r="AG4944" s="2">
        <f ca="1"/>
        <v>0.22077957133430171</v>
      </c>
      <c r="AH4944" s="2" t="str">
        <f ca="1"/>
        <v>OK</v>
      </c>
    </row>
    <row r="4945" spans="2:34" x14ac:dyDescent="0.2">
      <c r="B4945" s="2">
        <f ca="1"/>
        <v>0.18857476961571074</v>
      </c>
      <c r="O4945" s="2">
        <f ca="1"/>
        <v>-0.93741584365815489</v>
      </c>
      <c r="X4945" s="2">
        <f ca="1"/>
        <v>40.229708018265164</v>
      </c>
      <c r="AG4945" s="2">
        <f ca="1"/>
        <v>0.50907609365999207</v>
      </c>
      <c r="AH4945" s="2" t="str">
        <f ca="1"/>
        <v>Bad</v>
      </c>
    </row>
    <row r="4946" spans="2:34" x14ac:dyDescent="0.2">
      <c r="B4946" s="2">
        <f ca="1"/>
        <v>0.38813937843078739</v>
      </c>
      <c r="O4946" s="2">
        <f ca="1"/>
        <v>5.3116165540527387E-2</v>
      </c>
      <c r="X4946" s="2">
        <f ca="1"/>
        <v>60.158856567905673</v>
      </c>
      <c r="AG4946" s="2">
        <f ca="1"/>
        <v>0.61390682424463083</v>
      </c>
      <c r="AH4946" s="2" t="str">
        <f ca="1"/>
        <v>Bad</v>
      </c>
    </row>
    <row r="4947" spans="2:34" x14ac:dyDescent="0.2">
      <c r="B4947" s="2">
        <f ca="1"/>
        <v>0.75538456711278945</v>
      </c>
      <c r="O4947" s="2">
        <f ca="1"/>
        <v>-0.58132215837868551</v>
      </c>
      <c r="X4947" s="2">
        <f ca="1"/>
        <v>52.706744912398513</v>
      </c>
      <c r="AG4947" s="2">
        <f ca="1"/>
        <v>0.52472083165323902</v>
      </c>
      <c r="AH4947" s="2" t="str">
        <f ca="1"/>
        <v>Bad</v>
      </c>
    </row>
    <row r="4948" spans="2:34" x14ac:dyDescent="0.2">
      <c r="B4948" s="2">
        <f ca="1"/>
        <v>0.50222245045034031</v>
      </c>
      <c r="O4948" s="2">
        <f ca="1"/>
        <v>-0.71336450520023675</v>
      </c>
      <c r="X4948" s="2">
        <f ca="1"/>
        <v>87.613543925178504</v>
      </c>
      <c r="AG4948" s="2">
        <f ca="1"/>
        <v>0.89442491804229785</v>
      </c>
      <c r="AH4948" s="2" t="str">
        <f ca="1"/>
        <v>Bad</v>
      </c>
    </row>
    <row r="4949" spans="2:34" x14ac:dyDescent="0.2">
      <c r="B4949" s="2">
        <f ca="1"/>
        <v>0.13168561023125069</v>
      </c>
      <c r="O4949" s="2">
        <f ca="1"/>
        <v>0.83899746584730106</v>
      </c>
      <c r="X4949" s="2">
        <f ca="1"/>
        <v>26.942171010989291</v>
      </c>
      <c r="AG4949" s="2">
        <f ca="1"/>
        <v>0.1836180490863113</v>
      </c>
      <c r="AH4949" s="2" t="str">
        <f ca="1"/>
        <v>OK</v>
      </c>
    </row>
    <row r="4950" spans="2:34" x14ac:dyDescent="0.2">
      <c r="B4950" s="2">
        <f ca="1"/>
        <v>0.79942018277302407</v>
      </c>
      <c r="O4950" s="2">
        <f ca="1"/>
        <v>0.44275263904639783</v>
      </c>
      <c r="X4950" s="2">
        <f ca="1"/>
        <v>39.05364161087477</v>
      </c>
      <c r="AG4950" s="2">
        <f ca="1"/>
        <v>0.48971676906241335</v>
      </c>
      <c r="AH4950" s="2" t="str">
        <f ca="1"/>
        <v>Bad</v>
      </c>
    </row>
    <row r="4951" spans="2:34" x14ac:dyDescent="0.2">
      <c r="B4951" s="2">
        <f ca="1"/>
        <v>0.8697943238308814</v>
      </c>
      <c r="O4951" s="2">
        <f ca="1"/>
        <v>-0.8605430375744606</v>
      </c>
      <c r="X4951" s="2">
        <f ca="1"/>
        <v>41.472731578454457</v>
      </c>
      <c r="AG4951" s="2">
        <f ca="1"/>
        <v>0.67354061063912329</v>
      </c>
      <c r="AH4951" s="2" t="str">
        <f ca="1"/>
        <v>Bad</v>
      </c>
    </row>
    <row r="4952" spans="2:34" x14ac:dyDescent="0.2">
      <c r="B4952" s="2">
        <f ca="1"/>
        <v>0.55768735739891584</v>
      </c>
      <c r="O4952" s="2">
        <f ca="1"/>
        <v>0.51232022834166657</v>
      </c>
      <c r="X4952" s="2">
        <f ca="1"/>
        <v>76.731272290647411</v>
      </c>
      <c r="AG4952" s="2">
        <f ca="1"/>
        <v>0.11366563026729648</v>
      </c>
      <c r="AH4952" s="2" t="str">
        <f ca="1"/>
        <v>OK</v>
      </c>
    </row>
    <row r="4953" spans="2:34" x14ac:dyDescent="0.2">
      <c r="B4953" s="2">
        <f ca="1"/>
        <v>0.58922517203766067</v>
      </c>
      <c r="O4953" s="2">
        <f ca="1"/>
        <v>2.4364894180250554</v>
      </c>
      <c r="X4953" s="2">
        <f ca="1"/>
        <v>55.598569106982517</v>
      </c>
      <c r="AG4953" s="2">
        <f ca="1"/>
        <v>0.71866607868729138</v>
      </c>
      <c r="AH4953" s="2" t="str">
        <f ca="1"/>
        <v>Bad</v>
      </c>
    </row>
    <row r="4954" spans="2:34" x14ac:dyDescent="0.2">
      <c r="B4954" s="2">
        <f ca="1"/>
        <v>0.97253289935271514</v>
      </c>
      <c r="O4954" s="2">
        <f ca="1"/>
        <v>-0.11191192706187911</v>
      </c>
      <c r="X4954" s="2">
        <f ca="1"/>
        <v>33.216690181921486</v>
      </c>
      <c r="AG4954" s="2">
        <f ca="1"/>
        <v>0.43592690455823391</v>
      </c>
      <c r="AH4954" s="2" t="str">
        <f ca="1"/>
        <v>Bad</v>
      </c>
    </row>
    <row r="4955" spans="2:34" x14ac:dyDescent="0.2">
      <c r="B4955" s="2">
        <f ca="1"/>
        <v>0.32135787104033819</v>
      </c>
      <c r="O4955" s="2">
        <f ca="1"/>
        <v>3.2846552182032009E-2</v>
      </c>
      <c r="X4955" s="2">
        <f ca="1"/>
        <v>75.928445772543981</v>
      </c>
      <c r="AG4955" s="2">
        <f ca="1"/>
        <v>0.57524118168277982</v>
      </c>
      <c r="AH4955" s="2" t="str">
        <f ca="1"/>
        <v>Bad</v>
      </c>
    </row>
    <row r="4956" spans="2:34" x14ac:dyDescent="0.2">
      <c r="B4956" s="2">
        <f ca="1"/>
        <v>0.43384724680485287</v>
      </c>
      <c r="O4956" s="2">
        <f ca="1"/>
        <v>-0.43622026054270602</v>
      </c>
      <c r="X4956" s="2">
        <f ca="1"/>
        <v>58.251501964018921</v>
      </c>
      <c r="AG4956" s="2">
        <f ca="1"/>
        <v>0.13074382264429918</v>
      </c>
      <c r="AH4956" s="2" t="str">
        <f ca="1"/>
        <v>OK</v>
      </c>
    </row>
    <row r="4957" spans="2:34" x14ac:dyDescent="0.2">
      <c r="B4957" s="2">
        <f ca="1"/>
        <v>0.60698693625402877</v>
      </c>
      <c r="O4957" s="2">
        <f ca="1"/>
        <v>0.86648692439832453</v>
      </c>
      <c r="X4957" s="2">
        <f ca="1"/>
        <v>42.898196776689559</v>
      </c>
      <c r="AG4957" s="2">
        <f ca="1"/>
        <v>0.30574551294893437</v>
      </c>
      <c r="AH4957" s="2" t="str">
        <f ca="1"/>
        <v>OK</v>
      </c>
    </row>
    <row r="4958" spans="2:34" x14ac:dyDescent="0.2">
      <c r="B4958" s="2">
        <f ca="1"/>
        <v>0.71665024263773791</v>
      </c>
      <c r="O4958" s="2">
        <f ca="1"/>
        <v>2.3753458435649084</v>
      </c>
      <c r="X4958" s="2">
        <f ca="1"/>
        <v>84.246935132672348</v>
      </c>
      <c r="AG4958" s="2">
        <f ca="1"/>
        <v>0.56148969330379317</v>
      </c>
      <c r="AH4958" s="2" t="str">
        <f ca="1"/>
        <v>Bad</v>
      </c>
    </row>
    <row r="4959" spans="2:34" x14ac:dyDescent="0.2">
      <c r="B4959" s="2">
        <f ca="1"/>
        <v>0.93495443950269608</v>
      </c>
      <c r="O4959" s="2">
        <f ca="1"/>
        <v>0.22760990530805636</v>
      </c>
      <c r="X4959" s="2">
        <f ca="1"/>
        <v>32.728478251042915</v>
      </c>
      <c r="AG4959" s="2">
        <f ca="1"/>
        <v>0.99141020358883836</v>
      </c>
      <c r="AH4959" s="2" t="str">
        <f ca="1"/>
        <v>Bad</v>
      </c>
    </row>
    <row r="4960" spans="2:34" x14ac:dyDescent="0.2">
      <c r="B4960" s="2">
        <f ca="1"/>
        <v>0.43731080013551971</v>
      </c>
      <c r="O4960" s="2">
        <f ca="1"/>
        <v>0.70284128490097975</v>
      </c>
      <c r="X4960" s="2">
        <f ca="1"/>
        <v>53.526866791518785</v>
      </c>
      <c r="AG4960" s="2">
        <f ca="1"/>
        <v>0.95243339954434125</v>
      </c>
      <c r="AH4960" s="2" t="str">
        <f ca="1"/>
        <v>Bad</v>
      </c>
    </row>
    <row r="4961" spans="2:34" x14ac:dyDescent="0.2">
      <c r="B4961" s="2">
        <f ca="1"/>
        <v>0.46607576520051275</v>
      </c>
      <c r="O4961" s="2">
        <f ca="1"/>
        <v>-0.16076293956030771</v>
      </c>
      <c r="X4961" s="2">
        <f ca="1"/>
        <v>65.431496629448205</v>
      </c>
      <c r="AG4961" s="2">
        <f ca="1"/>
        <v>0.12913059629345902</v>
      </c>
      <c r="AH4961" s="2" t="str">
        <f ca="1"/>
        <v>OK</v>
      </c>
    </row>
    <row r="4962" spans="2:34" x14ac:dyDescent="0.2">
      <c r="B4962" s="2">
        <f ca="1"/>
        <v>0.96311934300424662</v>
      </c>
      <c r="O4962" s="2">
        <f ca="1"/>
        <v>-0.12934035975018154</v>
      </c>
      <c r="X4962" s="2">
        <f ca="1"/>
        <v>54.176687534769279</v>
      </c>
      <c r="AG4962" s="2">
        <f ca="1"/>
        <v>0.70140266625763714</v>
      </c>
      <c r="AH4962" s="2" t="str">
        <f ca="1"/>
        <v>Bad</v>
      </c>
    </row>
    <row r="4963" spans="2:34" x14ac:dyDescent="0.2">
      <c r="B4963" s="2">
        <f ca="1"/>
        <v>0.70839959025260768</v>
      </c>
      <c r="O4963" s="2">
        <f ca="1"/>
        <v>-0.19848435159393948</v>
      </c>
      <c r="X4963" s="2">
        <f ca="1"/>
        <v>62.895476438472173</v>
      </c>
      <c r="AG4963" s="2">
        <f ca="1"/>
        <v>0.3895935913589279</v>
      </c>
      <c r="AH4963" s="2" t="str">
        <f ca="1"/>
        <v>OK</v>
      </c>
    </row>
    <row r="4964" spans="2:34" x14ac:dyDescent="0.2">
      <c r="B4964" s="2">
        <f ca="1"/>
        <v>0.56636071174635405</v>
      </c>
      <c r="O4964" s="2">
        <f ca="1"/>
        <v>7.7448962642727506E-2</v>
      </c>
      <c r="X4964" s="2">
        <f ca="1"/>
        <v>29.878576234258144</v>
      </c>
      <c r="AG4964" s="2">
        <f ca="1"/>
        <v>0.50392329254298129</v>
      </c>
      <c r="AH4964" s="2" t="str">
        <f ca="1"/>
        <v>Bad</v>
      </c>
    </row>
    <row r="4965" spans="2:34" x14ac:dyDescent="0.2">
      <c r="B4965" s="2">
        <f ca="1"/>
        <v>0.874855580299706</v>
      </c>
      <c r="O4965" s="2">
        <f ca="1"/>
        <v>-1.2159642068244152</v>
      </c>
      <c r="X4965" s="2">
        <f ca="1"/>
        <v>32.981012677365548</v>
      </c>
      <c r="AG4965" s="2">
        <f ca="1"/>
        <v>0.12454467815579906</v>
      </c>
      <c r="AH4965" s="2" t="str">
        <f ca="1"/>
        <v>OK</v>
      </c>
    </row>
    <row r="4966" spans="2:34" x14ac:dyDescent="0.2">
      <c r="B4966" s="2">
        <f ca="1"/>
        <v>0.12622385569838079</v>
      </c>
      <c r="O4966" s="2">
        <f ca="1"/>
        <v>-0.42725555266991883</v>
      </c>
      <c r="X4966" s="2">
        <f ca="1"/>
        <v>35.118579968238976</v>
      </c>
      <c r="AG4966" s="2">
        <f ca="1"/>
        <v>0.66149662497223716</v>
      </c>
      <c r="AH4966" s="2" t="str">
        <f ca="1"/>
        <v>Bad</v>
      </c>
    </row>
    <row r="4967" spans="2:34" x14ac:dyDescent="0.2">
      <c r="B4967" s="2">
        <f ca="1"/>
        <v>0.76130557321282821</v>
      </c>
      <c r="O4967" s="2">
        <f ca="1"/>
        <v>0.45953303687098784</v>
      </c>
      <c r="X4967" s="2">
        <f ca="1"/>
        <v>43.937851684175833</v>
      </c>
      <c r="AG4967" s="2">
        <f ca="1"/>
        <v>0.93285605719855824</v>
      </c>
      <c r="AH4967" s="2" t="str">
        <f ca="1"/>
        <v>Bad</v>
      </c>
    </row>
    <row r="4968" spans="2:34" x14ac:dyDescent="0.2">
      <c r="B4968" s="2">
        <f ca="1"/>
        <v>0.81620598981482595</v>
      </c>
      <c r="O4968" s="2">
        <f ca="1"/>
        <v>0.62952885069905096</v>
      </c>
      <c r="X4968" s="2">
        <f ca="1"/>
        <v>44.789288233604047</v>
      </c>
      <c r="AG4968" s="2">
        <f ca="1"/>
        <v>0.78633572650021488</v>
      </c>
      <c r="AH4968" s="2" t="str">
        <f ca="1"/>
        <v>Bad</v>
      </c>
    </row>
    <row r="4969" spans="2:34" x14ac:dyDescent="0.2">
      <c r="B4969" s="2">
        <f ca="1"/>
        <v>0.93393666153309618</v>
      </c>
      <c r="O4969" s="2">
        <f ca="1"/>
        <v>1.1262164157766972</v>
      </c>
      <c r="X4969" s="2">
        <f ca="1"/>
        <v>46.508811120174869</v>
      </c>
      <c r="AG4969" s="2">
        <f ca="1"/>
        <v>0.32778137821980557</v>
      </c>
      <c r="AH4969" s="2" t="str">
        <f ca="1"/>
        <v>OK</v>
      </c>
    </row>
    <row r="4970" spans="2:34" x14ac:dyDescent="0.2">
      <c r="B4970" s="2">
        <f ca="1"/>
        <v>0.82338899798702148</v>
      </c>
      <c r="O4970" s="2">
        <f ca="1"/>
        <v>1.0344897495135223</v>
      </c>
      <c r="X4970" s="2">
        <f ca="1"/>
        <v>47.428313295202386</v>
      </c>
      <c r="AG4970" s="2">
        <f ca="1"/>
        <v>7.6583464071990903E-3</v>
      </c>
      <c r="AH4970" s="2" t="str">
        <f ca="1"/>
        <v>Good</v>
      </c>
    </row>
    <row r="4971" spans="2:34" x14ac:dyDescent="0.2">
      <c r="B4971" s="2">
        <f ca="1"/>
        <v>0.53200446573498006</v>
      </c>
      <c r="O4971" s="2">
        <f ca="1"/>
        <v>0.98539254733386816</v>
      </c>
      <c r="X4971" s="2">
        <f ca="1"/>
        <v>57.567763797504092</v>
      </c>
      <c r="AG4971" s="2">
        <f ca="1"/>
        <v>6.0755308650638939E-2</v>
      </c>
      <c r="AH4971" s="2" t="str">
        <f ca="1"/>
        <v>OK</v>
      </c>
    </row>
    <row r="4972" spans="2:34" x14ac:dyDescent="0.2">
      <c r="B4972" s="2">
        <f ca="1"/>
        <v>0.36368331469376969</v>
      </c>
      <c r="O4972" s="2">
        <f ca="1"/>
        <v>1.5475282369553551</v>
      </c>
      <c r="X4972" s="2">
        <f ca="1"/>
        <v>34.329153483949241</v>
      </c>
      <c r="AG4972" s="2">
        <f ca="1"/>
        <v>0.8396763505859639</v>
      </c>
      <c r="AH4972" s="2" t="str">
        <f ca="1"/>
        <v>Bad</v>
      </c>
    </row>
    <row r="4973" spans="2:34" x14ac:dyDescent="0.2">
      <c r="B4973" s="2">
        <f ca="1"/>
        <v>0.70219697240874202</v>
      </c>
      <c r="O4973" s="2">
        <f ca="1"/>
        <v>-0.32136055641533956</v>
      </c>
      <c r="X4973" s="2">
        <f ca="1"/>
        <v>77.164996361370569</v>
      </c>
      <c r="AG4973" s="2">
        <f ca="1"/>
        <v>0.69652952987766614</v>
      </c>
      <c r="AH4973" s="2" t="str">
        <f ca="1"/>
        <v>Bad</v>
      </c>
    </row>
    <row r="4974" spans="2:34" x14ac:dyDescent="0.2">
      <c r="B4974" s="2">
        <f ca="1"/>
        <v>0.42970291357847468</v>
      </c>
      <c r="O4974" s="2">
        <f ca="1"/>
        <v>-1.0209019865466056</v>
      </c>
      <c r="X4974" s="2">
        <f ca="1"/>
        <v>51.070412674148457</v>
      </c>
      <c r="AG4974" s="2">
        <f ca="1"/>
        <v>0.52447632304852365</v>
      </c>
      <c r="AH4974" s="2" t="str">
        <f ca="1"/>
        <v>Bad</v>
      </c>
    </row>
    <row r="4975" spans="2:34" x14ac:dyDescent="0.2">
      <c r="B4975" s="2">
        <f ca="1"/>
        <v>0.14858296929436565</v>
      </c>
      <c r="O4975" s="2">
        <f ca="1"/>
        <v>0.31856244845490439</v>
      </c>
      <c r="X4975" s="2">
        <f ca="1"/>
        <v>49.888639052909511</v>
      </c>
      <c r="AG4975" s="2">
        <f ca="1"/>
        <v>0.846821312716316</v>
      </c>
      <c r="AH4975" s="2" t="str">
        <f ca="1"/>
        <v>Bad</v>
      </c>
    </row>
    <row r="4976" spans="2:34" x14ac:dyDescent="0.2">
      <c r="B4976" s="2">
        <f ca="1"/>
        <v>0.43645966595874564</v>
      </c>
      <c r="O4976" s="2">
        <f ca="1"/>
        <v>-0.22392254525120431</v>
      </c>
      <c r="X4976" s="2">
        <f ca="1"/>
        <v>40.619860488043997</v>
      </c>
      <c r="AG4976" s="2">
        <f ca="1"/>
        <v>0.49850060328471479</v>
      </c>
      <c r="AH4976" s="2" t="str">
        <f ca="1"/>
        <v>Bad</v>
      </c>
    </row>
    <row r="4977" spans="2:34" x14ac:dyDescent="0.2">
      <c r="B4977" s="2">
        <f ca="1"/>
        <v>0.21693657761336138</v>
      </c>
      <c r="O4977" s="2">
        <f ca="1"/>
        <v>0.55250906378435383</v>
      </c>
      <c r="X4977" s="2">
        <f ca="1"/>
        <v>56.823380146098891</v>
      </c>
      <c r="AG4977" s="2">
        <f ca="1"/>
        <v>0.32568976707089048</v>
      </c>
      <c r="AH4977" s="2" t="str">
        <f ca="1"/>
        <v>OK</v>
      </c>
    </row>
    <row r="4978" spans="2:34" x14ac:dyDescent="0.2">
      <c r="B4978" s="2">
        <f ca="1"/>
        <v>0.18247731931099453</v>
      </c>
      <c r="O4978" s="2">
        <f ca="1"/>
        <v>0.64556854192936952</v>
      </c>
      <c r="X4978" s="2">
        <f ca="1"/>
        <v>58.982685920232321</v>
      </c>
      <c r="AG4978" s="2">
        <f ca="1"/>
        <v>0.48637648302100778</v>
      </c>
      <c r="AH4978" s="2" t="str">
        <f ca="1"/>
        <v>Bad</v>
      </c>
    </row>
    <row r="4979" spans="2:34" x14ac:dyDescent="0.2">
      <c r="B4979" s="2">
        <f ca="1"/>
        <v>0.94589761180088194</v>
      </c>
      <c r="O4979" s="2">
        <f ca="1"/>
        <v>3.7249271736319131E-2</v>
      </c>
      <c r="X4979" s="2">
        <f ca="1"/>
        <v>75.97448323235821</v>
      </c>
      <c r="AG4979" s="2">
        <f ca="1"/>
        <v>2.0814036784703394E-2</v>
      </c>
      <c r="AH4979" s="2" t="str">
        <f ca="1"/>
        <v>Good</v>
      </c>
    </row>
    <row r="4980" spans="2:34" x14ac:dyDescent="0.2">
      <c r="B4980" s="2">
        <f ca="1"/>
        <v>0.24865811006766281</v>
      </c>
      <c r="O4980" s="2">
        <f ca="1"/>
        <v>0.41629481843414418</v>
      </c>
      <c r="X4980" s="2">
        <f ca="1"/>
        <v>37.92775948817328</v>
      </c>
      <c r="AG4980" s="2">
        <f ca="1"/>
        <v>0.13699287516736081</v>
      </c>
      <c r="AH4980" s="2" t="str">
        <f ca="1"/>
        <v>OK</v>
      </c>
    </row>
    <row r="4981" spans="2:34" x14ac:dyDescent="0.2">
      <c r="B4981" s="2">
        <f ca="1"/>
        <v>0.87032237275030155</v>
      </c>
      <c r="O4981" s="2">
        <f ca="1"/>
        <v>-0.24784358512874305</v>
      </c>
      <c r="X4981" s="2">
        <f ca="1"/>
        <v>69.499601519434165</v>
      </c>
      <c r="AG4981" s="2">
        <f ca="1"/>
        <v>0.5632588912752825</v>
      </c>
      <c r="AH4981" s="2" t="str">
        <f ca="1"/>
        <v>Bad</v>
      </c>
    </row>
    <row r="4982" spans="2:34" x14ac:dyDescent="0.2">
      <c r="B4982" s="2">
        <f ca="1"/>
        <v>4.5267030726918955E-2</v>
      </c>
      <c r="O4982" s="2">
        <f ca="1"/>
        <v>0.24746943722910139</v>
      </c>
      <c r="X4982" s="2">
        <f ca="1"/>
        <v>45.129148162182268</v>
      </c>
      <c r="AG4982" s="2">
        <f ca="1"/>
        <v>0.34917203831142718</v>
      </c>
      <c r="AH4982" s="2" t="str">
        <f ca="1"/>
        <v>OK</v>
      </c>
    </row>
    <row r="4983" spans="2:34" x14ac:dyDescent="0.2">
      <c r="B4983" s="2">
        <f ca="1"/>
        <v>0.74219204768253877</v>
      </c>
      <c r="O4983" s="2">
        <f ca="1"/>
        <v>0.4017633138525265</v>
      </c>
      <c r="X4983" s="2">
        <f ca="1"/>
        <v>71.883629996393324</v>
      </c>
      <c r="AG4983" s="2">
        <f ca="1"/>
        <v>0.76854667187153214</v>
      </c>
      <c r="AH4983" s="2" t="str">
        <f ca="1"/>
        <v>Bad</v>
      </c>
    </row>
    <row r="4984" spans="2:34" x14ac:dyDescent="0.2">
      <c r="B4984" s="2">
        <f ca="1"/>
        <v>0.66932652935908976</v>
      </c>
      <c r="O4984" s="2">
        <f ca="1"/>
        <v>-0.73907392389404947</v>
      </c>
      <c r="X4984" s="2">
        <f ca="1"/>
        <v>37.293958723463895</v>
      </c>
      <c r="AG4984" s="2">
        <f ca="1"/>
        <v>0.26139977657331093</v>
      </c>
      <c r="AH4984" s="2" t="str">
        <f ca="1"/>
        <v>OK</v>
      </c>
    </row>
    <row r="4985" spans="2:34" x14ac:dyDescent="0.2">
      <c r="B4985" s="2">
        <f ca="1"/>
        <v>0.63059008452613452</v>
      </c>
      <c r="O4985" s="2">
        <f ca="1"/>
        <v>0.48533781708627172</v>
      </c>
      <c r="X4985" s="2">
        <f ca="1"/>
        <v>36.373879980155863</v>
      </c>
      <c r="AG4985" s="2">
        <f ca="1"/>
        <v>0.28865762192581523</v>
      </c>
      <c r="AH4985" s="2" t="str">
        <f ca="1"/>
        <v>OK</v>
      </c>
    </row>
    <row r="4986" spans="2:34" x14ac:dyDescent="0.2">
      <c r="B4986" s="2">
        <f ca="1"/>
        <v>0.27866098937424577</v>
      </c>
      <c r="O4986" s="2">
        <f ca="1"/>
        <v>0.43845675486710789</v>
      </c>
      <c r="X4986" s="2">
        <f ca="1"/>
        <v>40.383591281713187</v>
      </c>
      <c r="AG4986" s="2">
        <f ca="1"/>
        <v>0.50155645836226848</v>
      </c>
      <c r="AH4986" s="2" t="str">
        <f ca="1"/>
        <v>Bad</v>
      </c>
    </row>
    <row r="4987" spans="2:34" x14ac:dyDescent="0.2">
      <c r="B4987" s="2">
        <f ca="1"/>
        <v>0.8982780429851458</v>
      </c>
      <c r="O4987" s="2">
        <f ca="1"/>
        <v>5.4754706062358389E-2</v>
      </c>
      <c r="X4987" s="2">
        <f ca="1"/>
        <v>44.684489869520448</v>
      </c>
      <c r="AG4987" s="2">
        <f ca="1"/>
        <v>0.8742591377187523</v>
      </c>
      <c r="AH4987" s="2" t="str">
        <f ca="1"/>
        <v>Bad</v>
      </c>
    </row>
    <row r="4988" spans="2:34" x14ac:dyDescent="0.2">
      <c r="B4988" s="2">
        <f ca="1"/>
        <v>0.96491260968182435</v>
      </c>
      <c r="O4988" s="2">
        <f ca="1"/>
        <v>-0.26637878928456021</v>
      </c>
      <c r="X4988" s="2">
        <f ca="1"/>
        <v>56.420229757098184</v>
      </c>
      <c r="AG4988" s="2">
        <f ca="1"/>
        <v>0.55141016957166</v>
      </c>
      <c r="AH4988" s="2" t="str">
        <f ca="1"/>
        <v>Bad</v>
      </c>
    </row>
    <row r="4989" spans="2:34" x14ac:dyDescent="0.2">
      <c r="B4989" s="2">
        <f ca="1"/>
        <v>0.60340083948065315</v>
      </c>
      <c r="O4989" s="2">
        <f ca="1"/>
        <v>0.60458637836975393</v>
      </c>
      <c r="X4989" s="2">
        <f ca="1"/>
        <v>74.132831498395561</v>
      </c>
      <c r="AG4989" s="2">
        <f ca="1"/>
        <v>9.7653296732043371E-2</v>
      </c>
      <c r="AH4989" s="2" t="str">
        <f ca="1"/>
        <v>OK</v>
      </c>
    </row>
    <row r="4990" spans="2:34" x14ac:dyDescent="0.2">
      <c r="B4990" s="2">
        <f ca="1"/>
        <v>0.19777978112343853</v>
      </c>
      <c r="O4990" s="2">
        <f ca="1"/>
        <v>-0.4925792480813061</v>
      </c>
      <c r="X4990" s="2">
        <f ca="1"/>
        <v>53.96163551148085</v>
      </c>
      <c r="AG4990" s="2">
        <f ca="1"/>
        <v>0.66958298296739782</v>
      </c>
      <c r="AH4990" s="2" t="str">
        <f ca="1"/>
        <v>Bad</v>
      </c>
    </row>
    <row r="4991" spans="2:34" x14ac:dyDescent="0.2">
      <c r="B4991" s="2">
        <f ca="1"/>
        <v>0.38253180190123626</v>
      </c>
      <c r="O4991" s="2">
        <f ca="1"/>
        <v>-7.2139913377920348E-2</v>
      </c>
      <c r="X4991" s="2">
        <f ca="1"/>
        <v>55.981423433684952</v>
      </c>
      <c r="AG4991" s="2">
        <f ca="1"/>
        <v>6.0063279216408194E-2</v>
      </c>
      <c r="AH4991" s="2" t="str">
        <f ca="1"/>
        <v>OK</v>
      </c>
    </row>
    <row r="4992" spans="2:34" x14ac:dyDescent="0.2">
      <c r="B4992" s="2">
        <f ca="1"/>
        <v>0.55558739825038939</v>
      </c>
      <c r="O4992" s="2">
        <f ca="1"/>
        <v>0.90145751795209939</v>
      </c>
      <c r="X4992" s="2">
        <f ca="1"/>
        <v>49.769023315461453</v>
      </c>
      <c r="AG4992" s="2">
        <f ca="1"/>
        <v>0.68803682332142535</v>
      </c>
      <c r="AH4992" s="2" t="str">
        <f ca="1"/>
        <v>Bad</v>
      </c>
    </row>
    <row r="4993" spans="2:34" x14ac:dyDescent="0.2">
      <c r="B4993" s="2">
        <f ca="1"/>
        <v>0.67384122534703073</v>
      </c>
      <c r="O4993" s="2">
        <f ca="1"/>
        <v>1.0571890064174951</v>
      </c>
      <c r="X4993" s="2">
        <f ca="1"/>
        <v>52.174858681840377</v>
      </c>
      <c r="AG4993" s="2">
        <f ca="1"/>
        <v>0.54363644331478556</v>
      </c>
      <c r="AH4993" s="2" t="str">
        <f ca="1"/>
        <v>Bad</v>
      </c>
    </row>
    <row r="4994" spans="2:34" x14ac:dyDescent="0.2">
      <c r="B4994" s="2">
        <f ca="1"/>
        <v>0.23230794734561799</v>
      </c>
      <c r="O4994" s="2">
        <f ca="1"/>
        <v>0.54256799694579949</v>
      </c>
      <c r="X4994" s="2">
        <f ca="1"/>
        <v>38.392792420398862</v>
      </c>
      <c r="AG4994" s="2">
        <f ca="1"/>
        <v>0.11048691404996402</v>
      </c>
      <c r="AH4994" s="2" t="str">
        <f ca="1"/>
        <v>OK</v>
      </c>
    </row>
    <row r="4995" spans="2:34" x14ac:dyDescent="0.2">
      <c r="B4995" s="2">
        <f ca="1"/>
        <v>0.83915748966599635</v>
      </c>
      <c r="O4995" s="2">
        <f ca="1"/>
        <v>-0.70047520966291588</v>
      </c>
      <c r="X4995" s="2">
        <f ca="1"/>
        <v>54.135703549575645</v>
      </c>
      <c r="AG4995" s="2">
        <f ca="1"/>
        <v>7.6097389287056227E-2</v>
      </c>
      <c r="AH4995" s="2" t="str">
        <f ca="1"/>
        <v>OK</v>
      </c>
    </row>
    <row r="4996" spans="2:34" x14ac:dyDescent="0.2">
      <c r="B4996" s="2">
        <f ca="1"/>
        <v>0.26093233724750586</v>
      </c>
      <c r="O4996" s="2">
        <f ca="1"/>
        <v>2.5433534027440158E-2</v>
      </c>
      <c r="X4996" s="2">
        <f ca="1"/>
        <v>48.305252487566676</v>
      </c>
      <c r="AG4996" s="2">
        <f ca="1"/>
        <v>0.60943600626076688</v>
      </c>
      <c r="AH4996" s="2" t="str">
        <f ca="1"/>
        <v>Bad</v>
      </c>
    </row>
    <row r="4997" spans="2:34" x14ac:dyDescent="0.2">
      <c r="B4997" s="2">
        <f ca="1"/>
        <v>0.37848352692736831</v>
      </c>
      <c r="O4997" s="2">
        <f ca="1"/>
        <v>0.19828189406244581</v>
      </c>
      <c r="X4997" s="2">
        <f ca="1"/>
        <v>27.939987349495226</v>
      </c>
      <c r="AG4997" s="2">
        <f ca="1"/>
        <v>0.47804906089897958</v>
      </c>
      <c r="AH4997" s="2" t="str">
        <f ca="1"/>
        <v>Bad</v>
      </c>
    </row>
    <row r="4998" spans="2:34" x14ac:dyDescent="0.2">
      <c r="B4998" s="2">
        <f ca="1"/>
        <v>0.73062877013953931</v>
      </c>
      <c r="O4998" s="2">
        <f ca="1"/>
        <v>0.50367214812241523</v>
      </c>
      <c r="X4998" s="2">
        <f ca="1"/>
        <v>46.653884055368607</v>
      </c>
      <c r="AG4998" s="2">
        <f ca="1"/>
        <v>0.37595304186626977</v>
      </c>
      <c r="AH4998" s="2" t="str">
        <f ca="1"/>
        <v>OK</v>
      </c>
    </row>
    <row r="4999" spans="2:34" x14ac:dyDescent="0.2">
      <c r="B4999" s="2">
        <f ca="1"/>
        <v>0.69930076074474945</v>
      </c>
      <c r="O4999" s="2">
        <f ca="1"/>
        <v>1.6144999397779662</v>
      </c>
      <c r="X4999" s="2">
        <f ca="1"/>
        <v>50.670527994817327</v>
      </c>
      <c r="AG4999" s="2">
        <f ca="1"/>
        <v>0.86243533658949789</v>
      </c>
      <c r="AH4999" s="2" t="str">
        <f ca="1"/>
        <v>Bad</v>
      </c>
    </row>
    <row r="5000" spans="2:34" x14ac:dyDescent="0.2">
      <c r="B5000" s="2">
        <f ca="1"/>
        <v>0.18571366220784746</v>
      </c>
      <c r="O5000" s="2">
        <f ca="1"/>
        <v>-0.43681642512647534</v>
      </c>
      <c r="X5000" s="2">
        <f ca="1"/>
        <v>35.79032933492006</v>
      </c>
      <c r="AG5000" s="2">
        <f ca="1"/>
        <v>0.33721242804841722</v>
      </c>
      <c r="AH5000" s="2" t="str">
        <f ca="1"/>
        <v>OK</v>
      </c>
    </row>
    <row r="5001" spans="2:34" x14ac:dyDescent="0.2">
      <c r="B5001" s="2">
        <f ca="1"/>
        <v>0.14283842355300425</v>
      </c>
      <c r="O5001" s="2">
        <f ca="1"/>
        <v>0.25286852246216845</v>
      </c>
      <c r="X5001" s="2">
        <f ca="1"/>
        <v>57.298114719993535</v>
      </c>
      <c r="AG5001" s="2">
        <f ca="1"/>
        <v>0.27654973164170338</v>
      </c>
      <c r="AH5001" s="2" t="str">
        <f ca="1"/>
        <v>OK</v>
      </c>
    </row>
    <row r="5002" spans="2:34" x14ac:dyDescent="0.2">
      <c r="B5002" s="2">
        <f ca="1"/>
        <v>0.92240205942563969</v>
      </c>
      <c r="O5002" s="2">
        <f ca="1"/>
        <v>1.3154166247068366</v>
      </c>
      <c r="X5002" s="2">
        <f ca="1"/>
        <v>53.293728861739183</v>
      </c>
      <c r="AG5002" s="2">
        <f ca="1"/>
        <v>0.52222443406871966</v>
      </c>
      <c r="AH5002" s="2" t="str">
        <f ca="1"/>
        <v>Bad</v>
      </c>
    </row>
    <row r="5003" spans="2:34" x14ac:dyDescent="0.2">
      <c r="B5003" s="2">
        <f ca="1"/>
        <v>0.94720354374743487</v>
      </c>
      <c r="O5003" s="2">
        <f ca="1"/>
        <v>-0.53128772065871266</v>
      </c>
      <c r="X5003" s="2">
        <f ca="1"/>
        <v>52.516249047615993</v>
      </c>
      <c r="AG5003" s="2">
        <f ca="1"/>
        <v>0.80953702601427957</v>
      </c>
      <c r="AH5003" s="2" t="str">
        <f ca="1"/>
        <v>Bad</v>
      </c>
    </row>
    <row r="5004" spans="2:34" x14ac:dyDescent="0.2">
      <c r="B5004" s="2">
        <f ca="1"/>
        <v>0.7465633841506969</v>
      </c>
      <c r="O5004" s="2">
        <f ca="1"/>
        <v>0.15850718958265944</v>
      </c>
      <c r="X5004" s="2">
        <f ca="1"/>
        <v>65.265806024622492</v>
      </c>
      <c r="AG5004" s="2">
        <f ca="1"/>
        <v>0.6113641070121949</v>
      </c>
      <c r="AH5004" s="2" t="str">
        <f ca="1"/>
        <v>Bad</v>
      </c>
    </row>
    <row r="5005" spans="2:34" x14ac:dyDescent="0.2">
      <c r="B5005" s="2">
        <f ca="1"/>
        <v>0.57616058680180759</v>
      </c>
      <c r="O5005" s="2">
        <f ca="1"/>
        <v>-1.7626539689877476</v>
      </c>
      <c r="X5005" s="2">
        <f ca="1"/>
        <v>48.283316297755533</v>
      </c>
      <c r="AG5005" s="2">
        <f ca="1"/>
        <v>0.40644437047771875</v>
      </c>
      <c r="AH5005" s="2" t="str">
        <f ca="1"/>
        <v>Bad</v>
      </c>
    </row>
    <row r="5006" spans="2:34" x14ac:dyDescent="0.2">
      <c r="B5006" s="2">
        <f ca="1"/>
        <v>0.90395794911779936</v>
      </c>
      <c r="O5006" s="2">
        <f ca="1"/>
        <v>0.98708860769329887</v>
      </c>
      <c r="X5006" s="2">
        <f ca="1"/>
        <v>53.799201688498606</v>
      </c>
      <c r="AG5006" s="2">
        <f ca="1"/>
        <v>0.72628054281174359</v>
      </c>
      <c r="AH5006" s="2" t="str">
        <f ca="1"/>
        <v>Bad</v>
      </c>
    </row>
    <row r="5007" spans="2:34" x14ac:dyDescent="0.2">
      <c r="B5007" s="2">
        <f ca="1"/>
        <v>0.23380337593711431</v>
      </c>
      <c r="O5007" s="2">
        <f ca="1"/>
        <v>-0.53392054419116131</v>
      </c>
      <c r="X5007" s="2">
        <f ca="1"/>
        <v>49.877623023295257</v>
      </c>
      <c r="AG5007" s="2">
        <f ca="1"/>
        <v>0.33687636041365043</v>
      </c>
      <c r="AH5007" s="2" t="str">
        <f ca="1"/>
        <v>OK</v>
      </c>
    </row>
    <row r="5008" spans="2:34" x14ac:dyDescent="0.2">
      <c r="B5008" s="2">
        <f ca="1"/>
        <v>0.78859340316972726</v>
      </c>
      <c r="O5008" s="2">
        <f ca="1"/>
        <v>5.1680463972413326E-2</v>
      </c>
      <c r="X5008" s="2">
        <f ca="1"/>
        <v>53.505473664664621</v>
      </c>
      <c r="AG5008" s="2">
        <f ca="1"/>
        <v>0.54556035448745277</v>
      </c>
      <c r="AH5008" s="2" t="str">
        <f ca="1"/>
        <v>Bad</v>
      </c>
    </row>
    <row r="5009" spans="2:34" x14ac:dyDescent="0.2">
      <c r="B5009" s="2">
        <f ca="1"/>
        <v>8.9176667705284318E-2</v>
      </c>
      <c r="O5009" s="2">
        <f ca="1"/>
        <v>0.79897813719404542</v>
      </c>
      <c r="X5009" s="2">
        <f ca="1"/>
        <v>82.520238465086322</v>
      </c>
      <c r="AG5009" s="2">
        <f ca="1"/>
        <v>0.90517696354875277</v>
      </c>
      <c r="AH5009" s="2" t="str">
        <f ca="1"/>
        <v>Bad</v>
      </c>
    </row>
    <row r="5010" spans="2:34" x14ac:dyDescent="0.2">
      <c r="B5010" s="2">
        <f ca="1"/>
        <v>0.48580589328415047</v>
      </c>
      <c r="O5010" s="2">
        <f ca="1"/>
        <v>-1.7488743867648857</v>
      </c>
      <c r="X5010" s="2">
        <f ca="1"/>
        <v>59.118078091866522</v>
      </c>
      <c r="AG5010" s="2">
        <f ca="1"/>
        <v>0.28163364627945664</v>
      </c>
      <c r="AH5010" s="2" t="str">
        <f ca="1"/>
        <v>OK</v>
      </c>
    </row>
    <row r="5011" spans="2:34" x14ac:dyDescent="0.2">
      <c r="B5011" s="2">
        <f ca="1"/>
        <v>7.0980327215768746E-2</v>
      </c>
      <c r="O5011" s="2">
        <f ca="1"/>
        <v>-3.1955237220877827E-2</v>
      </c>
      <c r="X5011" s="2">
        <f ca="1"/>
        <v>41.125058753491331</v>
      </c>
      <c r="AG5011" s="2">
        <f ca="1"/>
        <v>0.83193545769807886</v>
      </c>
      <c r="AH5011" s="2" t="str">
        <f ca="1"/>
        <v>Bad</v>
      </c>
    </row>
    <row r="5012" spans="2:34" x14ac:dyDescent="0.2">
      <c r="B5012" s="2">
        <f ca="1"/>
        <v>8.6626543784689147E-2</v>
      </c>
      <c r="O5012" s="2">
        <f ca="1"/>
        <v>0.67473399234847853</v>
      </c>
      <c r="X5012" s="2">
        <f ca="1"/>
        <v>55.380786778789208</v>
      </c>
      <c r="AG5012" s="2">
        <f ca="1"/>
        <v>0.78226662727731577</v>
      </c>
      <c r="AH5012" s="2" t="str">
        <f ca="1"/>
        <v>Bad</v>
      </c>
    </row>
    <row r="5013" spans="2:34" x14ac:dyDescent="0.2">
      <c r="B5013" s="2">
        <f ca="1"/>
        <v>0.3177323796598277</v>
      </c>
      <c r="O5013" s="2">
        <f ca="1"/>
        <v>0.35869010416458685</v>
      </c>
      <c r="X5013" s="2">
        <f ca="1"/>
        <v>40.189634720183804</v>
      </c>
      <c r="AG5013" s="2">
        <f ca="1"/>
        <v>0.54816279357754771</v>
      </c>
      <c r="AH5013" s="2" t="str">
        <f ca="1"/>
        <v>Bad</v>
      </c>
    </row>
    <row r="5014" spans="2:34" x14ac:dyDescent="0.2">
      <c r="B5014" s="2">
        <f ca="1"/>
        <v>0.55875026644065562</v>
      </c>
      <c r="O5014" s="2">
        <f ca="1"/>
        <v>1.3357388242688426</v>
      </c>
      <c r="X5014" s="2">
        <f ca="1"/>
        <v>63.614013248962024</v>
      </c>
      <c r="AG5014" s="2">
        <f ca="1"/>
        <v>5.4284542848525685E-2</v>
      </c>
      <c r="AH5014" s="2" t="str">
        <f ca="1"/>
        <v>OK</v>
      </c>
    </row>
    <row r="5015" spans="2:34" x14ac:dyDescent="0.2">
      <c r="B5015" s="2">
        <f ca="1"/>
        <v>0.42405485619744487</v>
      </c>
      <c r="O5015" s="2">
        <f ca="1"/>
        <v>-0.70763995423832693</v>
      </c>
      <c r="X5015" s="2">
        <f ca="1"/>
        <v>54.255793551684519</v>
      </c>
      <c r="AG5015" s="2">
        <f ca="1"/>
        <v>0.27891075915208074</v>
      </c>
      <c r="AH5015" s="2" t="str">
        <f ca="1"/>
        <v>OK</v>
      </c>
    </row>
    <row r="5016" spans="2:34" x14ac:dyDescent="0.2">
      <c r="B5016" s="2">
        <f ca="1"/>
        <v>0.82805534253863677</v>
      </c>
      <c r="O5016" s="2">
        <f ca="1"/>
        <v>-0.55497922868430782</v>
      </c>
      <c r="X5016" s="2">
        <f ca="1"/>
        <v>34.016065628818012</v>
      </c>
      <c r="AG5016" s="2">
        <f ca="1"/>
        <v>0.28681011644839205</v>
      </c>
      <c r="AH5016" s="2" t="str">
        <f ca="1"/>
        <v>OK</v>
      </c>
    </row>
    <row r="5017" spans="2:34" x14ac:dyDescent="0.2">
      <c r="B5017" s="2">
        <f ca="1"/>
        <v>0.15476293544865682</v>
      </c>
      <c r="O5017" s="2">
        <f ca="1"/>
        <v>0.36234220314083465</v>
      </c>
      <c r="X5017" s="2">
        <f ca="1"/>
        <v>41.655988700566439</v>
      </c>
      <c r="AG5017" s="2">
        <f ca="1"/>
        <v>0.4535710822673622</v>
      </c>
      <c r="AH5017" s="2" t="str">
        <f ca="1"/>
        <v>Bad</v>
      </c>
    </row>
    <row r="5018" spans="2:34" x14ac:dyDescent="0.2">
      <c r="B5018" s="2">
        <f ca="1"/>
        <v>0.32380042443871471</v>
      </c>
      <c r="O5018" s="2">
        <f ca="1"/>
        <v>0.2655793423485362</v>
      </c>
      <c r="X5018" s="2">
        <f ca="1"/>
        <v>63.368443776630265</v>
      </c>
      <c r="AG5018" s="2">
        <f ca="1"/>
        <v>0.42041955254158214</v>
      </c>
      <c r="AH5018" s="2" t="str">
        <f ca="1"/>
        <v>Bad</v>
      </c>
    </row>
    <row r="5019" spans="2:34" x14ac:dyDescent="0.2">
      <c r="B5019" s="2">
        <f ca="1"/>
        <v>0.35639372449251305</v>
      </c>
      <c r="O5019" s="2">
        <f ca="1"/>
        <v>-0.48620398622371791</v>
      </c>
      <c r="X5019" s="2">
        <f ca="1"/>
        <v>42.452728435242726</v>
      </c>
      <c r="AG5019" s="2">
        <f ca="1"/>
        <v>0.62495322038448697</v>
      </c>
      <c r="AH5019" s="2" t="str">
        <f ca="1"/>
        <v>Bad</v>
      </c>
    </row>
    <row r="5020" spans="2:34" x14ac:dyDescent="0.2">
      <c r="B5020" s="2">
        <f ca="1"/>
        <v>0.60812091523593881</v>
      </c>
      <c r="O5020" s="2">
        <f ca="1"/>
        <v>-0.75076294329041704</v>
      </c>
      <c r="X5020" s="2">
        <f ca="1"/>
        <v>54.251620164791731</v>
      </c>
      <c r="AG5020" s="2">
        <f ca="1"/>
        <v>0.24564181581632916</v>
      </c>
      <c r="AH5020" s="2" t="str">
        <f ca="1"/>
        <v>OK</v>
      </c>
    </row>
    <row r="5021" spans="2:34" x14ac:dyDescent="0.2">
      <c r="B5021" s="2">
        <f ca="1"/>
        <v>0.63241880127006334</v>
      </c>
      <c r="O5021" s="2">
        <f ca="1"/>
        <v>-1.4276763275501361</v>
      </c>
      <c r="X5021" s="2">
        <f ca="1"/>
        <v>37.017016564133314</v>
      </c>
      <c r="AG5021" s="2">
        <f ca="1"/>
        <v>0.54675546265261454</v>
      </c>
      <c r="AH5021" s="2" t="str">
        <f ca="1"/>
        <v>Bad</v>
      </c>
    </row>
    <row r="5022" spans="2:34" x14ac:dyDescent="0.2">
      <c r="B5022" s="2">
        <f ca="1"/>
        <v>0.66209131096665552</v>
      </c>
      <c r="O5022" s="2">
        <f ca="1"/>
        <v>-0.79610184347122481</v>
      </c>
      <c r="X5022" s="2">
        <f ca="1"/>
        <v>46.973510305906586</v>
      </c>
      <c r="AG5022" s="2">
        <f ca="1"/>
        <v>0.54386500921300063</v>
      </c>
      <c r="AH5022" s="2" t="str">
        <f ca="1"/>
        <v>Bad</v>
      </c>
    </row>
    <row r="5023" spans="2:34" x14ac:dyDescent="0.2">
      <c r="B5023" s="2">
        <f ca="1"/>
        <v>0.80905383846729984</v>
      </c>
      <c r="O5023" s="2">
        <f ca="1"/>
        <v>-0.81488370737445881</v>
      </c>
      <c r="X5023" s="2">
        <f ca="1"/>
        <v>50.737831649111357</v>
      </c>
      <c r="AG5023" s="2">
        <f ca="1"/>
        <v>0.67060053057068791</v>
      </c>
      <c r="AH5023" s="2" t="str">
        <f ca="1"/>
        <v>Bad</v>
      </c>
    </row>
    <row r="5024" spans="2:34" x14ac:dyDescent="0.2">
      <c r="B5024" s="2">
        <f ca="1"/>
        <v>0.37862030718116135</v>
      </c>
      <c r="O5024" s="2">
        <f ca="1"/>
        <v>0.78878558693081957</v>
      </c>
      <c r="X5024" s="2">
        <f ca="1"/>
        <v>86.588495844080285</v>
      </c>
      <c r="AG5024" s="2">
        <f ca="1"/>
        <v>0.78802404113874469</v>
      </c>
      <c r="AH5024" s="2" t="str">
        <f ca="1"/>
        <v>Bad</v>
      </c>
    </row>
    <row r="5025" spans="2:34" x14ac:dyDescent="0.2">
      <c r="B5025" s="2">
        <f ca="1"/>
        <v>0.29141307407118577</v>
      </c>
      <c r="O5025" s="2">
        <f ca="1"/>
        <v>-1.4658044920810096</v>
      </c>
      <c r="X5025" s="2">
        <f ca="1"/>
        <v>66.213075562881087</v>
      </c>
      <c r="AG5025" s="2">
        <f ca="1"/>
        <v>9.3293872915055864E-2</v>
      </c>
      <c r="AH5025" s="2" t="str">
        <f ca="1"/>
        <v>OK</v>
      </c>
    </row>
    <row r="5026" spans="2:34" x14ac:dyDescent="0.2">
      <c r="B5026" s="2">
        <f ca="1"/>
        <v>0.54701018460039519</v>
      </c>
      <c r="O5026" s="2">
        <f ca="1"/>
        <v>-1.0804562344392692</v>
      </c>
      <c r="X5026" s="2">
        <f ca="1"/>
        <v>64.252830830376453</v>
      </c>
      <c r="AG5026" s="2">
        <f ca="1"/>
        <v>0.34773093352576789</v>
      </c>
      <c r="AH5026" s="2" t="str">
        <f ca="1"/>
        <v>OK</v>
      </c>
    </row>
    <row r="5027" spans="2:34" x14ac:dyDescent="0.2">
      <c r="B5027" s="2">
        <f ca="1"/>
        <v>0.98795563991728574</v>
      </c>
      <c r="O5027" s="2">
        <f ca="1"/>
        <v>0.32577013505987645</v>
      </c>
      <c r="X5027" s="2">
        <f ca="1"/>
        <v>29.705901224160691</v>
      </c>
      <c r="AG5027" s="2">
        <f ca="1"/>
        <v>0.68863764191391441</v>
      </c>
      <c r="AH5027" s="2" t="str">
        <f ca="1"/>
        <v>Bad</v>
      </c>
    </row>
    <row r="5028" spans="2:34" x14ac:dyDescent="0.2">
      <c r="B5028" s="2">
        <f ca="1"/>
        <v>0.78720274608860397</v>
      </c>
      <c r="O5028" s="2">
        <f ca="1"/>
        <v>0.28950019752791095</v>
      </c>
      <c r="X5028" s="2">
        <f ca="1"/>
        <v>58.73625113700443</v>
      </c>
      <c r="AG5028" s="2">
        <f ca="1"/>
        <v>0.99588565198714529</v>
      </c>
      <c r="AH5028" s="2" t="str">
        <f ca="1"/>
        <v>Bad</v>
      </c>
    </row>
    <row r="5029" spans="2:34" x14ac:dyDescent="0.2">
      <c r="B5029" s="2">
        <f ca="1"/>
        <v>3.4954199102370742E-2</v>
      </c>
      <c r="O5029" s="2">
        <f ca="1"/>
        <v>-3.0046316145198633</v>
      </c>
      <c r="X5029" s="2">
        <f ca="1"/>
        <v>60.109584294313471</v>
      </c>
      <c r="AG5029" s="2">
        <f ca="1"/>
        <v>0.83085160252006807</v>
      </c>
      <c r="AH5029" s="2" t="str">
        <f ca="1"/>
        <v>Bad</v>
      </c>
    </row>
    <row r="5030" spans="2:34" x14ac:dyDescent="0.2">
      <c r="B5030" s="2">
        <f ca="1"/>
        <v>0.58809338293115987</v>
      </c>
      <c r="O5030" s="2">
        <f ca="1"/>
        <v>1.1832919801512725</v>
      </c>
      <c r="X5030" s="2">
        <f ca="1"/>
        <v>58.225303808076575</v>
      </c>
      <c r="AG5030" s="2">
        <f ca="1"/>
        <v>0.50732549450001274</v>
      </c>
      <c r="AH5030" s="2" t="str">
        <f ca="1"/>
        <v>Bad</v>
      </c>
    </row>
    <row r="5031" spans="2:34" x14ac:dyDescent="0.2">
      <c r="B5031" s="2">
        <f ca="1"/>
        <v>0.54501430884771085</v>
      </c>
      <c r="O5031" s="2">
        <f ca="1"/>
        <v>-1.9589029995729086</v>
      </c>
      <c r="X5031" s="2">
        <f ca="1"/>
        <v>27.595459501124143</v>
      </c>
      <c r="AG5031" s="2">
        <f ca="1"/>
        <v>0.94630097703527327</v>
      </c>
      <c r="AH5031" s="2" t="str">
        <f ca="1"/>
        <v>Bad</v>
      </c>
    </row>
    <row r="5032" spans="2:34" x14ac:dyDescent="0.2">
      <c r="B5032" s="2">
        <f ca="1"/>
        <v>6.1329369514238063E-2</v>
      </c>
      <c r="O5032" s="2">
        <f ca="1"/>
        <v>-1.3513753583935055</v>
      </c>
      <c r="X5032" s="2">
        <f ca="1"/>
        <v>40.833949510338769</v>
      </c>
      <c r="AG5032" s="2">
        <f ca="1"/>
        <v>0.29404351418900831</v>
      </c>
      <c r="AH5032" s="2" t="str">
        <f ca="1"/>
        <v>OK</v>
      </c>
    </row>
    <row r="5033" spans="2:34" x14ac:dyDescent="0.2">
      <c r="B5033" s="2">
        <f ca="1"/>
        <v>0.92411231441895669</v>
      </c>
      <c r="O5033" s="2">
        <f ca="1"/>
        <v>0.6552547863591367</v>
      </c>
      <c r="X5033" s="2">
        <f ca="1"/>
        <v>34.732303139020281</v>
      </c>
      <c r="AG5033" s="2">
        <f ca="1"/>
        <v>0.7558936278263253</v>
      </c>
      <c r="AH5033" s="2" t="str">
        <f ca="1"/>
        <v>Bad</v>
      </c>
    </row>
    <row r="5034" spans="2:34" x14ac:dyDescent="0.2">
      <c r="B5034" s="2">
        <f ca="1"/>
        <v>0.76835786873131195</v>
      </c>
      <c r="O5034" s="2">
        <f ca="1"/>
        <v>0.43593366935780847</v>
      </c>
      <c r="X5034" s="2">
        <f ca="1"/>
        <v>48.325541959922063</v>
      </c>
      <c r="AG5034" s="2">
        <f ca="1"/>
        <v>0.75026784817558045</v>
      </c>
      <c r="AH5034" s="2" t="str">
        <f ca="1"/>
        <v>Bad</v>
      </c>
    </row>
    <row r="5035" spans="2:34" x14ac:dyDescent="0.2">
      <c r="B5035" s="2">
        <f ca="1"/>
        <v>0.24470756102089886</v>
      </c>
      <c r="O5035" s="2">
        <f ca="1"/>
        <v>0.89770099092309719</v>
      </c>
      <c r="X5035" s="2">
        <f ca="1"/>
        <v>39.342606679022936</v>
      </c>
      <c r="AG5035" s="2">
        <f ca="1"/>
        <v>0.19525491008996698</v>
      </c>
      <c r="AH5035" s="2" t="str">
        <f ca="1"/>
        <v>OK</v>
      </c>
    </row>
    <row r="5036" spans="2:34" x14ac:dyDescent="0.2">
      <c r="B5036" s="2">
        <f ca="1"/>
        <v>3.8204981205443245E-2</v>
      </c>
      <c r="O5036" s="2">
        <f ca="1"/>
        <v>0.12026833542279701</v>
      </c>
      <c r="X5036" s="2">
        <f ca="1"/>
        <v>34.694617082031847</v>
      </c>
      <c r="AG5036" s="2">
        <f ca="1"/>
        <v>0.86245274643979797</v>
      </c>
      <c r="AH5036" s="2" t="str">
        <f ca="1"/>
        <v>Bad</v>
      </c>
    </row>
    <row r="5037" spans="2:34" x14ac:dyDescent="0.2">
      <c r="B5037" s="2">
        <f ca="1"/>
        <v>0.65664897340326522</v>
      </c>
      <c r="O5037" s="2">
        <f ca="1"/>
        <v>1.1079306107531242</v>
      </c>
      <c r="X5037" s="2">
        <f ca="1"/>
        <v>45.698283970006422</v>
      </c>
      <c r="AG5037" s="2">
        <f ca="1"/>
        <v>0.6943254005519699</v>
      </c>
      <c r="AH5037" s="2" t="str">
        <f ca="1"/>
        <v>Bad</v>
      </c>
    </row>
    <row r="5038" spans="2:34" x14ac:dyDescent="0.2">
      <c r="B5038" s="2">
        <f ca="1"/>
        <v>0.4140745579338363</v>
      </c>
      <c r="O5038" s="2">
        <f ca="1"/>
        <v>-0.89351261860421283</v>
      </c>
      <c r="X5038" s="2">
        <f ca="1"/>
        <v>25.968498554561322</v>
      </c>
      <c r="AG5038" s="2">
        <f ca="1"/>
        <v>0.90802507908411423</v>
      </c>
      <c r="AH5038" s="2" t="str">
        <f ca="1"/>
        <v>Bad</v>
      </c>
    </row>
    <row r="5039" spans="2:34" x14ac:dyDescent="0.2">
      <c r="B5039" s="2">
        <f ca="1"/>
        <v>0.78755521324686595</v>
      </c>
      <c r="O5039" s="2">
        <f ca="1"/>
        <v>-0.27344731645624254</v>
      </c>
      <c r="X5039" s="2">
        <f ca="1"/>
        <v>24.966805871180583</v>
      </c>
      <c r="AG5039" s="2">
        <f ca="1"/>
        <v>0.864837026370326</v>
      </c>
      <c r="AH5039" s="2" t="str">
        <f ca="1"/>
        <v>Bad</v>
      </c>
    </row>
    <row r="5040" spans="2:34" x14ac:dyDescent="0.2">
      <c r="B5040" s="2">
        <f ca="1"/>
        <v>0.90237147696964359</v>
      </c>
      <c r="O5040" s="2">
        <f ca="1"/>
        <v>-2.6213878869366263</v>
      </c>
      <c r="X5040" s="2">
        <f ca="1"/>
        <v>59.551215106710949</v>
      </c>
      <c r="AG5040" s="2">
        <f ca="1"/>
        <v>0.70676837081097754</v>
      </c>
      <c r="AH5040" s="2" t="str">
        <f ca="1"/>
        <v>Bad</v>
      </c>
    </row>
    <row r="5041" spans="2:34" x14ac:dyDescent="0.2">
      <c r="B5041" s="2">
        <f ca="1"/>
        <v>0.1395129652407523</v>
      </c>
      <c r="O5041" s="2">
        <f ca="1"/>
        <v>-0.99048919815250114</v>
      </c>
      <c r="X5041" s="2">
        <f ca="1"/>
        <v>48.551872854465302</v>
      </c>
      <c r="AG5041" s="2">
        <f ca="1"/>
        <v>2.5833111842791467E-2</v>
      </c>
      <c r="AH5041" s="2" t="str">
        <f ca="1"/>
        <v>Good</v>
      </c>
    </row>
    <row r="5042" spans="2:34" x14ac:dyDescent="0.2">
      <c r="B5042" s="2">
        <f ca="1"/>
        <v>0.78504893986307667</v>
      </c>
      <c r="O5042" s="2">
        <f ca="1"/>
        <v>-0.45339857725326321</v>
      </c>
      <c r="X5042" s="2">
        <f ca="1"/>
        <v>49.074004388021578</v>
      </c>
      <c r="AG5042" s="2">
        <f ca="1"/>
        <v>0.30707687111091331</v>
      </c>
      <c r="AH5042" s="2" t="str">
        <f ca="1"/>
        <v>OK</v>
      </c>
    </row>
    <row r="5043" spans="2:34" x14ac:dyDescent="0.2">
      <c r="B5043" s="2">
        <f ca="1"/>
        <v>9.108059625714171E-2</v>
      </c>
      <c r="O5043" s="2">
        <f ca="1"/>
        <v>-0.22824987801702645</v>
      </c>
      <c r="X5043" s="2">
        <f ca="1"/>
        <v>74.456280199274559</v>
      </c>
      <c r="AG5043" s="2">
        <f ca="1"/>
        <v>0.35698416174309067</v>
      </c>
      <c r="AH5043" s="2" t="str">
        <f ca="1"/>
        <v>OK</v>
      </c>
    </row>
    <row r="5044" spans="2:34" x14ac:dyDescent="0.2">
      <c r="B5044" s="2">
        <f ca="1"/>
        <v>0.57009322047619548</v>
      </c>
      <c r="O5044" s="2">
        <f ca="1"/>
        <v>0.15220621743805701</v>
      </c>
      <c r="X5044" s="2">
        <f ca="1"/>
        <v>49.337947683863064</v>
      </c>
      <c r="AG5044" s="2">
        <f ca="1"/>
        <v>0.53619231675354495</v>
      </c>
      <c r="AH5044" s="2" t="str">
        <f ca="1"/>
        <v>Bad</v>
      </c>
    </row>
    <row r="5045" spans="2:34" x14ac:dyDescent="0.2">
      <c r="B5045" s="2">
        <f ca="1"/>
        <v>0.33133661954553206</v>
      </c>
      <c r="O5045" s="2">
        <f ca="1"/>
        <v>-1.4558498900146872</v>
      </c>
      <c r="X5045" s="2">
        <f ca="1"/>
        <v>50.255280102624063</v>
      </c>
      <c r="AG5045" s="2">
        <f ca="1"/>
        <v>0.96088872390909241</v>
      </c>
      <c r="AH5045" s="2" t="str">
        <f ca="1"/>
        <v>Bad</v>
      </c>
    </row>
    <row r="5046" spans="2:34" x14ac:dyDescent="0.2">
      <c r="B5046" s="2">
        <f ca="1"/>
        <v>0.13360799109698762</v>
      </c>
      <c r="O5046" s="2">
        <f ca="1"/>
        <v>-0.50545828405891435</v>
      </c>
      <c r="X5046" s="2">
        <f ca="1"/>
        <v>59.598749281587672</v>
      </c>
      <c r="AG5046" s="2">
        <f ca="1"/>
        <v>0.90824915158990005</v>
      </c>
      <c r="AH5046" s="2" t="str">
        <f ca="1"/>
        <v>Bad</v>
      </c>
    </row>
    <row r="5047" spans="2:34" x14ac:dyDescent="0.2">
      <c r="B5047" s="2">
        <f ca="1"/>
        <v>0.89630119550994292</v>
      </c>
      <c r="O5047" s="2">
        <f ca="1"/>
        <v>-1.221927219276578</v>
      </c>
      <c r="X5047" s="2">
        <f ca="1"/>
        <v>58.718907878503828</v>
      </c>
      <c r="AG5047" s="2">
        <f ca="1"/>
        <v>0.62256078048299091</v>
      </c>
      <c r="AH5047" s="2" t="str">
        <f ca="1"/>
        <v>Bad</v>
      </c>
    </row>
    <row r="5048" spans="2:34" x14ac:dyDescent="0.2">
      <c r="B5048" s="2">
        <f ca="1"/>
        <v>0.86016722984910077</v>
      </c>
      <c r="O5048" s="2">
        <f ca="1"/>
        <v>-0.58521890996257486</v>
      </c>
      <c r="X5048" s="2">
        <f ca="1"/>
        <v>34.909457990423398</v>
      </c>
      <c r="AG5048" s="2">
        <f ca="1"/>
        <v>5.8732853841935384E-2</v>
      </c>
      <c r="AH5048" s="2" t="str">
        <f ca="1"/>
        <v>OK</v>
      </c>
    </row>
    <row r="5049" spans="2:34" x14ac:dyDescent="0.2">
      <c r="B5049" s="2">
        <f ca="1"/>
        <v>4.9478380106374953E-2</v>
      </c>
      <c r="O5049" s="2">
        <f ca="1"/>
        <v>-0.82936320980906086</v>
      </c>
      <c r="X5049" s="2">
        <f ca="1"/>
        <v>34.391673344970975</v>
      </c>
      <c r="AG5049" s="2">
        <f ca="1"/>
        <v>0.39362403417598268</v>
      </c>
      <c r="AH5049" s="2" t="str">
        <f ca="1"/>
        <v>OK</v>
      </c>
    </row>
    <row r="5050" spans="2:34" x14ac:dyDescent="0.2">
      <c r="B5050" s="2">
        <f ca="1"/>
        <v>0.46101959417718952</v>
      </c>
      <c r="O5050" s="2">
        <f ca="1"/>
        <v>1.019928924191088</v>
      </c>
      <c r="X5050" s="2">
        <f ca="1"/>
        <v>32.693186216061825</v>
      </c>
      <c r="AG5050" s="2">
        <f ca="1"/>
        <v>0.72904530592787697</v>
      </c>
      <c r="AH5050" s="2" t="str">
        <f ca="1"/>
        <v>Bad</v>
      </c>
    </row>
    <row r="5051" spans="2:34" x14ac:dyDescent="0.2">
      <c r="B5051" s="2">
        <f ca="1"/>
        <v>0.75938832271032108</v>
      </c>
      <c r="O5051" s="2">
        <f ca="1"/>
        <v>-0.73285930946521216</v>
      </c>
      <c r="X5051" s="2">
        <f ca="1"/>
        <v>51.584462222609147</v>
      </c>
      <c r="AG5051" s="2">
        <f ca="1"/>
        <v>0.29303910133102806</v>
      </c>
      <c r="AH5051" s="2" t="str">
        <f ca="1"/>
        <v>OK</v>
      </c>
    </row>
    <row r="5052" spans="2:34" x14ac:dyDescent="0.2">
      <c r="B5052" s="2">
        <f ca="1"/>
        <v>0.74474724432853923</v>
      </c>
      <c r="O5052" s="2">
        <f ca="1"/>
        <v>0.67447278074430483</v>
      </c>
      <c r="X5052" s="2">
        <f ca="1"/>
        <v>79.15707739739284</v>
      </c>
      <c r="AG5052" s="2">
        <f ca="1"/>
        <v>0.24686088705487186</v>
      </c>
      <c r="AH5052" s="2" t="str">
        <f ca="1"/>
        <v>OK</v>
      </c>
    </row>
    <row r="5053" spans="2:34" x14ac:dyDescent="0.2">
      <c r="B5053" s="2">
        <f ca="1"/>
        <v>0.15552822530277632</v>
      </c>
      <c r="O5053" s="2">
        <f ca="1"/>
        <v>-0.65651612448291852</v>
      </c>
      <c r="X5053" s="2">
        <f ca="1"/>
        <v>32.122621190072685</v>
      </c>
      <c r="AG5053" s="2">
        <f ca="1"/>
        <v>0.67975547330901787</v>
      </c>
      <c r="AH5053" s="2" t="str">
        <f ca="1"/>
        <v>Bad</v>
      </c>
    </row>
    <row r="5054" spans="2:34" x14ac:dyDescent="0.2">
      <c r="B5054" s="2">
        <f ca="1"/>
        <v>5.0371109635062306E-2</v>
      </c>
      <c r="O5054" s="2">
        <f ca="1"/>
        <v>1.8929747564035617</v>
      </c>
      <c r="X5054" s="2">
        <f ca="1"/>
        <v>36.388898435723085</v>
      </c>
      <c r="AG5054" s="2">
        <f ca="1"/>
        <v>0.20174262013957378</v>
      </c>
      <c r="AH5054" s="2" t="str">
        <f ca="1"/>
        <v>OK</v>
      </c>
    </row>
    <row r="5055" spans="2:34" x14ac:dyDescent="0.2">
      <c r="B5055" s="2">
        <f ca="1"/>
        <v>0.9167231859230518</v>
      </c>
      <c r="O5055" s="2">
        <f ca="1"/>
        <v>-0.3101086643817722</v>
      </c>
      <c r="X5055" s="2">
        <f ca="1"/>
        <v>54.231643829385298</v>
      </c>
      <c r="AG5055" s="2">
        <f ca="1"/>
        <v>0.82303896989931036</v>
      </c>
      <c r="AH5055" s="2" t="str">
        <f ca="1"/>
        <v>Bad</v>
      </c>
    </row>
    <row r="5056" spans="2:34" x14ac:dyDescent="0.2">
      <c r="B5056" s="2">
        <f ca="1"/>
        <v>0.24022907814291727</v>
      </c>
      <c r="O5056" s="2">
        <f ca="1"/>
        <v>-0.91851509078854088</v>
      </c>
      <c r="X5056" s="2">
        <f ca="1"/>
        <v>77.530795747238784</v>
      </c>
      <c r="AG5056" s="2">
        <f ca="1"/>
        <v>9.1112967886104679E-2</v>
      </c>
      <c r="AH5056" s="2" t="str">
        <f ca="1"/>
        <v>OK</v>
      </c>
    </row>
    <row r="5057" spans="2:34" x14ac:dyDescent="0.2">
      <c r="B5057" s="2">
        <f ca="1"/>
        <v>0.47653977894881971</v>
      </c>
      <c r="O5057" s="2">
        <f ca="1"/>
        <v>-0.25493267208396986</v>
      </c>
      <c r="X5057" s="2">
        <f ca="1"/>
        <v>37.541467352503595</v>
      </c>
      <c r="AG5057" s="2">
        <f ca="1"/>
        <v>0.75283171409569549</v>
      </c>
      <c r="AH5057" s="2" t="str">
        <f ca="1"/>
        <v>Bad</v>
      </c>
    </row>
    <row r="5058" spans="2:34" x14ac:dyDescent="0.2">
      <c r="B5058" s="2">
        <f ca="1"/>
        <v>0.11499223815174697</v>
      </c>
      <c r="O5058" s="2">
        <f ca="1"/>
        <v>0.61540860832678457</v>
      </c>
      <c r="X5058" s="2">
        <f ca="1"/>
        <v>48.193146748898187</v>
      </c>
      <c r="AG5058" s="2">
        <f ca="1"/>
        <v>0.48731438180629794</v>
      </c>
      <c r="AH5058" s="2" t="str">
        <f ca="1"/>
        <v>Bad</v>
      </c>
    </row>
    <row r="5059" spans="2:34" x14ac:dyDescent="0.2">
      <c r="B5059" s="2">
        <f ca="1"/>
        <v>0.46680750958315942</v>
      </c>
      <c r="O5059" s="2">
        <f ca="1"/>
        <v>2.1684401726339586</v>
      </c>
      <c r="X5059" s="2">
        <f ca="1"/>
        <v>33.694876283539557</v>
      </c>
      <c r="AG5059" s="2">
        <f ca="1"/>
        <v>0.92408294374841238</v>
      </c>
      <c r="AH5059" s="2" t="str">
        <f ca="1"/>
        <v>Bad</v>
      </c>
    </row>
    <row r="5060" spans="2:34" x14ac:dyDescent="0.2">
      <c r="B5060" s="2">
        <f ca="1"/>
        <v>0.64585856118146023</v>
      </c>
      <c r="O5060" s="2">
        <f ca="1"/>
        <v>-0.61475631728429991</v>
      </c>
      <c r="X5060" s="2">
        <f ca="1"/>
        <v>57.871390158745264</v>
      </c>
      <c r="AG5060" s="2">
        <f ca="1"/>
        <v>0.49207802830353287</v>
      </c>
      <c r="AH5060" s="2" t="str">
        <f ca="1"/>
        <v>Bad</v>
      </c>
    </row>
    <row r="5061" spans="2:34" x14ac:dyDescent="0.2">
      <c r="B5061" s="2">
        <f ca="1"/>
        <v>0.59671698439608178</v>
      </c>
      <c r="O5061" s="2">
        <f ca="1"/>
        <v>-0.17397327069703769</v>
      </c>
      <c r="X5061" s="2">
        <f ca="1"/>
        <v>70.535119718224891</v>
      </c>
      <c r="AG5061" s="2">
        <f ca="1"/>
        <v>0.21234510841955179</v>
      </c>
      <c r="AH5061" s="2" t="str">
        <f ca="1"/>
        <v>OK</v>
      </c>
    </row>
    <row r="5062" spans="2:34" x14ac:dyDescent="0.2">
      <c r="B5062" s="2">
        <f ca="1"/>
        <v>0.16612602925646658</v>
      </c>
      <c r="O5062" s="2">
        <f ca="1"/>
        <v>-0.2992272746286469</v>
      </c>
      <c r="X5062" s="2">
        <f ca="1"/>
        <v>74.1557955199101</v>
      </c>
      <c r="AG5062" s="2">
        <f ca="1"/>
        <v>0.30491352577541408</v>
      </c>
      <c r="AH5062" s="2" t="str">
        <f ca="1"/>
        <v>OK</v>
      </c>
    </row>
    <row r="5063" spans="2:34" x14ac:dyDescent="0.2">
      <c r="B5063" s="2">
        <f ca="1"/>
        <v>0.60923103010659307</v>
      </c>
      <c r="O5063" s="2">
        <f ca="1"/>
        <v>1.0477043348615684</v>
      </c>
      <c r="X5063" s="2">
        <f ca="1"/>
        <v>38.477075530931366</v>
      </c>
      <c r="AG5063" s="2">
        <f ca="1"/>
        <v>0.66779642516066939</v>
      </c>
      <c r="AH5063" s="2" t="str">
        <f ca="1"/>
        <v>Bad</v>
      </c>
    </row>
    <row r="5064" spans="2:34" x14ac:dyDescent="0.2">
      <c r="B5064" s="2">
        <f ca="1"/>
        <v>7.5969211410804593E-2</v>
      </c>
      <c r="O5064" s="2">
        <f ca="1"/>
        <v>-1.51177429005553</v>
      </c>
      <c r="X5064" s="2">
        <f ca="1"/>
        <v>55.854874443855557</v>
      </c>
      <c r="AG5064" s="2">
        <f ca="1"/>
        <v>0.6374011123716905</v>
      </c>
      <c r="AH5064" s="2" t="str">
        <f ca="1"/>
        <v>Bad</v>
      </c>
    </row>
    <row r="5065" spans="2:34" x14ac:dyDescent="0.2">
      <c r="B5065" s="2">
        <f ca="1"/>
        <v>0.9509999676811105</v>
      </c>
      <c r="O5065" s="2">
        <f ca="1"/>
        <v>0.83735689089165044</v>
      </c>
      <c r="X5065" s="2">
        <f ca="1"/>
        <v>28.115748876584252</v>
      </c>
      <c r="AG5065" s="2">
        <f ca="1"/>
        <v>0.58459521539928683</v>
      </c>
      <c r="AH5065" s="2" t="str">
        <f ca="1"/>
        <v>Bad</v>
      </c>
    </row>
    <row r="5066" spans="2:34" x14ac:dyDescent="0.2">
      <c r="B5066" s="2">
        <f ca="1"/>
        <v>5.1793223778735964E-2</v>
      </c>
      <c r="O5066" s="2">
        <f ca="1"/>
        <v>0.49583859401902303</v>
      </c>
      <c r="X5066" s="2">
        <f ca="1"/>
        <v>61.614473240063703</v>
      </c>
      <c r="AG5066" s="2">
        <f ca="1"/>
        <v>0.73087938290727017</v>
      </c>
      <c r="AH5066" s="2" t="str">
        <f ca="1"/>
        <v>Bad</v>
      </c>
    </row>
    <row r="5067" spans="2:34" x14ac:dyDescent="0.2">
      <c r="B5067" s="2">
        <f ca="1"/>
        <v>5.4762245478285676E-2</v>
      </c>
      <c r="O5067" s="2">
        <f ca="1"/>
        <v>-0.86457352318605785</v>
      </c>
      <c r="X5067" s="2">
        <f ca="1"/>
        <v>76.574975671944685</v>
      </c>
      <c r="AG5067" s="2">
        <f ca="1"/>
        <v>0.96895134224817814</v>
      </c>
      <c r="AH5067" s="2" t="str">
        <f ca="1"/>
        <v>Bad</v>
      </c>
    </row>
    <row r="5068" spans="2:34" x14ac:dyDescent="0.2">
      <c r="B5068" s="2">
        <f ca="1"/>
        <v>0.46838952900355624</v>
      </c>
      <c r="O5068" s="2">
        <f ca="1"/>
        <v>1.6258950937147265</v>
      </c>
      <c r="X5068" s="2">
        <f ca="1"/>
        <v>45.974722978485232</v>
      </c>
      <c r="AG5068" s="2">
        <f ca="1"/>
        <v>0.10614872094782002</v>
      </c>
      <c r="AH5068" s="2" t="str">
        <f ca="1"/>
        <v>OK</v>
      </c>
    </row>
    <row r="5069" spans="2:34" x14ac:dyDescent="0.2">
      <c r="B5069" s="2">
        <f ca="1"/>
        <v>0.14993391391783484</v>
      </c>
      <c r="O5069" s="2">
        <f ca="1"/>
        <v>0.80680234230347558</v>
      </c>
      <c r="X5069" s="2">
        <f ca="1"/>
        <v>53.961474819186961</v>
      </c>
      <c r="AG5069" s="2">
        <f ca="1"/>
        <v>0.79725468287028156</v>
      </c>
      <c r="AH5069" s="2" t="str">
        <f ca="1"/>
        <v>Bad</v>
      </c>
    </row>
    <row r="5070" spans="2:34" x14ac:dyDescent="0.2">
      <c r="B5070" s="2">
        <f ca="1"/>
        <v>0.13829367862491648</v>
      </c>
      <c r="O5070" s="2">
        <f ca="1"/>
        <v>-0.73772687480126642</v>
      </c>
      <c r="X5070" s="2">
        <f ca="1"/>
        <v>35.090185076705225</v>
      </c>
      <c r="AG5070" s="2">
        <f ca="1"/>
        <v>0.33050529551748253</v>
      </c>
      <c r="AH5070" s="2" t="str">
        <f ca="1"/>
        <v>OK</v>
      </c>
    </row>
    <row r="5071" spans="2:34" x14ac:dyDescent="0.2">
      <c r="B5071" s="2">
        <f ca="1"/>
        <v>0.75407440059958963</v>
      </c>
      <c r="O5071" s="2">
        <f ca="1"/>
        <v>1.2516777445701277</v>
      </c>
      <c r="X5071" s="2">
        <f ca="1"/>
        <v>50.388732367010995</v>
      </c>
      <c r="AG5071" s="2">
        <f ca="1"/>
        <v>0.33754709516139836</v>
      </c>
      <c r="AH5071" s="2" t="str">
        <f ca="1"/>
        <v>OK</v>
      </c>
    </row>
    <row r="5072" spans="2:34" x14ac:dyDescent="0.2">
      <c r="B5072" s="2">
        <f ca="1"/>
        <v>0.9505067715940565</v>
      </c>
      <c r="O5072" s="2">
        <f ca="1"/>
        <v>0.87066858284431925</v>
      </c>
      <c r="X5072" s="2">
        <f ca="1"/>
        <v>37.404377948391769</v>
      </c>
      <c r="AG5072" s="2">
        <f ca="1"/>
        <v>0.3817464712479044</v>
      </c>
      <c r="AH5072" s="2" t="str">
        <f ca="1"/>
        <v>OK</v>
      </c>
    </row>
    <row r="5073" spans="2:34" x14ac:dyDescent="0.2">
      <c r="B5073" s="2">
        <f ca="1"/>
        <v>7.1413776370432114E-2</v>
      </c>
      <c r="O5073" s="2">
        <f ca="1"/>
        <v>-0.92783820858331112</v>
      </c>
      <c r="X5073" s="2">
        <f ca="1"/>
        <v>62.422856808617908</v>
      </c>
      <c r="AG5073" s="2">
        <f ca="1"/>
        <v>0.48525437066445032</v>
      </c>
      <c r="AH5073" s="2" t="str">
        <f ca="1"/>
        <v>Bad</v>
      </c>
    </row>
    <row r="5074" spans="2:34" x14ac:dyDescent="0.2">
      <c r="B5074" s="2">
        <f ca="1"/>
        <v>0.62776906397049625</v>
      </c>
      <c r="O5074" s="2">
        <f ca="1"/>
        <v>-0.87005667087811611</v>
      </c>
      <c r="X5074" s="2">
        <f ca="1"/>
        <v>61.317510346300786</v>
      </c>
      <c r="AG5074" s="2">
        <f ca="1"/>
        <v>0.66962982629140422</v>
      </c>
      <c r="AH5074" s="2" t="str">
        <f ca="1"/>
        <v>Bad</v>
      </c>
    </row>
    <row r="5075" spans="2:34" x14ac:dyDescent="0.2">
      <c r="B5075" s="2">
        <f ca="1"/>
        <v>0.4355062035528221</v>
      </c>
      <c r="O5075" s="2">
        <f ca="1"/>
        <v>-0.53191147497792368</v>
      </c>
      <c r="X5075" s="2">
        <f ca="1"/>
        <v>53.57712309009527</v>
      </c>
      <c r="AG5075" s="2">
        <f ca="1"/>
        <v>0.17036271348530496</v>
      </c>
      <c r="AH5075" s="2" t="str">
        <f ca="1"/>
        <v>OK</v>
      </c>
    </row>
    <row r="5076" spans="2:34" x14ac:dyDescent="0.2">
      <c r="B5076" s="2">
        <f ca="1"/>
        <v>0.92425956320420188</v>
      </c>
      <c r="O5076" s="2">
        <f ca="1"/>
        <v>0.56796240148035337</v>
      </c>
      <c r="X5076" s="2">
        <f ca="1"/>
        <v>12.564318152066033</v>
      </c>
      <c r="AG5076" s="2">
        <f ca="1"/>
        <v>0.602212619795087</v>
      </c>
      <c r="AH5076" s="2" t="str">
        <f ca="1"/>
        <v>Bad</v>
      </c>
    </row>
    <row r="5077" spans="2:34" x14ac:dyDescent="0.2">
      <c r="B5077" s="2">
        <f ca="1"/>
        <v>0.88920750179297858</v>
      </c>
      <c r="O5077" s="2">
        <f ca="1"/>
        <v>-0.31955985676628185</v>
      </c>
      <c r="X5077" s="2">
        <f ca="1"/>
        <v>51.916651215825397</v>
      </c>
      <c r="AG5077" s="2">
        <f ca="1"/>
        <v>0.25608294073793392</v>
      </c>
      <c r="AH5077" s="2" t="str">
        <f ca="1"/>
        <v>OK</v>
      </c>
    </row>
    <row r="5078" spans="2:34" x14ac:dyDescent="0.2">
      <c r="B5078" s="2">
        <f ca="1"/>
        <v>0.92082500568494163</v>
      </c>
      <c r="O5078" s="2">
        <f ca="1"/>
        <v>4.5733041069012992E-2</v>
      </c>
      <c r="X5078" s="2">
        <f ca="1"/>
        <v>41.655536480416046</v>
      </c>
      <c r="AG5078" s="2">
        <f ca="1"/>
        <v>0.2903600801760704</v>
      </c>
      <c r="AH5078" s="2" t="str">
        <f ca="1"/>
        <v>OK</v>
      </c>
    </row>
    <row r="5079" spans="2:34" x14ac:dyDescent="0.2">
      <c r="B5079" s="2">
        <f ca="1"/>
        <v>0.7841678402352299</v>
      </c>
      <c r="O5079" s="2">
        <f ca="1"/>
        <v>0.94650679363224344</v>
      </c>
      <c r="X5079" s="2">
        <f ca="1"/>
        <v>70.607715491313357</v>
      </c>
      <c r="AG5079" s="2">
        <f ca="1"/>
        <v>0.39265568086120073</v>
      </c>
      <c r="AH5079" s="2" t="str">
        <f ca="1"/>
        <v>OK</v>
      </c>
    </row>
    <row r="5080" spans="2:34" x14ac:dyDescent="0.2">
      <c r="B5080" s="2">
        <f ca="1"/>
        <v>0.93365299715243544</v>
      </c>
      <c r="O5080" s="2">
        <f ca="1"/>
        <v>0.34692118049222814</v>
      </c>
      <c r="X5080" s="2">
        <f ca="1"/>
        <v>42.671033809033716</v>
      </c>
      <c r="AG5080" s="2">
        <f ca="1"/>
        <v>0.91930969196099022</v>
      </c>
      <c r="AH5080" s="2" t="str">
        <f ca="1"/>
        <v>Bad</v>
      </c>
    </row>
    <row r="5081" spans="2:34" x14ac:dyDescent="0.2">
      <c r="B5081" s="2">
        <f ca="1"/>
        <v>0.10977013580714345</v>
      </c>
      <c r="O5081" s="2">
        <f ca="1"/>
        <v>-6.0891343989404864E-2</v>
      </c>
      <c r="X5081" s="2">
        <f ca="1"/>
        <v>53.337285139785934</v>
      </c>
      <c r="AG5081" s="2">
        <f ca="1"/>
        <v>0.99686707950556097</v>
      </c>
      <c r="AH5081" s="2" t="str">
        <f ca="1"/>
        <v>Bad</v>
      </c>
    </row>
    <row r="5082" spans="2:34" x14ac:dyDescent="0.2">
      <c r="B5082" s="2">
        <f ca="1"/>
        <v>0.4508729651643657</v>
      </c>
      <c r="O5082" s="2">
        <f ca="1"/>
        <v>1.584060331920266</v>
      </c>
      <c r="X5082" s="2">
        <f ca="1"/>
        <v>52.097641475348922</v>
      </c>
      <c r="AG5082" s="2">
        <f ca="1"/>
        <v>0.77465256004687766</v>
      </c>
      <c r="AH5082" s="2" t="str">
        <f ca="1"/>
        <v>Bad</v>
      </c>
    </row>
    <row r="5083" spans="2:34" x14ac:dyDescent="0.2">
      <c r="B5083" s="2">
        <f ca="1"/>
        <v>0.85931686324866718</v>
      </c>
      <c r="O5083" s="2">
        <f ca="1"/>
        <v>-1.4834727313225982</v>
      </c>
      <c r="X5083" s="2">
        <f ca="1"/>
        <v>32.840332579135271</v>
      </c>
      <c r="AG5083" s="2">
        <f ca="1"/>
        <v>0.10892858439560382</v>
      </c>
      <c r="AH5083" s="2" t="str">
        <f ca="1"/>
        <v>OK</v>
      </c>
    </row>
    <row r="5084" spans="2:34" x14ac:dyDescent="0.2">
      <c r="B5084" s="2">
        <f ca="1"/>
        <v>0.48189169883304794</v>
      </c>
      <c r="O5084" s="2">
        <f ca="1"/>
        <v>-1.40002922585388</v>
      </c>
      <c r="X5084" s="2">
        <f ca="1"/>
        <v>50.832296843478908</v>
      </c>
      <c r="AG5084" s="2">
        <f ca="1"/>
        <v>0.85657818686091658</v>
      </c>
      <c r="AH5084" s="2" t="str">
        <f ca="1"/>
        <v>Bad</v>
      </c>
    </row>
    <row r="5085" spans="2:34" x14ac:dyDescent="0.2">
      <c r="B5085" s="2">
        <f ca="1"/>
        <v>0.33016839171951506</v>
      </c>
      <c r="O5085" s="2">
        <f ca="1"/>
        <v>-0.45448884165322573</v>
      </c>
      <c r="X5085" s="2">
        <f ca="1"/>
        <v>66.549153035115054</v>
      </c>
      <c r="AG5085" s="2">
        <f ca="1"/>
        <v>0.90677637737542693</v>
      </c>
      <c r="AH5085" s="2" t="str">
        <f ca="1"/>
        <v>Bad</v>
      </c>
    </row>
    <row r="5086" spans="2:34" x14ac:dyDescent="0.2">
      <c r="B5086" s="2">
        <f ca="1"/>
        <v>0.75150080071948566</v>
      </c>
      <c r="O5086" s="2">
        <f ca="1"/>
        <v>-1.2593397649932303</v>
      </c>
      <c r="X5086" s="2">
        <f ca="1"/>
        <v>43.548237254221426</v>
      </c>
      <c r="AG5086" s="2">
        <f ca="1"/>
        <v>0.92536829142291621</v>
      </c>
      <c r="AH5086" s="2" t="str">
        <f ca="1"/>
        <v>Bad</v>
      </c>
    </row>
    <row r="5087" spans="2:34" x14ac:dyDescent="0.2">
      <c r="B5087" s="2">
        <f ca="1"/>
        <v>0.50816917726925803</v>
      </c>
      <c r="O5087" s="2">
        <f ca="1"/>
        <v>-1.3611860386313339</v>
      </c>
      <c r="X5087" s="2">
        <f ca="1"/>
        <v>60.701273066598532</v>
      </c>
      <c r="AG5087" s="2">
        <f ca="1"/>
        <v>0.93420547634362827</v>
      </c>
      <c r="AH5087" s="2" t="str">
        <f ca="1"/>
        <v>Bad</v>
      </c>
    </row>
    <row r="5088" spans="2:34" x14ac:dyDescent="0.2">
      <c r="B5088" s="2">
        <f ca="1"/>
        <v>0.74207491584879715</v>
      </c>
      <c r="O5088" s="2">
        <f ca="1"/>
        <v>-0.17148759435159316</v>
      </c>
      <c r="X5088" s="2">
        <f ca="1"/>
        <v>45.653886632435388</v>
      </c>
      <c r="AG5088" s="2">
        <f ca="1"/>
        <v>0.58278244022496684</v>
      </c>
      <c r="AH5088" s="2" t="str">
        <f ca="1"/>
        <v>Bad</v>
      </c>
    </row>
    <row r="5089" spans="2:34" x14ac:dyDescent="0.2">
      <c r="B5089" s="2">
        <f ca="1"/>
        <v>0.91170075856108035</v>
      </c>
      <c r="O5089" s="2">
        <f ca="1"/>
        <v>-0.20966051975342379</v>
      </c>
      <c r="X5089" s="2">
        <f ca="1"/>
        <v>37.521823384348373</v>
      </c>
      <c r="AG5089" s="2">
        <f ca="1"/>
        <v>0.93347784778332943</v>
      </c>
      <c r="AH5089" s="2" t="str">
        <f ca="1"/>
        <v>Bad</v>
      </c>
    </row>
    <row r="5090" spans="2:34" x14ac:dyDescent="0.2">
      <c r="B5090" s="2">
        <f ca="1"/>
        <v>0.46524691606869562</v>
      </c>
      <c r="O5090" s="2">
        <f ca="1"/>
        <v>-1.3693048612271703</v>
      </c>
      <c r="X5090" s="2">
        <f ca="1"/>
        <v>30.281257551790844</v>
      </c>
      <c r="AG5090" s="2">
        <f ca="1"/>
        <v>0.88462141260189497</v>
      </c>
      <c r="AH5090" s="2" t="str">
        <f ca="1"/>
        <v>Bad</v>
      </c>
    </row>
    <row r="5091" spans="2:34" x14ac:dyDescent="0.2">
      <c r="B5091" s="2">
        <f ca="1"/>
        <v>0.92185816499929385</v>
      </c>
      <c r="O5091" s="2">
        <f ca="1"/>
        <v>-0.80660881463555667</v>
      </c>
      <c r="X5091" s="2">
        <f ca="1"/>
        <v>24.156841574882915</v>
      </c>
      <c r="AG5091" s="2">
        <f ca="1"/>
        <v>0.96274448362161236</v>
      </c>
      <c r="AH5091" s="2" t="str">
        <f ca="1"/>
        <v>Bad</v>
      </c>
    </row>
    <row r="5092" spans="2:34" x14ac:dyDescent="0.2">
      <c r="B5092" s="2">
        <f ca="1"/>
        <v>0.77251450130145805</v>
      </c>
      <c r="O5092" s="2">
        <f ca="1"/>
        <v>-0.42641943800398407</v>
      </c>
      <c r="X5092" s="2">
        <f ca="1"/>
        <v>66.13765420854034</v>
      </c>
      <c r="AG5092" s="2">
        <f ca="1"/>
        <v>0.59034579043465607</v>
      </c>
      <c r="AH5092" s="2" t="str">
        <f ca="1"/>
        <v>Bad</v>
      </c>
    </row>
    <row r="5093" spans="2:34" x14ac:dyDescent="0.2">
      <c r="B5093" s="2">
        <f ca="1"/>
        <v>0.6873552873526334</v>
      </c>
      <c r="O5093" s="2">
        <f ca="1"/>
        <v>1.8366943681648047</v>
      </c>
      <c r="X5093" s="2">
        <f ca="1"/>
        <v>44.00751086285883</v>
      </c>
      <c r="AG5093" s="2">
        <f ca="1"/>
        <v>4.7638117647603728E-2</v>
      </c>
      <c r="AH5093" s="2" t="str">
        <f ca="1"/>
        <v>Good</v>
      </c>
    </row>
    <row r="5094" spans="2:34" x14ac:dyDescent="0.2">
      <c r="B5094" s="2">
        <f ca="1"/>
        <v>0.57742169057555848</v>
      </c>
      <c r="O5094" s="2">
        <f ca="1"/>
        <v>1.1226438656565589</v>
      </c>
      <c r="X5094" s="2">
        <f ca="1"/>
        <v>109.1310801827336</v>
      </c>
      <c r="AG5094" s="2">
        <f ca="1"/>
        <v>0.14623145989379949</v>
      </c>
      <c r="AH5094" s="2" t="str">
        <f ca="1"/>
        <v>OK</v>
      </c>
    </row>
    <row r="5095" spans="2:34" x14ac:dyDescent="0.2">
      <c r="B5095" s="2">
        <f ca="1"/>
        <v>0.45408139440209405</v>
      </c>
      <c r="O5095" s="2">
        <f ca="1"/>
        <v>0.16919104750771152</v>
      </c>
      <c r="X5095" s="2">
        <f ca="1"/>
        <v>27.981321162408165</v>
      </c>
      <c r="AG5095" s="2">
        <f ca="1"/>
        <v>0.3138172910921404</v>
      </c>
      <c r="AH5095" s="2" t="str">
        <f ca="1"/>
        <v>OK</v>
      </c>
    </row>
    <row r="5096" spans="2:34" x14ac:dyDescent="0.2">
      <c r="B5096" s="2">
        <f ca="1"/>
        <v>0.20672157256710544</v>
      </c>
      <c r="O5096" s="2">
        <f ca="1"/>
        <v>0.21179548729319805</v>
      </c>
      <c r="X5096" s="2">
        <f ca="1"/>
        <v>64.132294307682187</v>
      </c>
      <c r="AG5096" s="2">
        <f ca="1"/>
        <v>0.2828501054423278</v>
      </c>
      <c r="AH5096" s="2" t="str">
        <f ca="1"/>
        <v>OK</v>
      </c>
    </row>
    <row r="5097" spans="2:34" x14ac:dyDescent="0.2">
      <c r="B5097" s="2">
        <f ca="1"/>
        <v>0.88453799264553568</v>
      </c>
      <c r="O5097" s="2">
        <f ca="1"/>
        <v>-0.14400163058913593</v>
      </c>
      <c r="X5097" s="2">
        <f ca="1"/>
        <v>75.546704846489575</v>
      </c>
      <c r="AG5097" s="2">
        <f ca="1"/>
        <v>0.78617077533488944</v>
      </c>
      <c r="AH5097" s="2" t="str">
        <f ca="1"/>
        <v>Bad</v>
      </c>
    </row>
    <row r="5098" spans="2:34" x14ac:dyDescent="0.2">
      <c r="B5098" s="2">
        <f ca="1"/>
        <v>0.33020816968580879</v>
      </c>
      <c r="O5098" s="2">
        <f ca="1"/>
        <v>4.3501274163438204</v>
      </c>
      <c r="X5098" s="2">
        <f ca="1"/>
        <v>76.129360679565934</v>
      </c>
      <c r="AG5098" s="2">
        <f ca="1"/>
        <v>0.56697531158625436</v>
      </c>
      <c r="AH5098" s="2" t="str">
        <f ca="1"/>
        <v>Bad</v>
      </c>
    </row>
    <row r="5099" spans="2:34" x14ac:dyDescent="0.2">
      <c r="B5099" s="2">
        <f ca="1"/>
        <v>0.76595285032015248</v>
      </c>
      <c r="O5099" s="2">
        <f ca="1"/>
        <v>-0.56937720497538202</v>
      </c>
      <c r="X5099" s="2">
        <f ca="1"/>
        <v>22.014757451651828</v>
      </c>
      <c r="AG5099" s="2">
        <f ca="1"/>
        <v>0.93818551778143222</v>
      </c>
      <c r="AH5099" s="2" t="str">
        <f ca="1"/>
        <v>Bad</v>
      </c>
    </row>
    <row r="5100" spans="2:34" x14ac:dyDescent="0.2">
      <c r="B5100" s="2">
        <f ca="1"/>
        <v>0.31743504862920791</v>
      </c>
      <c r="O5100" s="2">
        <f ca="1"/>
        <v>9.5808853551182013E-3</v>
      </c>
      <c r="X5100" s="2">
        <f ca="1"/>
        <v>52.702662614948402</v>
      </c>
      <c r="AG5100" s="2">
        <f ca="1"/>
        <v>0.43384638038089185</v>
      </c>
      <c r="AH5100" s="2" t="str">
        <f ca="1"/>
        <v>Bad</v>
      </c>
    </row>
    <row r="5101" spans="2:34" x14ac:dyDescent="0.2">
      <c r="B5101" s="2">
        <f ca="1"/>
        <v>0.69575703994137772</v>
      </c>
      <c r="O5101" s="2">
        <f ca="1"/>
        <v>-0.35543000663531749</v>
      </c>
      <c r="X5101" s="2">
        <f ca="1"/>
        <v>72.52826465722633</v>
      </c>
      <c r="AG5101" s="2">
        <f ca="1"/>
        <v>0.34713400483229084</v>
      </c>
      <c r="AH5101" s="2" t="str">
        <f ca="1"/>
        <v>OK</v>
      </c>
    </row>
    <row r="5102" spans="2:34" x14ac:dyDescent="0.2">
      <c r="B5102" s="2">
        <f ca="1"/>
        <v>0.46237284868850592</v>
      </c>
      <c r="O5102" s="2">
        <f ca="1"/>
        <v>0.15412375439091799</v>
      </c>
      <c r="X5102" s="2">
        <f ca="1"/>
        <v>47.788812880834314</v>
      </c>
      <c r="AG5102" s="2">
        <f ca="1"/>
        <v>0.82559909466613202</v>
      </c>
      <c r="AH5102" s="2" t="str">
        <f ca="1"/>
        <v>Bad</v>
      </c>
    </row>
    <row r="5103" spans="2:34" x14ac:dyDescent="0.2">
      <c r="B5103" s="2">
        <f ca="1"/>
        <v>0.83919765406753344</v>
      </c>
      <c r="O5103" s="2">
        <f ca="1"/>
        <v>0.79379219876718488</v>
      </c>
      <c r="X5103" s="2">
        <f ca="1"/>
        <v>33.184944734081682</v>
      </c>
      <c r="AG5103" s="2">
        <f ca="1"/>
        <v>0.51995623225644017</v>
      </c>
      <c r="AH5103" s="2" t="str">
        <f ca="1"/>
        <v>Bad</v>
      </c>
    </row>
    <row r="5104" spans="2:34" x14ac:dyDescent="0.2">
      <c r="B5104" s="2">
        <f ca="1"/>
        <v>0.73392091012250726</v>
      </c>
      <c r="O5104" s="2">
        <f ca="1"/>
        <v>-0.38007343019810957</v>
      </c>
      <c r="X5104" s="2">
        <f ca="1"/>
        <v>43.659080583435241</v>
      </c>
      <c r="AG5104" s="2">
        <f ca="1"/>
        <v>0.34791196114637857</v>
      </c>
      <c r="AH5104" s="2" t="str">
        <f ca="1"/>
        <v>OK</v>
      </c>
    </row>
    <row r="5105" spans="2:34" x14ac:dyDescent="0.2">
      <c r="B5105" s="2">
        <f ca="1"/>
        <v>3.228770475112186E-2</v>
      </c>
      <c r="O5105" s="2">
        <f ca="1"/>
        <v>-1.4259754855670301</v>
      </c>
      <c r="X5105" s="2">
        <f ca="1"/>
        <v>43.804432278804917</v>
      </c>
      <c r="AG5105" s="2">
        <f ca="1"/>
        <v>0.88153146141440697</v>
      </c>
      <c r="AH5105" s="2" t="str">
        <f ca="1"/>
        <v>Bad</v>
      </c>
    </row>
    <row r="5106" spans="2:34" x14ac:dyDescent="0.2">
      <c r="B5106" s="2">
        <f ca="1"/>
        <v>0.42193694762758449</v>
      </c>
      <c r="O5106" s="2">
        <f ca="1"/>
        <v>0.44967768338940517</v>
      </c>
      <c r="X5106" s="2">
        <f ca="1"/>
        <v>62.186283123932178</v>
      </c>
      <c r="AG5106" s="2">
        <f ca="1"/>
        <v>0.97292092132034913</v>
      </c>
      <c r="AH5106" s="2" t="str">
        <f ca="1"/>
        <v>Bad</v>
      </c>
    </row>
    <row r="5107" spans="2:34" x14ac:dyDescent="0.2">
      <c r="B5107" s="2">
        <f ca="1"/>
        <v>0.29384798167010318</v>
      </c>
      <c r="O5107" s="2">
        <f ca="1"/>
        <v>0.63933191824837843</v>
      </c>
      <c r="X5107" s="2">
        <f ca="1"/>
        <v>54.8933958110877</v>
      </c>
      <c r="AG5107" s="2">
        <f ca="1"/>
        <v>0.47543103672068088</v>
      </c>
      <c r="AH5107" s="2" t="str">
        <f ca="1"/>
        <v>Bad</v>
      </c>
    </row>
    <row r="5108" spans="2:34" x14ac:dyDescent="0.2">
      <c r="B5108" s="2">
        <f ca="1"/>
        <v>0.88603767648163712</v>
      </c>
      <c r="O5108" s="2">
        <f ca="1"/>
        <v>-0.34196075834685058</v>
      </c>
      <c r="X5108" s="2">
        <f ca="1"/>
        <v>27.911730850302927</v>
      </c>
      <c r="AG5108" s="2">
        <f ca="1"/>
        <v>0.83659003469741977</v>
      </c>
      <c r="AH5108" s="2" t="str">
        <f ca="1"/>
        <v>Bad</v>
      </c>
    </row>
    <row r="5109" spans="2:34" x14ac:dyDescent="0.2">
      <c r="B5109" s="2">
        <f ca="1"/>
        <v>0.26746818633554592</v>
      </c>
      <c r="O5109" s="2">
        <f ca="1"/>
        <v>1.2502900703326179</v>
      </c>
      <c r="X5109" s="2">
        <f ca="1"/>
        <v>38.170222136759435</v>
      </c>
      <c r="AG5109" s="2">
        <f ca="1"/>
        <v>6.8994820565408954E-3</v>
      </c>
      <c r="AH5109" s="2" t="str">
        <f ca="1"/>
        <v>Good</v>
      </c>
    </row>
    <row r="5110" spans="2:34" x14ac:dyDescent="0.2">
      <c r="B5110" s="2">
        <f ca="1"/>
        <v>0.99531871982081044</v>
      </c>
      <c r="O5110" s="2">
        <f ca="1"/>
        <v>0.46807079177018546</v>
      </c>
      <c r="X5110" s="2">
        <f ca="1"/>
        <v>75.030186913303595</v>
      </c>
      <c r="AG5110" s="2">
        <f ca="1"/>
        <v>0.87501362367556879</v>
      </c>
      <c r="AH5110" s="2" t="str">
        <f ca="1"/>
        <v>Bad</v>
      </c>
    </row>
    <row r="5111" spans="2:34" x14ac:dyDescent="0.2">
      <c r="B5111" s="2">
        <f ca="1"/>
        <v>0.82141803583116202</v>
      </c>
      <c r="O5111" s="2">
        <f ca="1"/>
        <v>-1.3107604579249577</v>
      </c>
      <c r="X5111" s="2">
        <f ca="1"/>
        <v>21.526126464402097</v>
      </c>
      <c r="AG5111" s="2">
        <f ca="1"/>
        <v>0.47791850730320773</v>
      </c>
      <c r="AH5111" s="2" t="str">
        <f ca="1"/>
        <v>Bad</v>
      </c>
    </row>
    <row r="5112" spans="2:34" x14ac:dyDescent="0.2">
      <c r="B5112" s="2">
        <f ca="1"/>
        <v>0.53544913765483182</v>
      </c>
      <c r="O5112" s="2">
        <f ca="1"/>
        <v>0.33279387775771097</v>
      </c>
      <c r="X5112" s="2">
        <f ca="1"/>
        <v>49.132427366621421</v>
      </c>
      <c r="AG5112" s="2">
        <f ca="1"/>
        <v>0.44457569169013111</v>
      </c>
      <c r="AH5112" s="2" t="str">
        <f ca="1"/>
        <v>Bad</v>
      </c>
    </row>
    <row r="5113" spans="2:34" x14ac:dyDescent="0.2">
      <c r="B5113" s="2">
        <f ca="1"/>
        <v>0.21176426133850978</v>
      </c>
      <c r="O5113" s="2">
        <f ca="1"/>
        <v>-0.7936298910031917</v>
      </c>
      <c r="X5113" s="2">
        <f ca="1"/>
        <v>34.375664938554507</v>
      </c>
      <c r="AG5113" s="2">
        <f ca="1"/>
        <v>0.75576111835752213</v>
      </c>
      <c r="AH5113" s="2" t="str">
        <f ca="1"/>
        <v>Bad</v>
      </c>
    </row>
    <row r="5114" spans="2:34" x14ac:dyDescent="0.2">
      <c r="B5114" s="2">
        <f ca="1"/>
        <v>0.61572312243026373</v>
      </c>
      <c r="O5114" s="2">
        <f ca="1"/>
        <v>1.3034398924239536</v>
      </c>
      <c r="X5114" s="2">
        <f ca="1"/>
        <v>50.068057607988393</v>
      </c>
      <c r="AG5114" s="2">
        <f ca="1"/>
        <v>0.18206842455537187</v>
      </c>
      <c r="AH5114" s="2" t="str">
        <f ca="1"/>
        <v>OK</v>
      </c>
    </row>
    <row r="5115" spans="2:34" x14ac:dyDescent="0.2">
      <c r="B5115" s="2">
        <f ca="1"/>
        <v>0.12955666842338243</v>
      </c>
      <c r="O5115" s="2">
        <f ca="1"/>
        <v>-1.7273914235414698</v>
      </c>
      <c r="X5115" s="2">
        <f ca="1"/>
        <v>44.351192797191061</v>
      </c>
      <c r="AG5115" s="2">
        <f ca="1"/>
        <v>0.51082955526728346</v>
      </c>
      <c r="AH5115" s="2" t="str">
        <f ca="1"/>
        <v>Bad</v>
      </c>
    </row>
    <row r="5116" spans="2:34" x14ac:dyDescent="0.2">
      <c r="B5116" s="2">
        <f ca="1"/>
        <v>0.21184693474097172</v>
      </c>
      <c r="O5116" s="2">
        <f ca="1"/>
        <v>-4.93183820224476E-2</v>
      </c>
      <c r="X5116" s="2">
        <f ca="1"/>
        <v>30.068715341304472</v>
      </c>
      <c r="AG5116" s="2">
        <f ca="1"/>
        <v>0.54114336242370276</v>
      </c>
      <c r="AH5116" s="2" t="str">
        <f ca="1"/>
        <v>Bad</v>
      </c>
    </row>
    <row r="5117" spans="2:34" x14ac:dyDescent="0.2">
      <c r="B5117" s="2">
        <f ca="1"/>
        <v>0.4201709943340044</v>
      </c>
      <c r="O5117" s="2">
        <f ca="1"/>
        <v>-0.74860934205286001</v>
      </c>
      <c r="X5117" s="2">
        <f ca="1"/>
        <v>66.002308735300858</v>
      </c>
      <c r="AG5117" s="2">
        <f ca="1"/>
        <v>0.11829968941448143</v>
      </c>
      <c r="AH5117" s="2" t="str">
        <f ca="1"/>
        <v>OK</v>
      </c>
    </row>
    <row r="5118" spans="2:34" x14ac:dyDescent="0.2">
      <c r="B5118" s="2">
        <f ca="1"/>
        <v>0.98838158763694106</v>
      </c>
      <c r="O5118" s="2">
        <f ca="1"/>
        <v>-0.53138861808221338</v>
      </c>
      <c r="X5118" s="2">
        <f ca="1"/>
        <v>55.299256619679333</v>
      </c>
      <c r="AG5118" s="2">
        <f ca="1"/>
        <v>0.69225666721935286</v>
      </c>
      <c r="AH5118" s="2" t="str">
        <f ca="1"/>
        <v>Bad</v>
      </c>
    </row>
    <row r="5119" spans="2:34" x14ac:dyDescent="0.2">
      <c r="B5119" s="2">
        <f ca="1"/>
        <v>0.52460563741176469</v>
      </c>
      <c r="O5119" s="2">
        <f ca="1"/>
        <v>-1.796792368287865</v>
      </c>
      <c r="X5119" s="2">
        <f ca="1"/>
        <v>56.887176026498878</v>
      </c>
      <c r="AG5119" s="2">
        <f ca="1"/>
        <v>0.78944322800773503</v>
      </c>
      <c r="AH5119" s="2" t="str">
        <f ca="1"/>
        <v>Bad</v>
      </c>
    </row>
    <row r="5120" spans="2:34" x14ac:dyDescent="0.2">
      <c r="B5120" s="2">
        <f ca="1"/>
        <v>0.95580845942888515</v>
      </c>
      <c r="O5120" s="2">
        <f ca="1"/>
        <v>-0.85607610778986343</v>
      </c>
      <c r="X5120" s="2">
        <f ca="1"/>
        <v>46.457921354889038</v>
      </c>
      <c r="AG5120" s="2">
        <f ca="1"/>
        <v>0.38242042410018739</v>
      </c>
      <c r="AH5120" s="2" t="str">
        <f ca="1"/>
        <v>OK</v>
      </c>
    </row>
    <row r="5121" spans="2:34" x14ac:dyDescent="0.2">
      <c r="B5121" s="2">
        <f ca="1"/>
        <v>0.45175977419268443</v>
      </c>
      <c r="O5121" s="2">
        <f ca="1"/>
        <v>1.4768057828494563</v>
      </c>
      <c r="X5121" s="2">
        <f ca="1"/>
        <v>57.077718518937544</v>
      </c>
      <c r="AG5121" s="2">
        <f ca="1"/>
        <v>0.32918892510324538</v>
      </c>
      <c r="AH5121" s="2" t="str">
        <f ca="1"/>
        <v>OK</v>
      </c>
    </row>
    <row r="5122" spans="2:34" x14ac:dyDescent="0.2">
      <c r="B5122" s="2">
        <f ca="1"/>
        <v>1.9753523569274511E-2</v>
      </c>
      <c r="O5122" s="2">
        <f ca="1"/>
        <v>1.2098879626316492</v>
      </c>
      <c r="X5122" s="2">
        <f ca="1"/>
        <v>39.305518782955538</v>
      </c>
      <c r="AG5122" s="2">
        <f ca="1"/>
        <v>0.52022438116367065</v>
      </c>
      <c r="AH5122" s="2" t="str">
        <f ca="1"/>
        <v>Bad</v>
      </c>
    </row>
    <row r="5123" spans="2:34" x14ac:dyDescent="0.2">
      <c r="B5123" s="2">
        <f ca="1"/>
        <v>0.4510737802980811</v>
      </c>
      <c r="O5123" s="2">
        <f ca="1"/>
        <v>3.9415324418226538E-2</v>
      </c>
      <c r="X5123" s="2">
        <f ca="1"/>
        <v>43.608237678108914</v>
      </c>
      <c r="AG5123" s="2">
        <f ca="1"/>
        <v>0.89440182257131351</v>
      </c>
      <c r="AH5123" s="2" t="str">
        <f ca="1"/>
        <v>Bad</v>
      </c>
    </row>
    <row r="5124" spans="2:34" x14ac:dyDescent="0.2">
      <c r="B5124" s="2">
        <f ca="1"/>
        <v>0.55939276208307276</v>
      </c>
      <c r="O5124" s="2">
        <f ca="1"/>
        <v>1.6433992615522575</v>
      </c>
      <c r="X5124" s="2">
        <f ca="1"/>
        <v>56.343365683044297</v>
      </c>
      <c r="AG5124" s="2">
        <f ca="1"/>
        <v>0.49232357783857017</v>
      </c>
      <c r="AH5124" s="2" t="str">
        <f ca="1"/>
        <v>Bad</v>
      </c>
    </row>
    <row r="5125" spans="2:34" x14ac:dyDescent="0.2">
      <c r="B5125" s="2">
        <f ca="1"/>
        <v>0.86453107484668457</v>
      </c>
      <c r="O5125" s="2">
        <f ca="1"/>
        <v>1.567192048833199</v>
      </c>
      <c r="X5125" s="2">
        <f ca="1"/>
        <v>55.071906579757425</v>
      </c>
      <c r="AG5125" s="2">
        <f ca="1"/>
        <v>0.28351435293137439</v>
      </c>
      <c r="AH5125" s="2" t="str">
        <f ca="1"/>
        <v>OK</v>
      </c>
    </row>
    <row r="5126" spans="2:34" x14ac:dyDescent="0.2">
      <c r="B5126" s="2">
        <f ca="1"/>
        <v>0.82862358202264441</v>
      </c>
      <c r="O5126" s="2">
        <f ca="1"/>
        <v>3.0538177422249114E-2</v>
      </c>
      <c r="X5126" s="2">
        <f ca="1"/>
        <v>34.536502607965232</v>
      </c>
      <c r="AG5126" s="2">
        <f ca="1"/>
        <v>0.48348494323638391</v>
      </c>
      <c r="AH5126" s="2" t="str">
        <f ca="1"/>
        <v>Bad</v>
      </c>
    </row>
    <row r="5127" spans="2:34" x14ac:dyDescent="0.2">
      <c r="B5127" s="2">
        <f ca="1"/>
        <v>0.60905433504309503</v>
      </c>
      <c r="O5127" s="2">
        <f ca="1"/>
        <v>0.99871071272012024</v>
      </c>
      <c r="X5127" s="2">
        <f ca="1"/>
        <v>34.436060559410542</v>
      </c>
      <c r="AG5127" s="2">
        <f ca="1"/>
        <v>0.28892772809194778</v>
      </c>
      <c r="AH5127" s="2" t="str">
        <f ca="1"/>
        <v>OK</v>
      </c>
    </row>
    <row r="5128" spans="2:34" x14ac:dyDescent="0.2">
      <c r="B5128" s="2">
        <f ca="1"/>
        <v>0.72143880930455295</v>
      </c>
      <c r="O5128" s="2">
        <f ca="1"/>
        <v>-8.2927074517653368E-2</v>
      </c>
      <c r="X5128" s="2">
        <f ca="1"/>
        <v>38.778704288226898</v>
      </c>
      <c r="AG5128" s="2">
        <f ca="1"/>
        <v>7.7487692409345943E-2</v>
      </c>
      <c r="AH5128" s="2" t="str">
        <f ca="1"/>
        <v>OK</v>
      </c>
    </row>
    <row r="5129" spans="2:34" x14ac:dyDescent="0.2">
      <c r="B5129" s="2">
        <f ca="1"/>
        <v>0.2046544135323034</v>
      </c>
      <c r="O5129" s="2">
        <f ca="1"/>
        <v>2.5442721229143029E-2</v>
      </c>
      <c r="X5129" s="2">
        <f ca="1"/>
        <v>37.896327027058767</v>
      </c>
      <c r="AG5129" s="2">
        <f ca="1"/>
        <v>0.50119456713182409</v>
      </c>
      <c r="AH5129" s="2" t="str">
        <f ca="1"/>
        <v>Bad</v>
      </c>
    </row>
    <row r="5130" spans="2:34" x14ac:dyDescent="0.2">
      <c r="B5130" s="2">
        <f ca="1"/>
        <v>0.87521473118661497</v>
      </c>
      <c r="O5130" s="2">
        <f ca="1"/>
        <v>-1.6673950635067654</v>
      </c>
      <c r="X5130" s="2">
        <f ca="1"/>
        <v>58.001880158636503</v>
      </c>
      <c r="AG5130" s="2">
        <f ca="1"/>
        <v>0.71521118017697272</v>
      </c>
      <c r="AH5130" s="2" t="str">
        <f ca="1"/>
        <v>Bad</v>
      </c>
    </row>
    <row r="5131" spans="2:34" x14ac:dyDescent="0.2">
      <c r="B5131" s="2">
        <f ca="1"/>
        <v>5.3219023013071354E-2</v>
      </c>
      <c r="O5131" s="2">
        <f ca="1"/>
        <v>-2.0248563109768916</v>
      </c>
      <c r="X5131" s="2">
        <f ca="1"/>
        <v>56.50013194862089</v>
      </c>
      <c r="AG5131" s="2">
        <f ca="1"/>
        <v>0.62101427507490148</v>
      </c>
      <c r="AH5131" s="2" t="str">
        <f ca="1"/>
        <v>Bad</v>
      </c>
    </row>
    <row r="5132" spans="2:34" x14ac:dyDescent="0.2">
      <c r="B5132" s="2">
        <f ca="1"/>
        <v>0.3614242087758428</v>
      </c>
      <c r="O5132" s="2">
        <f ca="1"/>
        <v>1.2816839986748876</v>
      </c>
      <c r="X5132" s="2">
        <f ca="1"/>
        <v>47.819332185866578</v>
      </c>
      <c r="AG5132" s="2">
        <f ca="1"/>
        <v>0.23903853938169939</v>
      </c>
      <c r="AH5132" s="2" t="str">
        <f ca="1"/>
        <v>OK</v>
      </c>
    </row>
    <row r="5133" spans="2:34" x14ac:dyDescent="0.2">
      <c r="B5133" s="2">
        <f ca="1"/>
        <v>0.70818464600281383</v>
      </c>
      <c r="O5133" s="2">
        <f ca="1"/>
        <v>1.2227611740894628</v>
      </c>
      <c r="X5133" s="2">
        <f ca="1"/>
        <v>53.000367078293365</v>
      </c>
      <c r="AG5133" s="2">
        <f ca="1"/>
        <v>0.61692198196083514</v>
      </c>
      <c r="AH5133" s="2" t="str">
        <f ca="1"/>
        <v>Bad</v>
      </c>
    </row>
    <row r="5134" spans="2:34" x14ac:dyDescent="0.2">
      <c r="B5134" s="2">
        <f ca="1"/>
        <v>0.75674024746414981</v>
      </c>
      <c r="O5134" s="2">
        <f ca="1"/>
        <v>-0.85270652183549589</v>
      </c>
      <c r="X5134" s="2">
        <f ca="1"/>
        <v>31.638638840852828</v>
      </c>
      <c r="AG5134" s="2">
        <f ca="1"/>
        <v>0.92766322086251085</v>
      </c>
      <c r="AH5134" s="2" t="str">
        <f ca="1"/>
        <v>Bad</v>
      </c>
    </row>
    <row r="5135" spans="2:34" x14ac:dyDescent="0.2">
      <c r="B5135" s="2">
        <f ca="1"/>
        <v>5.7296548325479035E-2</v>
      </c>
      <c r="O5135" s="2">
        <f ca="1"/>
        <v>-0.66207565914930133</v>
      </c>
      <c r="X5135" s="2">
        <f ca="1"/>
        <v>94.65727436120666</v>
      </c>
      <c r="AG5135" s="2">
        <f ca="1"/>
        <v>0.89641662723339843</v>
      </c>
      <c r="AH5135" s="2" t="str">
        <f ca="1"/>
        <v>Bad</v>
      </c>
    </row>
    <row r="5136" spans="2:34" x14ac:dyDescent="0.2">
      <c r="B5136" s="2">
        <f ca="1"/>
        <v>0.40017742491725183</v>
      </c>
      <c r="O5136" s="2">
        <f ca="1"/>
        <v>0.431547515836394</v>
      </c>
      <c r="X5136" s="2">
        <f ca="1"/>
        <v>41.741898270515122</v>
      </c>
      <c r="AG5136" s="2">
        <f ca="1"/>
        <v>0.30741630998776848</v>
      </c>
      <c r="AH5136" s="2" t="str">
        <f ca="1"/>
        <v>OK</v>
      </c>
    </row>
    <row r="5137" spans="2:34" x14ac:dyDescent="0.2">
      <c r="B5137" s="2">
        <f ca="1"/>
        <v>0.23654506258906549</v>
      </c>
      <c r="O5137" s="2">
        <f ca="1"/>
        <v>1.6182155055025145</v>
      </c>
      <c r="X5137" s="2">
        <f ca="1"/>
        <v>54.944126988164193</v>
      </c>
      <c r="AG5137" s="2">
        <f ca="1"/>
        <v>0.73191948051897415</v>
      </c>
      <c r="AH5137" s="2" t="str">
        <f ca="1"/>
        <v>Bad</v>
      </c>
    </row>
    <row r="5138" spans="2:34" x14ac:dyDescent="0.2">
      <c r="B5138" s="2">
        <f ca="1"/>
        <v>7.9647687438956449E-2</v>
      </c>
      <c r="O5138" s="2">
        <f ca="1"/>
        <v>0.25627742769418577</v>
      </c>
      <c r="X5138" s="2">
        <f ca="1"/>
        <v>39.561665909928585</v>
      </c>
      <c r="AG5138" s="2">
        <f ca="1"/>
        <v>0.47265788803195274</v>
      </c>
      <c r="AH5138" s="2" t="str">
        <f ca="1"/>
        <v>Bad</v>
      </c>
    </row>
    <row r="5139" spans="2:34" x14ac:dyDescent="0.2">
      <c r="B5139" s="2">
        <f ca="1"/>
        <v>7.3178821962289309E-2</v>
      </c>
      <c r="O5139" s="2">
        <f ca="1"/>
        <v>-0.63864316549813149</v>
      </c>
      <c r="X5139" s="2">
        <f ca="1"/>
        <v>61.116406923316895</v>
      </c>
      <c r="AG5139" s="2">
        <f ca="1"/>
        <v>4.9886378369940365E-2</v>
      </c>
      <c r="AH5139" s="2" t="str">
        <f ca="1"/>
        <v>Good</v>
      </c>
    </row>
    <row r="5140" spans="2:34" x14ac:dyDescent="0.2">
      <c r="B5140" s="2">
        <f ca="1"/>
        <v>0.8320529207755154</v>
      </c>
      <c r="O5140" s="2">
        <f ca="1"/>
        <v>0.93116085456144004</v>
      </c>
      <c r="X5140" s="2">
        <f ca="1"/>
        <v>56.625446045808694</v>
      </c>
      <c r="AG5140" s="2">
        <f ca="1"/>
        <v>0.12376684561131324</v>
      </c>
      <c r="AH5140" s="2" t="str">
        <f ca="1"/>
        <v>OK</v>
      </c>
    </row>
    <row r="5141" spans="2:34" x14ac:dyDescent="0.2">
      <c r="B5141" s="2">
        <f ca="1"/>
        <v>0.6667552464295905</v>
      </c>
      <c r="O5141" s="2">
        <f ca="1"/>
        <v>-1.6802777379763918</v>
      </c>
      <c r="X5141" s="2">
        <f ca="1"/>
        <v>24.755468038551012</v>
      </c>
      <c r="AG5141" s="2">
        <f ca="1"/>
        <v>0.22121030628742444</v>
      </c>
      <c r="AH5141" s="2" t="str">
        <f ca="1"/>
        <v>OK</v>
      </c>
    </row>
    <row r="5142" spans="2:34" x14ac:dyDescent="0.2">
      <c r="B5142" s="2">
        <f ca="1"/>
        <v>0.99423256788106196</v>
      </c>
      <c r="O5142" s="2">
        <f ca="1"/>
        <v>-0.20801218953104481</v>
      </c>
      <c r="X5142" s="2">
        <f ca="1"/>
        <v>60.561796427172652</v>
      </c>
      <c r="AG5142" s="2">
        <f ca="1"/>
        <v>0.95625687164430495</v>
      </c>
      <c r="AH5142" s="2" t="str">
        <f ca="1"/>
        <v>Bad</v>
      </c>
    </row>
    <row r="5143" spans="2:34" x14ac:dyDescent="0.2">
      <c r="B5143" s="2">
        <f ca="1"/>
        <v>0.92039921120428958</v>
      </c>
      <c r="O5143" s="2">
        <f ca="1"/>
        <v>0.21544885066716954</v>
      </c>
      <c r="X5143" s="2">
        <f ca="1"/>
        <v>46.46845167284507</v>
      </c>
      <c r="AG5143" s="2">
        <f ca="1"/>
        <v>0.85804852044090363</v>
      </c>
      <c r="AH5143" s="2" t="str">
        <f ca="1"/>
        <v>Bad</v>
      </c>
    </row>
    <row r="5144" spans="2:34" x14ac:dyDescent="0.2">
      <c r="B5144" s="2">
        <f ca="1"/>
        <v>0.10184293968297609</v>
      </c>
      <c r="O5144" s="2">
        <f ca="1"/>
        <v>0.6405852312259086</v>
      </c>
      <c r="X5144" s="2">
        <f ca="1"/>
        <v>47.901623216874057</v>
      </c>
      <c r="AG5144" s="2">
        <f ca="1"/>
        <v>0.97720463983475203</v>
      </c>
      <c r="AH5144" s="2" t="str">
        <f ca="1"/>
        <v>Bad</v>
      </c>
    </row>
    <row r="5145" spans="2:34" x14ac:dyDescent="0.2">
      <c r="B5145" s="2">
        <f ca="1"/>
        <v>0.85838070674548206</v>
      </c>
      <c r="O5145" s="2">
        <f ca="1"/>
        <v>-1.3023650820184269E-2</v>
      </c>
      <c r="X5145" s="2">
        <f ca="1"/>
        <v>54.331926738048494</v>
      </c>
      <c r="AG5145" s="2">
        <f ca="1"/>
        <v>0.14318208316788072</v>
      </c>
      <c r="AH5145" s="2" t="str">
        <f ca="1"/>
        <v>OK</v>
      </c>
    </row>
    <row r="5146" spans="2:34" x14ac:dyDescent="0.2">
      <c r="B5146" s="2">
        <f ca="1"/>
        <v>0.14932637588719544</v>
      </c>
      <c r="O5146" s="2">
        <f ca="1"/>
        <v>-0.67228385605050112</v>
      </c>
      <c r="X5146" s="2">
        <f ca="1"/>
        <v>54.687288568697134</v>
      </c>
      <c r="AG5146" s="2">
        <f ca="1"/>
        <v>0.23417302639730586</v>
      </c>
      <c r="AH5146" s="2" t="str">
        <f ca="1"/>
        <v>OK</v>
      </c>
    </row>
    <row r="5147" spans="2:34" x14ac:dyDescent="0.2">
      <c r="B5147" s="2">
        <f ca="1"/>
        <v>0.93768978962698779</v>
      </c>
      <c r="O5147" s="2">
        <f ca="1"/>
        <v>1.3155575049873895</v>
      </c>
      <c r="X5147" s="2">
        <f ca="1"/>
        <v>55.370220422254299</v>
      </c>
      <c r="AG5147" s="2">
        <f ca="1"/>
        <v>0.51202269640905951</v>
      </c>
      <c r="AH5147" s="2" t="str">
        <f ca="1"/>
        <v>Bad</v>
      </c>
    </row>
    <row r="5148" spans="2:34" x14ac:dyDescent="0.2">
      <c r="B5148" s="2">
        <f ca="1"/>
        <v>0.8985038290274856</v>
      </c>
      <c r="O5148" s="2">
        <f ca="1"/>
        <v>0.21948955883294355</v>
      </c>
      <c r="X5148" s="2">
        <f ca="1"/>
        <v>44.058360932700978</v>
      </c>
      <c r="AG5148" s="2">
        <f ca="1"/>
        <v>0.5715521510355972</v>
      </c>
      <c r="AH5148" s="2" t="str">
        <f ca="1"/>
        <v>Bad</v>
      </c>
    </row>
    <row r="5149" spans="2:34" x14ac:dyDescent="0.2">
      <c r="B5149" s="2">
        <f ca="1"/>
        <v>0.37712053864931994</v>
      </c>
      <c r="O5149" s="2">
        <f ca="1"/>
        <v>0.31499506280672912</v>
      </c>
      <c r="X5149" s="2">
        <f ca="1"/>
        <v>44.514607503087106</v>
      </c>
      <c r="AG5149" s="2">
        <f ca="1"/>
        <v>0.3703368040165933</v>
      </c>
      <c r="AH5149" s="2" t="str">
        <f ca="1"/>
        <v>OK</v>
      </c>
    </row>
    <row r="5150" spans="2:34" x14ac:dyDescent="0.2">
      <c r="B5150" s="2">
        <f ca="1"/>
        <v>4.8203544522135822E-2</v>
      </c>
      <c r="O5150" s="2">
        <f ca="1"/>
        <v>0.32831881845187971</v>
      </c>
      <c r="X5150" s="2">
        <f ca="1"/>
        <v>45.262009668322051</v>
      </c>
      <c r="AG5150" s="2">
        <f ca="1"/>
        <v>0.29204782407912488</v>
      </c>
      <c r="AH5150" s="2" t="str">
        <f ca="1"/>
        <v>OK</v>
      </c>
    </row>
    <row r="5151" spans="2:34" x14ac:dyDescent="0.2">
      <c r="B5151" s="2">
        <f ca="1"/>
        <v>0.58389891125057347</v>
      </c>
      <c r="O5151" s="2">
        <f ca="1"/>
        <v>-2.7137210498172769E-2</v>
      </c>
      <c r="X5151" s="2">
        <f ca="1"/>
        <v>58.697659747788542</v>
      </c>
      <c r="AG5151" s="2">
        <f ca="1"/>
        <v>0.11260618664748945</v>
      </c>
      <c r="AH5151" s="2" t="str">
        <f ca="1"/>
        <v>OK</v>
      </c>
    </row>
    <row r="5152" spans="2:34" x14ac:dyDescent="0.2">
      <c r="B5152" s="2">
        <f ca="1"/>
        <v>0.56839810487303732</v>
      </c>
      <c r="O5152" s="2">
        <f ca="1"/>
        <v>6.7899395535866713E-2</v>
      </c>
      <c r="X5152" s="2">
        <f ca="1"/>
        <v>46.836227350359259</v>
      </c>
      <c r="AG5152" s="2">
        <f ca="1"/>
        <v>0.63047150524131856</v>
      </c>
      <c r="AH5152" s="2" t="str">
        <f ca="1"/>
        <v>Bad</v>
      </c>
    </row>
    <row r="5153" spans="2:34" x14ac:dyDescent="0.2">
      <c r="B5153" s="2">
        <f ca="1"/>
        <v>0.30055389256675635</v>
      </c>
      <c r="O5153" s="2">
        <f ca="1"/>
        <v>-1.6901451026570151</v>
      </c>
      <c r="X5153" s="2">
        <f ca="1"/>
        <v>34.946211866172284</v>
      </c>
      <c r="AG5153" s="2">
        <f ca="1"/>
        <v>0.36241202714125142</v>
      </c>
      <c r="AH5153" s="2" t="str">
        <f ca="1"/>
        <v>OK</v>
      </c>
    </row>
    <row r="5154" spans="2:34" x14ac:dyDescent="0.2">
      <c r="B5154" s="2">
        <f ca="1"/>
        <v>0.49528468000962556</v>
      </c>
      <c r="O5154" s="2">
        <f ca="1"/>
        <v>-2.7145144209444587</v>
      </c>
      <c r="X5154" s="2">
        <f ca="1"/>
        <v>43.916403457851672</v>
      </c>
      <c r="AG5154" s="2">
        <f ca="1"/>
        <v>0.87753389671460025</v>
      </c>
      <c r="AH5154" s="2" t="str">
        <f ca="1"/>
        <v>Bad</v>
      </c>
    </row>
    <row r="5155" spans="2:34" x14ac:dyDescent="0.2">
      <c r="B5155" s="2">
        <f ca="1"/>
        <v>3.0074172494708007E-2</v>
      </c>
      <c r="O5155" s="2">
        <f ca="1"/>
        <v>2.5932374183370317E-2</v>
      </c>
      <c r="X5155" s="2">
        <f ca="1"/>
        <v>44.696238326419547</v>
      </c>
      <c r="AG5155" s="2">
        <f ca="1"/>
        <v>0.86903728072196884</v>
      </c>
      <c r="AH5155" s="2" t="str">
        <f ca="1"/>
        <v>Bad</v>
      </c>
    </row>
    <row r="5156" spans="2:34" x14ac:dyDescent="0.2">
      <c r="B5156" s="2">
        <f ca="1"/>
        <v>0.26921802070674916</v>
      </c>
      <c r="O5156" s="2">
        <f ca="1"/>
        <v>0.99098922102060116</v>
      </c>
      <c r="X5156" s="2">
        <f ca="1"/>
        <v>65.329638458239216</v>
      </c>
      <c r="AG5156" s="2">
        <f ca="1"/>
        <v>0.2576018312702486</v>
      </c>
      <c r="AH5156" s="2" t="str">
        <f ca="1"/>
        <v>OK</v>
      </c>
    </row>
    <row r="5157" spans="2:34" x14ac:dyDescent="0.2">
      <c r="B5157" s="2">
        <f ca="1"/>
        <v>0.22217863918993253</v>
      </c>
      <c r="O5157" s="2">
        <f ca="1"/>
        <v>-0.88885661933629956</v>
      </c>
      <c r="X5157" s="2">
        <f ca="1"/>
        <v>37.813764140479798</v>
      </c>
      <c r="AG5157" s="2">
        <f ca="1"/>
        <v>0.19104595009296821</v>
      </c>
      <c r="AH5157" s="2" t="str">
        <f ca="1"/>
        <v>OK</v>
      </c>
    </row>
    <row r="5158" spans="2:34" x14ac:dyDescent="0.2">
      <c r="B5158" s="2">
        <f ca="1"/>
        <v>0.79658053055464562</v>
      </c>
      <c r="O5158" s="2">
        <f ca="1"/>
        <v>-0.48013779868434864</v>
      </c>
      <c r="X5158" s="2">
        <f ca="1"/>
        <v>61.332643449615496</v>
      </c>
      <c r="AG5158" s="2">
        <f ca="1"/>
        <v>0.46912239790352017</v>
      </c>
      <c r="AH5158" s="2" t="str">
        <f ca="1"/>
        <v>Bad</v>
      </c>
    </row>
    <row r="5159" spans="2:34" x14ac:dyDescent="0.2">
      <c r="B5159" s="2">
        <f ca="1"/>
        <v>0.63387707982603647</v>
      </c>
      <c r="O5159" s="2">
        <f ca="1"/>
        <v>-8.8815662356631658E-2</v>
      </c>
      <c r="X5159" s="2">
        <f ca="1"/>
        <v>65.321176396612202</v>
      </c>
      <c r="AG5159" s="2">
        <f ca="1"/>
        <v>0.25609284523634201</v>
      </c>
      <c r="AH5159" s="2" t="str">
        <f ca="1"/>
        <v>OK</v>
      </c>
    </row>
    <row r="5160" spans="2:34" x14ac:dyDescent="0.2">
      <c r="B5160" s="2">
        <f ca="1"/>
        <v>0.84038573142330053</v>
      </c>
      <c r="O5160" s="2">
        <f ca="1"/>
        <v>0.299384765737569</v>
      </c>
      <c r="X5160" s="2">
        <f ca="1"/>
        <v>31.687432884096843</v>
      </c>
      <c r="AG5160" s="2">
        <f ca="1"/>
        <v>0.36833540667580822</v>
      </c>
      <c r="AH5160" s="2" t="str">
        <f ca="1"/>
        <v>OK</v>
      </c>
    </row>
    <row r="5161" spans="2:34" x14ac:dyDescent="0.2">
      <c r="B5161" s="2">
        <f ca="1"/>
        <v>0.39404256747566579</v>
      </c>
      <c r="O5161" s="2">
        <f ca="1"/>
        <v>-1.3868089875900567</v>
      </c>
      <c r="X5161" s="2">
        <f ca="1"/>
        <v>37.707007796762895</v>
      </c>
      <c r="AG5161" s="2">
        <f ca="1"/>
        <v>2.1912528083938509E-2</v>
      </c>
      <c r="AH5161" s="2" t="str">
        <f ca="1"/>
        <v>Good</v>
      </c>
    </row>
    <row r="5162" spans="2:34" x14ac:dyDescent="0.2">
      <c r="B5162" s="2">
        <f ca="1"/>
        <v>0.39808327180578273</v>
      </c>
      <c r="O5162" s="2">
        <f ca="1"/>
        <v>-1.8080757352675252</v>
      </c>
      <c r="X5162" s="2">
        <f ca="1"/>
        <v>49.447083508253044</v>
      </c>
      <c r="AG5162" s="2">
        <f ca="1"/>
        <v>0.85061389106505758</v>
      </c>
      <c r="AH5162" s="2" t="str">
        <f ca="1"/>
        <v>Bad</v>
      </c>
    </row>
    <row r="5163" spans="2:34" x14ac:dyDescent="0.2">
      <c r="B5163" s="2">
        <f ca="1"/>
        <v>0.33819601650291475</v>
      </c>
      <c r="O5163" s="2">
        <f ca="1"/>
        <v>0.5709132821207259</v>
      </c>
      <c r="X5163" s="2">
        <f ca="1"/>
        <v>29.505993450975723</v>
      </c>
      <c r="AG5163" s="2">
        <f ca="1"/>
        <v>0.33995396814502121</v>
      </c>
      <c r="AH5163" s="2" t="str">
        <f ca="1"/>
        <v>OK</v>
      </c>
    </row>
    <row r="5164" spans="2:34" x14ac:dyDescent="0.2">
      <c r="B5164" s="2">
        <f ca="1"/>
        <v>0.46011066016156232</v>
      </c>
      <c r="O5164" s="2">
        <f ca="1"/>
        <v>-0.15860890141297282</v>
      </c>
      <c r="X5164" s="2">
        <f ca="1"/>
        <v>41.322219756458651</v>
      </c>
      <c r="AG5164" s="2">
        <f ca="1"/>
        <v>0.98147659910237151</v>
      </c>
      <c r="AH5164" s="2" t="str">
        <f ca="1"/>
        <v>Bad</v>
      </c>
    </row>
    <row r="5165" spans="2:34" x14ac:dyDescent="0.2">
      <c r="B5165" s="2">
        <f ca="1"/>
        <v>0.52676184224944977</v>
      </c>
      <c r="O5165" s="2">
        <f ca="1"/>
        <v>-1.1586599500930821</v>
      </c>
      <c r="X5165" s="2">
        <f ca="1"/>
        <v>34.477028640294456</v>
      </c>
      <c r="AG5165" s="2">
        <f ca="1"/>
        <v>0.96209458260767611</v>
      </c>
      <c r="AH5165" s="2" t="str">
        <f ca="1"/>
        <v>Bad</v>
      </c>
    </row>
    <row r="5166" spans="2:34" x14ac:dyDescent="0.2">
      <c r="B5166" s="2">
        <f ca="1"/>
        <v>0.87227685359391982</v>
      </c>
      <c r="O5166" s="2">
        <f ca="1"/>
        <v>-1.1107905666721245</v>
      </c>
      <c r="X5166" s="2">
        <f ca="1"/>
        <v>46.305884060507083</v>
      </c>
      <c r="AG5166" s="2">
        <f ca="1"/>
        <v>0.71269076872965331</v>
      </c>
      <c r="AH5166" s="2" t="str">
        <f ca="1"/>
        <v>Bad</v>
      </c>
    </row>
    <row r="5167" spans="2:34" x14ac:dyDescent="0.2">
      <c r="B5167" s="2">
        <f ca="1"/>
        <v>9.4539924799539321E-2</v>
      </c>
      <c r="O5167" s="2">
        <f ca="1"/>
        <v>-0.7192344942000084</v>
      </c>
      <c r="X5167" s="2">
        <f ca="1"/>
        <v>46.876699249480808</v>
      </c>
      <c r="AG5167" s="2">
        <f ca="1"/>
        <v>6.0506100725098655E-2</v>
      </c>
      <c r="AH5167" s="2" t="str">
        <f ca="1"/>
        <v>OK</v>
      </c>
    </row>
    <row r="5168" spans="2:34" x14ac:dyDescent="0.2">
      <c r="B5168" s="2">
        <f ca="1"/>
        <v>0.14713672126063426</v>
      </c>
      <c r="O5168" s="2">
        <f ca="1"/>
        <v>2.6059723886853417E-2</v>
      </c>
      <c r="X5168" s="2">
        <f ca="1"/>
        <v>33.809578400437658</v>
      </c>
      <c r="AG5168" s="2">
        <f ca="1"/>
        <v>0.78904062324151325</v>
      </c>
      <c r="AH5168" s="2" t="str">
        <f ca="1"/>
        <v>Bad</v>
      </c>
    </row>
    <row r="5169" spans="2:34" x14ac:dyDescent="0.2">
      <c r="B5169" s="2">
        <f ca="1"/>
        <v>0.97490788329120015</v>
      </c>
      <c r="O5169" s="2">
        <f ca="1"/>
        <v>-1.4367242399046083</v>
      </c>
      <c r="X5169" s="2">
        <f ca="1"/>
        <v>40.421152391432187</v>
      </c>
      <c r="AG5169" s="2">
        <f ca="1"/>
        <v>0.16482361402806833</v>
      </c>
      <c r="AH5169" s="2" t="str">
        <f ca="1"/>
        <v>OK</v>
      </c>
    </row>
    <row r="5170" spans="2:34" x14ac:dyDescent="0.2">
      <c r="B5170" s="2">
        <f ca="1"/>
        <v>0.43327653685337064</v>
      </c>
      <c r="O5170" s="2">
        <f ca="1"/>
        <v>0.55700284986971293</v>
      </c>
      <c r="X5170" s="2">
        <f ca="1"/>
        <v>51.584085076421843</v>
      </c>
      <c r="AG5170" s="2">
        <f ca="1"/>
        <v>0.93231251003699067</v>
      </c>
      <c r="AH5170" s="2" t="str">
        <f ca="1"/>
        <v>Bad</v>
      </c>
    </row>
    <row r="5171" spans="2:34" x14ac:dyDescent="0.2">
      <c r="B5171" s="2">
        <f ca="1"/>
        <v>0.9869014562114713</v>
      </c>
      <c r="O5171" s="2">
        <f ca="1"/>
        <v>-5.9399659237391794E-2</v>
      </c>
      <c r="X5171" s="2">
        <f ca="1"/>
        <v>38.953171047239763</v>
      </c>
      <c r="AG5171" s="2">
        <f ca="1"/>
        <v>0.81969881009253798</v>
      </c>
      <c r="AH5171" s="2" t="str">
        <f ca="1"/>
        <v>Bad</v>
      </c>
    </row>
    <row r="5172" spans="2:34" x14ac:dyDescent="0.2">
      <c r="B5172" s="2">
        <f ca="1"/>
        <v>0.33738750576638754</v>
      </c>
      <c r="O5172" s="2">
        <f ca="1"/>
        <v>1.8804090856721647</v>
      </c>
      <c r="X5172" s="2">
        <f ca="1"/>
        <v>66.531580596012802</v>
      </c>
      <c r="AG5172" s="2">
        <f ca="1"/>
        <v>0.84294563133180622</v>
      </c>
      <c r="AH5172" s="2" t="str">
        <f ca="1"/>
        <v>Bad</v>
      </c>
    </row>
    <row r="5173" spans="2:34" x14ac:dyDescent="0.2">
      <c r="B5173" s="2">
        <f ca="1"/>
        <v>0.10885983811108546</v>
      </c>
      <c r="O5173" s="2">
        <f ca="1"/>
        <v>-1.4503001546243661</v>
      </c>
      <c r="X5173" s="2">
        <f ca="1"/>
        <v>59.9417139786907</v>
      </c>
      <c r="AG5173" s="2">
        <f ca="1"/>
        <v>0.86879171317152637</v>
      </c>
      <c r="AH5173" s="2" t="str">
        <f ca="1"/>
        <v>Bad</v>
      </c>
    </row>
    <row r="5174" spans="2:34" x14ac:dyDescent="0.2">
      <c r="B5174" s="2">
        <f ca="1"/>
        <v>0.94704544893353826</v>
      </c>
      <c r="O5174" s="2">
        <f ca="1"/>
        <v>1.6135651034987211</v>
      </c>
      <c r="X5174" s="2">
        <f ca="1"/>
        <v>62.723170684630233</v>
      </c>
      <c r="AG5174" s="2">
        <f ca="1"/>
        <v>0.3944989058838102</v>
      </c>
      <c r="AH5174" s="2" t="str">
        <f ca="1"/>
        <v>OK</v>
      </c>
    </row>
    <row r="5175" spans="2:34" x14ac:dyDescent="0.2">
      <c r="B5175" s="2">
        <f ca="1"/>
        <v>0.22582553565777319</v>
      </c>
      <c r="O5175" s="2">
        <f ca="1"/>
        <v>-2.1078093692679936</v>
      </c>
      <c r="X5175" s="2">
        <f ca="1"/>
        <v>37.203910484219307</v>
      </c>
      <c r="AG5175" s="2">
        <f ca="1"/>
        <v>0.93143849778802856</v>
      </c>
      <c r="AH5175" s="2" t="str">
        <f ca="1"/>
        <v>Bad</v>
      </c>
    </row>
    <row r="5176" spans="2:34" x14ac:dyDescent="0.2">
      <c r="B5176" s="2">
        <f ca="1"/>
        <v>0.78605098823972752</v>
      </c>
      <c r="O5176" s="2">
        <f ca="1"/>
        <v>1.1330861922454294</v>
      </c>
      <c r="X5176" s="2">
        <f ca="1"/>
        <v>44.097903494505431</v>
      </c>
      <c r="AG5176" s="2">
        <f ca="1"/>
        <v>0.84636907403288286</v>
      </c>
      <c r="AH5176" s="2" t="str">
        <f ca="1"/>
        <v>Bad</v>
      </c>
    </row>
    <row r="5177" spans="2:34" x14ac:dyDescent="0.2">
      <c r="B5177" s="2">
        <f ca="1"/>
        <v>0.20208804830161298</v>
      </c>
      <c r="O5177" s="2">
        <f ca="1"/>
        <v>1.4033295988674579</v>
      </c>
      <c r="X5177" s="2">
        <f ca="1"/>
        <v>41.669235692705072</v>
      </c>
      <c r="AG5177" s="2">
        <f ca="1"/>
        <v>0.14556282806397869</v>
      </c>
      <c r="AH5177" s="2" t="str">
        <f ca="1"/>
        <v>OK</v>
      </c>
    </row>
    <row r="5178" spans="2:34" x14ac:dyDescent="0.2">
      <c r="B5178" s="2">
        <f ca="1"/>
        <v>0.29608670283398175</v>
      </c>
      <c r="O5178" s="2">
        <f ca="1"/>
        <v>1.6432291627899638</v>
      </c>
      <c r="X5178" s="2">
        <f ca="1"/>
        <v>43.026557626798336</v>
      </c>
      <c r="AG5178" s="2">
        <f ca="1"/>
        <v>0.17058773056072729</v>
      </c>
      <c r="AH5178" s="2" t="str">
        <f ca="1"/>
        <v>OK</v>
      </c>
    </row>
    <row r="5179" spans="2:34" x14ac:dyDescent="0.2">
      <c r="B5179" s="2">
        <f ca="1"/>
        <v>0.35856809056755723</v>
      </c>
      <c r="O5179" s="2">
        <f ca="1"/>
        <v>-1.2319567102623388</v>
      </c>
      <c r="X5179" s="2">
        <f ca="1"/>
        <v>77.816395198769243</v>
      </c>
      <c r="AG5179" s="2">
        <f ca="1"/>
        <v>0.96385174338661228</v>
      </c>
      <c r="AH5179" s="2" t="str">
        <f ca="1"/>
        <v>Bad</v>
      </c>
    </row>
    <row r="5180" spans="2:34" x14ac:dyDescent="0.2">
      <c r="B5180" s="2">
        <f ca="1"/>
        <v>0.71912902733955741</v>
      </c>
      <c r="O5180" s="2">
        <f ca="1"/>
        <v>0.1246363960221461</v>
      </c>
      <c r="X5180" s="2">
        <f ca="1"/>
        <v>49.478426537613259</v>
      </c>
      <c r="AG5180" s="2">
        <f ca="1"/>
        <v>0.72222385823086666</v>
      </c>
      <c r="AH5180" s="2" t="str">
        <f ca="1"/>
        <v>Bad</v>
      </c>
    </row>
    <row r="5181" spans="2:34" x14ac:dyDescent="0.2">
      <c r="B5181" s="2">
        <f ca="1"/>
        <v>6.8641315675087133E-2</v>
      </c>
      <c r="O5181" s="2">
        <f ca="1"/>
        <v>-1.3337154268822682</v>
      </c>
      <c r="X5181" s="2">
        <f ca="1"/>
        <v>54.167532612021574</v>
      </c>
      <c r="AG5181" s="2">
        <f ca="1"/>
        <v>0.84874075169654351</v>
      </c>
      <c r="AH5181" s="2" t="str">
        <f ca="1"/>
        <v>Bad</v>
      </c>
    </row>
    <row r="5182" spans="2:34" x14ac:dyDescent="0.2">
      <c r="B5182" s="2">
        <f ca="1"/>
        <v>0.54609418109548491</v>
      </c>
      <c r="O5182" s="2">
        <f ca="1"/>
        <v>-0.36376628483635404</v>
      </c>
      <c r="X5182" s="2">
        <f ca="1"/>
        <v>30.322842808185882</v>
      </c>
      <c r="AG5182" s="2">
        <f ca="1"/>
        <v>0.29533929469503861</v>
      </c>
      <c r="AH5182" s="2" t="str">
        <f ca="1"/>
        <v>OK</v>
      </c>
    </row>
    <row r="5183" spans="2:34" x14ac:dyDescent="0.2">
      <c r="B5183" s="2">
        <f ca="1"/>
        <v>0.30836364916824821</v>
      </c>
      <c r="O5183" s="2">
        <f ca="1"/>
        <v>-0.16555459231877842</v>
      </c>
      <c r="X5183" s="2">
        <f ca="1"/>
        <v>70.983597660600694</v>
      </c>
      <c r="AG5183" s="2">
        <f ca="1"/>
        <v>0.80581599106500934</v>
      </c>
      <c r="AH5183" s="2" t="str">
        <f ca="1"/>
        <v>Bad</v>
      </c>
    </row>
    <row r="5184" spans="2:34" x14ac:dyDescent="0.2">
      <c r="B5184" s="2">
        <f ca="1"/>
        <v>0.6844795118727891</v>
      </c>
      <c r="O5184" s="2">
        <f ca="1"/>
        <v>0.32715773437569456</v>
      </c>
      <c r="X5184" s="2">
        <f ca="1"/>
        <v>74.995165978504943</v>
      </c>
      <c r="AG5184" s="2">
        <f ca="1"/>
        <v>9.5702912189517209E-2</v>
      </c>
      <c r="AH5184" s="2" t="str">
        <f ca="1"/>
        <v>OK</v>
      </c>
    </row>
    <row r="5185" spans="2:34" x14ac:dyDescent="0.2">
      <c r="B5185" s="2">
        <f ca="1"/>
        <v>0.92994420550450463</v>
      </c>
      <c r="O5185" s="2">
        <f ca="1"/>
        <v>-0.82891387691426055</v>
      </c>
      <c r="X5185" s="2">
        <f ca="1"/>
        <v>46.321305814241136</v>
      </c>
      <c r="AG5185" s="2">
        <f ca="1"/>
        <v>0.10550087595624569</v>
      </c>
      <c r="AH5185" s="2" t="str">
        <f ca="1"/>
        <v>OK</v>
      </c>
    </row>
    <row r="5186" spans="2:34" x14ac:dyDescent="0.2">
      <c r="B5186" s="2">
        <f ca="1"/>
        <v>0.52944296676904945</v>
      </c>
      <c r="O5186" s="2">
        <f ca="1"/>
        <v>-0.37804908271553961</v>
      </c>
      <c r="X5186" s="2">
        <f ca="1"/>
        <v>32.178717437414377</v>
      </c>
      <c r="AG5186" s="2">
        <f ca="1"/>
        <v>0.99275430297632039</v>
      </c>
      <c r="AH5186" s="2" t="str">
        <f ca="1"/>
        <v>Bad</v>
      </c>
    </row>
    <row r="5187" spans="2:34" x14ac:dyDescent="0.2">
      <c r="B5187" s="2">
        <f ca="1"/>
        <v>3.1539404417401995E-2</v>
      </c>
      <c r="O5187" s="2">
        <f ca="1"/>
        <v>5.2444656488386546E-2</v>
      </c>
      <c r="X5187" s="2">
        <f ca="1"/>
        <v>58.703847398818816</v>
      </c>
      <c r="AG5187" s="2">
        <f ca="1"/>
        <v>0.7603567498803947</v>
      </c>
      <c r="AH5187" s="2" t="str">
        <f ca="1"/>
        <v>Bad</v>
      </c>
    </row>
    <row r="5188" spans="2:34" x14ac:dyDescent="0.2">
      <c r="B5188" s="2">
        <f ca="1"/>
        <v>0.58982984853751086</v>
      </c>
      <c r="O5188" s="2">
        <f ca="1"/>
        <v>0.64052146287996548</v>
      </c>
      <c r="X5188" s="2">
        <f ca="1"/>
        <v>29.851947549769484</v>
      </c>
      <c r="AG5188" s="2">
        <f ca="1"/>
        <v>0.77383480723083786</v>
      </c>
      <c r="AH5188" s="2" t="str">
        <f ca="1"/>
        <v>Bad</v>
      </c>
    </row>
    <row r="5189" spans="2:34" x14ac:dyDescent="0.2">
      <c r="B5189" s="2">
        <f ca="1"/>
        <v>0.17986561835809134</v>
      </c>
      <c r="O5189" s="2">
        <f ca="1"/>
        <v>0.87308602349061326</v>
      </c>
      <c r="X5189" s="2">
        <f ca="1"/>
        <v>61.741412728798252</v>
      </c>
      <c r="AG5189" s="2">
        <f ca="1"/>
        <v>0.56206255204433742</v>
      </c>
      <c r="AH5189" s="2" t="str">
        <f ca="1"/>
        <v>Bad</v>
      </c>
    </row>
    <row r="5190" spans="2:34" x14ac:dyDescent="0.2">
      <c r="B5190" s="2">
        <f ca="1"/>
        <v>0.20190744621842338</v>
      </c>
      <c r="O5190" s="2">
        <f ca="1"/>
        <v>0.18632121812718494</v>
      </c>
      <c r="X5190" s="2">
        <f ca="1"/>
        <v>35.632214530716709</v>
      </c>
      <c r="AG5190" s="2">
        <f ca="1"/>
        <v>0.19689972114614385</v>
      </c>
      <c r="AH5190" s="2" t="str">
        <f ca="1"/>
        <v>OK</v>
      </c>
    </row>
    <row r="5191" spans="2:34" x14ac:dyDescent="0.2">
      <c r="B5191" s="2">
        <f ca="1"/>
        <v>0.55548398582720693</v>
      </c>
      <c r="O5191" s="2">
        <f ca="1"/>
        <v>0.39666807413247029</v>
      </c>
      <c r="X5191" s="2">
        <f ca="1"/>
        <v>42.053338786413647</v>
      </c>
      <c r="AG5191" s="2">
        <f ca="1"/>
        <v>0.24075573261403838</v>
      </c>
      <c r="AH5191" s="2" t="str">
        <f ca="1"/>
        <v>OK</v>
      </c>
    </row>
    <row r="5192" spans="2:34" x14ac:dyDescent="0.2">
      <c r="B5192" s="2">
        <f ca="1"/>
        <v>0.18469269590095494</v>
      </c>
      <c r="O5192" s="2">
        <f ca="1"/>
        <v>-0.21635010686946085</v>
      </c>
      <c r="X5192" s="2">
        <f ca="1"/>
        <v>33.896397411357725</v>
      </c>
      <c r="AG5192" s="2">
        <f ca="1"/>
        <v>0.97265229249895224</v>
      </c>
      <c r="AH5192" s="2" t="str">
        <f ca="1"/>
        <v>Bad</v>
      </c>
    </row>
    <row r="5193" spans="2:34" x14ac:dyDescent="0.2">
      <c r="B5193" s="2">
        <f ca="1"/>
        <v>0.61437379526832325</v>
      </c>
      <c r="O5193" s="2">
        <f ca="1"/>
        <v>-0.58527290050767022</v>
      </c>
      <c r="X5193" s="2">
        <f ca="1"/>
        <v>47.871956169921923</v>
      </c>
      <c r="AG5193" s="2">
        <f ca="1"/>
        <v>0.36075779358470283</v>
      </c>
      <c r="AH5193" s="2" t="str">
        <f ca="1"/>
        <v>OK</v>
      </c>
    </row>
    <row r="5194" spans="2:34" x14ac:dyDescent="0.2">
      <c r="B5194" s="2">
        <f ca="1"/>
        <v>0.12940457381811066</v>
      </c>
      <c r="O5194" s="2">
        <f ca="1"/>
        <v>-0.16284812313887675</v>
      </c>
      <c r="X5194" s="2">
        <f ca="1"/>
        <v>66.674860396122867</v>
      </c>
      <c r="AG5194" s="2">
        <f ca="1"/>
        <v>0.12497671966182855</v>
      </c>
      <c r="AH5194" s="2" t="str">
        <f ca="1"/>
        <v>OK</v>
      </c>
    </row>
    <row r="5195" spans="2:34" x14ac:dyDescent="0.2">
      <c r="B5195" s="2">
        <f ca="1"/>
        <v>0.17445544086990594</v>
      </c>
      <c r="O5195" s="2">
        <f ca="1"/>
        <v>-0.63719015128373702</v>
      </c>
      <c r="X5195" s="2">
        <f ca="1"/>
        <v>19.641417611777957</v>
      </c>
      <c r="AG5195" s="2">
        <f ca="1"/>
        <v>4.7865601544152536E-3</v>
      </c>
      <c r="AH5195" s="2" t="str">
        <f ca="1"/>
        <v>Good</v>
      </c>
    </row>
    <row r="5196" spans="2:34" x14ac:dyDescent="0.2">
      <c r="B5196" s="2">
        <f ca="1"/>
        <v>0.74631617404416173</v>
      </c>
      <c r="O5196" s="2">
        <f ca="1"/>
        <v>1.5958291740492512</v>
      </c>
      <c r="X5196" s="2">
        <f ca="1"/>
        <v>56.822172039381122</v>
      </c>
      <c r="AG5196" s="2">
        <f ca="1"/>
        <v>0.65849777729928749</v>
      </c>
      <c r="AH5196" s="2" t="str">
        <f ca="1"/>
        <v>Bad</v>
      </c>
    </row>
    <row r="5197" spans="2:34" x14ac:dyDescent="0.2">
      <c r="B5197" s="2">
        <f ca="1"/>
        <v>0.60640963337260723</v>
      </c>
      <c r="O5197" s="2">
        <f ca="1"/>
        <v>-0.61985290244318336</v>
      </c>
      <c r="X5197" s="2">
        <f ca="1"/>
        <v>64.316556643257826</v>
      </c>
      <c r="AG5197" s="2">
        <f ca="1"/>
        <v>0.31281332166946729</v>
      </c>
      <c r="AH5197" s="2" t="str">
        <f ca="1"/>
        <v>OK</v>
      </c>
    </row>
    <row r="5198" spans="2:34" x14ac:dyDescent="0.2">
      <c r="B5198" s="2">
        <f ca="1"/>
        <v>0.346394578085226</v>
      </c>
      <c r="O5198" s="2">
        <f ca="1"/>
        <v>-0.97635942375704143</v>
      </c>
      <c r="X5198" s="2">
        <f ca="1"/>
        <v>24.82307983707161</v>
      </c>
      <c r="AG5198" s="2">
        <f ca="1"/>
        <v>0.62846612613755815</v>
      </c>
      <c r="AH5198" s="2" t="str">
        <f ca="1"/>
        <v>Bad</v>
      </c>
    </row>
    <row r="5199" spans="2:34" x14ac:dyDescent="0.2">
      <c r="B5199" s="2">
        <f ca="1"/>
        <v>9.1441456731234716E-2</v>
      </c>
      <c r="O5199" s="2">
        <f ca="1"/>
        <v>0.33289661753408861</v>
      </c>
      <c r="X5199" s="2">
        <f ca="1"/>
        <v>27.534597657195171</v>
      </c>
      <c r="AG5199" s="2">
        <f ca="1"/>
        <v>0.12897997196167732</v>
      </c>
      <c r="AH5199" s="2" t="str">
        <f ca="1"/>
        <v>OK</v>
      </c>
    </row>
    <row r="5200" spans="2:34" x14ac:dyDescent="0.2">
      <c r="B5200" s="2">
        <f ca="1"/>
        <v>0.35040044236126322</v>
      </c>
      <c r="O5200" s="2">
        <f ca="1"/>
        <v>1.3751694451753247</v>
      </c>
      <c r="X5200" s="2">
        <f ca="1"/>
        <v>54.751561372775235</v>
      </c>
      <c r="AG5200" s="2">
        <f ca="1"/>
        <v>0.43664304945592614</v>
      </c>
      <c r="AH5200" s="2" t="str">
        <f ca="1"/>
        <v>Bad</v>
      </c>
    </row>
    <row r="5201" spans="2:34" x14ac:dyDescent="0.2">
      <c r="B5201" s="2">
        <f ca="1"/>
        <v>6.9020956485613461E-2</v>
      </c>
      <c r="O5201" s="2">
        <f ca="1"/>
        <v>0.16542175556183203</v>
      </c>
      <c r="X5201" s="2">
        <f ca="1"/>
        <v>45.151013824876088</v>
      </c>
      <c r="AG5201" s="2">
        <f ca="1"/>
        <v>0.32945009395480596</v>
      </c>
      <c r="AH5201" s="2" t="str">
        <f ca="1"/>
        <v>OK</v>
      </c>
    </row>
    <row r="5202" spans="2:34" x14ac:dyDescent="0.2">
      <c r="B5202" s="2">
        <f ca="1"/>
        <v>0.52653325046203947</v>
      </c>
      <c r="O5202" s="2">
        <f ca="1"/>
        <v>-0.16168267501907221</v>
      </c>
      <c r="X5202" s="2">
        <f ca="1"/>
        <v>28.762451487434809</v>
      </c>
      <c r="AG5202" s="2">
        <f ca="1"/>
        <v>0.97134508585426449</v>
      </c>
      <c r="AH5202" s="2" t="str">
        <f ca="1"/>
        <v>Bad</v>
      </c>
    </row>
    <row r="5203" spans="2:34" x14ac:dyDescent="0.2">
      <c r="B5203" s="2">
        <f ca="1"/>
        <v>0.62423606273525234</v>
      </c>
      <c r="O5203" s="2">
        <f ca="1"/>
        <v>-8.0876504695186646E-2</v>
      </c>
      <c r="X5203" s="2">
        <f ca="1"/>
        <v>40.327229149029733</v>
      </c>
      <c r="AG5203" s="2">
        <f ca="1"/>
        <v>0.85517684402444849</v>
      </c>
      <c r="AH5203" s="2" t="str">
        <f ca="1"/>
        <v>Bad</v>
      </c>
    </row>
    <row r="5204" spans="2:34" x14ac:dyDescent="0.2">
      <c r="B5204" s="2">
        <f ca="1"/>
        <v>0.11509524347913924</v>
      </c>
      <c r="O5204" s="2">
        <f ca="1"/>
        <v>-1.1428489732636726</v>
      </c>
      <c r="X5204" s="2">
        <f ca="1"/>
        <v>50.410168562964145</v>
      </c>
      <c r="AG5204" s="2">
        <f ca="1"/>
        <v>1.5235324100822289E-2</v>
      </c>
      <c r="AH5204" s="2" t="str">
        <f ca="1"/>
        <v>Good</v>
      </c>
    </row>
    <row r="5205" spans="2:34" x14ac:dyDescent="0.2">
      <c r="B5205" s="2">
        <f ca="1"/>
        <v>0.18186994218014951</v>
      </c>
      <c r="O5205" s="2">
        <f ca="1"/>
        <v>1.4637834277365993</v>
      </c>
      <c r="X5205" s="2">
        <f ca="1"/>
        <v>47.30786864365551</v>
      </c>
      <c r="AG5205" s="2">
        <f ca="1"/>
        <v>0.80506972556476586</v>
      </c>
      <c r="AH5205" s="2" t="str">
        <f ca="1"/>
        <v>Bad</v>
      </c>
    </row>
    <row r="5206" spans="2:34" x14ac:dyDescent="0.2">
      <c r="B5206" s="2">
        <f ca="1"/>
        <v>0.8406132525521659</v>
      </c>
      <c r="O5206" s="2">
        <f ca="1"/>
        <v>0.52402499255060142</v>
      </c>
      <c r="X5206" s="2">
        <f ca="1"/>
        <v>33.193937564081409</v>
      </c>
      <c r="AG5206" s="2">
        <f ca="1"/>
        <v>0.19302509952207947</v>
      </c>
      <c r="AH5206" s="2" t="str">
        <f ca="1"/>
        <v>OK</v>
      </c>
    </row>
    <row r="5207" spans="2:34" x14ac:dyDescent="0.2">
      <c r="B5207" s="2">
        <f ca="1"/>
        <v>0.48605930508721373</v>
      </c>
      <c r="O5207" s="2">
        <f ca="1"/>
        <v>-0.47079064404122384</v>
      </c>
      <c r="X5207" s="2">
        <f ca="1"/>
        <v>46.249216366300175</v>
      </c>
      <c r="AG5207" s="2">
        <f ca="1"/>
        <v>0.72205424307710597</v>
      </c>
      <c r="AH5207" s="2" t="str">
        <f ca="1"/>
        <v>Bad</v>
      </c>
    </row>
    <row r="5208" spans="2:34" x14ac:dyDescent="0.2">
      <c r="B5208" s="2">
        <f ca="1"/>
        <v>0.21630203323826325</v>
      </c>
      <c r="O5208" s="2">
        <f ca="1"/>
        <v>6.7762319619757941E-2</v>
      </c>
      <c r="X5208" s="2">
        <f ca="1"/>
        <v>46.536950104843001</v>
      </c>
      <c r="AG5208" s="2">
        <f ca="1"/>
        <v>0.69082783548367632</v>
      </c>
      <c r="AH5208" s="2" t="str">
        <f ca="1"/>
        <v>Bad</v>
      </c>
    </row>
    <row r="5209" spans="2:34" x14ac:dyDescent="0.2">
      <c r="B5209" s="2">
        <f ca="1"/>
        <v>0.76418768288890293</v>
      </c>
      <c r="O5209" s="2">
        <f ca="1"/>
        <v>1.020738850200859</v>
      </c>
      <c r="X5209" s="2">
        <f ca="1"/>
        <v>42.03443894562426</v>
      </c>
      <c r="AG5209" s="2">
        <f ca="1"/>
        <v>0.76494681461845793</v>
      </c>
      <c r="AH5209" s="2" t="str">
        <f ca="1"/>
        <v>Bad</v>
      </c>
    </row>
    <row r="5210" spans="2:34" x14ac:dyDescent="0.2">
      <c r="B5210" s="2">
        <f ca="1"/>
        <v>0.11796833319743638</v>
      </c>
      <c r="O5210" s="2">
        <f ca="1"/>
        <v>-2.1372737682841141</v>
      </c>
      <c r="X5210" s="2">
        <f ca="1"/>
        <v>43.237901774916168</v>
      </c>
      <c r="AG5210" s="2">
        <f ca="1"/>
        <v>0.30994593147725991</v>
      </c>
      <c r="AH5210" s="2" t="str">
        <f ca="1"/>
        <v>OK</v>
      </c>
    </row>
    <row r="5211" spans="2:34" x14ac:dyDescent="0.2">
      <c r="B5211" s="2">
        <f ca="1"/>
        <v>0.56864506494395228</v>
      </c>
      <c r="O5211" s="2">
        <f ca="1"/>
        <v>0.62669016744450989</v>
      </c>
      <c r="X5211" s="2">
        <f ca="1"/>
        <v>65.272117852958985</v>
      </c>
      <c r="AG5211" s="2">
        <f ca="1"/>
        <v>0.95535451902276547</v>
      </c>
      <c r="AH5211" s="2" t="str">
        <f ca="1"/>
        <v>Bad</v>
      </c>
    </row>
    <row r="5212" spans="2:34" x14ac:dyDescent="0.2">
      <c r="B5212" s="2">
        <f ca="1"/>
        <v>0.44112032206599494</v>
      </c>
      <c r="O5212" s="2">
        <f ca="1"/>
        <v>0.92450574638982419</v>
      </c>
      <c r="X5212" s="2">
        <f ca="1"/>
        <v>62.447416715958759</v>
      </c>
      <c r="AG5212" s="2">
        <f ca="1"/>
        <v>0.70322493641912964</v>
      </c>
      <c r="AH5212" s="2" t="str">
        <f ca="1"/>
        <v>Bad</v>
      </c>
    </row>
    <row r="5213" spans="2:34" x14ac:dyDescent="0.2">
      <c r="B5213" s="2">
        <f ca="1"/>
        <v>0.83477441250912165</v>
      </c>
      <c r="O5213" s="2">
        <f ca="1"/>
        <v>-1.2835392525440741</v>
      </c>
      <c r="X5213" s="2">
        <f ca="1"/>
        <v>37.302264654849814</v>
      </c>
      <c r="AG5213" s="2">
        <f ca="1"/>
        <v>0.46291116235266627</v>
      </c>
      <c r="AH5213" s="2" t="str">
        <f ca="1"/>
        <v>Bad</v>
      </c>
    </row>
    <row r="5214" spans="2:34" x14ac:dyDescent="0.2">
      <c r="B5214" s="2">
        <f ca="1"/>
        <v>0.67875095932602347</v>
      </c>
      <c r="O5214" s="2">
        <f ca="1"/>
        <v>-0.30033228111943594</v>
      </c>
      <c r="X5214" s="2">
        <f ca="1"/>
        <v>57.929274725487758</v>
      </c>
      <c r="AG5214" s="2">
        <f ca="1"/>
        <v>0.54186530939912658</v>
      </c>
      <c r="AH5214" s="2" t="str">
        <f ca="1"/>
        <v>Bad</v>
      </c>
    </row>
    <row r="5215" spans="2:34" x14ac:dyDescent="0.2">
      <c r="B5215" s="2">
        <f ca="1"/>
        <v>0.74052955050088576</v>
      </c>
      <c r="O5215" s="2">
        <f ca="1"/>
        <v>-1.5171286542064673</v>
      </c>
      <c r="X5215" s="2">
        <f ca="1"/>
        <v>77.363657180155485</v>
      </c>
      <c r="AG5215" s="2">
        <f ca="1"/>
        <v>0.20996179601772447</v>
      </c>
      <c r="AH5215" s="2" t="str">
        <f ca="1"/>
        <v>OK</v>
      </c>
    </row>
    <row r="5216" spans="2:34" x14ac:dyDescent="0.2">
      <c r="B5216" s="2">
        <f ca="1"/>
        <v>4.2835702610588333E-2</v>
      </c>
      <c r="O5216" s="2">
        <f ca="1"/>
        <v>-1.6355642829755612</v>
      </c>
      <c r="X5216" s="2">
        <f ca="1"/>
        <v>71.106251371137176</v>
      </c>
      <c r="AG5216" s="2">
        <f ca="1"/>
        <v>0.22611188011763517</v>
      </c>
      <c r="AH5216" s="2" t="str">
        <f ca="1"/>
        <v>OK</v>
      </c>
    </row>
    <row r="5217" spans="2:34" x14ac:dyDescent="0.2">
      <c r="B5217" s="2">
        <f ca="1"/>
        <v>0.95237514789421618</v>
      </c>
      <c r="O5217" s="2">
        <f ca="1"/>
        <v>-1.075811659677864</v>
      </c>
      <c r="X5217" s="2">
        <f ca="1"/>
        <v>54.825847826083532</v>
      </c>
      <c r="AG5217" s="2">
        <f ca="1"/>
        <v>0.29310468825007585</v>
      </c>
      <c r="AH5217" s="2" t="str">
        <f ca="1"/>
        <v>OK</v>
      </c>
    </row>
    <row r="5218" spans="2:34" x14ac:dyDescent="0.2">
      <c r="B5218" s="2">
        <f ca="1"/>
        <v>0.29490863449769034</v>
      </c>
      <c r="O5218" s="2">
        <f ca="1"/>
        <v>-0.43407022517424504</v>
      </c>
      <c r="X5218" s="2">
        <f ca="1"/>
        <v>44.586030166597368</v>
      </c>
      <c r="AG5218" s="2">
        <f ca="1"/>
        <v>0.27973726428533841</v>
      </c>
      <c r="AH5218" s="2" t="str">
        <f ca="1"/>
        <v>OK</v>
      </c>
    </row>
    <row r="5219" spans="2:34" x14ac:dyDescent="0.2">
      <c r="B5219" s="2">
        <f ca="1"/>
        <v>0.94080655847832984</v>
      </c>
      <c r="O5219" s="2">
        <f ca="1"/>
        <v>-0.80864472436130386</v>
      </c>
      <c r="X5219" s="2">
        <f ca="1"/>
        <v>42.46927503733022</v>
      </c>
      <c r="AG5219" s="2">
        <f ca="1"/>
        <v>0.34432528200517454</v>
      </c>
      <c r="AH5219" s="2" t="str">
        <f ca="1"/>
        <v>OK</v>
      </c>
    </row>
    <row r="5220" spans="2:34" x14ac:dyDescent="0.2">
      <c r="B5220" s="2">
        <f ca="1"/>
        <v>0.41832498369424242</v>
      </c>
      <c r="O5220" s="2">
        <f ca="1"/>
        <v>-0.3934080186256827</v>
      </c>
      <c r="X5220" s="2">
        <f ca="1"/>
        <v>67.007426884097072</v>
      </c>
      <c r="AG5220" s="2">
        <f ca="1"/>
        <v>0.24672834796496357</v>
      </c>
      <c r="AH5220" s="2" t="str">
        <f ca="1"/>
        <v>OK</v>
      </c>
    </row>
    <row r="5221" spans="2:34" x14ac:dyDescent="0.2">
      <c r="B5221" s="2">
        <f ca="1"/>
        <v>0.47404753840109182</v>
      </c>
      <c r="O5221" s="2">
        <f ca="1"/>
        <v>3.090348136163542E-2</v>
      </c>
      <c r="X5221" s="2">
        <f ca="1"/>
        <v>46.655040755129463</v>
      </c>
      <c r="AG5221" s="2">
        <f ca="1"/>
        <v>0.45508080930613026</v>
      </c>
      <c r="AH5221" s="2" t="str">
        <f ca="1"/>
        <v>Bad</v>
      </c>
    </row>
    <row r="5222" spans="2:34" x14ac:dyDescent="0.2">
      <c r="B5222" s="2">
        <f ca="1"/>
        <v>0.4870134007110225</v>
      </c>
      <c r="O5222" s="2">
        <f ca="1"/>
        <v>0.68072600609898537</v>
      </c>
      <c r="X5222" s="2">
        <f ca="1"/>
        <v>73.566834420046405</v>
      </c>
      <c r="AG5222" s="2">
        <f ca="1"/>
        <v>0.243258772986092</v>
      </c>
      <c r="AH5222" s="2" t="str">
        <f ca="1"/>
        <v>OK</v>
      </c>
    </row>
    <row r="5223" spans="2:34" x14ac:dyDescent="0.2">
      <c r="B5223" s="2">
        <f ca="1"/>
        <v>0.38518228179109615</v>
      </c>
      <c r="O5223" s="2">
        <f ca="1"/>
        <v>0.51745709221239766</v>
      </c>
      <c r="X5223" s="2">
        <f ca="1"/>
        <v>38.184215193521169</v>
      </c>
      <c r="AG5223" s="2">
        <f ca="1"/>
        <v>0.93306399268507301</v>
      </c>
      <c r="AH5223" s="2" t="str">
        <f ca="1"/>
        <v>Bad</v>
      </c>
    </row>
    <row r="5224" spans="2:34" x14ac:dyDescent="0.2">
      <c r="B5224" s="2">
        <f ca="1"/>
        <v>0.8088721737433584</v>
      </c>
      <c r="O5224" s="2">
        <f ca="1"/>
        <v>0.91054559120018264</v>
      </c>
      <c r="X5224" s="2">
        <f ca="1"/>
        <v>61.418668478679344</v>
      </c>
      <c r="AG5224" s="2">
        <f ca="1"/>
        <v>0.38556267059925808</v>
      </c>
      <c r="AH5224" s="2" t="str">
        <f ca="1"/>
        <v>OK</v>
      </c>
    </row>
    <row r="5225" spans="2:34" x14ac:dyDescent="0.2">
      <c r="B5225" s="2">
        <f ca="1"/>
        <v>0.39304074396004962</v>
      </c>
      <c r="O5225" s="2">
        <f ca="1"/>
        <v>6.6455323246620054E-2</v>
      </c>
      <c r="X5225" s="2">
        <f ca="1"/>
        <v>50.315599755894922</v>
      </c>
      <c r="AG5225" s="2">
        <f ca="1"/>
        <v>0.78103581750869489</v>
      </c>
      <c r="AH5225" s="2" t="str">
        <f ca="1"/>
        <v>Bad</v>
      </c>
    </row>
    <row r="5226" spans="2:34" x14ac:dyDescent="0.2">
      <c r="B5226" s="2">
        <f ca="1"/>
        <v>0.34798179715163213</v>
      </c>
      <c r="O5226" s="2">
        <f ca="1"/>
        <v>1.8119035126554559</v>
      </c>
      <c r="X5226" s="2">
        <f ca="1"/>
        <v>60.545277074865055</v>
      </c>
      <c r="AG5226" s="2">
        <f ca="1"/>
        <v>0.46181436070327919</v>
      </c>
      <c r="AH5226" s="2" t="str">
        <f ca="1"/>
        <v>Bad</v>
      </c>
    </row>
    <row r="5227" spans="2:34" x14ac:dyDescent="0.2">
      <c r="B5227" s="2">
        <f ca="1"/>
        <v>0.26868736237100488</v>
      </c>
      <c r="O5227" s="2">
        <f ca="1"/>
        <v>-0.73685046794171771</v>
      </c>
      <c r="X5227" s="2">
        <f ca="1"/>
        <v>34.807034417341278</v>
      </c>
      <c r="AG5227" s="2">
        <f ca="1"/>
        <v>0.85060102674105464</v>
      </c>
      <c r="AH5227" s="2" t="str">
        <f ca="1"/>
        <v>Bad</v>
      </c>
    </row>
    <row r="5228" spans="2:34" x14ac:dyDescent="0.2">
      <c r="B5228" s="2">
        <f ca="1"/>
        <v>5.0789462210891312E-2</v>
      </c>
      <c r="O5228" s="2">
        <f ca="1"/>
        <v>1.6677314478820151</v>
      </c>
      <c r="X5228" s="2">
        <f ca="1"/>
        <v>43.10793197497614</v>
      </c>
      <c r="AG5228" s="2">
        <f ca="1"/>
        <v>0.27200062968339656</v>
      </c>
      <c r="AH5228" s="2" t="str">
        <f ca="1"/>
        <v>OK</v>
      </c>
    </row>
    <row r="5229" spans="2:34" x14ac:dyDescent="0.2">
      <c r="B5229" s="2">
        <f ca="1"/>
        <v>0.58817099566471431</v>
      </c>
      <c r="O5229" s="2">
        <f ca="1"/>
        <v>0.66499025800690692</v>
      </c>
      <c r="X5229" s="2">
        <f ca="1"/>
        <v>54.972896525875882</v>
      </c>
      <c r="AG5229" s="2">
        <f ca="1"/>
        <v>0.34271295988348993</v>
      </c>
      <c r="AH5229" s="2" t="str">
        <f ca="1"/>
        <v>OK</v>
      </c>
    </row>
    <row r="5230" spans="2:34" x14ac:dyDescent="0.2">
      <c r="B5230" s="2">
        <f ca="1"/>
        <v>0.64440269926133542</v>
      </c>
      <c r="O5230" s="2">
        <f ca="1"/>
        <v>0.20887363613396562</v>
      </c>
      <c r="X5230" s="2">
        <f ca="1"/>
        <v>30.132894005844868</v>
      </c>
      <c r="AG5230" s="2">
        <f ca="1"/>
        <v>0.31927838225685146</v>
      </c>
      <c r="AH5230" s="2" t="str">
        <f ca="1"/>
        <v>OK</v>
      </c>
    </row>
    <row r="5231" spans="2:34" x14ac:dyDescent="0.2">
      <c r="B5231" s="2">
        <f ca="1"/>
        <v>0.50694172913704394</v>
      </c>
      <c r="O5231" s="2">
        <f ca="1"/>
        <v>0.88158163414710178</v>
      </c>
      <c r="X5231" s="2">
        <f ca="1"/>
        <v>59.589848255729045</v>
      </c>
      <c r="AG5231" s="2">
        <f ca="1"/>
        <v>3.8445006442773932E-2</v>
      </c>
      <c r="AH5231" s="2" t="str">
        <f ca="1"/>
        <v>Good</v>
      </c>
    </row>
    <row r="5232" spans="2:34" x14ac:dyDescent="0.2">
      <c r="B5232" s="2">
        <f ca="1"/>
        <v>0.5254300388385873</v>
      </c>
      <c r="O5232" s="2">
        <f ca="1"/>
        <v>-1.8574353728828432</v>
      </c>
      <c r="X5232" s="2">
        <f ca="1"/>
        <v>47.786680072953786</v>
      </c>
      <c r="AG5232" s="2">
        <f ca="1"/>
        <v>0.85773679941701109</v>
      </c>
      <c r="AH5232" s="2" t="str">
        <f ca="1"/>
        <v>Bad</v>
      </c>
    </row>
    <row r="5233" spans="2:34" x14ac:dyDescent="0.2">
      <c r="B5233" s="2">
        <f ca="1"/>
        <v>0.81184669045227098</v>
      </c>
      <c r="O5233" s="2">
        <f ca="1"/>
        <v>-0.25793779921885662</v>
      </c>
      <c r="X5233" s="2">
        <f ca="1"/>
        <v>45.849874252082962</v>
      </c>
      <c r="AG5233" s="2">
        <f ca="1"/>
        <v>0.23959151071472995</v>
      </c>
      <c r="AH5233" s="2" t="str">
        <f ca="1"/>
        <v>OK</v>
      </c>
    </row>
    <row r="5234" spans="2:34" x14ac:dyDescent="0.2">
      <c r="B5234" s="2">
        <f ca="1"/>
        <v>2.9745517718044123E-2</v>
      </c>
      <c r="O5234" s="2">
        <f ca="1"/>
        <v>-0.80511948731629834</v>
      </c>
      <c r="X5234" s="2">
        <f ca="1"/>
        <v>42.579624782753918</v>
      </c>
      <c r="AG5234" s="2">
        <f ca="1"/>
        <v>8.3322204922813725E-2</v>
      </c>
      <c r="AH5234" s="2" t="str">
        <f ca="1"/>
        <v>OK</v>
      </c>
    </row>
    <row r="5235" spans="2:34" x14ac:dyDescent="0.2">
      <c r="B5235" s="2">
        <f ca="1"/>
        <v>0.98501828265617619</v>
      </c>
      <c r="O5235" s="2">
        <f ca="1"/>
        <v>0.34284542630257275</v>
      </c>
      <c r="X5235" s="2">
        <f ca="1"/>
        <v>71.705270226303611</v>
      </c>
      <c r="AG5235" s="2">
        <f ca="1"/>
        <v>0.46409936030912147</v>
      </c>
      <c r="AH5235" s="2" t="str">
        <f ca="1"/>
        <v>Bad</v>
      </c>
    </row>
    <row r="5236" spans="2:34" x14ac:dyDescent="0.2">
      <c r="B5236" s="2">
        <f ca="1"/>
        <v>0.21306532486560004</v>
      </c>
      <c r="O5236" s="2">
        <f ca="1"/>
        <v>1.354790560015537</v>
      </c>
      <c r="X5236" s="2">
        <f ca="1"/>
        <v>53.744874246600091</v>
      </c>
      <c r="AG5236" s="2">
        <f ca="1"/>
        <v>7.8744482998973631E-3</v>
      </c>
      <c r="AH5236" s="2" t="str">
        <f ca="1"/>
        <v>Good</v>
      </c>
    </row>
    <row r="5237" spans="2:34" x14ac:dyDescent="0.2">
      <c r="B5237" s="2">
        <f ca="1"/>
        <v>0.29185659794698915</v>
      </c>
      <c r="O5237" s="2">
        <f ca="1"/>
        <v>-0.34157342940403129</v>
      </c>
      <c r="X5237" s="2">
        <f ca="1"/>
        <v>52.710987057639905</v>
      </c>
      <c r="AG5237" s="2">
        <f ca="1"/>
        <v>0.61649541972133881</v>
      </c>
      <c r="AH5237" s="2" t="str">
        <f ca="1"/>
        <v>Bad</v>
      </c>
    </row>
    <row r="5238" spans="2:34" x14ac:dyDescent="0.2">
      <c r="B5238" s="2">
        <f ca="1"/>
        <v>3.6364758871005654E-2</v>
      </c>
      <c r="O5238" s="2">
        <f ca="1"/>
        <v>1.2159114695640207</v>
      </c>
      <c r="X5238" s="2">
        <f ca="1"/>
        <v>34.693934401643418</v>
      </c>
      <c r="AG5238" s="2">
        <f ca="1"/>
        <v>0.78128402543824049</v>
      </c>
      <c r="AH5238" s="2" t="str">
        <f ca="1"/>
        <v>Bad</v>
      </c>
    </row>
    <row r="5239" spans="2:34" x14ac:dyDescent="0.2">
      <c r="B5239" s="2">
        <f ca="1"/>
        <v>0.90862804935568287</v>
      </c>
      <c r="O5239" s="2">
        <f ca="1"/>
        <v>-1.6092140698216586</v>
      </c>
      <c r="X5239" s="2">
        <f ca="1"/>
        <v>68.119599260688403</v>
      </c>
      <c r="AG5239" s="2">
        <f ca="1"/>
        <v>0.38291134933262971</v>
      </c>
      <c r="AH5239" s="2" t="str">
        <f ca="1"/>
        <v>OK</v>
      </c>
    </row>
    <row r="5240" spans="2:34" x14ac:dyDescent="0.2">
      <c r="B5240" s="2">
        <f ca="1"/>
        <v>0.22463586839292904</v>
      </c>
      <c r="O5240" s="2">
        <f ca="1"/>
        <v>-0.43550767619721459</v>
      </c>
      <c r="X5240" s="2">
        <f ca="1"/>
        <v>39.807807575469475</v>
      </c>
      <c r="AG5240" s="2">
        <f ca="1"/>
        <v>0.88033349385462434</v>
      </c>
      <c r="AH5240" s="2" t="str">
        <f ca="1"/>
        <v>Bad</v>
      </c>
    </row>
    <row r="5241" spans="2:34" x14ac:dyDescent="0.2">
      <c r="B5241" s="2">
        <f ca="1"/>
        <v>0.24225510205036294</v>
      </c>
      <c r="O5241" s="2">
        <f ca="1"/>
        <v>-5.4827253801499005E-2</v>
      </c>
      <c r="X5241" s="2">
        <f ca="1"/>
        <v>34.949867945818681</v>
      </c>
      <c r="AG5241" s="2">
        <f ca="1"/>
        <v>0.69943639936461066</v>
      </c>
      <c r="AH5241" s="2" t="str">
        <f ca="1"/>
        <v>Bad</v>
      </c>
    </row>
    <row r="5242" spans="2:34" x14ac:dyDescent="0.2">
      <c r="B5242" s="2">
        <f ca="1"/>
        <v>0.3684283418412535</v>
      </c>
      <c r="O5242" s="2">
        <f ca="1"/>
        <v>-0.38320256479324033</v>
      </c>
      <c r="X5242" s="2">
        <f ca="1"/>
        <v>51.841180631294932</v>
      </c>
      <c r="AG5242" s="2">
        <f ca="1"/>
        <v>0.41640587974720855</v>
      </c>
      <c r="AH5242" s="2" t="str">
        <f ca="1"/>
        <v>Bad</v>
      </c>
    </row>
    <row r="5243" spans="2:34" x14ac:dyDescent="0.2">
      <c r="B5243" s="2">
        <f ca="1"/>
        <v>0.4012612603989405</v>
      </c>
      <c r="O5243" s="2">
        <f ca="1"/>
        <v>0.23778318606317833</v>
      </c>
      <c r="X5243" s="2">
        <f ca="1"/>
        <v>55.026603255189031</v>
      </c>
      <c r="AG5243" s="2">
        <f ca="1"/>
        <v>0.75092827215391589</v>
      </c>
      <c r="AH5243" s="2" t="str">
        <f ca="1"/>
        <v>Bad</v>
      </c>
    </row>
    <row r="5244" spans="2:34" x14ac:dyDescent="0.2">
      <c r="B5244" s="2">
        <f ca="1"/>
        <v>0.5962108562300612</v>
      </c>
      <c r="O5244" s="2">
        <f ca="1"/>
        <v>0.70637635502163376</v>
      </c>
      <c r="X5244" s="2">
        <f ca="1"/>
        <v>48.698525893776136</v>
      </c>
      <c r="AG5244" s="2">
        <f ca="1"/>
        <v>0.44517873899930316</v>
      </c>
      <c r="AH5244" s="2" t="str">
        <f ca="1"/>
        <v>Bad</v>
      </c>
    </row>
    <row r="5245" spans="2:34" x14ac:dyDescent="0.2">
      <c r="B5245" s="2">
        <f ca="1"/>
        <v>0.17597356018235777</v>
      </c>
      <c r="O5245" s="2">
        <f ca="1"/>
        <v>0.54699408721788934</v>
      </c>
      <c r="X5245" s="2">
        <f ca="1"/>
        <v>51.402151082212207</v>
      </c>
      <c r="AG5245" s="2">
        <f ca="1"/>
        <v>5.632401012845123E-2</v>
      </c>
      <c r="AH5245" s="2" t="str">
        <f ca="1"/>
        <v>OK</v>
      </c>
    </row>
    <row r="5246" spans="2:34" x14ac:dyDescent="0.2">
      <c r="B5246" s="2">
        <f ca="1"/>
        <v>0.96373893618487849</v>
      </c>
      <c r="O5246" s="2">
        <f ca="1"/>
        <v>-1.169706420954655</v>
      </c>
      <c r="X5246" s="2">
        <f ca="1"/>
        <v>100.19278583103119</v>
      </c>
      <c r="AG5246" s="2">
        <f ca="1"/>
        <v>0.22837181273921447</v>
      </c>
      <c r="AH5246" s="2" t="str">
        <f ca="1"/>
        <v>OK</v>
      </c>
    </row>
    <row r="5247" spans="2:34" x14ac:dyDescent="0.2">
      <c r="B5247" s="2">
        <f ca="1"/>
        <v>5.8193753634227408E-2</v>
      </c>
      <c r="O5247" s="2">
        <f ca="1"/>
        <v>0.17452489768451285</v>
      </c>
      <c r="X5247" s="2">
        <f ca="1"/>
        <v>54.759840116621518</v>
      </c>
      <c r="AG5247" s="2">
        <f ca="1"/>
        <v>0.79222338473646126</v>
      </c>
      <c r="AH5247" s="2" t="str">
        <f ca="1"/>
        <v>Bad</v>
      </c>
    </row>
    <row r="5248" spans="2:34" x14ac:dyDescent="0.2">
      <c r="B5248" s="2">
        <f ca="1"/>
        <v>0.88482104521240723</v>
      </c>
      <c r="O5248" s="2">
        <f ca="1"/>
        <v>3.8397798975699602</v>
      </c>
      <c r="X5248" s="2">
        <f ca="1"/>
        <v>34.521616371077457</v>
      </c>
      <c r="AG5248" s="2">
        <f ca="1"/>
        <v>0.74359158585238383</v>
      </c>
      <c r="AH5248" s="2" t="str">
        <f ca="1"/>
        <v>Bad</v>
      </c>
    </row>
    <row r="5249" spans="2:34" x14ac:dyDescent="0.2">
      <c r="B5249" s="2">
        <f ca="1"/>
        <v>3.6875013635366383E-2</v>
      </c>
      <c r="O5249" s="2">
        <f ca="1"/>
        <v>0.41869401085431734</v>
      </c>
      <c r="X5249" s="2">
        <f ca="1"/>
        <v>32.761240895351762</v>
      </c>
      <c r="AG5249" s="2">
        <f ca="1"/>
        <v>0.6218458210426987</v>
      </c>
      <c r="AH5249" s="2" t="str">
        <f ca="1"/>
        <v>Bad</v>
      </c>
    </row>
    <row r="5250" spans="2:34" x14ac:dyDescent="0.2">
      <c r="B5250" s="2">
        <f ca="1"/>
        <v>0.3558202928007197</v>
      </c>
      <c r="O5250" s="2">
        <f ca="1"/>
        <v>-1.471408599905135</v>
      </c>
      <c r="X5250" s="2">
        <f ca="1"/>
        <v>69.190310796792076</v>
      </c>
      <c r="AG5250" s="2">
        <f ca="1"/>
        <v>0.50011656566253904</v>
      </c>
      <c r="AH5250" s="2" t="str">
        <f ca="1"/>
        <v>Bad</v>
      </c>
    </row>
    <row r="5251" spans="2:34" x14ac:dyDescent="0.2">
      <c r="B5251" s="2">
        <f ca="1"/>
        <v>0.51213892371356007</v>
      </c>
      <c r="O5251" s="2">
        <f ca="1"/>
        <v>-0.62032427539498924</v>
      </c>
      <c r="X5251" s="2">
        <f ca="1"/>
        <v>44.536007554740422</v>
      </c>
      <c r="AG5251" s="2">
        <f ca="1"/>
        <v>0.16117539449106522</v>
      </c>
      <c r="AH5251" s="2" t="str">
        <f ca="1"/>
        <v>OK</v>
      </c>
    </row>
    <row r="5252" spans="2:34" x14ac:dyDescent="0.2">
      <c r="B5252" s="2">
        <f ca="1"/>
        <v>0.14129841425440315</v>
      </c>
      <c r="O5252" s="2">
        <f ca="1"/>
        <v>1.7707704886401554</v>
      </c>
      <c r="X5252" s="2">
        <f ca="1"/>
        <v>21.418833555874144</v>
      </c>
      <c r="AG5252" s="2">
        <f ca="1"/>
        <v>0.61314932778116482</v>
      </c>
      <c r="AH5252" s="2" t="str">
        <f ca="1"/>
        <v>Bad</v>
      </c>
    </row>
    <row r="5253" spans="2:34" x14ac:dyDescent="0.2">
      <c r="B5253" s="2">
        <f ca="1"/>
        <v>0.22021451142930726</v>
      </c>
      <c r="O5253" s="2">
        <f ca="1"/>
        <v>0.39417153178714892</v>
      </c>
      <c r="X5253" s="2">
        <f ca="1"/>
        <v>37.769239061273638</v>
      </c>
      <c r="AG5253" s="2">
        <f ca="1"/>
        <v>0.26527588249527079</v>
      </c>
      <c r="AH5253" s="2" t="str">
        <f ca="1"/>
        <v>OK</v>
      </c>
    </row>
    <row r="5254" spans="2:34" x14ac:dyDescent="0.2">
      <c r="B5254" s="2">
        <f ca="1"/>
        <v>0.71352978600491079</v>
      </c>
      <c r="O5254" s="2">
        <f ca="1"/>
        <v>-8.7856215355754122E-2</v>
      </c>
      <c r="X5254" s="2">
        <f ca="1"/>
        <v>63.176423733012221</v>
      </c>
      <c r="AG5254" s="2">
        <f ca="1"/>
        <v>0.61847699073772189</v>
      </c>
      <c r="AH5254" s="2" t="str">
        <f ca="1"/>
        <v>Bad</v>
      </c>
    </row>
    <row r="5255" spans="2:34" x14ac:dyDescent="0.2">
      <c r="B5255" s="2">
        <f ca="1"/>
        <v>8.4944849188709037E-2</v>
      </c>
      <c r="O5255" s="2">
        <f ca="1"/>
        <v>-1.0244029404546859</v>
      </c>
      <c r="X5255" s="2">
        <f ca="1"/>
        <v>45.409939472458269</v>
      </c>
      <c r="AG5255" s="2">
        <f ca="1"/>
        <v>0.82612164525272846</v>
      </c>
      <c r="AH5255" s="2" t="str">
        <f ca="1"/>
        <v>Bad</v>
      </c>
    </row>
    <row r="5256" spans="2:34" x14ac:dyDescent="0.2">
      <c r="B5256" s="2">
        <f ca="1"/>
        <v>0.1876309254095343</v>
      </c>
      <c r="O5256" s="2">
        <f ca="1"/>
        <v>-0.23445831106226431</v>
      </c>
      <c r="X5256" s="2">
        <f ca="1"/>
        <v>36.737531942144024</v>
      </c>
      <c r="AG5256" s="2">
        <f ca="1"/>
        <v>0.26244251129300133</v>
      </c>
      <c r="AH5256" s="2" t="str">
        <f ca="1"/>
        <v>OK</v>
      </c>
    </row>
    <row r="5257" spans="2:34" x14ac:dyDescent="0.2">
      <c r="B5257" s="2">
        <f ca="1"/>
        <v>0.14806818903838792</v>
      </c>
      <c r="O5257" s="2">
        <f ca="1"/>
        <v>-0.41120327607938062</v>
      </c>
      <c r="X5257" s="2">
        <f ca="1"/>
        <v>47.666003732635993</v>
      </c>
      <c r="AG5257" s="2">
        <f ca="1"/>
        <v>8.1443844508375607E-2</v>
      </c>
      <c r="AH5257" s="2" t="str">
        <f ca="1"/>
        <v>OK</v>
      </c>
    </row>
    <row r="5258" spans="2:34" x14ac:dyDescent="0.2">
      <c r="B5258" s="2">
        <f ca="1"/>
        <v>0.31044198417891544</v>
      </c>
      <c r="O5258" s="2">
        <f ca="1"/>
        <v>0.61709738312698881</v>
      </c>
      <c r="X5258" s="2">
        <f ca="1"/>
        <v>105.09168418984062</v>
      </c>
      <c r="AG5258" s="2">
        <f ca="1"/>
        <v>0.64229287077306507</v>
      </c>
      <c r="AH5258" s="2" t="str">
        <f ca="1"/>
        <v>Bad</v>
      </c>
    </row>
    <row r="5259" spans="2:34" x14ac:dyDescent="0.2">
      <c r="B5259" s="2">
        <f ca="1"/>
        <v>0.99166609672578976</v>
      </c>
      <c r="O5259" s="2">
        <f ca="1"/>
        <v>0.45142103574973419</v>
      </c>
      <c r="X5259" s="2">
        <f ca="1"/>
        <v>54.914486288526135</v>
      </c>
      <c r="AG5259" s="2">
        <f ca="1"/>
        <v>0.1980379714838294</v>
      </c>
      <c r="AH5259" s="2" t="str">
        <f ca="1"/>
        <v>OK</v>
      </c>
    </row>
    <row r="5260" spans="2:34" x14ac:dyDescent="0.2">
      <c r="B5260" s="2">
        <f ca="1"/>
        <v>0.37937294396377519</v>
      </c>
      <c r="O5260" s="2">
        <f ca="1"/>
        <v>0.52443301434653733</v>
      </c>
      <c r="X5260" s="2">
        <f ca="1"/>
        <v>39.987326240849775</v>
      </c>
      <c r="AG5260" s="2">
        <f ca="1"/>
        <v>0.65931546918230155</v>
      </c>
      <c r="AH5260" s="2" t="str">
        <f ca="1"/>
        <v>Bad</v>
      </c>
    </row>
    <row r="5261" spans="2:34" x14ac:dyDescent="0.2">
      <c r="B5261" s="2">
        <f ca="1"/>
        <v>0.81657484991021878</v>
      </c>
      <c r="O5261" s="2">
        <f ca="1"/>
        <v>2.0391081485358155E-2</v>
      </c>
      <c r="X5261" s="2">
        <f ca="1"/>
        <v>48.446724850000713</v>
      </c>
      <c r="AG5261" s="2">
        <f ca="1"/>
        <v>0.45056317484038044</v>
      </c>
      <c r="AH5261" s="2" t="str">
        <f ca="1"/>
        <v>Bad</v>
      </c>
    </row>
    <row r="5262" spans="2:34" x14ac:dyDescent="0.2">
      <c r="B5262" s="2">
        <f ca="1"/>
        <v>0.51133944103310958</v>
      </c>
      <c r="O5262" s="2">
        <f ca="1"/>
        <v>-3.7145592475139759E-2</v>
      </c>
      <c r="X5262" s="2">
        <f ca="1"/>
        <v>30.805499719028496</v>
      </c>
      <c r="AG5262" s="2">
        <f ca="1"/>
        <v>0.87593420375657915</v>
      </c>
      <c r="AH5262" s="2" t="str">
        <f ca="1"/>
        <v>Bad</v>
      </c>
    </row>
    <row r="5263" spans="2:34" x14ac:dyDescent="0.2">
      <c r="B5263" s="2">
        <f ca="1"/>
        <v>0.51805157359938137</v>
      </c>
      <c r="O5263" s="2">
        <f ca="1"/>
        <v>0.40260782794026484</v>
      </c>
      <c r="X5263" s="2">
        <f ca="1"/>
        <v>42.612982413666586</v>
      </c>
      <c r="AG5263" s="2">
        <f ca="1"/>
        <v>4.5445644736307633E-2</v>
      </c>
      <c r="AH5263" s="2" t="str">
        <f ca="1"/>
        <v>Good</v>
      </c>
    </row>
    <row r="5264" spans="2:34" x14ac:dyDescent="0.2">
      <c r="B5264" s="2">
        <f ca="1"/>
        <v>0.31264055147110814</v>
      </c>
      <c r="O5264" s="2">
        <f ca="1"/>
        <v>1.2581925964798126</v>
      </c>
      <c r="X5264" s="2">
        <f ca="1"/>
        <v>53.391393490944822</v>
      </c>
      <c r="AG5264" s="2">
        <f ca="1"/>
        <v>0.65797538997474536</v>
      </c>
      <c r="AH5264" s="2" t="str">
        <f ca="1"/>
        <v>Bad</v>
      </c>
    </row>
    <row r="5265" spans="2:34" x14ac:dyDescent="0.2">
      <c r="B5265" s="2">
        <f ca="1"/>
        <v>0.9110288196608205</v>
      </c>
      <c r="O5265" s="2">
        <f ca="1"/>
        <v>0.10713821744564961</v>
      </c>
      <c r="X5265" s="2">
        <f ca="1"/>
        <v>65.654117218195282</v>
      </c>
      <c r="AG5265" s="2">
        <f ca="1"/>
        <v>9.4078077889278022E-2</v>
      </c>
      <c r="AH5265" s="2" t="str">
        <f ca="1"/>
        <v>OK</v>
      </c>
    </row>
    <row r="5266" spans="2:34" x14ac:dyDescent="0.2">
      <c r="B5266" s="2">
        <f ca="1"/>
        <v>8.806319206646962E-2</v>
      </c>
      <c r="O5266" s="2">
        <f ca="1"/>
        <v>0.19529756206436744</v>
      </c>
      <c r="X5266" s="2">
        <f ca="1"/>
        <v>72.140393706602367</v>
      </c>
      <c r="AG5266" s="2">
        <f ca="1"/>
        <v>0.45826209210249225</v>
      </c>
      <c r="AH5266" s="2" t="str">
        <f ca="1"/>
        <v>Bad</v>
      </c>
    </row>
    <row r="5267" spans="2:34" x14ac:dyDescent="0.2">
      <c r="B5267" s="2">
        <f ca="1"/>
        <v>0.737763134407877</v>
      </c>
      <c r="O5267" s="2">
        <f ca="1"/>
        <v>-0.4346423882649656</v>
      </c>
      <c r="X5267" s="2">
        <f ca="1"/>
        <v>37.876119777083929</v>
      </c>
      <c r="AG5267" s="2">
        <f ca="1"/>
        <v>0.14542104671534739</v>
      </c>
      <c r="AH5267" s="2" t="str">
        <f ca="1"/>
        <v>OK</v>
      </c>
    </row>
    <row r="5268" spans="2:34" x14ac:dyDescent="0.2">
      <c r="B5268" s="2">
        <f ca="1"/>
        <v>0.42841706636147125</v>
      </c>
      <c r="O5268" s="2">
        <f ca="1"/>
        <v>0.8633846782508412</v>
      </c>
      <c r="X5268" s="2">
        <f ca="1"/>
        <v>45.487484605949575</v>
      </c>
      <c r="AG5268" s="2">
        <f ca="1"/>
        <v>0.19051328321953487</v>
      </c>
      <c r="AH5268" s="2" t="str">
        <f ca="1"/>
        <v>OK</v>
      </c>
    </row>
    <row r="5269" spans="2:34" x14ac:dyDescent="0.2">
      <c r="B5269" s="2">
        <f ca="1"/>
        <v>0.62789903502487987</v>
      </c>
      <c r="O5269" s="2">
        <f ca="1"/>
        <v>0.13137894244667139</v>
      </c>
      <c r="X5269" s="2">
        <f ca="1"/>
        <v>45.705331274638858</v>
      </c>
      <c r="AG5269" s="2">
        <f ca="1"/>
        <v>0.15285520030072552</v>
      </c>
      <c r="AH5269" s="2" t="str">
        <f ca="1"/>
        <v>OK</v>
      </c>
    </row>
    <row r="5270" spans="2:34" x14ac:dyDescent="0.2">
      <c r="B5270" s="2">
        <f ca="1"/>
        <v>0.16433933469907225</v>
      </c>
      <c r="O5270" s="2">
        <f ca="1"/>
        <v>1.1687434034925539</v>
      </c>
      <c r="X5270" s="2">
        <f ca="1"/>
        <v>30.222495684970919</v>
      </c>
      <c r="AG5270" s="2">
        <f ca="1"/>
        <v>0.32449632036248865</v>
      </c>
      <c r="AH5270" s="2" t="str">
        <f ca="1"/>
        <v>OK</v>
      </c>
    </row>
    <row r="5271" spans="2:34" x14ac:dyDescent="0.2">
      <c r="B5271" s="2">
        <f ca="1"/>
        <v>8.9825646441861196E-2</v>
      </c>
      <c r="O5271" s="2">
        <f ca="1"/>
        <v>0.84164992529999416</v>
      </c>
      <c r="X5271" s="2">
        <f ca="1"/>
        <v>69.174506545690576</v>
      </c>
      <c r="AG5271" s="2">
        <f ca="1"/>
        <v>0.83909725136616742</v>
      </c>
      <c r="AH5271" s="2" t="str">
        <f ca="1"/>
        <v>Bad</v>
      </c>
    </row>
    <row r="5272" spans="2:34" x14ac:dyDescent="0.2">
      <c r="B5272" s="2">
        <f ca="1"/>
        <v>0.42367866055823544</v>
      </c>
      <c r="O5272" s="2">
        <f ca="1"/>
        <v>1.062097659238656</v>
      </c>
      <c r="X5272" s="2">
        <f ca="1"/>
        <v>29.209367233508246</v>
      </c>
      <c r="AG5272" s="2">
        <f ca="1"/>
        <v>0.44664366250002141</v>
      </c>
      <c r="AH5272" s="2" t="str">
        <f ca="1"/>
        <v>Bad</v>
      </c>
    </row>
    <row r="5273" spans="2:34" x14ac:dyDescent="0.2">
      <c r="B5273" s="2">
        <f ca="1"/>
        <v>0.66744003984091926</v>
      </c>
      <c r="O5273" s="2">
        <f ca="1"/>
        <v>0.49032626265835061</v>
      </c>
      <c r="X5273" s="2">
        <f ca="1"/>
        <v>51.952217301067918</v>
      </c>
      <c r="AG5273" s="2">
        <f ca="1"/>
        <v>0.22524189013435492</v>
      </c>
      <c r="AH5273" s="2" t="str">
        <f ca="1"/>
        <v>OK</v>
      </c>
    </row>
    <row r="5274" spans="2:34" x14ac:dyDescent="0.2">
      <c r="B5274" s="2">
        <f ca="1"/>
        <v>0.60084094287422363</v>
      </c>
      <c r="O5274" s="2">
        <f ca="1"/>
        <v>-0.6290187039997347</v>
      </c>
      <c r="X5274" s="2">
        <f ca="1"/>
        <v>60.189478909968273</v>
      </c>
      <c r="AG5274" s="2">
        <f ca="1"/>
        <v>0.97190834728646003</v>
      </c>
      <c r="AH5274" s="2" t="str">
        <f ca="1"/>
        <v>Bad</v>
      </c>
    </row>
    <row r="5275" spans="2:34" x14ac:dyDescent="0.2">
      <c r="B5275" s="2">
        <f ca="1"/>
        <v>0.64320148231075658</v>
      </c>
      <c r="O5275" s="2">
        <f ca="1"/>
        <v>0.72430745391265783</v>
      </c>
      <c r="X5275" s="2">
        <f ca="1"/>
        <v>30.362923773846195</v>
      </c>
      <c r="AG5275" s="2">
        <f ca="1"/>
        <v>0.53624774462735836</v>
      </c>
      <c r="AH5275" s="2" t="str">
        <f ca="1"/>
        <v>Bad</v>
      </c>
    </row>
    <row r="5276" spans="2:34" x14ac:dyDescent="0.2">
      <c r="B5276" s="2">
        <f ca="1"/>
        <v>0.29938482506350339</v>
      </c>
      <c r="O5276" s="2">
        <f ca="1"/>
        <v>0.85704838606271305</v>
      </c>
      <c r="X5276" s="2">
        <f ca="1"/>
        <v>28.700562227008852</v>
      </c>
      <c r="AG5276" s="2">
        <f ca="1"/>
        <v>0.34023327146924487</v>
      </c>
      <c r="AH5276" s="2" t="str">
        <f ca="1"/>
        <v>OK</v>
      </c>
    </row>
    <row r="5277" spans="2:34" x14ac:dyDescent="0.2">
      <c r="B5277" s="2">
        <f ca="1"/>
        <v>0.85807034788120973</v>
      </c>
      <c r="O5277" s="2">
        <f ca="1"/>
        <v>0.20511204246740738</v>
      </c>
      <c r="X5277" s="2">
        <f ca="1"/>
        <v>23.135697416138573</v>
      </c>
      <c r="AG5277" s="2">
        <f ca="1"/>
        <v>0.75877995434057444</v>
      </c>
      <c r="AH5277" s="2" t="str">
        <f ca="1"/>
        <v>Bad</v>
      </c>
    </row>
    <row r="5278" spans="2:34" x14ac:dyDescent="0.2">
      <c r="B5278" s="2">
        <f ca="1"/>
        <v>0.39086028807996498</v>
      </c>
      <c r="O5278" s="2">
        <f ca="1"/>
        <v>0.26838615017576151</v>
      </c>
      <c r="X5278" s="2">
        <f ca="1"/>
        <v>36.750159161747334</v>
      </c>
      <c r="AG5278" s="2">
        <f ca="1"/>
        <v>0.53041626049118284</v>
      </c>
      <c r="AH5278" s="2" t="str">
        <f ca="1"/>
        <v>Bad</v>
      </c>
    </row>
    <row r="5279" spans="2:34" x14ac:dyDescent="0.2">
      <c r="B5279" s="2">
        <f ca="1"/>
        <v>0.43785552858537291</v>
      </c>
      <c r="O5279" s="2">
        <f ca="1"/>
        <v>-0.49444501456093737</v>
      </c>
      <c r="X5279" s="2">
        <f ca="1"/>
        <v>74.798453351551316</v>
      </c>
      <c r="AG5279" s="2">
        <f ca="1"/>
        <v>0.31267788810861163</v>
      </c>
      <c r="AH5279" s="2" t="str">
        <f ca="1"/>
        <v>OK</v>
      </c>
    </row>
    <row r="5280" spans="2:34" x14ac:dyDescent="0.2">
      <c r="B5280" s="2">
        <f ca="1"/>
        <v>5.6616617916497747E-2</v>
      </c>
      <c r="O5280" s="2">
        <f ca="1"/>
        <v>-0.82096744621469986</v>
      </c>
      <c r="X5280" s="2">
        <f ca="1"/>
        <v>82.401471504062016</v>
      </c>
      <c r="AG5280" s="2">
        <f ca="1"/>
        <v>0.7763579378649843</v>
      </c>
      <c r="AH5280" s="2" t="str">
        <f ca="1"/>
        <v>Bad</v>
      </c>
    </row>
    <row r="5281" spans="2:34" x14ac:dyDescent="0.2">
      <c r="B5281" s="2">
        <f ca="1"/>
        <v>0.91589572618860893</v>
      </c>
      <c r="O5281" s="2">
        <f ca="1"/>
        <v>0.23253695471050251</v>
      </c>
      <c r="X5281" s="2">
        <f ca="1"/>
        <v>60.903049581239372</v>
      </c>
      <c r="AG5281" s="2">
        <f ca="1"/>
        <v>0.21182800732387386</v>
      </c>
      <c r="AH5281" s="2" t="str">
        <f ca="1"/>
        <v>OK</v>
      </c>
    </row>
    <row r="5282" spans="2:34" x14ac:dyDescent="0.2">
      <c r="B5282" s="2">
        <f ca="1"/>
        <v>0.87404752684803522</v>
      </c>
      <c r="O5282" s="2">
        <f ca="1"/>
        <v>-1.9460202315392228</v>
      </c>
      <c r="X5282" s="2">
        <f ca="1"/>
        <v>40.580408389249428</v>
      </c>
      <c r="AG5282" s="2">
        <f ca="1"/>
        <v>0.50732801220821844</v>
      </c>
      <c r="AH5282" s="2" t="str">
        <f ca="1"/>
        <v>Bad</v>
      </c>
    </row>
    <row r="5283" spans="2:34" x14ac:dyDescent="0.2">
      <c r="B5283" s="2">
        <f ca="1"/>
        <v>0.92365964813634038</v>
      </c>
      <c r="O5283" s="2">
        <f ca="1"/>
        <v>0.7707356606739092</v>
      </c>
      <c r="X5283" s="2">
        <f ca="1"/>
        <v>38.578223791895411</v>
      </c>
      <c r="AG5283" s="2">
        <f ca="1"/>
        <v>0.31998577688629393</v>
      </c>
      <c r="AH5283" s="2" t="str">
        <f ca="1"/>
        <v>OK</v>
      </c>
    </row>
    <row r="5284" spans="2:34" x14ac:dyDescent="0.2">
      <c r="B5284" s="2">
        <f ca="1"/>
        <v>0.35203179687850938</v>
      </c>
      <c r="O5284" s="2">
        <f ca="1"/>
        <v>-1.4291657453887199</v>
      </c>
      <c r="X5284" s="2">
        <f ca="1"/>
        <v>41.026967589286976</v>
      </c>
      <c r="AG5284" s="2">
        <f ca="1"/>
        <v>0.91265928521333595</v>
      </c>
      <c r="AH5284" s="2" t="str">
        <f ca="1"/>
        <v>Bad</v>
      </c>
    </row>
    <row r="5285" spans="2:34" x14ac:dyDescent="0.2">
      <c r="B5285" s="2">
        <f ca="1"/>
        <v>0.19997130033098665</v>
      </c>
      <c r="O5285" s="2">
        <f ca="1"/>
        <v>1.0202897697317546</v>
      </c>
      <c r="X5285" s="2">
        <f ca="1"/>
        <v>66.542134844803627</v>
      </c>
      <c r="AG5285" s="2">
        <f ca="1"/>
        <v>0.55689421672981299</v>
      </c>
      <c r="AH5285" s="2" t="str">
        <f ca="1"/>
        <v>Bad</v>
      </c>
    </row>
    <row r="5286" spans="2:34" x14ac:dyDescent="0.2">
      <c r="B5286" s="2">
        <f ca="1"/>
        <v>0.41626471785158237</v>
      </c>
      <c r="O5286" s="2">
        <f ca="1"/>
        <v>1.6810215962329709</v>
      </c>
      <c r="X5286" s="2">
        <f ca="1"/>
        <v>43.062253943921434</v>
      </c>
      <c r="AG5286" s="2">
        <f ca="1"/>
        <v>0.63064669922162331</v>
      </c>
      <c r="AH5286" s="2" t="str">
        <f ca="1"/>
        <v>Bad</v>
      </c>
    </row>
    <row r="5287" spans="2:34" x14ac:dyDescent="0.2">
      <c r="B5287" s="2">
        <f ca="1"/>
        <v>0.48554175643811237</v>
      </c>
      <c r="O5287" s="2">
        <f ca="1"/>
        <v>2.4267886119850779</v>
      </c>
      <c r="X5287" s="2">
        <f ca="1"/>
        <v>26.080670680965248</v>
      </c>
      <c r="AG5287" s="2">
        <f ca="1"/>
        <v>0.8746135613480428</v>
      </c>
      <c r="AH5287" s="2" t="str">
        <f ca="1"/>
        <v>Bad</v>
      </c>
    </row>
    <row r="5288" spans="2:34" x14ac:dyDescent="0.2">
      <c r="B5288" s="2">
        <f ca="1"/>
        <v>0.74601634375715653</v>
      </c>
      <c r="O5288" s="2">
        <f ca="1"/>
        <v>1.6150216882757353</v>
      </c>
      <c r="X5288" s="2">
        <f ca="1"/>
        <v>63.573581284842113</v>
      </c>
      <c r="AG5288" s="2">
        <f ca="1"/>
        <v>0.3277383011591517</v>
      </c>
      <c r="AH5288" s="2" t="str">
        <f ca="1"/>
        <v>OK</v>
      </c>
    </row>
    <row r="5289" spans="2:34" x14ac:dyDescent="0.2">
      <c r="B5289" s="2">
        <f ca="1"/>
        <v>0.49310125967756724</v>
      </c>
      <c r="O5289" s="2">
        <f ca="1"/>
        <v>-0.72749544352656226</v>
      </c>
      <c r="X5289" s="2">
        <f ca="1"/>
        <v>40.713156534495091</v>
      </c>
      <c r="AG5289" s="2">
        <f ca="1"/>
        <v>0.91734217893006087</v>
      </c>
      <c r="AH5289" s="2" t="str">
        <f ca="1"/>
        <v>Bad</v>
      </c>
    </row>
    <row r="5290" spans="2:34" x14ac:dyDescent="0.2">
      <c r="B5290" s="2">
        <f ca="1"/>
        <v>0.82560310671291681</v>
      </c>
      <c r="O5290" s="2">
        <f ca="1"/>
        <v>0.97437299939911959</v>
      </c>
      <c r="X5290" s="2">
        <f ca="1"/>
        <v>28.225151775299707</v>
      </c>
      <c r="AG5290" s="2">
        <f ca="1"/>
        <v>0.11355774849479738</v>
      </c>
      <c r="AH5290" s="2" t="str">
        <f ca="1"/>
        <v>OK</v>
      </c>
    </row>
    <row r="5291" spans="2:34" x14ac:dyDescent="0.2">
      <c r="B5291" s="2">
        <f ca="1"/>
        <v>0.74494305078422496</v>
      </c>
      <c r="O5291" s="2">
        <f ca="1"/>
        <v>-0.42824481604764458</v>
      </c>
      <c r="X5291" s="2">
        <f ca="1"/>
        <v>67.11193959961625</v>
      </c>
      <c r="AG5291" s="2">
        <f ca="1"/>
        <v>0.70088799023521364</v>
      </c>
      <c r="AH5291" s="2" t="str">
        <f ca="1"/>
        <v>Bad</v>
      </c>
    </row>
    <row r="5292" spans="2:34" x14ac:dyDescent="0.2">
      <c r="B5292" s="2">
        <f ca="1"/>
        <v>0.80297510544506578</v>
      </c>
      <c r="O5292" s="2">
        <f ca="1"/>
        <v>-1.0875933366173469</v>
      </c>
      <c r="X5292" s="2">
        <f ca="1"/>
        <v>47.106585183032138</v>
      </c>
      <c r="AG5292" s="2">
        <f ca="1"/>
        <v>0.75933810352344788</v>
      </c>
      <c r="AH5292" s="2" t="str">
        <f ca="1"/>
        <v>Bad</v>
      </c>
    </row>
    <row r="5293" spans="2:34" x14ac:dyDescent="0.2">
      <c r="B5293" s="2">
        <f ca="1"/>
        <v>0.40388716128587721</v>
      </c>
      <c r="O5293" s="2">
        <f ca="1"/>
        <v>1.3536222406670766</v>
      </c>
      <c r="X5293" s="2">
        <f ca="1"/>
        <v>29.154077765588305</v>
      </c>
      <c r="AG5293" s="2">
        <f ca="1"/>
        <v>0.61349084874943705</v>
      </c>
      <c r="AH5293" s="2" t="str">
        <f ca="1"/>
        <v>Bad</v>
      </c>
    </row>
    <row r="5294" spans="2:34" x14ac:dyDescent="0.2">
      <c r="B5294" s="2">
        <f ca="1"/>
        <v>0.95731312921276901</v>
      </c>
      <c r="O5294" s="2">
        <f ca="1"/>
        <v>-1.4339544967143247</v>
      </c>
      <c r="X5294" s="2">
        <f ca="1"/>
        <v>50.772075244282426</v>
      </c>
      <c r="AG5294" s="2">
        <f ca="1"/>
        <v>0.18020588408380678</v>
      </c>
      <c r="AH5294" s="2" t="str">
        <f ca="1"/>
        <v>OK</v>
      </c>
    </row>
    <row r="5295" spans="2:34" x14ac:dyDescent="0.2">
      <c r="B5295" s="2">
        <f ca="1"/>
        <v>0.59753627011516963</v>
      </c>
      <c r="O5295" s="2">
        <f ca="1"/>
        <v>8.8876713927175541E-2</v>
      </c>
      <c r="X5295" s="2">
        <f ca="1"/>
        <v>35.650210397884969</v>
      </c>
      <c r="AG5295" s="2">
        <f ca="1"/>
        <v>0.47906831544777218</v>
      </c>
      <c r="AH5295" s="2" t="str">
        <f ca="1"/>
        <v>Bad</v>
      </c>
    </row>
    <row r="5296" spans="2:34" x14ac:dyDescent="0.2">
      <c r="B5296" s="2">
        <f ca="1"/>
        <v>0.26683627886672823</v>
      </c>
      <c r="O5296" s="2">
        <f ca="1"/>
        <v>-3.0629146805731859E-2</v>
      </c>
      <c r="X5296" s="2">
        <f ca="1"/>
        <v>58.04117663544254</v>
      </c>
      <c r="AG5296" s="2">
        <f ca="1"/>
        <v>0.57743762232221818</v>
      </c>
      <c r="AH5296" s="2" t="str">
        <f ca="1"/>
        <v>Bad</v>
      </c>
    </row>
    <row r="5297" spans="2:34" x14ac:dyDescent="0.2">
      <c r="B5297" s="2">
        <f ca="1"/>
        <v>0.49473962758819678</v>
      </c>
      <c r="O5297" s="2">
        <f ca="1"/>
        <v>-0.74465810858957537</v>
      </c>
      <c r="X5297" s="2">
        <f ca="1"/>
        <v>37.590649074055506</v>
      </c>
      <c r="AG5297" s="2">
        <f ca="1"/>
        <v>0.46862103351168427</v>
      </c>
      <c r="AH5297" s="2" t="str">
        <f ca="1"/>
        <v>Bad</v>
      </c>
    </row>
    <row r="5298" spans="2:34" x14ac:dyDescent="0.2">
      <c r="B5298" s="2">
        <f ca="1"/>
        <v>0.24376575251886567</v>
      </c>
      <c r="O5298" s="2">
        <f ca="1"/>
        <v>-3.0096812587530666</v>
      </c>
      <c r="X5298" s="2">
        <f ca="1"/>
        <v>33.092736699911441</v>
      </c>
      <c r="AG5298" s="2">
        <f ca="1"/>
        <v>0.68047397742979809</v>
      </c>
      <c r="AH5298" s="2" t="str">
        <f ca="1"/>
        <v>Bad</v>
      </c>
    </row>
    <row r="5299" spans="2:34" x14ac:dyDescent="0.2">
      <c r="B5299" s="2">
        <f ca="1"/>
        <v>0.71991079455516083</v>
      </c>
      <c r="O5299" s="2">
        <f ca="1"/>
        <v>-2.0413671755987082</v>
      </c>
      <c r="X5299" s="2">
        <f ca="1"/>
        <v>56.233270993570557</v>
      </c>
      <c r="AG5299" s="2">
        <f ca="1"/>
        <v>0.17021372649084121</v>
      </c>
      <c r="AH5299" s="2" t="str">
        <f ca="1"/>
        <v>OK</v>
      </c>
    </row>
    <row r="5300" spans="2:34" x14ac:dyDescent="0.2">
      <c r="B5300" s="2">
        <f ca="1"/>
        <v>0.5831877986583609</v>
      </c>
      <c r="O5300" s="2">
        <f ca="1"/>
        <v>0.14365885567187742</v>
      </c>
      <c r="X5300" s="2">
        <f ca="1"/>
        <v>41.559652868280423</v>
      </c>
      <c r="AG5300" s="2">
        <f ca="1"/>
        <v>0.9603217380555682</v>
      </c>
      <c r="AH5300" s="2" t="str">
        <f ca="1"/>
        <v>Bad</v>
      </c>
    </row>
    <row r="5301" spans="2:34" x14ac:dyDescent="0.2">
      <c r="B5301" s="2">
        <f ca="1"/>
        <v>0.21966371665677098</v>
      </c>
      <c r="O5301" s="2">
        <f ca="1"/>
        <v>-0.67565304803782267</v>
      </c>
      <c r="X5301" s="2">
        <f ca="1"/>
        <v>46.121464954291454</v>
      </c>
      <c r="AG5301" s="2">
        <f ca="1"/>
        <v>0.9586836050727563</v>
      </c>
      <c r="AH5301" s="2" t="str">
        <f ca="1"/>
        <v>Bad</v>
      </c>
    </row>
    <row r="5302" spans="2:34" x14ac:dyDescent="0.2">
      <c r="B5302" s="2">
        <f ca="1"/>
        <v>0.22533170438856764</v>
      </c>
      <c r="O5302" s="2">
        <f ca="1"/>
        <v>-1.5242992768757635</v>
      </c>
      <c r="X5302" s="2">
        <f ca="1"/>
        <v>33.202126155858849</v>
      </c>
      <c r="AG5302" s="2">
        <f ca="1"/>
        <v>0.70281327412842209</v>
      </c>
      <c r="AH5302" s="2" t="str">
        <f ca="1"/>
        <v>Bad</v>
      </c>
    </row>
    <row r="5303" spans="2:34" x14ac:dyDescent="0.2">
      <c r="B5303" s="2">
        <f ca="1"/>
        <v>9.198845499038355E-2</v>
      </c>
      <c r="O5303" s="2">
        <f ca="1"/>
        <v>-1.2445034469250724</v>
      </c>
      <c r="X5303" s="2">
        <f ca="1"/>
        <v>67.572901094983848</v>
      </c>
      <c r="AG5303" s="2">
        <f ca="1"/>
        <v>0.29651776008431097</v>
      </c>
      <c r="AH5303" s="2" t="str">
        <f ca="1"/>
        <v>OK</v>
      </c>
    </row>
    <row r="5304" spans="2:34" x14ac:dyDescent="0.2">
      <c r="B5304" s="2">
        <f ca="1"/>
        <v>0.58676436282584565</v>
      </c>
      <c r="O5304" s="2">
        <f ca="1"/>
        <v>-1.4549483265405445</v>
      </c>
      <c r="X5304" s="2">
        <f ca="1"/>
        <v>68.207242166436743</v>
      </c>
      <c r="AG5304" s="2">
        <f ca="1"/>
        <v>0.48720594378465631</v>
      </c>
      <c r="AH5304" s="2" t="str">
        <f ca="1"/>
        <v>Bad</v>
      </c>
    </row>
    <row r="5305" spans="2:34" x14ac:dyDescent="0.2">
      <c r="B5305" s="2">
        <f ca="1"/>
        <v>0.70161163883929301</v>
      </c>
      <c r="O5305" s="2">
        <f ca="1"/>
        <v>-1.4791993820986755</v>
      </c>
      <c r="X5305" s="2">
        <f ca="1"/>
        <v>73.108811783848068</v>
      </c>
      <c r="AG5305" s="2">
        <f ca="1"/>
        <v>0.38992009548828688</v>
      </c>
      <c r="AH5305" s="2" t="str">
        <f ca="1"/>
        <v>OK</v>
      </c>
    </row>
    <row r="5306" spans="2:34" x14ac:dyDescent="0.2">
      <c r="B5306" s="2">
        <f ca="1"/>
        <v>0.39373088495838293</v>
      </c>
      <c r="O5306" s="2">
        <f ca="1"/>
        <v>-0.75982412947300715</v>
      </c>
      <c r="X5306" s="2">
        <f ca="1"/>
        <v>49.290522332006304</v>
      </c>
      <c r="AG5306" s="2">
        <f ca="1"/>
        <v>4.4579600646362572E-2</v>
      </c>
      <c r="AH5306" s="2" t="str">
        <f ca="1"/>
        <v>Good</v>
      </c>
    </row>
    <row r="5307" spans="2:34" x14ac:dyDescent="0.2">
      <c r="B5307" s="2">
        <f ca="1"/>
        <v>0.53170639612425363</v>
      </c>
      <c r="O5307" s="2">
        <f ca="1"/>
        <v>-6.4704008949949973E-2</v>
      </c>
      <c r="X5307" s="2">
        <f ca="1"/>
        <v>24.565033907058293</v>
      </c>
      <c r="AG5307" s="2">
        <f ca="1"/>
        <v>5.7078111897814754E-2</v>
      </c>
      <c r="AH5307" s="2" t="str">
        <f ca="1"/>
        <v>OK</v>
      </c>
    </row>
    <row r="5308" spans="2:34" x14ac:dyDescent="0.2">
      <c r="B5308" s="2">
        <f ca="1"/>
        <v>0.29706006554063258</v>
      </c>
      <c r="O5308" s="2">
        <f ca="1"/>
        <v>0.6002807203026681</v>
      </c>
      <c r="X5308" s="2">
        <f ca="1"/>
        <v>28.808888084037907</v>
      </c>
      <c r="AG5308" s="2">
        <f ca="1"/>
        <v>0.10729663648195142</v>
      </c>
      <c r="AH5308" s="2" t="str">
        <f ca="1"/>
        <v>OK</v>
      </c>
    </row>
    <row r="5309" spans="2:34" x14ac:dyDescent="0.2">
      <c r="B5309" s="2">
        <f ca="1"/>
        <v>0.78349648078313372</v>
      </c>
      <c r="O5309" s="2">
        <f ca="1"/>
        <v>0.27011677282143626</v>
      </c>
      <c r="X5309" s="2">
        <f ca="1"/>
        <v>27.915485408292437</v>
      </c>
      <c r="AG5309" s="2">
        <f ca="1"/>
        <v>0.61585789570808203</v>
      </c>
      <c r="AH5309" s="2" t="str">
        <f ca="1"/>
        <v>Bad</v>
      </c>
    </row>
    <row r="5310" spans="2:34" x14ac:dyDescent="0.2">
      <c r="B5310" s="2">
        <f ca="1"/>
        <v>0.20365929298160346</v>
      </c>
      <c r="O5310" s="2">
        <f ca="1"/>
        <v>0.16833198415658077</v>
      </c>
      <c r="X5310" s="2">
        <f ca="1"/>
        <v>27.037545820033188</v>
      </c>
      <c r="AG5310" s="2">
        <f ca="1"/>
        <v>0.81331051915704822</v>
      </c>
      <c r="AH5310" s="2" t="str">
        <f ca="1"/>
        <v>Bad</v>
      </c>
    </row>
    <row r="5311" spans="2:34" x14ac:dyDescent="0.2">
      <c r="B5311" s="2">
        <f ca="1"/>
        <v>0.11974605516209058</v>
      </c>
      <c r="O5311" s="2">
        <f ca="1"/>
        <v>0.64365313424601445</v>
      </c>
      <c r="X5311" s="2">
        <f ca="1"/>
        <v>34.459295729907083</v>
      </c>
      <c r="AG5311" s="2">
        <f ca="1"/>
        <v>0.63448497634551759</v>
      </c>
      <c r="AH5311" s="2" t="str">
        <f ca="1"/>
        <v>Bad</v>
      </c>
    </row>
    <row r="5312" spans="2:34" x14ac:dyDescent="0.2">
      <c r="B5312" s="2">
        <f ca="1"/>
        <v>0.61560136563930667</v>
      </c>
      <c r="O5312" s="2">
        <f ca="1"/>
        <v>1.2282613266314455</v>
      </c>
      <c r="X5312" s="2">
        <f ca="1"/>
        <v>48.03298865574537</v>
      </c>
      <c r="AG5312" s="2">
        <f ca="1"/>
        <v>8.1643836562494965E-2</v>
      </c>
      <c r="AH5312" s="2" t="str">
        <f ca="1"/>
        <v>OK</v>
      </c>
    </row>
    <row r="5313" spans="2:34" x14ac:dyDescent="0.2">
      <c r="B5313" s="2">
        <f ca="1"/>
        <v>0.18208944690658968</v>
      </c>
      <c r="O5313" s="2">
        <f ca="1"/>
        <v>-0.98885605760345641</v>
      </c>
      <c r="X5313" s="2">
        <f ca="1"/>
        <v>60.711709459560865</v>
      </c>
      <c r="AG5313" s="2">
        <f ca="1"/>
        <v>0.19177233466981503</v>
      </c>
      <c r="AH5313" s="2" t="str">
        <f ca="1"/>
        <v>OK</v>
      </c>
    </row>
    <row r="5314" spans="2:34" x14ac:dyDescent="0.2">
      <c r="B5314" s="2">
        <f ca="1"/>
        <v>0.79796056237727386</v>
      </c>
      <c r="O5314" s="2">
        <f ca="1"/>
        <v>-0.53929058234496297</v>
      </c>
      <c r="X5314" s="2">
        <f ca="1"/>
        <v>66.667802346145649</v>
      </c>
      <c r="AG5314" s="2">
        <f ca="1"/>
        <v>6.8856055202953348E-2</v>
      </c>
      <c r="AH5314" s="2" t="str">
        <f ca="1"/>
        <v>OK</v>
      </c>
    </row>
    <row r="5315" spans="2:34" x14ac:dyDescent="0.2">
      <c r="B5315" s="2">
        <f ca="1"/>
        <v>0.45268854799011682</v>
      </c>
      <c r="O5315" s="2">
        <f ca="1"/>
        <v>0.56482737099499547</v>
      </c>
      <c r="X5315" s="2">
        <f ca="1"/>
        <v>34.519424311506604</v>
      </c>
      <c r="AG5315" s="2">
        <f ca="1"/>
        <v>0.76636482000987982</v>
      </c>
      <c r="AH5315" s="2" t="str">
        <f ca="1"/>
        <v>Bad</v>
      </c>
    </row>
    <row r="5316" spans="2:34" x14ac:dyDescent="0.2">
      <c r="B5316" s="2">
        <f ca="1"/>
        <v>0.99838318150981098</v>
      </c>
      <c r="O5316" s="2">
        <f ca="1"/>
        <v>1.8374121512376467</v>
      </c>
      <c r="X5316" s="2">
        <f ca="1"/>
        <v>32.099644707311235</v>
      </c>
      <c r="AG5316" s="2">
        <f ca="1"/>
        <v>5.9717202644152367E-2</v>
      </c>
      <c r="AH5316" s="2" t="str">
        <f ca="1"/>
        <v>OK</v>
      </c>
    </row>
    <row r="5317" spans="2:34" x14ac:dyDescent="0.2">
      <c r="B5317" s="2">
        <f ca="1"/>
        <v>0.4248317426692243</v>
      </c>
      <c r="O5317" s="2">
        <f ca="1"/>
        <v>1.1770217146278976</v>
      </c>
      <c r="X5317" s="2">
        <f ca="1"/>
        <v>55.974905961333015</v>
      </c>
      <c r="AG5317" s="2">
        <f ca="1"/>
        <v>0.47030747719306443</v>
      </c>
      <c r="AH5317" s="2" t="str">
        <f ca="1"/>
        <v>Bad</v>
      </c>
    </row>
    <row r="5318" spans="2:34" x14ac:dyDescent="0.2">
      <c r="B5318" s="2">
        <f ca="1"/>
        <v>0.29408475089438446</v>
      </c>
      <c r="O5318" s="2">
        <f ca="1"/>
        <v>-7.5177370204106975E-2</v>
      </c>
      <c r="X5318" s="2">
        <f ca="1"/>
        <v>57.673695401142766</v>
      </c>
      <c r="AG5318" s="2">
        <f ca="1"/>
        <v>0.53092013505430136</v>
      </c>
      <c r="AH5318" s="2" t="str">
        <f ca="1"/>
        <v>Bad</v>
      </c>
    </row>
    <row r="5319" spans="2:34" x14ac:dyDescent="0.2">
      <c r="B5319" s="2">
        <f ca="1"/>
        <v>0.2324676627782627</v>
      </c>
      <c r="O5319" s="2">
        <f ca="1"/>
        <v>1.3318701950555698</v>
      </c>
      <c r="X5319" s="2">
        <f ca="1"/>
        <v>53.897330878849303</v>
      </c>
      <c r="AG5319" s="2">
        <f ca="1"/>
        <v>0.77872813832055199</v>
      </c>
      <c r="AH5319" s="2" t="str">
        <f ca="1"/>
        <v>Bad</v>
      </c>
    </row>
    <row r="5320" spans="2:34" x14ac:dyDescent="0.2">
      <c r="B5320" s="2">
        <f ca="1"/>
        <v>0.16226874642771261</v>
      </c>
      <c r="O5320" s="2">
        <f ca="1"/>
        <v>0.32779275979672373</v>
      </c>
      <c r="X5320" s="2">
        <f ca="1"/>
        <v>36.14128447993108</v>
      </c>
      <c r="AG5320" s="2">
        <f ca="1"/>
        <v>0.9911599262792703</v>
      </c>
      <c r="AH5320" s="2" t="str">
        <f ca="1"/>
        <v>Bad</v>
      </c>
    </row>
    <row r="5321" spans="2:34" x14ac:dyDescent="0.2">
      <c r="B5321" s="2">
        <f ca="1"/>
        <v>0.46793575415000821</v>
      </c>
      <c r="O5321" s="2">
        <f ca="1"/>
        <v>0.73237749573010313</v>
      </c>
      <c r="X5321" s="2">
        <f ca="1"/>
        <v>55.377136475047493</v>
      </c>
      <c r="AG5321" s="2">
        <f ca="1"/>
        <v>0.53632967880597815</v>
      </c>
      <c r="AH5321" s="2" t="str">
        <f ca="1"/>
        <v>Bad</v>
      </c>
    </row>
    <row r="5322" spans="2:34" x14ac:dyDescent="0.2">
      <c r="B5322" s="2">
        <f ca="1"/>
        <v>0.34238215809048378</v>
      </c>
      <c r="O5322" s="2">
        <f ca="1"/>
        <v>0.69430075362065535</v>
      </c>
      <c r="X5322" s="2">
        <f ca="1"/>
        <v>18.911958953088114</v>
      </c>
      <c r="AG5322" s="2">
        <f ca="1"/>
        <v>1.9812382924952132E-2</v>
      </c>
      <c r="AH5322" s="2" t="str">
        <f ca="1"/>
        <v>Good</v>
      </c>
    </row>
    <row r="5323" spans="2:34" x14ac:dyDescent="0.2">
      <c r="B5323" s="2">
        <f ca="1"/>
        <v>0.56004213744420905</v>
      </c>
      <c r="O5323" s="2">
        <f ca="1"/>
        <v>-1.5595207836469189</v>
      </c>
      <c r="X5323" s="2">
        <f ca="1"/>
        <v>61.516283139256728</v>
      </c>
      <c r="AG5323" s="2">
        <f ca="1"/>
        <v>0.49604303406122252</v>
      </c>
      <c r="AH5323" s="2" t="str">
        <f ca="1"/>
        <v>Bad</v>
      </c>
    </row>
    <row r="5324" spans="2:34" x14ac:dyDescent="0.2">
      <c r="B5324" s="2">
        <f ca="1"/>
        <v>0.67967120019140359</v>
      </c>
      <c r="O5324" s="2">
        <f ca="1"/>
        <v>-3.0819733413964417E-2</v>
      </c>
      <c r="X5324" s="2">
        <f ca="1"/>
        <v>29.638261949820567</v>
      </c>
      <c r="AG5324" s="2">
        <f ca="1"/>
        <v>0.4567817225707167</v>
      </c>
      <c r="AH5324" s="2" t="str">
        <f ca="1"/>
        <v>Bad</v>
      </c>
    </row>
    <row r="5325" spans="2:34" x14ac:dyDescent="0.2">
      <c r="B5325" s="2">
        <f ca="1"/>
        <v>0.70046198666487047</v>
      </c>
      <c r="O5325" s="2">
        <f ca="1"/>
        <v>0.15312478587282558</v>
      </c>
      <c r="X5325" s="2">
        <f ca="1"/>
        <v>51.771996481998798</v>
      </c>
      <c r="AG5325" s="2">
        <f ca="1"/>
        <v>0.21417385171808245</v>
      </c>
      <c r="AH5325" s="2" t="str">
        <f ca="1"/>
        <v>OK</v>
      </c>
    </row>
    <row r="5326" spans="2:34" x14ac:dyDescent="0.2">
      <c r="B5326" s="2">
        <f ca="1"/>
        <v>0.78432658190554494</v>
      </c>
      <c r="O5326" s="2">
        <f ca="1"/>
        <v>1.7894485178393478</v>
      </c>
      <c r="X5326" s="2">
        <f ca="1"/>
        <v>47.418236694293931</v>
      </c>
      <c r="AG5326" s="2">
        <f ca="1"/>
        <v>0.72693442957298782</v>
      </c>
      <c r="AH5326" s="2" t="str">
        <f ca="1"/>
        <v>Bad</v>
      </c>
    </row>
    <row r="5327" spans="2:34" x14ac:dyDescent="0.2">
      <c r="B5327" s="2">
        <f ca="1"/>
        <v>0.40026566331425273</v>
      </c>
      <c r="O5327" s="2">
        <f ca="1"/>
        <v>-1.4331328679450606</v>
      </c>
      <c r="X5327" s="2">
        <f ca="1"/>
        <v>103.75933553721502</v>
      </c>
      <c r="AG5327" s="2">
        <f ca="1"/>
        <v>8.5318067009117815E-2</v>
      </c>
      <c r="AH5327" s="2" t="str">
        <f ca="1"/>
        <v>OK</v>
      </c>
    </row>
    <row r="5328" spans="2:34" x14ac:dyDescent="0.2">
      <c r="B5328" s="2">
        <f ca="1"/>
        <v>0.9992050255752265</v>
      </c>
      <c r="O5328" s="2">
        <f ca="1"/>
        <v>2.2174062710121449E-2</v>
      </c>
      <c r="X5328" s="2">
        <f ca="1"/>
        <v>61.195384498117839</v>
      </c>
      <c r="AG5328" s="2">
        <f ca="1"/>
        <v>0.38604335358704267</v>
      </c>
      <c r="AH5328" s="2" t="str">
        <f ca="1"/>
        <v>OK</v>
      </c>
    </row>
    <row r="5329" spans="2:34" x14ac:dyDescent="0.2">
      <c r="B5329" s="2">
        <f ca="1"/>
        <v>0.36521607077757978</v>
      </c>
      <c r="O5329" s="2">
        <f ca="1"/>
        <v>-2.6304998892528051</v>
      </c>
      <c r="X5329" s="2">
        <f ca="1"/>
        <v>80.041109505083313</v>
      </c>
      <c r="AG5329" s="2">
        <f ca="1"/>
        <v>0.24567754551870946</v>
      </c>
      <c r="AH5329" s="2" t="str">
        <f ca="1"/>
        <v>OK</v>
      </c>
    </row>
    <row r="5330" spans="2:34" x14ac:dyDescent="0.2">
      <c r="B5330" s="2">
        <f ca="1"/>
        <v>0.96086730069336945</v>
      </c>
      <c r="O5330" s="2">
        <f ca="1"/>
        <v>-0.29926637923583038</v>
      </c>
      <c r="X5330" s="2">
        <f ca="1"/>
        <v>31.983114906050929</v>
      </c>
      <c r="AG5330" s="2">
        <f ca="1"/>
        <v>0.13884941464998457</v>
      </c>
      <c r="AH5330" s="2" t="str">
        <f ca="1"/>
        <v>OK</v>
      </c>
    </row>
    <row r="5331" spans="2:34" x14ac:dyDescent="0.2">
      <c r="B5331" s="2">
        <f ca="1"/>
        <v>0.99343460261782068</v>
      </c>
      <c r="O5331" s="2">
        <f ca="1"/>
        <v>1.6956590932111899</v>
      </c>
      <c r="X5331" s="2">
        <f ca="1"/>
        <v>60.507717995867964</v>
      </c>
      <c r="AG5331" s="2">
        <f ca="1"/>
        <v>0.97296485533466148</v>
      </c>
      <c r="AH5331" s="2" t="str">
        <f ca="1"/>
        <v>Bad</v>
      </c>
    </row>
    <row r="5332" spans="2:34" x14ac:dyDescent="0.2">
      <c r="B5332" s="2">
        <f ca="1"/>
        <v>0.68642869632761117</v>
      </c>
      <c r="O5332" s="2">
        <f ca="1"/>
        <v>0.18228259227189869</v>
      </c>
      <c r="X5332" s="2">
        <f ca="1"/>
        <v>38.474634437401839</v>
      </c>
      <c r="AG5332" s="2">
        <f ca="1"/>
        <v>0.29143063725481588</v>
      </c>
      <c r="AH5332" s="2" t="str">
        <f ca="1"/>
        <v>OK</v>
      </c>
    </row>
    <row r="5333" spans="2:34" x14ac:dyDescent="0.2">
      <c r="B5333" s="2">
        <f ca="1"/>
        <v>0.29850167713056619</v>
      </c>
      <c r="O5333" s="2">
        <f ca="1"/>
        <v>-0.31483476941100313</v>
      </c>
      <c r="X5333" s="2">
        <f ca="1"/>
        <v>45.736537981364727</v>
      </c>
      <c r="AG5333" s="2">
        <f ca="1"/>
        <v>0.71929351553373166</v>
      </c>
      <c r="AH5333" s="2" t="str">
        <f ca="1"/>
        <v>Bad</v>
      </c>
    </row>
    <row r="5334" spans="2:34" x14ac:dyDescent="0.2">
      <c r="B5334" s="2">
        <f ca="1"/>
        <v>0.63494162022697931</v>
      </c>
      <c r="O5334" s="2">
        <f ca="1"/>
        <v>0.82647253053519198</v>
      </c>
      <c r="X5334" s="2">
        <f ca="1"/>
        <v>51.313190926406165</v>
      </c>
      <c r="AG5334" s="2">
        <f ca="1"/>
        <v>0.49290097314049319</v>
      </c>
      <c r="AH5334" s="2" t="str">
        <f ca="1"/>
        <v>Bad</v>
      </c>
    </row>
    <row r="5335" spans="2:34" x14ac:dyDescent="0.2">
      <c r="B5335" s="2">
        <f ca="1"/>
        <v>7.7803291721161516E-2</v>
      </c>
      <c r="O5335" s="2">
        <f ca="1"/>
        <v>1.2607217540002462</v>
      </c>
      <c r="X5335" s="2">
        <f ca="1"/>
        <v>45.184859652601475</v>
      </c>
      <c r="AG5335" s="2">
        <f ca="1"/>
        <v>0.46580093091245156</v>
      </c>
      <c r="AH5335" s="2" t="str">
        <f ca="1"/>
        <v>Bad</v>
      </c>
    </row>
    <row r="5336" spans="2:34" x14ac:dyDescent="0.2">
      <c r="B5336" s="2">
        <f ca="1"/>
        <v>0.32023943628963347</v>
      </c>
      <c r="O5336" s="2">
        <f ca="1"/>
        <v>-0.5671468133085642</v>
      </c>
      <c r="X5336" s="2">
        <f ca="1"/>
        <v>61.432954872131162</v>
      </c>
      <c r="AG5336" s="2">
        <f ca="1"/>
        <v>0.75447071328809878</v>
      </c>
      <c r="AH5336" s="2" t="str">
        <f ca="1"/>
        <v>Bad</v>
      </c>
    </row>
    <row r="5337" spans="2:34" x14ac:dyDescent="0.2">
      <c r="B5337" s="2">
        <f ca="1"/>
        <v>0.40053120942185871</v>
      </c>
      <c r="O5337" s="2">
        <f ca="1"/>
        <v>-2.586447120324566</v>
      </c>
      <c r="X5337" s="2">
        <f ca="1"/>
        <v>38.036759480451032</v>
      </c>
      <c r="AG5337" s="2">
        <f ca="1"/>
        <v>0.63790420669214942</v>
      </c>
      <c r="AH5337" s="2" t="str">
        <f ca="1"/>
        <v>Bad</v>
      </c>
    </row>
    <row r="5338" spans="2:34" x14ac:dyDescent="0.2">
      <c r="B5338" s="2">
        <f ca="1"/>
        <v>0.52383905270018927</v>
      </c>
      <c r="O5338" s="2">
        <f ca="1"/>
        <v>-0.90393239983048146</v>
      </c>
      <c r="X5338" s="2">
        <f ca="1"/>
        <v>49.430375393612913</v>
      </c>
      <c r="AG5338" s="2">
        <f ca="1"/>
        <v>0.60974792518498866</v>
      </c>
      <c r="AH5338" s="2" t="str">
        <f ca="1"/>
        <v>Bad</v>
      </c>
    </row>
    <row r="5339" spans="2:34" x14ac:dyDescent="0.2">
      <c r="B5339" s="2">
        <f ca="1"/>
        <v>0.21992684489993608</v>
      </c>
      <c r="O5339" s="2">
        <f ca="1"/>
        <v>1.2102843986853746</v>
      </c>
      <c r="X5339" s="2">
        <f ca="1"/>
        <v>40.792546033771913</v>
      </c>
      <c r="AG5339" s="2">
        <f ca="1"/>
        <v>0.54900121139593105</v>
      </c>
      <c r="AH5339" s="2" t="str">
        <f ca="1"/>
        <v>Bad</v>
      </c>
    </row>
    <row r="5340" spans="2:34" x14ac:dyDescent="0.2">
      <c r="B5340" s="2">
        <f ca="1"/>
        <v>0.83274713948988599</v>
      </c>
      <c r="O5340" s="2">
        <f ca="1"/>
        <v>1.0569589925932246</v>
      </c>
      <c r="X5340" s="2">
        <f ca="1"/>
        <v>63.032531173038592</v>
      </c>
      <c r="AG5340" s="2">
        <f ca="1"/>
        <v>0.9507332557831889</v>
      </c>
      <c r="AH5340" s="2" t="str">
        <f ca="1"/>
        <v>Bad</v>
      </c>
    </row>
    <row r="5341" spans="2:34" x14ac:dyDescent="0.2">
      <c r="B5341" s="2">
        <f ca="1"/>
        <v>0.85803361355988161</v>
      </c>
      <c r="O5341" s="2">
        <f ca="1"/>
        <v>0.39680963262080693</v>
      </c>
      <c r="X5341" s="2">
        <f ca="1"/>
        <v>45.235093668397226</v>
      </c>
      <c r="AG5341" s="2">
        <f ca="1"/>
        <v>6.6437147504465388E-2</v>
      </c>
      <c r="AH5341" s="2" t="str">
        <f ca="1"/>
        <v>OK</v>
      </c>
    </row>
    <row r="5342" spans="2:34" x14ac:dyDescent="0.2">
      <c r="B5342" s="2">
        <f ca="1"/>
        <v>0.60083553660161271</v>
      </c>
      <c r="O5342" s="2">
        <f ca="1"/>
        <v>-0.96894098360401482</v>
      </c>
      <c r="X5342" s="2">
        <f ca="1"/>
        <v>33.422054299688789</v>
      </c>
      <c r="AG5342" s="2">
        <f ca="1"/>
        <v>0.72084114197860472</v>
      </c>
      <c r="AH5342" s="2" t="str">
        <f ca="1"/>
        <v>Bad</v>
      </c>
    </row>
    <row r="5343" spans="2:34" x14ac:dyDescent="0.2">
      <c r="B5343" s="2">
        <f ca="1"/>
        <v>0.44464230194872867</v>
      </c>
      <c r="O5343" s="2">
        <f ca="1"/>
        <v>1.0105940145746</v>
      </c>
      <c r="X5343" s="2">
        <f ca="1"/>
        <v>40.899585223576295</v>
      </c>
      <c r="AG5343" s="2">
        <f ca="1"/>
        <v>0.20438476839699526</v>
      </c>
      <c r="AH5343" s="2" t="str">
        <f ca="1"/>
        <v>OK</v>
      </c>
    </row>
    <row r="5344" spans="2:34" x14ac:dyDescent="0.2">
      <c r="B5344" s="2">
        <f ca="1"/>
        <v>0.66217844212356436</v>
      </c>
      <c r="O5344" s="2">
        <f ca="1"/>
        <v>-0.16673456512292784</v>
      </c>
      <c r="X5344" s="2">
        <f ca="1"/>
        <v>28.77363917685247</v>
      </c>
      <c r="AG5344" s="2">
        <f ca="1"/>
        <v>0.77778117626663668</v>
      </c>
      <c r="AH5344" s="2" t="str">
        <f ca="1"/>
        <v>Bad</v>
      </c>
    </row>
    <row r="5345" spans="2:34" x14ac:dyDescent="0.2">
      <c r="B5345" s="2">
        <f ca="1"/>
        <v>0.78903323768972378</v>
      </c>
      <c r="O5345" s="2">
        <f ca="1"/>
        <v>-1.7553753515984616</v>
      </c>
      <c r="X5345" s="2">
        <f ca="1"/>
        <v>67.845319488119898</v>
      </c>
      <c r="AG5345" s="2">
        <f ca="1"/>
        <v>0.2986520265894248</v>
      </c>
      <c r="AH5345" s="2" t="str">
        <f ca="1"/>
        <v>OK</v>
      </c>
    </row>
    <row r="5346" spans="2:34" x14ac:dyDescent="0.2">
      <c r="B5346" s="2">
        <f ca="1"/>
        <v>0.32030663256540737</v>
      </c>
      <c r="O5346" s="2">
        <f ca="1"/>
        <v>-0.14466256757678614</v>
      </c>
      <c r="X5346" s="2">
        <f ca="1"/>
        <v>31.666486922107779</v>
      </c>
      <c r="AG5346" s="2">
        <f ca="1"/>
        <v>0.63261694077524999</v>
      </c>
      <c r="AH5346" s="2" t="str">
        <f ca="1"/>
        <v>Bad</v>
      </c>
    </row>
    <row r="5347" spans="2:34" x14ac:dyDescent="0.2">
      <c r="B5347" s="2">
        <f ca="1"/>
        <v>0.38861499409591871</v>
      </c>
      <c r="O5347" s="2">
        <f ca="1"/>
        <v>-1.7233018009910703</v>
      </c>
      <c r="X5347" s="2">
        <f ca="1"/>
        <v>43.564535561834276</v>
      </c>
      <c r="AG5347" s="2">
        <f ca="1"/>
        <v>0.23345899907110579</v>
      </c>
      <c r="AH5347" s="2" t="str">
        <f ca="1"/>
        <v>OK</v>
      </c>
    </row>
    <row r="5348" spans="2:34" x14ac:dyDescent="0.2">
      <c r="B5348" s="2">
        <f ca="1"/>
        <v>0.87323178066606078</v>
      </c>
      <c r="O5348" s="2">
        <f ca="1"/>
        <v>-0.94318330850316356</v>
      </c>
      <c r="X5348" s="2">
        <f ca="1"/>
        <v>49.136321980846461</v>
      </c>
      <c r="AG5348" s="2">
        <f ca="1"/>
        <v>0.83060519215011896</v>
      </c>
      <c r="AH5348" s="2" t="str">
        <f ca="1"/>
        <v>Bad</v>
      </c>
    </row>
    <row r="5349" spans="2:34" x14ac:dyDescent="0.2">
      <c r="B5349" s="2">
        <f ca="1"/>
        <v>0.80358368150391501</v>
      </c>
      <c r="O5349" s="2">
        <f ca="1"/>
        <v>-0.42490449105131772</v>
      </c>
      <c r="X5349" s="2">
        <f ca="1"/>
        <v>49.073981289180239</v>
      </c>
      <c r="AG5349" s="2">
        <f ca="1"/>
        <v>0.35941053460111605</v>
      </c>
      <c r="AH5349" s="2" t="str">
        <f ca="1"/>
        <v>OK</v>
      </c>
    </row>
    <row r="5350" spans="2:34" x14ac:dyDescent="0.2">
      <c r="B5350" s="2">
        <f ca="1"/>
        <v>0.51488992515802035</v>
      </c>
      <c r="O5350" s="2">
        <f ca="1"/>
        <v>-0.14915263840427465</v>
      </c>
      <c r="X5350" s="2">
        <f ca="1"/>
        <v>45.53560320195777</v>
      </c>
      <c r="AG5350" s="2">
        <f ca="1"/>
        <v>0.51728374010419587</v>
      </c>
      <c r="AH5350" s="2" t="str">
        <f ca="1"/>
        <v>Bad</v>
      </c>
    </row>
    <row r="5351" spans="2:34" x14ac:dyDescent="0.2">
      <c r="B5351" s="2">
        <f ca="1"/>
        <v>0.23325317542844437</v>
      </c>
      <c r="O5351" s="2">
        <f ca="1"/>
        <v>1.4501992637393384</v>
      </c>
      <c r="X5351" s="2">
        <f ca="1"/>
        <v>46.586981613648824</v>
      </c>
      <c r="AG5351" s="2">
        <f ca="1"/>
        <v>0.50967332009675315</v>
      </c>
      <c r="AH5351" s="2" t="str">
        <f ca="1"/>
        <v>Bad</v>
      </c>
    </row>
    <row r="5352" spans="2:34" x14ac:dyDescent="0.2">
      <c r="B5352" s="2">
        <f ca="1"/>
        <v>0.77615770168410814</v>
      </c>
      <c r="O5352" s="2">
        <f ca="1"/>
        <v>0.36582803174477829</v>
      </c>
      <c r="X5352" s="2">
        <f ca="1"/>
        <v>49.353911510163357</v>
      </c>
      <c r="AG5352" s="2">
        <f ca="1"/>
        <v>0.65201234884461456</v>
      </c>
      <c r="AH5352" s="2" t="str">
        <f ca="1"/>
        <v>Bad</v>
      </c>
    </row>
    <row r="5353" spans="2:34" x14ac:dyDescent="0.2">
      <c r="B5353" s="2">
        <f ca="1"/>
        <v>0.99591491537522692</v>
      </c>
      <c r="O5353" s="2">
        <f ca="1"/>
        <v>-0.4281571034190686</v>
      </c>
      <c r="X5353" s="2">
        <f ca="1"/>
        <v>36.161658598897425</v>
      </c>
      <c r="AG5353" s="2">
        <f ca="1"/>
        <v>0.3494686708346999</v>
      </c>
      <c r="AH5353" s="2" t="str">
        <f ca="1"/>
        <v>OK</v>
      </c>
    </row>
    <row r="5354" spans="2:34" x14ac:dyDescent="0.2">
      <c r="B5354" s="2">
        <f ca="1"/>
        <v>0.85097997675032166</v>
      </c>
      <c r="O5354" s="2">
        <f ca="1"/>
        <v>-0.47993353900868124</v>
      </c>
      <c r="X5354" s="2">
        <f ca="1"/>
        <v>51.161595894107137</v>
      </c>
      <c r="AG5354" s="2">
        <f ca="1"/>
        <v>0.26421643933566918</v>
      </c>
      <c r="AH5354" s="2" t="str">
        <f ca="1"/>
        <v>OK</v>
      </c>
    </row>
    <row r="5355" spans="2:34" x14ac:dyDescent="0.2">
      <c r="B5355" s="2">
        <f ca="1"/>
        <v>0.85732174615917489</v>
      </c>
      <c r="O5355" s="2">
        <f ca="1"/>
        <v>-1.4854971002445285</v>
      </c>
      <c r="X5355" s="2">
        <f ca="1"/>
        <v>54.491687282450258</v>
      </c>
      <c r="AG5355" s="2">
        <f ca="1"/>
        <v>0.12454490590629508</v>
      </c>
      <c r="AH5355" s="2" t="str">
        <f ca="1"/>
        <v>OK</v>
      </c>
    </row>
    <row r="5356" spans="2:34" x14ac:dyDescent="0.2">
      <c r="B5356" s="2">
        <f ca="1"/>
        <v>0.22765644215952685</v>
      </c>
      <c r="O5356" s="2">
        <f ca="1"/>
        <v>-2.3669106535248185E-2</v>
      </c>
      <c r="X5356" s="2">
        <f ca="1"/>
        <v>36.747525694851902</v>
      </c>
      <c r="AG5356" s="2">
        <f ca="1"/>
        <v>0.61964839444397835</v>
      </c>
      <c r="AH5356" s="2" t="str">
        <f ca="1"/>
        <v>Bad</v>
      </c>
    </row>
    <row r="5357" spans="2:34" x14ac:dyDescent="0.2">
      <c r="B5357" s="2">
        <f ca="1"/>
        <v>0.6077918820159649</v>
      </c>
      <c r="O5357" s="2">
        <f ca="1"/>
        <v>-0.56982470161669774</v>
      </c>
      <c r="X5357" s="2">
        <f ca="1"/>
        <v>45.823837908732834</v>
      </c>
      <c r="AG5357" s="2">
        <f ca="1"/>
        <v>9.384764515932642E-2</v>
      </c>
      <c r="AH5357" s="2" t="str">
        <f ca="1"/>
        <v>OK</v>
      </c>
    </row>
    <row r="5358" spans="2:34" x14ac:dyDescent="0.2">
      <c r="B5358" s="2">
        <f ca="1"/>
        <v>8.4254169815836555E-2</v>
      </c>
      <c r="O5358" s="2">
        <f ca="1"/>
        <v>-1.0143553350995593</v>
      </c>
      <c r="X5358" s="2">
        <f ca="1"/>
        <v>34.290200384269255</v>
      </c>
      <c r="AG5358" s="2">
        <f ca="1"/>
        <v>0.90930969978928045</v>
      </c>
      <c r="AH5358" s="2" t="str">
        <f ca="1"/>
        <v>Bad</v>
      </c>
    </row>
    <row r="5359" spans="2:34" x14ac:dyDescent="0.2">
      <c r="B5359" s="2">
        <f ca="1"/>
        <v>0.74409012560040799</v>
      </c>
      <c r="O5359" s="2">
        <f ca="1"/>
        <v>-0.81179626896419288</v>
      </c>
      <c r="X5359" s="2">
        <f ca="1"/>
        <v>53.303855140066581</v>
      </c>
      <c r="AG5359" s="2">
        <f ca="1"/>
        <v>0.5913318375248322</v>
      </c>
      <c r="AH5359" s="2" t="str">
        <f ca="1"/>
        <v>Bad</v>
      </c>
    </row>
    <row r="5360" spans="2:34" x14ac:dyDescent="0.2">
      <c r="B5360" s="2">
        <f ca="1"/>
        <v>0.41979249615485803</v>
      </c>
      <c r="O5360" s="2">
        <f ca="1"/>
        <v>-1.1373854797718972</v>
      </c>
      <c r="X5360" s="2">
        <f ca="1"/>
        <v>35.408718113037175</v>
      </c>
      <c r="AG5360" s="2">
        <f ca="1"/>
        <v>0.10732670168011005</v>
      </c>
      <c r="AH5360" s="2" t="str">
        <f ca="1"/>
        <v>OK</v>
      </c>
    </row>
    <row r="5361" spans="2:34" x14ac:dyDescent="0.2">
      <c r="B5361" s="2">
        <f ca="1"/>
        <v>0.80284644724729781</v>
      </c>
      <c r="O5361" s="2">
        <f ca="1"/>
        <v>1.1864145251734366</v>
      </c>
      <c r="X5361" s="2">
        <f ca="1"/>
        <v>35.291581024049769</v>
      </c>
      <c r="AG5361" s="2">
        <f ca="1"/>
        <v>0.77229212116615731</v>
      </c>
      <c r="AH5361" s="2" t="str">
        <f ca="1"/>
        <v>Bad</v>
      </c>
    </row>
    <row r="5362" spans="2:34" x14ac:dyDescent="0.2">
      <c r="B5362" s="2">
        <f ca="1"/>
        <v>0.86383420090820429</v>
      </c>
      <c r="O5362" s="2">
        <f ca="1"/>
        <v>-0.31215644955768623</v>
      </c>
      <c r="X5362" s="2">
        <f ca="1"/>
        <v>38.650030187693694</v>
      </c>
      <c r="AG5362" s="2">
        <f ca="1"/>
        <v>0.38952314954717182</v>
      </c>
      <c r="AH5362" s="2" t="str">
        <f ca="1"/>
        <v>OK</v>
      </c>
    </row>
    <row r="5363" spans="2:34" x14ac:dyDescent="0.2">
      <c r="B5363" s="2">
        <f ca="1"/>
        <v>0.67363373627478929</v>
      </c>
      <c r="O5363" s="2">
        <f ca="1"/>
        <v>1.8571524916055404</v>
      </c>
      <c r="X5363" s="2">
        <f ca="1"/>
        <v>60.818245676670053</v>
      </c>
      <c r="AG5363" s="2">
        <f ca="1"/>
        <v>0.40494036838877623</v>
      </c>
      <c r="AH5363" s="2" t="str">
        <f ca="1"/>
        <v>Bad</v>
      </c>
    </row>
    <row r="5364" spans="2:34" x14ac:dyDescent="0.2">
      <c r="B5364" s="2">
        <f ca="1"/>
        <v>0.91542577791784607</v>
      </c>
      <c r="O5364" s="2">
        <f ca="1"/>
        <v>-1.0295420131502568</v>
      </c>
      <c r="X5364" s="2">
        <f ca="1"/>
        <v>49.992841970167909</v>
      </c>
      <c r="AG5364" s="2">
        <f ca="1"/>
        <v>0.29292652279888021</v>
      </c>
      <c r="AH5364" s="2" t="str">
        <f ca="1"/>
        <v>OK</v>
      </c>
    </row>
    <row r="5365" spans="2:34" x14ac:dyDescent="0.2">
      <c r="B5365" s="2">
        <f ca="1"/>
        <v>0.96750906109765178</v>
      </c>
      <c r="O5365" s="2">
        <f ca="1"/>
        <v>0.1574572182501357</v>
      </c>
      <c r="X5365" s="2">
        <f ca="1"/>
        <v>33.058083280985002</v>
      </c>
      <c r="AG5365" s="2">
        <f ca="1"/>
        <v>0.62821928947219408</v>
      </c>
      <c r="AH5365" s="2" t="str">
        <f ca="1"/>
        <v>Bad</v>
      </c>
    </row>
    <row r="5366" spans="2:34" x14ac:dyDescent="0.2">
      <c r="B5366" s="2">
        <f ca="1"/>
        <v>0.91734443658698694</v>
      </c>
      <c r="O5366" s="2">
        <f ca="1"/>
        <v>0.32407870337277767</v>
      </c>
      <c r="X5366" s="2">
        <f ca="1"/>
        <v>51.47576052673319</v>
      </c>
      <c r="AG5366" s="2">
        <f ca="1"/>
        <v>0.55810415690897108</v>
      </c>
      <c r="AH5366" s="2" t="str">
        <f ca="1"/>
        <v>Bad</v>
      </c>
    </row>
    <row r="5367" spans="2:34" x14ac:dyDescent="0.2">
      <c r="B5367" s="2">
        <f ca="1"/>
        <v>0.83657337093535289</v>
      </c>
      <c r="O5367" s="2">
        <f ca="1"/>
        <v>-1.2728405378555625</v>
      </c>
      <c r="X5367" s="2">
        <f ca="1"/>
        <v>55.126751896835302</v>
      </c>
      <c r="AG5367" s="2">
        <f ca="1"/>
        <v>0.10111880789251937</v>
      </c>
      <c r="AH5367" s="2" t="str">
        <f ca="1"/>
        <v>OK</v>
      </c>
    </row>
    <row r="5368" spans="2:34" x14ac:dyDescent="0.2">
      <c r="B5368" s="2">
        <f ca="1"/>
        <v>0.35584202915039875</v>
      </c>
      <c r="O5368" s="2">
        <f ca="1"/>
        <v>-0.84410211866177498</v>
      </c>
      <c r="X5368" s="2">
        <f ca="1"/>
        <v>44.300637025623985</v>
      </c>
      <c r="AG5368" s="2">
        <f ca="1"/>
        <v>0.11226345420010508</v>
      </c>
      <c r="AH5368" s="2" t="str">
        <f ca="1"/>
        <v>OK</v>
      </c>
    </row>
    <row r="5369" spans="2:34" x14ac:dyDescent="0.2">
      <c r="B5369" s="2">
        <f ca="1"/>
        <v>0.57173089527710519</v>
      </c>
      <c r="O5369" s="2">
        <f ca="1"/>
        <v>-0.44431630822772927</v>
      </c>
      <c r="X5369" s="2">
        <f ca="1"/>
        <v>64.370145047906917</v>
      </c>
      <c r="AG5369" s="2">
        <f ca="1"/>
        <v>2.4430079108885838E-3</v>
      </c>
      <c r="AH5369" s="2" t="str">
        <f ca="1"/>
        <v>Good</v>
      </c>
    </row>
    <row r="5370" spans="2:34" x14ac:dyDescent="0.2">
      <c r="B5370" s="2">
        <f ca="1"/>
        <v>0.76750237029116719</v>
      </c>
      <c r="O5370" s="2">
        <f ca="1"/>
        <v>1.5699708568607991</v>
      </c>
      <c r="X5370" s="2">
        <f ca="1"/>
        <v>63.338026349277285</v>
      </c>
      <c r="AG5370" s="2">
        <f ca="1"/>
        <v>0.82749022266747962</v>
      </c>
      <c r="AH5370" s="2" t="str">
        <f ca="1"/>
        <v>Bad</v>
      </c>
    </row>
    <row r="5371" spans="2:34" x14ac:dyDescent="0.2">
      <c r="B5371" s="2">
        <f ca="1"/>
        <v>0.62281532839901654</v>
      </c>
      <c r="O5371" s="2">
        <f ca="1"/>
        <v>-1.5082381010565016</v>
      </c>
      <c r="X5371" s="2">
        <f ca="1"/>
        <v>63.465913732106515</v>
      </c>
      <c r="AG5371" s="2">
        <f ca="1"/>
        <v>0.42394716417934952</v>
      </c>
      <c r="AH5371" s="2" t="str">
        <f ca="1"/>
        <v>Bad</v>
      </c>
    </row>
    <row r="5372" spans="2:34" x14ac:dyDescent="0.2">
      <c r="B5372" s="2">
        <f ca="1"/>
        <v>9.4991917259998448E-2</v>
      </c>
      <c r="O5372" s="2">
        <f ca="1"/>
        <v>-1.7761445971915171</v>
      </c>
      <c r="X5372" s="2">
        <f ca="1"/>
        <v>55.40980961259001</v>
      </c>
      <c r="AG5372" s="2">
        <f ca="1"/>
        <v>0.78941997932837871</v>
      </c>
      <c r="AH5372" s="2" t="str">
        <f ca="1"/>
        <v>Bad</v>
      </c>
    </row>
    <row r="5373" spans="2:34" x14ac:dyDescent="0.2">
      <c r="B5373" s="2">
        <f ca="1"/>
        <v>0.71942618935657854</v>
      </c>
      <c r="O5373" s="2">
        <f ca="1"/>
        <v>0.24431484095731035</v>
      </c>
      <c r="X5373" s="2">
        <f ca="1"/>
        <v>56.23978958741062</v>
      </c>
      <c r="AG5373" s="2">
        <f ca="1"/>
        <v>0.62013615967059121</v>
      </c>
      <c r="AH5373" s="2" t="str">
        <f ca="1"/>
        <v>Bad</v>
      </c>
    </row>
    <row r="5374" spans="2:34" x14ac:dyDescent="0.2">
      <c r="B5374" s="2">
        <f ca="1"/>
        <v>0.2178338437303331</v>
      </c>
      <c r="O5374" s="2">
        <f ca="1"/>
        <v>0.26041676145759657</v>
      </c>
      <c r="X5374" s="2">
        <f ca="1"/>
        <v>28.450253194977392</v>
      </c>
      <c r="AG5374" s="2">
        <f ca="1"/>
        <v>0.8347531605330385</v>
      </c>
      <c r="AH5374" s="2" t="str">
        <f ca="1"/>
        <v>Bad</v>
      </c>
    </row>
    <row r="5375" spans="2:34" x14ac:dyDescent="0.2">
      <c r="B5375" s="2">
        <f ca="1"/>
        <v>1.187078726434021E-2</v>
      </c>
      <c r="O5375" s="2">
        <f ca="1"/>
        <v>-1.1839476164213971</v>
      </c>
      <c r="X5375" s="2">
        <f ca="1"/>
        <v>32.155395100442924</v>
      </c>
      <c r="AG5375" s="2">
        <f ca="1"/>
        <v>0.44933529558076901</v>
      </c>
      <c r="AH5375" s="2" t="str">
        <f ca="1"/>
        <v>Bad</v>
      </c>
    </row>
    <row r="5376" spans="2:34" x14ac:dyDescent="0.2">
      <c r="B5376" s="2">
        <f ca="1"/>
        <v>0.97286309484612943</v>
      </c>
      <c r="O5376" s="2">
        <f ca="1"/>
        <v>0.51943941336946742</v>
      </c>
      <c r="X5376" s="2">
        <f ca="1"/>
        <v>74.321676712827397</v>
      </c>
      <c r="AG5376" s="2">
        <f ca="1"/>
        <v>0.81935983976049087</v>
      </c>
      <c r="AH5376" s="2" t="str">
        <f ca="1"/>
        <v>Bad</v>
      </c>
    </row>
    <row r="5377" spans="2:34" x14ac:dyDescent="0.2">
      <c r="B5377" s="2">
        <f ca="1"/>
        <v>0.6001593838287087</v>
      </c>
      <c r="O5377" s="2">
        <f ca="1"/>
        <v>-0.59514267014014544</v>
      </c>
      <c r="X5377" s="2">
        <f ca="1"/>
        <v>52.013225868921666</v>
      </c>
      <c r="AG5377" s="2">
        <f ca="1"/>
        <v>0.80967507156458107</v>
      </c>
      <c r="AH5377" s="2" t="str">
        <f ca="1"/>
        <v>Bad</v>
      </c>
    </row>
    <row r="5378" spans="2:34" x14ac:dyDescent="0.2">
      <c r="B5378" s="2">
        <f ca="1"/>
        <v>0.82255887964779562</v>
      </c>
      <c r="O5378" s="2">
        <f ca="1"/>
        <v>-0.3168803036791934</v>
      </c>
      <c r="X5378" s="2">
        <f ca="1"/>
        <v>41.406773452085794</v>
      </c>
      <c r="AG5378" s="2">
        <f ca="1"/>
        <v>0.28878067231367832</v>
      </c>
      <c r="AH5378" s="2" t="str">
        <f ca="1"/>
        <v>OK</v>
      </c>
    </row>
    <row r="5379" spans="2:34" x14ac:dyDescent="0.2">
      <c r="B5379" s="2">
        <f ca="1"/>
        <v>0.63385082062307641</v>
      </c>
      <c r="O5379" s="2">
        <f ca="1"/>
        <v>1.4000552045651069</v>
      </c>
      <c r="X5379" s="2">
        <f ca="1"/>
        <v>41.056877974419749</v>
      </c>
      <c r="AG5379" s="2">
        <f ca="1"/>
        <v>0.69047185902893804</v>
      </c>
      <c r="AH5379" s="2" t="str">
        <f ca="1"/>
        <v>Bad</v>
      </c>
    </row>
    <row r="5380" spans="2:34" x14ac:dyDescent="0.2">
      <c r="B5380" s="2">
        <f ca="1"/>
        <v>0.1917153302326553</v>
      </c>
      <c r="O5380" s="2">
        <f ca="1"/>
        <v>-0.78323277108389877</v>
      </c>
      <c r="X5380" s="2">
        <f ca="1"/>
        <v>30.945687561747555</v>
      </c>
      <c r="AG5380" s="2">
        <f ca="1"/>
        <v>0.94374417340937411</v>
      </c>
      <c r="AH5380" s="2" t="str">
        <f ca="1"/>
        <v>Bad</v>
      </c>
    </row>
    <row r="5381" spans="2:34" x14ac:dyDescent="0.2">
      <c r="B5381" s="2">
        <f ca="1"/>
        <v>0.12318087871328154</v>
      </c>
      <c r="O5381" s="2">
        <f ca="1"/>
        <v>-0.92163324453721684</v>
      </c>
      <c r="X5381" s="2">
        <f ca="1"/>
        <v>45.980967731704354</v>
      </c>
      <c r="AG5381" s="2">
        <f ca="1"/>
        <v>0.30032104237247537</v>
      </c>
      <c r="AH5381" s="2" t="str">
        <f ca="1"/>
        <v>OK</v>
      </c>
    </row>
    <row r="5382" spans="2:34" x14ac:dyDescent="0.2">
      <c r="B5382" s="2">
        <f ca="1"/>
        <v>0.5580363746619903</v>
      </c>
      <c r="O5382" s="2">
        <f ca="1"/>
        <v>0.25934180242297311</v>
      </c>
      <c r="X5382" s="2">
        <f ca="1"/>
        <v>62.345235092520035</v>
      </c>
      <c r="AG5382" s="2">
        <f ca="1"/>
        <v>0.4983808660692608</v>
      </c>
      <c r="AH5382" s="2" t="str">
        <f ca="1"/>
        <v>Bad</v>
      </c>
    </row>
    <row r="5383" spans="2:34" x14ac:dyDescent="0.2">
      <c r="B5383" s="2">
        <f ca="1"/>
        <v>0.3967911019036654</v>
      </c>
      <c r="O5383" s="2">
        <f ca="1"/>
        <v>-0.96432920648789289</v>
      </c>
      <c r="X5383" s="2">
        <f ca="1"/>
        <v>84.30151113431549</v>
      </c>
      <c r="AG5383" s="2">
        <f ca="1"/>
        <v>0.63648884157596242</v>
      </c>
      <c r="AH5383" s="2" t="str">
        <f ca="1"/>
        <v>Bad</v>
      </c>
    </row>
    <row r="5384" spans="2:34" x14ac:dyDescent="0.2">
      <c r="B5384" s="2">
        <f ca="1"/>
        <v>0.16170764029552576</v>
      </c>
      <c r="O5384" s="2">
        <f ca="1"/>
        <v>0.40686292649854588</v>
      </c>
      <c r="X5384" s="2">
        <f ca="1"/>
        <v>49.356320229613985</v>
      </c>
      <c r="AG5384" s="2">
        <f ca="1"/>
        <v>0.73266900093881437</v>
      </c>
      <c r="AH5384" s="2" t="str">
        <f ca="1"/>
        <v>Bad</v>
      </c>
    </row>
    <row r="5385" spans="2:34" x14ac:dyDescent="0.2">
      <c r="B5385" s="2">
        <f ca="1"/>
        <v>0.64013165797891625</v>
      </c>
      <c r="O5385" s="2">
        <f ca="1"/>
        <v>0.4536507058674043</v>
      </c>
      <c r="X5385" s="2">
        <f ca="1"/>
        <v>42.855958883027007</v>
      </c>
      <c r="AG5385" s="2">
        <f ca="1"/>
        <v>0.71341859178969114</v>
      </c>
      <c r="AH5385" s="2" t="str">
        <f ca="1"/>
        <v>Bad</v>
      </c>
    </row>
    <row r="5386" spans="2:34" x14ac:dyDescent="0.2">
      <c r="B5386" s="2">
        <f ca="1"/>
        <v>0.95062537556796278</v>
      </c>
      <c r="O5386" s="2">
        <f ca="1"/>
        <v>-0.20042768888598569</v>
      </c>
      <c r="X5386" s="2">
        <f ca="1"/>
        <v>74.583115953858695</v>
      </c>
      <c r="AG5386" s="2">
        <f ca="1"/>
        <v>0.58871100654450892</v>
      </c>
      <c r="AH5386" s="2" t="str">
        <f ca="1"/>
        <v>Bad</v>
      </c>
    </row>
    <row r="5387" spans="2:34" x14ac:dyDescent="0.2">
      <c r="B5387" s="2">
        <f ca="1"/>
        <v>0.54133405412829605</v>
      </c>
      <c r="O5387" s="2">
        <f ca="1"/>
        <v>-0.70387875309455972</v>
      </c>
      <c r="X5387" s="2">
        <f ca="1"/>
        <v>48.295163154493281</v>
      </c>
      <c r="AG5387" s="2">
        <f ca="1"/>
        <v>0.43994678677943955</v>
      </c>
      <c r="AH5387" s="2" t="str">
        <f ca="1"/>
        <v>Bad</v>
      </c>
    </row>
    <row r="5388" spans="2:34" x14ac:dyDescent="0.2">
      <c r="B5388" s="2">
        <f ca="1"/>
        <v>0.11833527919596731</v>
      </c>
      <c r="O5388" s="2">
        <f ca="1"/>
        <v>0.32926059052598977</v>
      </c>
      <c r="X5388" s="2">
        <f ca="1"/>
        <v>53.728974477169615</v>
      </c>
      <c r="AG5388" s="2">
        <f ca="1"/>
        <v>0.39488530587547066</v>
      </c>
      <c r="AH5388" s="2" t="str">
        <f ca="1"/>
        <v>OK</v>
      </c>
    </row>
    <row r="5389" spans="2:34" x14ac:dyDescent="0.2">
      <c r="B5389" s="2">
        <f ca="1"/>
        <v>0.28302520135915366</v>
      </c>
      <c r="O5389" s="2">
        <f ca="1"/>
        <v>0.62410034185042529</v>
      </c>
      <c r="X5389" s="2">
        <f ca="1"/>
        <v>47.570822771276021</v>
      </c>
      <c r="AG5389" s="2">
        <f ca="1"/>
        <v>0.83773831754900208</v>
      </c>
      <c r="AH5389" s="2" t="str">
        <f ca="1"/>
        <v>Bad</v>
      </c>
    </row>
    <row r="5390" spans="2:34" x14ac:dyDescent="0.2">
      <c r="B5390" s="2">
        <f ca="1"/>
        <v>0.56840470783145292</v>
      </c>
      <c r="O5390" s="2">
        <f ca="1"/>
        <v>-0.48814921348604734</v>
      </c>
      <c r="X5390" s="2">
        <f ca="1"/>
        <v>59.983226952569559</v>
      </c>
      <c r="AG5390" s="2">
        <f ca="1"/>
        <v>0.46269038608553292</v>
      </c>
      <c r="AH5390" s="2" t="str">
        <f ca="1"/>
        <v>Bad</v>
      </c>
    </row>
    <row r="5391" spans="2:34" x14ac:dyDescent="0.2">
      <c r="B5391" s="2">
        <f ca="1"/>
        <v>0.62807653218502413</v>
      </c>
      <c r="O5391" s="2">
        <f ca="1"/>
        <v>-0.72284449039614296</v>
      </c>
      <c r="X5391" s="2">
        <f ca="1"/>
        <v>57.637617974332642</v>
      </c>
      <c r="AG5391" s="2">
        <f ca="1"/>
        <v>0.16061039009453837</v>
      </c>
      <c r="AH5391" s="2" t="str">
        <f ca="1"/>
        <v>OK</v>
      </c>
    </row>
    <row r="5392" spans="2:34" x14ac:dyDescent="0.2">
      <c r="B5392" s="2">
        <f ca="1"/>
        <v>0.81581254494448152</v>
      </c>
      <c r="O5392" s="2">
        <f ca="1"/>
        <v>-2.137182174205456</v>
      </c>
      <c r="X5392" s="2">
        <f ca="1"/>
        <v>51.684069809664805</v>
      </c>
      <c r="AG5392" s="2">
        <f ca="1"/>
        <v>0.87602579675385228</v>
      </c>
      <c r="AH5392" s="2" t="str">
        <f ca="1"/>
        <v>Bad</v>
      </c>
    </row>
    <row r="5393" spans="2:34" x14ac:dyDescent="0.2">
      <c r="B5393" s="2">
        <f ca="1"/>
        <v>0.70258901377830907</v>
      </c>
      <c r="O5393" s="2">
        <f ca="1"/>
        <v>-0.20113792097441061</v>
      </c>
      <c r="X5393" s="2">
        <f ca="1"/>
        <v>54.959060360199459</v>
      </c>
      <c r="AG5393" s="2">
        <f ca="1"/>
        <v>0.8424813543579377</v>
      </c>
      <c r="AH5393" s="2" t="str">
        <f ca="1"/>
        <v>Bad</v>
      </c>
    </row>
    <row r="5394" spans="2:34" x14ac:dyDescent="0.2">
      <c r="B5394" s="2">
        <f ca="1"/>
        <v>0.88284088662538784</v>
      </c>
      <c r="O5394" s="2">
        <f ca="1"/>
        <v>0.12370070817940489</v>
      </c>
      <c r="X5394" s="2">
        <f ca="1"/>
        <v>53.758490604836965</v>
      </c>
      <c r="AG5394" s="2">
        <f ca="1"/>
        <v>2.4683580642994141E-2</v>
      </c>
      <c r="AH5394" s="2" t="str">
        <f ca="1"/>
        <v>Good</v>
      </c>
    </row>
    <row r="5395" spans="2:34" x14ac:dyDescent="0.2">
      <c r="B5395" s="2">
        <f ca="1"/>
        <v>0.69678435863257815</v>
      </c>
      <c r="O5395" s="2">
        <f ca="1"/>
        <v>0.14351897425305821</v>
      </c>
      <c r="X5395" s="2">
        <f ca="1"/>
        <v>43.332007693174496</v>
      </c>
      <c r="AG5395" s="2">
        <f ca="1"/>
        <v>0.11252224772207908</v>
      </c>
      <c r="AH5395" s="2" t="str">
        <f ca="1"/>
        <v>OK</v>
      </c>
    </row>
    <row r="5396" spans="2:34" x14ac:dyDescent="0.2">
      <c r="B5396" s="2">
        <f ca="1"/>
        <v>0.24656361440400754</v>
      </c>
      <c r="O5396" s="2">
        <f ca="1"/>
        <v>-1.4853440949864163</v>
      </c>
      <c r="X5396" s="2">
        <f ca="1"/>
        <v>64.227175743588077</v>
      </c>
      <c r="AG5396" s="2">
        <f ca="1"/>
        <v>0.35854966859261883</v>
      </c>
      <c r="AH5396" s="2" t="str">
        <f ca="1"/>
        <v>OK</v>
      </c>
    </row>
    <row r="5397" spans="2:34" x14ac:dyDescent="0.2">
      <c r="B5397" s="2">
        <f ca="1"/>
        <v>0.90046460639055392</v>
      </c>
      <c r="O5397" s="2">
        <f ca="1"/>
        <v>-0.69803404590963714</v>
      </c>
      <c r="X5397" s="2">
        <f ca="1"/>
        <v>55.341120392082018</v>
      </c>
      <c r="AG5397" s="2">
        <f ca="1"/>
        <v>0.49951282726888713</v>
      </c>
      <c r="AH5397" s="2" t="str">
        <f ca="1"/>
        <v>Bad</v>
      </c>
    </row>
    <row r="5398" spans="2:34" x14ac:dyDescent="0.2">
      <c r="B5398" s="2">
        <f ca="1"/>
        <v>0.85329519547182997</v>
      </c>
      <c r="O5398" s="2">
        <f ca="1"/>
        <v>0.6414622565168524</v>
      </c>
      <c r="X5398" s="2">
        <f ca="1"/>
        <v>90.210425485102149</v>
      </c>
      <c r="AG5398" s="2">
        <f ca="1"/>
        <v>2.260805194481752E-2</v>
      </c>
      <c r="AH5398" s="2" t="str">
        <f ca="1"/>
        <v>Good</v>
      </c>
    </row>
    <row r="5399" spans="2:34" x14ac:dyDescent="0.2">
      <c r="B5399" s="2">
        <f ca="1"/>
        <v>1.6450188297578272E-2</v>
      </c>
      <c r="O5399" s="2">
        <f ca="1"/>
        <v>0.12578934845551973</v>
      </c>
      <c r="X5399" s="2">
        <f ca="1"/>
        <v>31.320712946495814</v>
      </c>
      <c r="AG5399" s="2">
        <f ca="1"/>
        <v>0.13889416581520098</v>
      </c>
      <c r="AH5399" s="2" t="str">
        <f ca="1"/>
        <v>OK</v>
      </c>
    </row>
    <row r="5400" spans="2:34" x14ac:dyDescent="0.2">
      <c r="B5400" s="2">
        <f ca="1"/>
        <v>0.21597648429942939</v>
      </c>
      <c r="O5400" s="2">
        <f ca="1"/>
        <v>-0.99617318305315128</v>
      </c>
      <c r="X5400" s="2">
        <f ca="1"/>
        <v>33.058860013480043</v>
      </c>
      <c r="AG5400" s="2">
        <f ca="1"/>
        <v>0.6269841305746644</v>
      </c>
      <c r="AH5400" s="2" t="str">
        <f ca="1"/>
        <v>Bad</v>
      </c>
    </row>
    <row r="5401" spans="2:34" x14ac:dyDescent="0.2">
      <c r="B5401" s="2">
        <f ca="1"/>
        <v>0.65627064226758747</v>
      </c>
      <c r="O5401" s="2">
        <f ca="1"/>
        <v>-1.5236874143510932</v>
      </c>
      <c r="X5401" s="2">
        <f ca="1"/>
        <v>38.550396428646046</v>
      </c>
      <c r="AG5401" s="2">
        <f ca="1"/>
        <v>0.64677511123439069</v>
      </c>
      <c r="AH5401" s="2" t="str">
        <f ca="1"/>
        <v>Bad</v>
      </c>
    </row>
    <row r="5402" spans="2:34" x14ac:dyDescent="0.2">
      <c r="B5402" s="2">
        <f ca="1"/>
        <v>2.8693577151934102E-2</v>
      </c>
      <c r="O5402" s="2">
        <f ca="1"/>
        <v>1.7303918069420416</v>
      </c>
      <c r="X5402" s="2">
        <f ca="1"/>
        <v>40.579816889585906</v>
      </c>
      <c r="AG5402" s="2">
        <f ca="1"/>
        <v>1.8732826788466994E-2</v>
      </c>
      <c r="AH5402" s="2" t="str">
        <f ca="1"/>
        <v>Good</v>
      </c>
    </row>
    <row r="5403" spans="2:34" x14ac:dyDescent="0.2">
      <c r="B5403" s="2">
        <f ca="1"/>
        <v>0.74708465119994938</v>
      </c>
      <c r="O5403" s="2">
        <f ca="1"/>
        <v>-0.11330521378043269</v>
      </c>
      <c r="X5403" s="2">
        <f ca="1"/>
        <v>63.177564233073475</v>
      </c>
      <c r="AG5403" s="2">
        <f ca="1"/>
        <v>0.2913954779577892</v>
      </c>
      <c r="AH5403" s="2" t="str">
        <f ca="1"/>
        <v>OK</v>
      </c>
    </row>
    <row r="5404" spans="2:34" x14ac:dyDescent="0.2">
      <c r="B5404" s="2">
        <f ca="1"/>
        <v>0.5861451329606604</v>
      </c>
      <c r="O5404" s="2">
        <f ca="1"/>
        <v>-0.23187766216340994</v>
      </c>
      <c r="X5404" s="2">
        <f ca="1"/>
        <v>23.417626725922961</v>
      </c>
      <c r="AG5404" s="2">
        <f ca="1"/>
        <v>0.15762488395087626</v>
      </c>
      <c r="AH5404" s="2" t="str">
        <f ca="1"/>
        <v>OK</v>
      </c>
    </row>
    <row r="5405" spans="2:34" x14ac:dyDescent="0.2">
      <c r="B5405" s="2">
        <f ca="1"/>
        <v>0.51923919053733725</v>
      </c>
      <c r="O5405" s="2">
        <f ca="1"/>
        <v>1.7320446685796362</v>
      </c>
      <c r="X5405" s="2">
        <f ca="1"/>
        <v>69.746703810706293</v>
      </c>
      <c r="AG5405" s="2">
        <f ca="1"/>
        <v>9.0193403121185733E-2</v>
      </c>
      <c r="AH5405" s="2" t="str">
        <f ca="1"/>
        <v>OK</v>
      </c>
    </row>
    <row r="5406" spans="2:34" x14ac:dyDescent="0.2">
      <c r="B5406" s="2">
        <f ca="1"/>
        <v>0.81211133667912705</v>
      </c>
      <c r="O5406" s="2">
        <f ca="1"/>
        <v>1.883504013123434</v>
      </c>
      <c r="X5406" s="2">
        <f ca="1"/>
        <v>54.761378189966578</v>
      </c>
      <c r="AG5406" s="2">
        <f ca="1"/>
        <v>0.35958297368580983</v>
      </c>
      <c r="AH5406" s="2" t="str">
        <f ca="1"/>
        <v>OK</v>
      </c>
    </row>
    <row r="5407" spans="2:34" x14ac:dyDescent="0.2">
      <c r="B5407" s="2">
        <f ca="1"/>
        <v>0.94348102941765966</v>
      </c>
      <c r="O5407" s="2">
        <f ca="1"/>
        <v>1.1170184407035983</v>
      </c>
      <c r="X5407" s="2">
        <f ca="1"/>
        <v>50.924656180768899</v>
      </c>
      <c r="AG5407" s="2">
        <f ca="1"/>
        <v>0.11281802743795533</v>
      </c>
      <c r="AH5407" s="2" t="str">
        <f ca="1"/>
        <v>OK</v>
      </c>
    </row>
    <row r="5408" spans="2:34" x14ac:dyDescent="0.2">
      <c r="B5408" s="2">
        <f ca="1"/>
        <v>0.83232978895172693</v>
      </c>
      <c r="O5408" s="2">
        <f ca="1"/>
        <v>-0.59975278264906962</v>
      </c>
      <c r="X5408" s="2">
        <f ca="1"/>
        <v>74.542826701310418</v>
      </c>
      <c r="AG5408" s="2">
        <f ca="1"/>
        <v>0.56150552923230279</v>
      </c>
      <c r="AH5408" s="2" t="str">
        <f ca="1"/>
        <v>Bad</v>
      </c>
    </row>
    <row r="5409" spans="2:34" x14ac:dyDescent="0.2">
      <c r="B5409" s="2">
        <f ca="1"/>
        <v>0.94030911559018682</v>
      </c>
      <c r="O5409" s="2">
        <f ca="1"/>
        <v>0.80903586918207993</v>
      </c>
      <c r="X5409" s="2">
        <f ca="1"/>
        <v>50.373391230192553</v>
      </c>
      <c r="AG5409" s="2">
        <f ca="1"/>
        <v>0.88365048262503465</v>
      </c>
      <c r="AH5409" s="2" t="str">
        <f ca="1"/>
        <v>Bad</v>
      </c>
    </row>
    <row r="5410" spans="2:34" x14ac:dyDescent="0.2">
      <c r="B5410" s="2">
        <f ca="1"/>
        <v>0.54980876269309342</v>
      </c>
      <c r="O5410" s="2">
        <f ca="1"/>
        <v>5.9836985220926224E-2</v>
      </c>
      <c r="X5410" s="2">
        <f ca="1"/>
        <v>55.073300832462955</v>
      </c>
      <c r="AG5410" s="2">
        <f ca="1"/>
        <v>0.66178893252764714</v>
      </c>
      <c r="AH5410" s="2" t="str">
        <f ca="1"/>
        <v>Bad</v>
      </c>
    </row>
    <row r="5411" spans="2:34" x14ac:dyDescent="0.2">
      <c r="B5411" s="2">
        <f ca="1"/>
        <v>0.36949939988251157</v>
      </c>
      <c r="O5411" s="2">
        <f ca="1"/>
        <v>1.5484215504123535</v>
      </c>
      <c r="X5411" s="2">
        <f ca="1"/>
        <v>63.620498082199781</v>
      </c>
      <c r="AG5411" s="2">
        <f ca="1"/>
        <v>0.90649774451253995</v>
      </c>
      <c r="AH5411" s="2" t="str">
        <f ca="1"/>
        <v>Bad</v>
      </c>
    </row>
    <row r="5412" spans="2:34" x14ac:dyDescent="0.2">
      <c r="B5412" s="2">
        <f ca="1"/>
        <v>0.28788901833500602</v>
      </c>
      <c r="O5412" s="2">
        <f ca="1"/>
        <v>0.31113443834855664</v>
      </c>
      <c r="X5412" s="2">
        <f ca="1"/>
        <v>54.818873904153861</v>
      </c>
      <c r="AG5412" s="2">
        <f ca="1"/>
        <v>0.51430358176886304</v>
      </c>
      <c r="AH5412" s="2" t="str">
        <f ca="1"/>
        <v>Bad</v>
      </c>
    </row>
    <row r="5413" spans="2:34" x14ac:dyDescent="0.2">
      <c r="B5413" s="2">
        <f ca="1"/>
        <v>0.62482309515650925</v>
      </c>
      <c r="O5413" s="2">
        <f ca="1"/>
        <v>3.6560981059188119E-2</v>
      </c>
      <c r="X5413" s="2">
        <f ca="1"/>
        <v>35.849487398521489</v>
      </c>
      <c r="AG5413" s="2">
        <f ca="1"/>
        <v>0.3546833077044238</v>
      </c>
      <c r="AH5413" s="2" t="str">
        <f ca="1"/>
        <v>OK</v>
      </c>
    </row>
    <row r="5414" spans="2:34" x14ac:dyDescent="0.2">
      <c r="B5414" s="2">
        <f ca="1"/>
        <v>0.16844753239416344</v>
      </c>
      <c r="O5414" s="2">
        <f ca="1"/>
        <v>1.1903470777672072</v>
      </c>
      <c r="X5414" s="2">
        <f ca="1"/>
        <v>64.131300620697132</v>
      </c>
      <c r="AG5414" s="2">
        <f ca="1"/>
        <v>0.6239271023651527</v>
      </c>
      <c r="AH5414" s="2" t="str">
        <f ca="1"/>
        <v>Bad</v>
      </c>
    </row>
    <row r="5415" spans="2:34" x14ac:dyDescent="0.2">
      <c r="B5415" s="2">
        <f ca="1"/>
        <v>0.82224267028025744</v>
      </c>
      <c r="O5415" s="2">
        <f ca="1"/>
        <v>-1.209272714538788</v>
      </c>
      <c r="X5415" s="2">
        <f ca="1"/>
        <v>35.637690598296032</v>
      </c>
      <c r="AG5415" s="2">
        <f ca="1"/>
        <v>0.98965683214456379</v>
      </c>
      <c r="AH5415" s="2" t="str">
        <f ca="1"/>
        <v>Bad</v>
      </c>
    </row>
    <row r="5416" spans="2:34" x14ac:dyDescent="0.2">
      <c r="B5416" s="2">
        <f ca="1"/>
        <v>0.86080292944233072</v>
      </c>
      <c r="O5416" s="2">
        <f ca="1"/>
        <v>-2.0383214373756973</v>
      </c>
      <c r="X5416" s="2">
        <f ca="1"/>
        <v>62.181926340560679</v>
      </c>
      <c r="AG5416" s="2">
        <f ca="1"/>
        <v>0.41595877788855429</v>
      </c>
      <c r="AH5416" s="2" t="str">
        <f ca="1"/>
        <v>Bad</v>
      </c>
    </row>
    <row r="5417" spans="2:34" x14ac:dyDescent="0.2">
      <c r="B5417" s="2">
        <f ca="1"/>
        <v>0.63677087198110893</v>
      </c>
      <c r="O5417" s="2">
        <f ca="1"/>
        <v>-1.8776205124985268</v>
      </c>
      <c r="X5417" s="2">
        <f ca="1"/>
        <v>29.946846087153233</v>
      </c>
      <c r="AG5417" s="2">
        <f ca="1"/>
        <v>0.52110922148687333</v>
      </c>
      <c r="AH5417" s="2" t="str">
        <f ca="1"/>
        <v>Bad</v>
      </c>
    </row>
    <row r="5418" spans="2:34" x14ac:dyDescent="0.2">
      <c r="B5418" s="2">
        <f ca="1"/>
        <v>0.98571007122325316</v>
      </c>
      <c r="O5418" s="2">
        <f ca="1"/>
        <v>4.0390811671572373E-2</v>
      </c>
      <c r="X5418" s="2">
        <f ca="1"/>
        <v>67.591511470219203</v>
      </c>
      <c r="AG5418" s="2">
        <f ca="1"/>
        <v>0.56950603628349405</v>
      </c>
      <c r="AH5418" s="2" t="str">
        <f ca="1"/>
        <v>Bad</v>
      </c>
    </row>
    <row r="5419" spans="2:34" x14ac:dyDescent="0.2">
      <c r="B5419" s="2">
        <f ca="1"/>
        <v>0.50468590697248561</v>
      </c>
      <c r="O5419" s="2">
        <f ca="1"/>
        <v>0.11673073399203653</v>
      </c>
      <c r="X5419" s="2">
        <f ca="1"/>
        <v>43.577690613066757</v>
      </c>
      <c r="AG5419" s="2">
        <f ca="1"/>
        <v>1.6465633829501947E-2</v>
      </c>
      <c r="AH5419" s="2" t="str">
        <f ca="1"/>
        <v>Good</v>
      </c>
    </row>
    <row r="5420" spans="2:34" x14ac:dyDescent="0.2">
      <c r="B5420" s="2">
        <f ca="1"/>
        <v>0.11973982010400852</v>
      </c>
      <c r="O5420" s="2">
        <f ca="1"/>
        <v>-1.2912360286377158</v>
      </c>
      <c r="X5420" s="2">
        <f ca="1"/>
        <v>47.15812792008591</v>
      </c>
      <c r="AG5420" s="2">
        <f ca="1"/>
        <v>0.44227770641688746</v>
      </c>
      <c r="AH5420" s="2" t="str">
        <f ca="1"/>
        <v>Bad</v>
      </c>
    </row>
    <row r="5421" spans="2:34" x14ac:dyDescent="0.2">
      <c r="B5421" s="2">
        <f ca="1"/>
        <v>0.40992879574692709</v>
      </c>
      <c r="O5421" s="2">
        <f ca="1"/>
        <v>0.2544435655677979</v>
      </c>
      <c r="X5421" s="2">
        <f ca="1"/>
        <v>48.8934995578608</v>
      </c>
      <c r="AG5421" s="2">
        <f ca="1"/>
        <v>0.32341225901078552</v>
      </c>
      <c r="AH5421" s="2" t="str">
        <f ca="1"/>
        <v>OK</v>
      </c>
    </row>
    <row r="5422" spans="2:34" x14ac:dyDescent="0.2">
      <c r="B5422" s="2">
        <f ca="1"/>
        <v>0.52334804971531046</v>
      </c>
      <c r="O5422" s="2">
        <f ca="1"/>
        <v>0.73201123351637865</v>
      </c>
      <c r="X5422" s="2">
        <f ca="1"/>
        <v>59.082755229123485</v>
      </c>
      <c r="AG5422" s="2">
        <f ca="1"/>
        <v>0.34151615598201013</v>
      </c>
      <c r="AH5422" s="2" t="str">
        <f ca="1"/>
        <v>OK</v>
      </c>
    </row>
    <row r="5423" spans="2:34" x14ac:dyDescent="0.2">
      <c r="B5423" s="2">
        <f ca="1"/>
        <v>0.6753358226459194</v>
      </c>
      <c r="O5423" s="2">
        <f ca="1"/>
        <v>-0.76863675189977043</v>
      </c>
      <c r="X5423" s="2">
        <f ca="1"/>
        <v>52.111799080312409</v>
      </c>
      <c r="AG5423" s="2">
        <f ca="1"/>
        <v>0.65013864860299275</v>
      </c>
      <c r="AH5423" s="2" t="str">
        <f ca="1"/>
        <v>Bad</v>
      </c>
    </row>
    <row r="5424" spans="2:34" x14ac:dyDescent="0.2">
      <c r="B5424" s="2">
        <f ca="1"/>
        <v>0.51843275760687546</v>
      </c>
      <c r="O5424" s="2">
        <f ca="1"/>
        <v>0.18588499803001274</v>
      </c>
      <c r="X5424" s="2">
        <f ca="1"/>
        <v>64.533563107480603</v>
      </c>
      <c r="AG5424" s="2">
        <f ca="1"/>
        <v>0.78626597222774497</v>
      </c>
      <c r="AH5424" s="2" t="str">
        <f ca="1"/>
        <v>Bad</v>
      </c>
    </row>
    <row r="5425" spans="2:34" x14ac:dyDescent="0.2">
      <c r="B5425" s="2">
        <f ca="1"/>
        <v>0.72328370959355159</v>
      </c>
      <c r="O5425" s="2">
        <f ca="1"/>
        <v>0.19887619574399007</v>
      </c>
      <c r="X5425" s="2">
        <f ca="1"/>
        <v>74.099965175884833</v>
      </c>
      <c r="AG5425" s="2">
        <f ca="1"/>
        <v>0.84042055320706366</v>
      </c>
      <c r="AH5425" s="2" t="str">
        <f ca="1"/>
        <v>Bad</v>
      </c>
    </row>
    <row r="5426" spans="2:34" x14ac:dyDescent="0.2">
      <c r="B5426" s="2">
        <f ca="1"/>
        <v>2.6422365159574746E-2</v>
      </c>
      <c r="O5426" s="2">
        <f ca="1"/>
        <v>-0.87193115806974864</v>
      </c>
      <c r="X5426" s="2">
        <f ca="1"/>
        <v>40.952121412562036</v>
      </c>
      <c r="AG5426" s="2">
        <f ca="1"/>
        <v>0.68821055524824803</v>
      </c>
      <c r="AH5426" s="2" t="str">
        <f ca="1"/>
        <v>Bad</v>
      </c>
    </row>
    <row r="5427" spans="2:34" x14ac:dyDescent="0.2">
      <c r="B5427" s="2">
        <f ca="1"/>
        <v>0.73607409133786583</v>
      </c>
      <c r="O5427" s="2">
        <f ca="1"/>
        <v>0.70426155461149775</v>
      </c>
      <c r="X5427" s="2">
        <f ca="1"/>
        <v>54.148828292516725</v>
      </c>
      <c r="AG5427" s="2">
        <f ca="1"/>
        <v>0.82416882983940543</v>
      </c>
      <c r="AH5427" s="2" t="str">
        <f ca="1"/>
        <v>Bad</v>
      </c>
    </row>
    <row r="5428" spans="2:34" x14ac:dyDescent="0.2">
      <c r="B5428" s="2">
        <f ca="1"/>
        <v>0.88898079959244636</v>
      </c>
      <c r="O5428" s="2">
        <f ca="1"/>
        <v>-9.7783272295623544E-2</v>
      </c>
      <c r="X5428" s="2">
        <f ca="1"/>
        <v>25.862845429467356</v>
      </c>
      <c r="AG5428" s="2">
        <f ca="1"/>
        <v>0.50790770460822765</v>
      </c>
      <c r="AH5428" s="2" t="str">
        <f ca="1"/>
        <v>Bad</v>
      </c>
    </row>
    <row r="5429" spans="2:34" x14ac:dyDescent="0.2">
      <c r="B5429" s="2">
        <f ca="1"/>
        <v>0.62556237035501217</v>
      </c>
      <c r="O5429" s="2">
        <f ca="1"/>
        <v>-0.72347212493980195</v>
      </c>
      <c r="X5429" s="2">
        <f ca="1"/>
        <v>24.032528758854845</v>
      </c>
      <c r="AG5429" s="2">
        <f ca="1"/>
        <v>0.32563132790022231</v>
      </c>
      <c r="AH5429" s="2" t="str">
        <f ca="1"/>
        <v>OK</v>
      </c>
    </row>
    <row r="5430" spans="2:34" x14ac:dyDescent="0.2">
      <c r="B5430" s="2">
        <f ca="1"/>
        <v>0.7961648563506516</v>
      </c>
      <c r="O5430" s="2">
        <f ca="1"/>
        <v>0.85548441777500472</v>
      </c>
      <c r="X5430" s="2">
        <f ca="1"/>
        <v>37.587780769301709</v>
      </c>
      <c r="AG5430" s="2">
        <f ca="1"/>
        <v>0.62073581786683052</v>
      </c>
      <c r="AH5430" s="2" t="str">
        <f ca="1"/>
        <v>Bad</v>
      </c>
    </row>
    <row r="5431" spans="2:34" x14ac:dyDescent="0.2">
      <c r="B5431" s="2">
        <f ca="1"/>
        <v>0.89670487307013569</v>
      </c>
      <c r="O5431" s="2">
        <f ca="1"/>
        <v>-1.7345287499239186</v>
      </c>
      <c r="X5431" s="2">
        <f ca="1"/>
        <v>31.592652643692478</v>
      </c>
      <c r="AG5431" s="2">
        <f ca="1"/>
        <v>0.4921572929295297</v>
      </c>
      <c r="AH5431" s="2" t="str">
        <f ca="1"/>
        <v>Bad</v>
      </c>
    </row>
    <row r="5432" spans="2:34" x14ac:dyDescent="0.2">
      <c r="B5432" s="2">
        <f ca="1"/>
        <v>0.33620109750702665</v>
      </c>
      <c r="O5432" s="2">
        <f ca="1"/>
        <v>1.9943800092535553</v>
      </c>
      <c r="X5432" s="2">
        <f ca="1"/>
        <v>38.977006715508004</v>
      </c>
      <c r="AG5432" s="2">
        <f ca="1"/>
        <v>3.6640226202393711E-2</v>
      </c>
      <c r="AH5432" s="2" t="str">
        <f ca="1"/>
        <v>Good</v>
      </c>
    </row>
    <row r="5433" spans="2:34" x14ac:dyDescent="0.2">
      <c r="B5433" s="2">
        <f ca="1"/>
        <v>0.56464688376598371</v>
      </c>
      <c r="O5433" s="2">
        <f ca="1"/>
        <v>1.1450462364343026</v>
      </c>
      <c r="X5433" s="2">
        <f ca="1"/>
        <v>52.750290745989894</v>
      </c>
      <c r="AG5433" s="2">
        <f ca="1"/>
        <v>0.76841712359539738</v>
      </c>
      <c r="AH5433" s="2" t="str">
        <f ca="1"/>
        <v>Bad</v>
      </c>
    </row>
    <row r="5434" spans="2:34" x14ac:dyDescent="0.2">
      <c r="B5434" s="2">
        <f ca="1"/>
        <v>0.40172612866209456</v>
      </c>
      <c r="O5434" s="2">
        <f ca="1"/>
        <v>-0.54195540190786362</v>
      </c>
      <c r="X5434" s="2">
        <f ca="1"/>
        <v>46.458902254863467</v>
      </c>
      <c r="AG5434" s="2">
        <f ca="1"/>
        <v>0.57996318231570232</v>
      </c>
      <c r="AH5434" s="2" t="str">
        <f ca="1"/>
        <v>Bad</v>
      </c>
    </row>
    <row r="5435" spans="2:34" x14ac:dyDescent="0.2">
      <c r="B5435" s="2">
        <f ca="1"/>
        <v>0.70007958020637151</v>
      </c>
      <c r="O5435" s="2">
        <f ca="1"/>
        <v>2.2319058589011909</v>
      </c>
      <c r="X5435" s="2">
        <f ca="1"/>
        <v>36.657069557253273</v>
      </c>
      <c r="AG5435" s="2">
        <f ca="1"/>
        <v>0.34623681752208313</v>
      </c>
      <c r="AH5435" s="2" t="str">
        <f ca="1"/>
        <v>OK</v>
      </c>
    </row>
    <row r="5436" spans="2:34" x14ac:dyDescent="0.2">
      <c r="B5436" s="2">
        <f ca="1"/>
        <v>0.33402672707133885</v>
      </c>
      <c r="O5436" s="2">
        <f ca="1"/>
        <v>1.1172067856025505</v>
      </c>
      <c r="X5436" s="2">
        <f ca="1"/>
        <v>34.475733681649146</v>
      </c>
      <c r="AG5436" s="2">
        <f ca="1"/>
        <v>0.92086557225030474</v>
      </c>
      <c r="AH5436" s="2" t="str">
        <f ca="1"/>
        <v>Bad</v>
      </c>
    </row>
    <row r="5437" spans="2:34" x14ac:dyDescent="0.2">
      <c r="B5437" s="2">
        <f ca="1"/>
        <v>0.54756580774049146</v>
      </c>
      <c r="O5437" s="2">
        <f ca="1"/>
        <v>1.5843084199462341</v>
      </c>
      <c r="X5437" s="2">
        <f ca="1"/>
        <v>84.08169436556706</v>
      </c>
      <c r="AG5437" s="2">
        <f ca="1"/>
        <v>0.29611726477395206</v>
      </c>
      <c r="AH5437" s="2" t="str">
        <f ca="1"/>
        <v>OK</v>
      </c>
    </row>
    <row r="5438" spans="2:34" x14ac:dyDescent="0.2">
      <c r="B5438" s="2">
        <f ca="1"/>
        <v>0.74410607448165811</v>
      </c>
      <c r="O5438" s="2">
        <f ca="1"/>
        <v>-0.37939215666401149</v>
      </c>
      <c r="X5438" s="2">
        <f ca="1"/>
        <v>37.940317017795586</v>
      </c>
      <c r="AG5438" s="2">
        <f ca="1"/>
        <v>0.68913317948420993</v>
      </c>
      <c r="AH5438" s="2" t="str">
        <f ca="1"/>
        <v>Bad</v>
      </c>
    </row>
    <row r="5439" spans="2:34" x14ac:dyDescent="0.2">
      <c r="B5439" s="2">
        <f ca="1"/>
        <v>0.62892691658371147</v>
      </c>
      <c r="O5439" s="2">
        <f ca="1"/>
        <v>-1.540329279022604</v>
      </c>
      <c r="X5439" s="2">
        <f ca="1"/>
        <v>42.336032385133599</v>
      </c>
      <c r="AG5439" s="2">
        <f ca="1"/>
        <v>0.22545677471275494</v>
      </c>
      <c r="AH5439" s="2" t="str">
        <f ca="1"/>
        <v>OK</v>
      </c>
    </row>
    <row r="5440" spans="2:34" x14ac:dyDescent="0.2">
      <c r="B5440" s="2">
        <f ca="1"/>
        <v>0.65578729567809391</v>
      </c>
      <c r="O5440" s="2">
        <f ca="1"/>
        <v>1.2002750641323081</v>
      </c>
      <c r="X5440" s="2">
        <f ca="1"/>
        <v>45.987666730721884</v>
      </c>
      <c r="AG5440" s="2">
        <f ca="1"/>
        <v>0.46121370588152222</v>
      </c>
      <c r="AH5440" s="2" t="str">
        <f ca="1"/>
        <v>Bad</v>
      </c>
    </row>
    <row r="5441" spans="2:34" x14ac:dyDescent="0.2">
      <c r="B5441" s="2">
        <f ca="1"/>
        <v>0.9920076980134056</v>
      </c>
      <c r="O5441" s="2">
        <f ca="1"/>
        <v>-1.9760644968459844</v>
      </c>
      <c r="X5441" s="2">
        <f ca="1"/>
        <v>60.611047223661537</v>
      </c>
      <c r="AG5441" s="2">
        <f ca="1"/>
        <v>0.16021178086259358</v>
      </c>
      <c r="AH5441" s="2" t="str">
        <f ca="1"/>
        <v>OK</v>
      </c>
    </row>
    <row r="5442" spans="2:34" x14ac:dyDescent="0.2">
      <c r="B5442" s="2">
        <f ca="1"/>
        <v>0.21532843784554867</v>
      </c>
      <c r="O5442" s="2">
        <f ca="1"/>
        <v>0.960088813844168</v>
      </c>
      <c r="X5442" s="2">
        <f ca="1"/>
        <v>44.405860699246283</v>
      </c>
      <c r="AG5442" s="2">
        <f ca="1"/>
        <v>0.24289201603237953</v>
      </c>
      <c r="AH5442" s="2" t="str">
        <f ca="1"/>
        <v>OK</v>
      </c>
    </row>
    <row r="5443" spans="2:34" x14ac:dyDescent="0.2">
      <c r="B5443" s="2">
        <f ca="1"/>
        <v>0.69092057202149637</v>
      </c>
      <c r="O5443" s="2">
        <f ca="1"/>
        <v>-0.71978826427361497</v>
      </c>
      <c r="X5443" s="2">
        <f ca="1"/>
        <v>48.067460402166738</v>
      </c>
      <c r="AG5443" s="2">
        <f ca="1"/>
        <v>0.87470264083162186</v>
      </c>
      <c r="AH5443" s="2" t="str">
        <f ca="1"/>
        <v>Bad</v>
      </c>
    </row>
    <row r="5444" spans="2:34" x14ac:dyDescent="0.2">
      <c r="B5444" s="2">
        <f ca="1"/>
        <v>0.2360886783869991</v>
      </c>
      <c r="O5444" s="2">
        <f ca="1"/>
        <v>0.37495177274648933</v>
      </c>
      <c r="X5444" s="2">
        <f ca="1"/>
        <v>68.802452687520713</v>
      </c>
      <c r="AG5444" s="2">
        <f ca="1"/>
        <v>0.51277666571001634</v>
      </c>
      <c r="AH5444" s="2" t="str">
        <f ca="1"/>
        <v>Bad</v>
      </c>
    </row>
    <row r="5445" spans="2:34" x14ac:dyDescent="0.2">
      <c r="B5445" s="2">
        <f ca="1"/>
        <v>4.0468849462341083E-2</v>
      </c>
      <c r="O5445" s="2">
        <f ca="1"/>
        <v>1.6357819028953702</v>
      </c>
      <c r="X5445" s="2">
        <f ca="1"/>
        <v>39.554171883733112</v>
      </c>
      <c r="AG5445" s="2">
        <f ca="1"/>
        <v>0.70206958801631725</v>
      </c>
      <c r="AH5445" s="2" t="str">
        <f ca="1"/>
        <v>Bad</v>
      </c>
    </row>
    <row r="5446" spans="2:34" x14ac:dyDescent="0.2">
      <c r="B5446" s="2">
        <f ca="1"/>
        <v>0.36198887482996533</v>
      </c>
      <c r="O5446" s="2">
        <f ca="1"/>
        <v>0.35168165296032178</v>
      </c>
      <c r="X5446" s="2">
        <f ca="1"/>
        <v>65.36118595891503</v>
      </c>
      <c r="AG5446" s="2">
        <f ca="1"/>
        <v>0.40413151820819326</v>
      </c>
      <c r="AH5446" s="2" t="str">
        <f ca="1"/>
        <v>Bad</v>
      </c>
    </row>
    <row r="5447" spans="2:34" x14ac:dyDescent="0.2">
      <c r="B5447" s="2">
        <f ca="1"/>
        <v>0.85266189634438172</v>
      </c>
      <c r="O5447" s="2">
        <f ca="1"/>
        <v>-0.93182023257135993</v>
      </c>
      <c r="X5447" s="2">
        <f ca="1"/>
        <v>87.915505796480886</v>
      </c>
      <c r="AG5447" s="2">
        <f ca="1"/>
        <v>0.47216305872116338</v>
      </c>
      <c r="AH5447" s="2" t="str">
        <f ca="1"/>
        <v>Bad</v>
      </c>
    </row>
    <row r="5448" spans="2:34" x14ac:dyDescent="0.2">
      <c r="B5448" s="2">
        <f ca="1"/>
        <v>0.34748214470183014</v>
      </c>
      <c r="O5448" s="2">
        <f ca="1"/>
        <v>-6.0998352685256371E-2</v>
      </c>
      <c r="X5448" s="2">
        <f ca="1"/>
        <v>49.945888740870586</v>
      </c>
      <c r="AG5448" s="2">
        <f ca="1"/>
        <v>0.72341473946351331</v>
      </c>
      <c r="AH5448" s="2" t="str">
        <f ca="1"/>
        <v>Bad</v>
      </c>
    </row>
    <row r="5449" spans="2:34" x14ac:dyDescent="0.2">
      <c r="B5449" s="2">
        <f ca="1"/>
        <v>0.20292100513911193</v>
      </c>
      <c r="O5449" s="2">
        <f ca="1"/>
        <v>0.50102534764189299</v>
      </c>
      <c r="X5449" s="2">
        <f ca="1"/>
        <v>43.496293581967066</v>
      </c>
      <c r="AG5449" s="2">
        <f ca="1"/>
        <v>0.11886212865875101</v>
      </c>
      <c r="AH5449" s="2" t="str">
        <f ca="1"/>
        <v>OK</v>
      </c>
    </row>
    <row r="5450" spans="2:34" x14ac:dyDescent="0.2">
      <c r="B5450" s="2">
        <f ca="1"/>
        <v>0.34554273536114355</v>
      </c>
      <c r="O5450" s="2">
        <f ca="1"/>
        <v>0.9187163982829103</v>
      </c>
      <c r="X5450" s="2">
        <f ca="1"/>
        <v>41.233266329739536</v>
      </c>
      <c r="AG5450" s="2">
        <f ca="1"/>
        <v>0.59079034777947625</v>
      </c>
      <c r="AH5450" s="2" t="str">
        <f ca="1"/>
        <v>Bad</v>
      </c>
    </row>
    <row r="5451" spans="2:34" x14ac:dyDescent="0.2">
      <c r="B5451" s="2">
        <f ca="1"/>
        <v>0.27175873283673213</v>
      </c>
      <c r="O5451" s="2">
        <f ca="1"/>
        <v>-1.3134824543595898</v>
      </c>
      <c r="X5451" s="2">
        <f ca="1"/>
        <v>45.511670750896329</v>
      </c>
      <c r="AG5451" s="2">
        <f ca="1"/>
        <v>0.78819009297860121</v>
      </c>
      <c r="AH5451" s="2" t="str">
        <f ca="1"/>
        <v>Bad</v>
      </c>
    </row>
    <row r="5452" spans="2:34" x14ac:dyDescent="0.2">
      <c r="B5452" s="2">
        <f ca="1"/>
        <v>2.2028698402835278E-2</v>
      </c>
      <c r="O5452" s="2">
        <f ca="1"/>
        <v>-0.55238073999251092</v>
      </c>
      <c r="X5452" s="2">
        <f ca="1"/>
        <v>51.340143250821782</v>
      </c>
      <c r="AG5452" s="2">
        <f ca="1"/>
        <v>0.1914209629484489</v>
      </c>
      <c r="AH5452" s="2" t="str">
        <f ca="1"/>
        <v>OK</v>
      </c>
    </row>
    <row r="5453" spans="2:34" x14ac:dyDescent="0.2">
      <c r="B5453" s="2">
        <f ca="1"/>
        <v>0.93895703135064346</v>
      </c>
      <c r="O5453" s="2">
        <f ca="1"/>
        <v>1.11584717414249</v>
      </c>
      <c r="X5453" s="2">
        <f ca="1"/>
        <v>47.768338232658294</v>
      </c>
      <c r="AG5453" s="2">
        <f ca="1"/>
        <v>0.81130220882047221</v>
      </c>
      <c r="AH5453" s="2" t="str">
        <f ca="1"/>
        <v>Bad</v>
      </c>
    </row>
    <row r="5454" spans="2:34" x14ac:dyDescent="0.2">
      <c r="B5454" s="2">
        <f ca="1"/>
        <v>0.8975745813463698</v>
      </c>
      <c r="O5454" s="2">
        <f ca="1"/>
        <v>2.287044151590341</v>
      </c>
      <c r="X5454" s="2">
        <f ca="1"/>
        <v>82.579579427239352</v>
      </c>
      <c r="AG5454" s="2">
        <f ca="1"/>
        <v>0.10515747918438767</v>
      </c>
      <c r="AH5454" s="2" t="str">
        <f ca="1"/>
        <v>OK</v>
      </c>
    </row>
    <row r="5455" spans="2:34" x14ac:dyDescent="0.2">
      <c r="B5455" s="2">
        <f ca="1"/>
        <v>0.60391158037472281</v>
      </c>
      <c r="O5455" s="2">
        <f ca="1"/>
        <v>0.6324373856254919</v>
      </c>
      <c r="X5455" s="2">
        <f ca="1"/>
        <v>73.832327676749529</v>
      </c>
      <c r="AG5455" s="2">
        <f ca="1"/>
        <v>0.25403877103601458</v>
      </c>
      <c r="AH5455" s="2" t="str">
        <f ca="1"/>
        <v>OK</v>
      </c>
    </row>
    <row r="5456" spans="2:34" x14ac:dyDescent="0.2">
      <c r="B5456" s="2">
        <f ca="1"/>
        <v>0.56584226798491954</v>
      </c>
      <c r="O5456" s="2">
        <f ca="1"/>
        <v>0.48048880487738943</v>
      </c>
      <c r="X5456" s="2">
        <f ca="1"/>
        <v>71.15615513878987</v>
      </c>
      <c r="AG5456" s="2">
        <f ca="1"/>
        <v>0.96209883730242574</v>
      </c>
      <c r="AH5456" s="2" t="str">
        <f ca="1"/>
        <v>Bad</v>
      </c>
    </row>
    <row r="5457" spans="2:34" x14ac:dyDescent="0.2">
      <c r="B5457" s="2">
        <f ca="1"/>
        <v>0.28109797477119591</v>
      </c>
      <c r="O5457" s="2">
        <f ca="1"/>
        <v>-0.41756579216566042</v>
      </c>
      <c r="X5457" s="2">
        <f ca="1"/>
        <v>45.197616109263322</v>
      </c>
      <c r="AG5457" s="2">
        <f ca="1"/>
        <v>0.946304627839331</v>
      </c>
      <c r="AH5457" s="2" t="str">
        <f ca="1"/>
        <v>Bad</v>
      </c>
    </row>
    <row r="5458" spans="2:34" x14ac:dyDescent="0.2">
      <c r="B5458" s="2">
        <f ca="1"/>
        <v>0.24195776946356706</v>
      </c>
      <c r="O5458" s="2">
        <f ca="1"/>
        <v>-0.700323633972187</v>
      </c>
      <c r="X5458" s="2">
        <f ca="1"/>
        <v>44.293683535354361</v>
      </c>
      <c r="AG5458" s="2">
        <f ca="1"/>
        <v>0.39744349364715714</v>
      </c>
      <c r="AH5458" s="2" t="str">
        <f ca="1"/>
        <v>OK</v>
      </c>
    </row>
    <row r="5459" spans="2:34" x14ac:dyDescent="0.2">
      <c r="B5459" s="2">
        <f ca="1"/>
        <v>0.18269462900064326</v>
      </c>
      <c r="O5459" s="2">
        <f ca="1"/>
        <v>0.14223746046798061</v>
      </c>
      <c r="X5459" s="2">
        <f ca="1"/>
        <v>96.38091377484821</v>
      </c>
      <c r="AG5459" s="2">
        <f ca="1"/>
        <v>0.91633819474927036</v>
      </c>
      <c r="AH5459" s="2" t="str">
        <f ca="1"/>
        <v>Bad</v>
      </c>
    </row>
    <row r="5460" spans="2:34" x14ac:dyDescent="0.2">
      <c r="B5460" s="2">
        <f ca="1"/>
        <v>0.39993761533748851</v>
      </c>
      <c r="O5460" s="2">
        <f ca="1"/>
        <v>1.281611302642947</v>
      </c>
      <c r="X5460" s="2">
        <f ca="1"/>
        <v>38.582168220456673</v>
      </c>
      <c r="AG5460" s="2">
        <f ca="1"/>
        <v>0.28968277174803014</v>
      </c>
      <c r="AH5460" s="2" t="str">
        <f ca="1"/>
        <v>OK</v>
      </c>
    </row>
    <row r="5461" spans="2:34" x14ac:dyDescent="0.2">
      <c r="B5461" s="2">
        <f ca="1"/>
        <v>0.58886193391240793</v>
      </c>
      <c r="O5461" s="2">
        <f ca="1"/>
        <v>0.89603351087862493</v>
      </c>
      <c r="X5461" s="2">
        <f ca="1"/>
        <v>42.988773442873182</v>
      </c>
      <c r="AG5461" s="2">
        <f ca="1"/>
        <v>0.17815610309045571</v>
      </c>
      <c r="AH5461" s="2" t="str">
        <f ca="1"/>
        <v>OK</v>
      </c>
    </row>
    <row r="5462" spans="2:34" x14ac:dyDescent="0.2">
      <c r="B5462" s="2">
        <f ca="1"/>
        <v>0.52134410759220562</v>
      </c>
      <c r="O5462" s="2">
        <f ca="1"/>
        <v>-0.97850036049357225</v>
      </c>
      <c r="X5462" s="2">
        <f ca="1"/>
        <v>48.435492928249161</v>
      </c>
      <c r="AG5462" s="2">
        <f ca="1"/>
        <v>0.52794959509233896</v>
      </c>
      <c r="AH5462" s="2" t="str">
        <f ca="1"/>
        <v>Bad</v>
      </c>
    </row>
    <row r="5463" spans="2:34" x14ac:dyDescent="0.2">
      <c r="B5463" s="2">
        <f ca="1"/>
        <v>0.38559931784669366</v>
      </c>
      <c r="O5463" s="2">
        <f ca="1"/>
        <v>-0.39773959133483322</v>
      </c>
      <c r="X5463" s="2">
        <f ca="1"/>
        <v>41.613333284430148</v>
      </c>
      <c r="AG5463" s="2">
        <f ca="1"/>
        <v>0.90540529883781895</v>
      </c>
      <c r="AH5463" s="2" t="str">
        <f ca="1"/>
        <v>Bad</v>
      </c>
    </row>
    <row r="5464" spans="2:34" x14ac:dyDescent="0.2">
      <c r="B5464" s="2">
        <f ca="1"/>
        <v>1.1004491281396245E-2</v>
      </c>
      <c r="O5464" s="2">
        <f ca="1"/>
        <v>-5.3811666471294324E-2</v>
      </c>
      <c r="X5464" s="2">
        <f ca="1"/>
        <v>56.973708042250657</v>
      </c>
      <c r="AG5464" s="2">
        <f ca="1"/>
        <v>0.63554429547755276</v>
      </c>
      <c r="AH5464" s="2" t="str">
        <f ca="1"/>
        <v>Bad</v>
      </c>
    </row>
    <row r="5465" spans="2:34" x14ac:dyDescent="0.2">
      <c r="B5465" s="2">
        <f ca="1"/>
        <v>0.58518726064901028</v>
      </c>
      <c r="O5465" s="2">
        <f ca="1"/>
        <v>-0.92881466258656542</v>
      </c>
      <c r="X5465" s="2">
        <f ca="1"/>
        <v>31.510482524093227</v>
      </c>
      <c r="AG5465" s="2">
        <f ca="1"/>
        <v>0.76177313617418796</v>
      </c>
      <c r="AH5465" s="2" t="str">
        <f ca="1"/>
        <v>Bad</v>
      </c>
    </row>
    <row r="5466" spans="2:34" x14ac:dyDescent="0.2">
      <c r="B5466" s="2">
        <f ca="1"/>
        <v>0.25489818772239947</v>
      </c>
      <c r="O5466" s="2">
        <f ca="1"/>
        <v>-0.10677608492849404</v>
      </c>
      <c r="X5466" s="2">
        <f ca="1"/>
        <v>41.015802132506479</v>
      </c>
      <c r="AG5466" s="2">
        <f ca="1"/>
        <v>0.51291454395873615</v>
      </c>
      <c r="AH5466" s="2" t="str">
        <f ca="1"/>
        <v>Bad</v>
      </c>
    </row>
    <row r="5467" spans="2:34" x14ac:dyDescent="0.2">
      <c r="B5467" s="2">
        <f ca="1"/>
        <v>0.38611245214332568</v>
      </c>
      <c r="O5467" s="2">
        <f ca="1"/>
        <v>1.2577150643644546</v>
      </c>
      <c r="X5467" s="2">
        <f ca="1"/>
        <v>56.12313585497418</v>
      </c>
      <c r="AG5467" s="2">
        <f ca="1"/>
        <v>0.90425945116032258</v>
      </c>
      <c r="AH5467" s="2" t="str">
        <f ca="1"/>
        <v>Bad</v>
      </c>
    </row>
    <row r="5468" spans="2:34" x14ac:dyDescent="0.2">
      <c r="B5468" s="2">
        <f ca="1"/>
        <v>0.56664410164341872</v>
      </c>
      <c r="O5468" s="2">
        <f ca="1"/>
        <v>0.1460269186076629</v>
      </c>
      <c r="X5468" s="2">
        <f ca="1"/>
        <v>34.223983792232545</v>
      </c>
      <c r="AG5468" s="2">
        <f ca="1"/>
        <v>0.81942757865076477</v>
      </c>
      <c r="AH5468" s="2" t="str">
        <f ca="1"/>
        <v>Bad</v>
      </c>
    </row>
    <row r="5469" spans="2:34" x14ac:dyDescent="0.2">
      <c r="B5469" s="2">
        <f ca="1"/>
        <v>0.36052381014961132</v>
      </c>
      <c r="O5469" s="2">
        <f ca="1"/>
        <v>-0.71989175463730759</v>
      </c>
      <c r="X5469" s="2">
        <f ca="1"/>
        <v>21.199790473486235</v>
      </c>
      <c r="AG5469" s="2">
        <f ca="1"/>
        <v>0.2451189011919932</v>
      </c>
      <c r="AH5469" s="2" t="str">
        <f ca="1"/>
        <v>OK</v>
      </c>
    </row>
    <row r="5470" spans="2:34" x14ac:dyDescent="0.2">
      <c r="B5470" s="2">
        <f ca="1"/>
        <v>0.44856041564657412</v>
      </c>
      <c r="O5470" s="2">
        <f ca="1"/>
        <v>2.4766726691381789</v>
      </c>
      <c r="X5470" s="2">
        <f ca="1"/>
        <v>79.785734418432071</v>
      </c>
      <c r="AG5470" s="2">
        <f ca="1"/>
        <v>0.78420081903763039</v>
      </c>
      <c r="AH5470" s="2" t="str">
        <f ca="1"/>
        <v>Bad</v>
      </c>
    </row>
    <row r="5471" spans="2:34" x14ac:dyDescent="0.2">
      <c r="B5471" s="2">
        <f ca="1"/>
        <v>0.79582612182232926</v>
      </c>
      <c r="O5471" s="2">
        <f ca="1"/>
        <v>1.7363673050312918</v>
      </c>
      <c r="X5471" s="2">
        <f ca="1"/>
        <v>37.619245737360075</v>
      </c>
      <c r="AG5471" s="2">
        <f ca="1"/>
        <v>0.77368423876655412</v>
      </c>
      <c r="AH5471" s="2" t="str">
        <f ca="1"/>
        <v>Bad</v>
      </c>
    </row>
    <row r="5472" spans="2:34" x14ac:dyDescent="0.2">
      <c r="B5472" s="2">
        <f ca="1"/>
        <v>0.25963706126090158</v>
      </c>
      <c r="O5472" s="2">
        <f ca="1"/>
        <v>1.2953210344218504</v>
      </c>
      <c r="X5472" s="2">
        <f ca="1"/>
        <v>67.988272931237631</v>
      </c>
      <c r="AG5472" s="2">
        <f ca="1"/>
        <v>0.43962771483219432</v>
      </c>
      <c r="AH5472" s="2" t="str">
        <f ca="1"/>
        <v>Bad</v>
      </c>
    </row>
    <row r="5473" spans="2:34" x14ac:dyDescent="0.2">
      <c r="B5473" s="2">
        <f ca="1"/>
        <v>0.44880381200732256</v>
      </c>
      <c r="O5473" s="2">
        <f ca="1"/>
        <v>-0.39433728407398955</v>
      </c>
      <c r="X5473" s="2">
        <f ca="1"/>
        <v>39.967682065332063</v>
      </c>
      <c r="AG5473" s="2">
        <f ca="1"/>
        <v>0.90853033851051346</v>
      </c>
      <c r="AH5473" s="2" t="str">
        <f ca="1"/>
        <v>Bad</v>
      </c>
    </row>
    <row r="5474" spans="2:34" x14ac:dyDescent="0.2">
      <c r="B5474" s="2">
        <f ca="1"/>
        <v>0.52188915021987436</v>
      </c>
      <c r="O5474" s="2">
        <f ca="1"/>
        <v>-0.4623204145672643</v>
      </c>
      <c r="X5474" s="2">
        <f ca="1"/>
        <v>34.217995412722544</v>
      </c>
      <c r="AG5474" s="2">
        <f ca="1"/>
        <v>0.78414405362375783</v>
      </c>
      <c r="AH5474" s="2" t="str">
        <f ca="1"/>
        <v>Bad</v>
      </c>
    </row>
    <row r="5475" spans="2:34" x14ac:dyDescent="0.2">
      <c r="B5475" s="2">
        <f ca="1"/>
        <v>0.9828949085963552</v>
      </c>
      <c r="O5475" s="2">
        <f ca="1"/>
        <v>0.66031328270276091</v>
      </c>
      <c r="X5475" s="2">
        <f ca="1"/>
        <v>58.491130363642363</v>
      </c>
      <c r="AG5475" s="2">
        <f ca="1"/>
        <v>0.68966382526397041</v>
      </c>
      <c r="AH5475" s="2" t="str">
        <f ca="1"/>
        <v>Bad</v>
      </c>
    </row>
    <row r="5476" spans="2:34" x14ac:dyDescent="0.2">
      <c r="B5476" s="2">
        <f ca="1"/>
        <v>0.12866599205208074</v>
      </c>
      <c r="O5476" s="2">
        <f ca="1"/>
        <v>1.0691243252360867</v>
      </c>
      <c r="X5476" s="2">
        <f ca="1"/>
        <v>51.18128535864706</v>
      </c>
      <c r="AG5476" s="2">
        <f ca="1"/>
        <v>0.46365497747385076</v>
      </c>
      <c r="AH5476" s="2" t="str">
        <f ca="1"/>
        <v>Bad</v>
      </c>
    </row>
    <row r="5477" spans="2:34" x14ac:dyDescent="0.2">
      <c r="B5477" s="2">
        <f ca="1"/>
        <v>0.30549122378426663</v>
      </c>
      <c r="O5477" s="2">
        <f ca="1"/>
        <v>-1.6336135712014201</v>
      </c>
      <c r="X5477" s="2">
        <f ca="1"/>
        <v>32.656681863996624</v>
      </c>
      <c r="AG5477" s="2">
        <f ca="1"/>
        <v>0.29750496534265514</v>
      </c>
      <c r="AH5477" s="2" t="str">
        <f ca="1"/>
        <v>OK</v>
      </c>
    </row>
    <row r="5478" spans="2:34" x14ac:dyDescent="0.2">
      <c r="B5478" s="2">
        <f ca="1"/>
        <v>0.51853705100264902</v>
      </c>
      <c r="O5478" s="2">
        <f ca="1"/>
        <v>1.3539408239376873</v>
      </c>
      <c r="X5478" s="2">
        <f ca="1"/>
        <v>32.41294437864093</v>
      </c>
      <c r="AG5478" s="2">
        <f ca="1"/>
        <v>0.82317965787405312</v>
      </c>
      <c r="AH5478" s="2" t="str">
        <f ca="1"/>
        <v>Bad</v>
      </c>
    </row>
    <row r="5479" spans="2:34" x14ac:dyDescent="0.2">
      <c r="B5479" s="2">
        <f ca="1"/>
        <v>0.50058249223731033</v>
      </c>
      <c r="O5479" s="2">
        <f ca="1"/>
        <v>0.41323927751363471</v>
      </c>
      <c r="X5479" s="2">
        <f ca="1"/>
        <v>70.385598034230838</v>
      </c>
      <c r="AG5479" s="2">
        <f ca="1"/>
        <v>0.11712884040181848</v>
      </c>
      <c r="AH5479" s="2" t="str">
        <f ca="1"/>
        <v>OK</v>
      </c>
    </row>
    <row r="5480" spans="2:34" x14ac:dyDescent="0.2">
      <c r="B5480" s="2">
        <f ca="1"/>
        <v>0.37215680475136326</v>
      </c>
      <c r="O5480" s="2">
        <f ca="1"/>
        <v>0.64231763042795786</v>
      </c>
      <c r="X5480" s="2">
        <f ca="1"/>
        <v>45.132250124741745</v>
      </c>
      <c r="AG5480" s="2">
        <f ca="1"/>
        <v>0.55695878863424464</v>
      </c>
      <c r="AH5480" s="2" t="str">
        <f ca="1"/>
        <v>Bad</v>
      </c>
    </row>
    <row r="5481" spans="2:34" x14ac:dyDescent="0.2">
      <c r="B5481" s="2">
        <f ca="1"/>
        <v>0.14611084256180318</v>
      </c>
      <c r="O5481" s="2">
        <f ca="1"/>
        <v>0.89275851001046058</v>
      </c>
      <c r="X5481" s="2">
        <f ca="1"/>
        <v>40.084547961241441</v>
      </c>
      <c r="AG5481" s="2">
        <f ca="1"/>
        <v>0.82203475346181287</v>
      </c>
      <c r="AH5481" s="2" t="str">
        <f ca="1"/>
        <v>Bad</v>
      </c>
    </row>
    <row r="5482" spans="2:34" x14ac:dyDescent="0.2">
      <c r="B5482" s="2">
        <f ca="1"/>
        <v>0.60835647580320873</v>
      </c>
      <c r="O5482" s="2">
        <f ca="1"/>
        <v>0.66301385755757281</v>
      </c>
      <c r="X5482" s="2">
        <f ca="1"/>
        <v>86.621163906814971</v>
      </c>
      <c r="AG5482" s="2">
        <f ca="1"/>
        <v>0.95905871327541825</v>
      </c>
      <c r="AH5482" s="2" t="str">
        <f ca="1"/>
        <v>Bad</v>
      </c>
    </row>
    <row r="5483" spans="2:34" x14ac:dyDescent="0.2">
      <c r="B5483" s="2">
        <f ca="1"/>
        <v>0.28737708948797924</v>
      </c>
      <c r="O5483" s="2">
        <f ca="1"/>
        <v>-0.96034821960426842</v>
      </c>
      <c r="X5483" s="2">
        <f ca="1"/>
        <v>49.009917167709659</v>
      </c>
      <c r="AG5483" s="2">
        <f ca="1"/>
        <v>0.47913500794596575</v>
      </c>
      <c r="AH5483" s="2" t="str">
        <f ca="1"/>
        <v>Bad</v>
      </c>
    </row>
    <row r="5484" spans="2:34" x14ac:dyDescent="0.2">
      <c r="B5484" s="2">
        <f ca="1"/>
        <v>0.96646186175815751</v>
      </c>
      <c r="O5484" s="2">
        <f ca="1"/>
        <v>0.32305751288392648</v>
      </c>
      <c r="X5484" s="2">
        <f ca="1"/>
        <v>39.550965559432555</v>
      </c>
      <c r="AG5484" s="2">
        <f ca="1"/>
        <v>0.43530412457138445</v>
      </c>
      <c r="AH5484" s="2" t="str">
        <f ca="1"/>
        <v>Bad</v>
      </c>
    </row>
    <row r="5485" spans="2:34" x14ac:dyDescent="0.2">
      <c r="B5485" s="2">
        <f ca="1"/>
        <v>0.34003484224684688</v>
      </c>
      <c r="O5485" s="2">
        <f ca="1"/>
        <v>1.6125314825450678</v>
      </c>
      <c r="X5485" s="2">
        <f ca="1"/>
        <v>37.286970961394715</v>
      </c>
      <c r="AG5485" s="2">
        <f ca="1"/>
        <v>0.46362229419009182</v>
      </c>
      <c r="AH5485" s="2" t="str">
        <f ca="1"/>
        <v>Bad</v>
      </c>
    </row>
    <row r="5486" spans="2:34" x14ac:dyDescent="0.2">
      <c r="B5486" s="2">
        <f ca="1"/>
        <v>0.4354285132825757</v>
      </c>
      <c r="O5486" s="2">
        <f ca="1"/>
        <v>-0.50666637287376759</v>
      </c>
      <c r="X5486" s="2">
        <f ca="1"/>
        <v>31.593954233140217</v>
      </c>
      <c r="AG5486" s="2">
        <f ca="1"/>
        <v>0.68600026621850185</v>
      </c>
      <c r="AH5486" s="2" t="str">
        <f ca="1"/>
        <v>Bad</v>
      </c>
    </row>
    <row r="5487" spans="2:34" x14ac:dyDescent="0.2">
      <c r="B5487" s="2">
        <f ca="1"/>
        <v>0.65660379303121852</v>
      </c>
      <c r="O5487" s="2">
        <f ca="1"/>
        <v>-0.23896370397944411</v>
      </c>
      <c r="X5487" s="2">
        <f ca="1"/>
        <v>23.481090238732474</v>
      </c>
      <c r="AG5487" s="2">
        <f ca="1"/>
        <v>2.2931588205825637E-2</v>
      </c>
      <c r="AH5487" s="2" t="str">
        <f ca="1"/>
        <v>Good</v>
      </c>
    </row>
    <row r="5488" spans="2:34" x14ac:dyDescent="0.2">
      <c r="B5488" s="2">
        <f ca="1"/>
        <v>0.21209302444507672</v>
      </c>
      <c r="O5488" s="2">
        <f ca="1"/>
        <v>-0.63041374572356246</v>
      </c>
      <c r="X5488" s="2">
        <f ca="1"/>
        <v>46.730011299301957</v>
      </c>
      <c r="AG5488" s="2">
        <f ca="1"/>
        <v>0.5638937197752063</v>
      </c>
      <c r="AH5488" s="2" t="str">
        <f ca="1"/>
        <v>Bad</v>
      </c>
    </row>
    <row r="5489" spans="2:34" x14ac:dyDescent="0.2">
      <c r="B5489" s="2">
        <f ca="1"/>
        <v>0.64204067647129337</v>
      </c>
      <c r="O5489" s="2">
        <f ca="1"/>
        <v>0.64270051873970491</v>
      </c>
      <c r="X5489" s="2">
        <f ca="1"/>
        <v>72.846306514896156</v>
      </c>
      <c r="AG5489" s="2">
        <f ca="1"/>
        <v>0.84597756548200298</v>
      </c>
      <c r="AH5489" s="2" t="str">
        <f ca="1"/>
        <v>Bad</v>
      </c>
    </row>
    <row r="5490" spans="2:34" x14ac:dyDescent="0.2">
      <c r="B5490" s="2">
        <f ca="1"/>
        <v>0.99576912736996714</v>
      </c>
      <c r="O5490" s="2">
        <f ca="1"/>
        <v>1.5405769975670163</v>
      </c>
      <c r="X5490" s="2">
        <f ca="1"/>
        <v>38.148577094027104</v>
      </c>
      <c r="AG5490" s="2">
        <f ca="1"/>
        <v>0.95534194024715569</v>
      </c>
      <c r="AH5490" s="2" t="str">
        <f ca="1"/>
        <v>Bad</v>
      </c>
    </row>
    <row r="5491" spans="2:34" x14ac:dyDescent="0.2">
      <c r="B5491" s="2">
        <f ca="1"/>
        <v>0.9841422525665886</v>
      </c>
      <c r="O5491" s="2">
        <f ca="1"/>
        <v>-0.6624457903928459</v>
      </c>
      <c r="X5491" s="2">
        <f ca="1"/>
        <v>29.983485101612949</v>
      </c>
      <c r="AG5491" s="2">
        <f ca="1"/>
        <v>0.7853131543793308</v>
      </c>
      <c r="AH5491" s="2" t="str">
        <f ca="1"/>
        <v>Bad</v>
      </c>
    </row>
    <row r="5492" spans="2:34" x14ac:dyDescent="0.2">
      <c r="B5492" s="2">
        <f ca="1"/>
        <v>0.59713866808839211</v>
      </c>
      <c r="O5492" s="2">
        <f ca="1"/>
        <v>-0.78932484263210012</v>
      </c>
      <c r="X5492" s="2">
        <f ca="1"/>
        <v>56.947072883423218</v>
      </c>
      <c r="AG5492" s="2">
        <f ca="1"/>
        <v>0.73500865552733341</v>
      </c>
      <c r="AH5492" s="2" t="str">
        <f ca="1"/>
        <v>Bad</v>
      </c>
    </row>
    <row r="5493" spans="2:34" x14ac:dyDescent="0.2">
      <c r="B5493" s="2">
        <f ca="1"/>
        <v>0.27953477244477898</v>
      </c>
      <c r="O5493" s="2">
        <f ca="1"/>
        <v>0.11842300777330048</v>
      </c>
      <c r="X5493" s="2">
        <f ca="1"/>
        <v>69.479959491592467</v>
      </c>
      <c r="AG5493" s="2">
        <f ca="1"/>
        <v>0.89680237328010293</v>
      </c>
      <c r="AH5493" s="2" t="str">
        <f ca="1"/>
        <v>Bad</v>
      </c>
    </row>
    <row r="5494" spans="2:34" x14ac:dyDescent="0.2">
      <c r="B5494" s="2">
        <f ca="1"/>
        <v>0.66282829686369027</v>
      </c>
      <c r="O5494" s="2">
        <f ca="1"/>
        <v>-0.54189845113397261</v>
      </c>
      <c r="X5494" s="2">
        <f ca="1"/>
        <v>28.037054472014383</v>
      </c>
      <c r="AG5494" s="2">
        <f ca="1"/>
        <v>0.29800009646081094</v>
      </c>
      <c r="AH5494" s="2" t="str">
        <f ca="1"/>
        <v>OK</v>
      </c>
    </row>
    <row r="5495" spans="2:34" x14ac:dyDescent="0.2">
      <c r="B5495" s="2">
        <f ca="1"/>
        <v>0.61622731494344052</v>
      </c>
      <c r="O5495" s="2">
        <f ca="1"/>
        <v>-0.63450531549182887</v>
      </c>
      <c r="X5495" s="2">
        <f ca="1"/>
        <v>42.274066917830105</v>
      </c>
      <c r="AG5495" s="2">
        <f ca="1"/>
        <v>1.0223361717355051E-2</v>
      </c>
      <c r="AH5495" s="2" t="str">
        <f ca="1"/>
        <v>Good</v>
      </c>
    </row>
    <row r="5496" spans="2:34" x14ac:dyDescent="0.2">
      <c r="B5496" s="2">
        <f ca="1"/>
        <v>0.97023732023626374</v>
      </c>
      <c r="O5496" s="2">
        <f ca="1"/>
        <v>-0.99258175079376154</v>
      </c>
      <c r="X5496" s="2">
        <f ca="1"/>
        <v>34.855159695209011</v>
      </c>
      <c r="AG5496" s="2">
        <f ca="1"/>
        <v>0.57196579313244111</v>
      </c>
      <c r="AH5496" s="2" t="str">
        <f ca="1"/>
        <v>Bad</v>
      </c>
    </row>
    <row r="5497" spans="2:34" x14ac:dyDescent="0.2">
      <c r="B5497" s="2">
        <f ca="1"/>
        <v>0.27834907443674584</v>
      </c>
      <c r="O5497" s="2">
        <f ca="1"/>
        <v>-1.187737715538054</v>
      </c>
      <c r="X5497" s="2">
        <f ca="1"/>
        <v>35.650426192885611</v>
      </c>
      <c r="AG5497" s="2">
        <f ca="1"/>
        <v>0.38244227479956483</v>
      </c>
      <c r="AH5497" s="2" t="str">
        <f ca="1"/>
        <v>OK</v>
      </c>
    </row>
    <row r="5498" spans="2:34" x14ac:dyDescent="0.2">
      <c r="B5498" s="2">
        <f ca="1"/>
        <v>2.80393552020195E-2</v>
      </c>
      <c r="O5498" s="2">
        <f ca="1"/>
        <v>-0.13544679917556238</v>
      </c>
      <c r="X5498" s="2">
        <f ca="1"/>
        <v>75.107284941252018</v>
      </c>
      <c r="AG5498" s="2">
        <f ca="1"/>
        <v>0.65033675063455854</v>
      </c>
      <c r="AH5498" s="2" t="str">
        <f ca="1"/>
        <v>Bad</v>
      </c>
    </row>
    <row r="5499" spans="2:34" x14ac:dyDescent="0.2">
      <c r="B5499" s="2">
        <f ca="1"/>
        <v>0.84043516934674711</v>
      </c>
      <c r="O5499" s="2">
        <f ca="1"/>
        <v>-0.92608575966370754</v>
      </c>
      <c r="X5499" s="2">
        <f ca="1"/>
        <v>48.378159655200157</v>
      </c>
      <c r="AG5499" s="2">
        <f ca="1"/>
        <v>0.22739098221210363</v>
      </c>
      <c r="AH5499" s="2" t="str">
        <f ca="1"/>
        <v>OK</v>
      </c>
    </row>
    <row r="5500" spans="2:34" x14ac:dyDescent="0.2">
      <c r="B5500" s="2">
        <f ca="1"/>
        <v>0.81807924104559682</v>
      </c>
      <c r="O5500" s="2">
        <f ca="1"/>
        <v>-1.1084763807623366</v>
      </c>
      <c r="X5500" s="2">
        <f ca="1"/>
        <v>56.963898352983577</v>
      </c>
      <c r="AG5500" s="2">
        <f ca="1"/>
        <v>0.60240729293092365</v>
      </c>
      <c r="AH5500" s="2" t="str">
        <f ca="1"/>
        <v>Bad</v>
      </c>
    </row>
    <row r="5501" spans="2:34" x14ac:dyDescent="0.2">
      <c r="B5501" s="2">
        <f ca="1"/>
        <v>0.73346266900808699</v>
      </c>
      <c r="O5501" s="2">
        <f ca="1"/>
        <v>1.7485880296663621</v>
      </c>
      <c r="X5501" s="2">
        <f ca="1"/>
        <v>33.777068031249755</v>
      </c>
      <c r="AG5501" s="2">
        <f ca="1"/>
        <v>7.2408851079971193E-2</v>
      </c>
      <c r="AH5501" s="2" t="str">
        <f ca="1"/>
        <v>OK</v>
      </c>
    </row>
    <row r="5502" spans="2:34" x14ac:dyDescent="0.2">
      <c r="B5502" s="2">
        <f ca="1"/>
        <v>4.8111514644449072E-2</v>
      </c>
      <c r="O5502" s="2">
        <f ca="1"/>
        <v>0.48232768257997655</v>
      </c>
      <c r="X5502" s="2">
        <f ca="1"/>
        <v>44.9709107982966</v>
      </c>
      <c r="AG5502" s="2">
        <f ca="1"/>
        <v>3.6820706993189622E-2</v>
      </c>
      <c r="AH5502" s="2" t="str">
        <f ca="1"/>
        <v>Good</v>
      </c>
    </row>
    <row r="5503" spans="2:34" x14ac:dyDescent="0.2">
      <c r="B5503" s="2">
        <f ca="1"/>
        <v>0.40018313303431419</v>
      </c>
      <c r="O5503" s="2">
        <f ca="1"/>
        <v>-0.92295985121522761</v>
      </c>
      <c r="X5503" s="2">
        <f ca="1"/>
        <v>25.681438978936061</v>
      </c>
      <c r="AG5503" s="2">
        <f ca="1"/>
        <v>0.95896635149629694</v>
      </c>
      <c r="AH5503" s="2" t="str">
        <f ca="1"/>
        <v>Bad</v>
      </c>
    </row>
    <row r="5504" spans="2:34" x14ac:dyDescent="0.2">
      <c r="B5504" s="2">
        <f ca="1"/>
        <v>0.24680751035374726</v>
      </c>
      <c r="O5504" s="2">
        <f ca="1"/>
        <v>0.18396301415610852</v>
      </c>
      <c r="X5504" s="2">
        <f ca="1"/>
        <v>47.906374392000373</v>
      </c>
      <c r="AG5504" s="2">
        <f ca="1"/>
        <v>9.7670139771421249E-2</v>
      </c>
      <c r="AH5504" s="2" t="str">
        <f ca="1"/>
        <v>OK</v>
      </c>
    </row>
    <row r="5505" spans="2:34" x14ac:dyDescent="0.2">
      <c r="B5505" s="2">
        <f ca="1"/>
        <v>0.45906435525244338</v>
      </c>
      <c r="O5505" s="2">
        <f ca="1"/>
        <v>-0.47350870450133847</v>
      </c>
      <c r="X5505" s="2">
        <f ca="1"/>
        <v>43.770592577086525</v>
      </c>
      <c r="AG5505" s="2">
        <f ca="1"/>
        <v>0.59392848827189448</v>
      </c>
      <c r="AH5505" s="2" t="str">
        <f ca="1"/>
        <v>Bad</v>
      </c>
    </row>
    <row r="5506" spans="2:34" x14ac:dyDescent="0.2">
      <c r="B5506" s="2">
        <f ca="1"/>
        <v>0.54347105930487949</v>
      </c>
      <c r="O5506" s="2">
        <f ca="1"/>
        <v>0.72045434606542502</v>
      </c>
      <c r="X5506" s="2">
        <f ca="1"/>
        <v>86.194685285348243</v>
      </c>
      <c r="AG5506" s="2">
        <f ca="1"/>
        <v>0.32848099034155176</v>
      </c>
      <c r="AH5506" s="2" t="str">
        <f ca="1"/>
        <v>OK</v>
      </c>
    </row>
    <row r="5507" spans="2:34" x14ac:dyDescent="0.2">
      <c r="B5507" s="2">
        <f ca="1"/>
        <v>0.89501777262136084</v>
      </c>
      <c r="O5507" s="2">
        <f ca="1"/>
        <v>-0.94270384210389124</v>
      </c>
      <c r="X5507" s="2">
        <f ca="1"/>
        <v>71.789160153924385</v>
      </c>
      <c r="AG5507" s="2">
        <f ca="1"/>
        <v>6.8292917150732935E-2</v>
      </c>
      <c r="AH5507" s="2" t="str">
        <f ca="1"/>
        <v>OK</v>
      </c>
    </row>
    <row r="5508" spans="2:34" x14ac:dyDescent="0.2">
      <c r="B5508" s="2">
        <f ca="1"/>
        <v>8.7833596560599414E-2</v>
      </c>
      <c r="O5508" s="2">
        <f ca="1"/>
        <v>0.36640459136903886</v>
      </c>
      <c r="X5508" s="2">
        <f ca="1"/>
        <v>21.148766434539926</v>
      </c>
      <c r="AG5508" s="2">
        <f ca="1"/>
        <v>0.40778373322937123</v>
      </c>
      <c r="AH5508" s="2" t="str">
        <f ca="1"/>
        <v>Bad</v>
      </c>
    </row>
    <row r="5509" spans="2:34" x14ac:dyDescent="0.2">
      <c r="B5509" s="2">
        <f ca="1"/>
        <v>4.9987502438533893E-2</v>
      </c>
      <c r="O5509" s="2">
        <f ca="1"/>
        <v>-2.233869345755696</v>
      </c>
      <c r="X5509" s="2">
        <f ca="1"/>
        <v>58.177320562379073</v>
      </c>
      <c r="AG5509" s="2">
        <f ca="1"/>
        <v>0.48214119358430585</v>
      </c>
      <c r="AH5509" s="2" t="str">
        <f ca="1"/>
        <v>Bad</v>
      </c>
    </row>
    <row r="5510" spans="2:34" x14ac:dyDescent="0.2">
      <c r="B5510" s="2">
        <f ca="1"/>
        <v>0.49177917320097042</v>
      </c>
      <c r="O5510" s="2">
        <f ca="1"/>
        <v>-0.59972512866167338</v>
      </c>
      <c r="X5510" s="2">
        <f ca="1"/>
        <v>45.987125884818653</v>
      </c>
      <c r="AG5510" s="2">
        <f ca="1"/>
        <v>0.66130679465630604</v>
      </c>
      <c r="AH5510" s="2" t="str">
        <f ca="1"/>
        <v>Bad</v>
      </c>
    </row>
    <row r="5511" spans="2:34" x14ac:dyDescent="0.2">
      <c r="B5511" s="2">
        <f ca="1"/>
        <v>2.6937024239009899E-2</v>
      </c>
      <c r="O5511" s="2">
        <f ca="1"/>
        <v>-0.36343521181105548</v>
      </c>
      <c r="X5511" s="2">
        <f ca="1"/>
        <v>80.829214163094733</v>
      </c>
      <c r="AG5511" s="2">
        <f ca="1"/>
        <v>0.80987359464452435</v>
      </c>
      <c r="AH5511" s="2" t="str">
        <f ca="1"/>
        <v>Bad</v>
      </c>
    </row>
    <row r="5512" spans="2:34" x14ac:dyDescent="0.2">
      <c r="B5512" s="2">
        <f ca="1"/>
        <v>0.60535264157389435</v>
      </c>
      <c r="O5512" s="2">
        <f ca="1"/>
        <v>-0.29174816483199245</v>
      </c>
      <c r="X5512" s="2">
        <f ca="1"/>
        <v>44.185034124554711</v>
      </c>
      <c r="AG5512" s="2">
        <f ca="1"/>
        <v>0.54865910670847229</v>
      </c>
      <c r="AH5512" s="2" t="str">
        <f ca="1"/>
        <v>Bad</v>
      </c>
    </row>
    <row r="5513" spans="2:34" x14ac:dyDescent="0.2">
      <c r="B5513" s="2">
        <f ca="1"/>
        <v>0.23979008914950528</v>
      </c>
      <c r="O5513" s="2">
        <f ca="1"/>
        <v>0.41917513369130538</v>
      </c>
      <c r="X5513" s="2">
        <f ca="1"/>
        <v>46.438586595561773</v>
      </c>
      <c r="AG5513" s="2">
        <f ca="1"/>
        <v>0.18045508902111362</v>
      </c>
      <c r="AH5513" s="2" t="str">
        <f ca="1"/>
        <v>OK</v>
      </c>
    </row>
    <row r="5514" spans="2:34" x14ac:dyDescent="0.2">
      <c r="B5514" s="2">
        <f ca="1"/>
        <v>0.50455255978146529</v>
      </c>
      <c r="O5514" s="2">
        <f ca="1"/>
        <v>-0.81464873582118147</v>
      </c>
      <c r="X5514" s="2">
        <f ca="1"/>
        <v>19.768414491751084</v>
      </c>
      <c r="AG5514" s="2">
        <f ca="1"/>
        <v>0.43341008606884746</v>
      </c>
      <c r="AH5514" s="2" t="str">
        <f ca="1"/>
        <v>Bad</v>
      </c>
    </row>
    <row r="5515" spans="2:34" x14ac:dyDescent="0.2">
      <c r="B5515" s="2">
        <f ca="1"/>
        <v>0.15842619740368979</v>
      </c>
      <c r="O5515" s="2">
        <f ca="1"/>
        <v>0.54295270524094263</v>
      </c>
      <c r="X5515" s="2">
        <f ca="1"/>
        <v>56.685148646639661</v>
      </c>
      <c r="AG5515" s="2">
        <f ca="1"/>
        <v>0.11914347878712306</v>
      </c>
      <c r="AH5515" s="2" t="str">
        <f ca="1"/>
        <v>OK</v>
      </c>
    </row>
    <row r="5516" spans="2:34" x14ac:dyDescent="0.2">
      <c r="B5516" s="2">
        <f ca="1"/>
        <v>0.98480472072980807</v>
      </c>
      <c r="O5516" s="2">
        <f ca="1"/>
        <v>1.5502660477594981</v>
      </c>
      <c r="X5516" s="2">
        <f ca="1"/>
        <v>39.839325055794241</v>
      </c>
      <c r="AG5516" s="2">
        <f ca="1"/>
        <v>0.73685626410298166</v>
      </c>
      <c r="AH5516" s="2" t="str">
        <f ca="1"/>
        <v>Bad</v>
      </c>
    </row>
    <row r="5517" spans="2:34" x14ac:dyDescent="0.2">
      <c r="B5517" s="2">
        <f ca="1"/>
        <v>9.6618644071603033E-2</v>
      </c>
      <c r="O5517" s="2">
        <f ca="1"/>
        <v>-6.5866359005903267E-3</v>
      </c>
      <c r="X5517" s="2">
        <f ca="1"/>
        <v>78.893617956565663</v>
      </c>
      <c r="AG5517" s="2">
        <f ca="1"/>
        <v>0.61782849275588014</v>
      </c>
      <c r="AH5517" s="2" t="str">
        <f ca="1"/>
        <v>Bad</v>
      </c>
    </row>
    <row r="5518" spans="2:34" x14ac:dyDescent="0.2">
      <c r="B5518" s="2">
        <f ca="1"/>
        <v>0.64638746742917386</v>
      </c>
      <c r="O5518" s="2">
        <f ca="1"/>
        <v>-1.8751354076139313</v>
      </c>
      <c r="X5518" s="2">
        <f ca="1"/>
        <v>52.866794296515714</v>
      </c>
      <c r="AG5518" s="2">
        <f ca="1"/>
        <v>0.65579289578240285</v>
      </c>
      <c r="AH5518" s="2" t="str">
        <f ca="1"/>
        <v>Bad</v>
      </c>
    </row>
    <row r="5519" spans="2:34" x14ac:dyDescent="0.2">
      <c r="B5519" s="2">
        <f ca="1"/>
        <v>0.67828520613761789</v>
      </c>
      <c r="O5519" s="2">
        <f ca="1"/>
        <v>0.62828075911522685</v>
      </c>
      <c r="X5519" s="2">
        <f ca="1"/>
        <v>18.717082044541822</v>
      </c>
      <c r="AG5519" s="2">
        <f ca="1"/>
        <v>0.12120195121773847</v>
      </c>
      <c r="AH5519" s="2" t="str">
        <f ca="1"/>
        <v>OK</v>
      </c>
    </row>
    <row r="5520" spans="2:34" x14ac:dyDescent="0.2">
      <c r="B5520" s="2">
        <f ca="1"/>
        <v>0.10483543521893557</v>
      </c>
      <c r="O5520" s="2">
        <f ca="1"/>
        <v>-1.0762304627836157</v>
      </c>
      <c r="X5520" s="2">
        <f ca="1"/>
        <v>56.699243601011716</v>
      </c>
      <c r="AG5520" s="2">
        <f ca="1"/>
        <v>0.52313634111908081</v>
      </c>
      <c r="AH5520" s="2" t="str">
        <f ca="1"/>
        <v>Bad</v>
      </c>
    </row>
    <row r="5521" spans="2:34" x14ac:dyDescent="0.2">
      <c r="B5521" s="2">
        <f ca="1"/>
        <v>0.81746284752036291</v>
      </c>
      <c r="O5521" s="2">
        <f ca="1"/>
        <v>0.33384559672063235</v>
      </c>
      <c r="X5521" s="2">
        <f ca="1"/>
        <v>37.474506680717099</v>
      </c>
      <c r="AG5521" s="2">
        <f ca="1"/>
        <v>0.6880779255088989</v>
      </c>
      <c r="AH5521" s="2" t="str">
        <f ca="1"/>
        <v>Bad</v>
      </c>
    </row>
    <row r="5522" spans="2:34" x14ac:dyDescent="0.2">
      <c r="B5522" s="2">
        <f ca="1"/>
        <v>0.28036392747264882</v>
      </c>
      <c r="O5522" s="2">
        <f ca="1"/>
        <v>-0.49553163617127799</v>
      </c>
      <c r="X5522" s="2">
        <f ca="1"/>
        <v>51.5625705876365</v>
      </c>
      <c r="AG5522" s="2">
        <f ca="1"/>
        <v>0.75724583871770945</v>
      </c>
      <c r="AH5522" s="2" t="str">
        <f ca="1"/>
        <v>Bad</v>
      </c>
    </row>
    <row r="5523" spans="2:34" x14ac:dyDescent="0.2">
      <c r="B5523" s="2">
        <f ca="1"/>
        <v>0.24592929853746859</v>
      </c>
      <c r="O5523" s="2">
        <f ca="1"/>
        <v>-4.9408418642460199E-2</v>
      </c>
      <c r="X5523" s="2">
        <f ca="1"/>
        <v>61.612042811346299</v>
      </c>
      <c r="AG5523" s="2">
        <f ca="1"/>
        <v>8.3664726986527604E-2</v>
      </c>
      <c r="AH5523" s="2" t="str">
        <f ca="1"/>
        <v>OK</v>
      </c>
    </row>
    <row r="5524" spans="2:34" x14ac:dyDescent="0.2">
      <c r="B5524" s="2">
        <f ca="1"/>
        <v>0.82383847156399637</v>
      </c>
      <c r="O5524" s="2">
        <f ca="1"/>
        <v>0.17089945367280404</v>
      </c>
      <c r="X5524" s="2">
        <f ca="1"/>
        <v>45.440683776390443</v>
      </c>
      <c r="AG5524" s="2">
        <f ca="1"/>
        <v>0.21653878183725794</v>
      </c>
      <c r="AH5524" s="2" t="str">
        <f ca="1"/>
        <v>OK</v>
      </c>
    </row>
    <row r="5525" spans="2:34" x14ac:dyDescent="0.2">
      <c r="B5525" s="2">
        <f ca="1"/>
        <v>0.14895470118263643</v>
      </c>
      <c r="O5525" s="2">
        <f ca="1"/>
        <v>2.3193211351468022</v>
      </c>
      <c r="X5525" s="2">
        <f ca="1"/>
        <v>42.654890051835828</v>
      </c>
      <c r="AG5525" s="2">
        <f ca="1"/>
        <v>0.21828253305557888</v>
      </c>
      <c r="AH5525" s="2" t="str">
        <f ca="1"/>
        <v>OK</v>
      </c>
    </row>
    <row r="5526" spans="2:34" x14ac:dyDescent="0.2">
      <c r="B5526" s="2">
        <f ca="1"/>
        <v>0.30382121821026398</v>
      </c>
      <c r="O5526" s="2">
        <f ca="1"/>
        <v>-2.0119556548614805</v>
      </c>
      <c r="X5526" s="2">
        <f ca="1"/>
        <v>73.416258071918705</v>
      </c>
      <c r="AG5526" s="2">
        <f ca="1"/>
        <v>0.17930701070552857</v>
      </c>
      <c r="AH5526" s="2" t="str">
        <f ca="1"/>
        <v>OK</v>
      </c>
    </row>
    <row r="5527" spans="2:34" x14ac:dyDescent="0.2">
      <c r="B5527" s="2">
        <f ca="1"/>
        <v>0.5357892888550011</v>
      </c>
      <c r="O5527" s="2">
        <f ca="1"/>
        <v>-1.1745953036983576</v>
      </c>
      <c r="X5527" s="2">
        <f ca="1"/>
        <v>55.969957968374445</v>
      </c>
      <c r="AG5527" s="2">
        <f ca="1"/>
        <v>0.93642746214849404</v>
      </c>
      <c r="AH5527" s="2" t="str">
        <f ca="1"/>
        <v>Bad</v>
      </c>
    </row>
    <row r="5528" spans="2:34" x14ac:dyDescent="0.2">
      <c r="B5528" s="2">
        <f ca="1"/>
        <v>0.55383427211899972</v>
      </c>
      <c r="O5528" s="2">
        <f ca="1"/>
        <v>-0.33122812818678982</v>
      </c>
      <c r="X5528" s="2">
        <f ca="1"/>
        <v>43.634198160403002</v>
      </c>
      <c r="AG5528" s="2">
        <f ca="1"/>
        <v>0.62872346108274102</v>
      </c>
      <c r="AH5528" s="2" t="str">
        <f ca="1"/>
        <v>Bad</v>
      </c>
    </row>
    <row r="5529" spans="2:34" x14ac:dyDescent="0.2">
      <c r="B5529" s="2">
        <f ca="1"/>
        <v>0.95716656986559534</v>
      </c>
      <c r="O5529" s="2">
        <f ca="1"/>
        <v>-0.66874356049011152</v>
      </c>
      <c r="X5529" s="2">
        <f ca="1"/>
        <v>35.314088625723514</v>
      </c>
      <c r="AG5529" s="2">
        <f ca="1"/>
        <v>0.43098696766383959</v>
      </c>
      <c r="AH5529" s="2" t="str">
        <f ca="1"/>
        <v>Bad</v>
      </c>
    </row>
    <row r="5530" spans="2:34" x14ac:dyDescent="0.2">
      <c r="B5530" s="2">
        <f ca="1"/>
        <v>0.4012929847705391</v>
      </c>
      <c r="O5530" s="2">
        <f ca="1"/>
        <v>-1.1860141977882281</v>
      </c>
      <c r="X5530" s="2">
        <f ca="1"/>
        <v>61.718123823811283</v>
      </c>
      <c r="AG5530" s="2">
        <f ca="1"/>
        <v>0.21413870801718216</v>
      </c>
      <c r="AH5530" s="2" t="str">
        <f ca="1"/>
        <v>OK</v>
      </c>
    </row>
    <row r="5531" spans="2:34" x14ac:dyDescent="0.2">
      <c r="B5531" s="2">
        <f ca="1"/>
        <v>0.39572398734206571</v>
      </c>
      <c r="O5531" s="2">
        <f ca="1"/>
        <v>-0.66231755606642662</v>
      </c>
      <c r="X5531" s="2">
        <f ca="1"/>
        <v>42.551155954063717</v>
      </c>
      <c r="AG5531" s="2">
        <f ca="1"/>
        <v>0.67109722661355709</v>
      </c>
      <c r="AH5531" s="2" t="str">
        <f ca="1"/>
        <v>Bad</v>
      </c>
    </row>
    <row r="5532" spans="2:34" x14ac:dyDescent="0.2">
      <c r="B5532" s="2">
        <f ca="1"/>
        <v>0.77105834309436805</v>
      </c>
      <c r="O5532" s="2">
        <f ca="1"/>
        <v>2.5320203604267757</v>
      </c>
      <c r="X5532" s="2">
        <f ca="1"/>
        <v>23.823900317821671</v>
      </c>
      <c r="AG5532" s="2">
        <f ca="1"/>
        <v>0.74358310512359682</v>
      </c>
      <c r="AH5532" s="2" t="str">
        <f ca="1"/>
        <v>Bad</v>
      </c>
    </row>
    <row r="5533" spans="2:34" x14ac:dyDescent="0.2">
      <c r="B5533" s="2">
        <f ca="1"/>
        <v>0.94961085790111177</v>
      </c>
      <c r="O5533" s="2">
        <f ca="1"/>
        <v>0.50667133719421953</v>
      </c>
      <c r="X5533" s="2">
        <f ca="1"/>
        <v>58.063375005978635</v>
      </c>
      <c r="AG5533" s="2">
        <f ca="1"/>
        <v>8.3377214904220232E-2</v>
      </c>
      <c r="AH5533" s="2" t="str">
        <f ca="1"/>
        <v>OK</v>
      </c>
    </row>
    <row r="5534" spans="2:34" x14ac:dyDescent="0.2">
      <c r="B5534" s="2">
        <f ca="1"/>
        <v>0.38628363593442705</v>
      </c>
      <c r="O5534" s="2">
        <f ca="1"/>
        <v>1.8484865132450552</v>
      </c>
      <c r="X5534" s="2">
        <f ca="1"/>
        <v>38.706837849189057</v>
      </c>
      <c r="AG5534" s="2">
        <f ca="1"/>
        <v>0.56562295876402247</v>
      </c>
      <c r="AH5534" s="2" t="str">
        <f ca="1"/>
        <v>Bad</v>
      </c>
    </row>
    <row r="5535" spans="2:34" x14ac:dyDescent="0.2">
      <c r="B5535" s="2">
        <f ca="1"/>
        <v>0.74895893727052298</v>
      </c>
      <c r="O5535" s="2">
        <f ca="1"/>
        <v>-0.87241471961150463</v>
      </c>
      <c r="X5535" s="2">
        <f ca="1"/>
        <v>41.841021583141362</v>
      </c>
      <c r="AG5535" s="2">
        <f ca="1"/>
        <v>0.6418235408673858</v>
      </c>
      <c r="AH5535" s="2" t="str">
        <f ca="1"/>
        <v>Bad</v>
      </c>
    </row>
    <row r="5536" spans="2:34" x14ac:dyDescent="0.2">
      <c r="B5536" s="2">
        <f ca="1"/>
        <v>0.40628799001300253</v>
      </c>
      <c r="O5536" s="2">
        <f ca="1"/>
        <v>-0.49170691887413304</v>
      </c>
      <c r="X5536" s="2">
        <f ca="1"/>
        <v>55.369683804929856</v>
      </c>
      <c r="AG5536" s="2">
        <f ca="1"/>
        <v>0.43979049552229665</v>
      </c>
      <c r="AH5536" s="2" t="str">
        <f ca="1"/>
        <v>Bad</v>
      </c>
    </row>
    <row r="5537" spans="2:34" x14ac:dyDescent="0.2">
      <c r="B5537" s="2">
        <f ca="1"/>
        <v>0.52778477451975014</v>
      </c>
      <c r="O5537" s="2">
        <f ca="1"/>
        <v>-1.3486750518929984</v>
      </c>
      <c r="X5537" s="2">
        <f ca="1"/>
        <v>45.52363702261222</v>
      </c>
      <c r="AG5537" s="2">
        <f ca="1"/>
        <v>0.45731714266732482</v>
      </c>
      <c r="AH5537" s="2" t="str">
        <f ca="1"/>
        <v>Bad</v>
      </c>
    </row>
    <row r="5538" spans="2:34" x14ac:dyDescent="0.2">
      <c r="B5538" s="2">
        <f ca="1"/>
        <v>0.96588021585095185</v>
      </c>
      <c r="O5538" s="2">
        <f ca="1"/>
        <v>0.39270420265222927</v>
      </c>
      <c r="X5538" s="2">
        <f ca="1"/>
        <v>51.763585676837565</v>
      </c>
      <c r="AG5538" s="2">
        <f ca="1"/>
        <v>0.92104174890667934</v>
      </c>
      <c r="AH5538" s="2" t="str">
        <f ca="1"/>
        <v>Bad</v>
      </c>
    </row>
    <row r="5539" spans="2:34" x14ac:dyDescent="0.2">
      <c r="B5539" s="2">
        <f ca="1"/>
        <v>0.65897346872472484</v>
      </c>
      <c r="O5539" s="2">
        <f ca="1"/>
        <v>-1.4303674092851264</v>
      </c>
      <c r="X5539" s="2">
        <f ca="1"/>
        <v>36.059190806819828</v>
      </c>
      <c r="AG5539" s="2">
        <f ca="1"/>
        <v>0.34449905539921066</v>
      </c>
      <c r="AH5539" s="2" t="str">
        <f ca="1"/>
        <v>OK</v>
      </c>
    </row>
    <row r="5540" spans="2:34" x14ac:dyDescent="0.2">
      <c r="B5540" s="2">
        <f ca="1"/>
        <v>0.49085707421446001</v>
      </c>
      <c r="O5540" s="2">
        <f ca="1"/>
        <v>0.1590229507987862</v>
      </c>
      <c r="X5540" s="2">
        <f ca="1"/>
        <v>68.365190894593638</v>
      </c>
      <c r="AG5540" s="2">
        <f ca="1"/>
        <v>7.4838556334174244E-2</v>
      </c>
      <c r="AH5540" s="2" t="str">
        <f ca="1"/>
        <v>OK</v>
      </c>
    </row>
    <row r="5541" spans="2:34" x14ac:dyDescent="0.2">
      <c r="B5541" s="2">
        <f ca="1"/>
        <v>0.92207532966555039</v>
      </c>
      <c r="O5541" s="2">
        <f ca="1"/>
        <v>-1.0844604202218098</v>
      </c>
      <c r="X5541" s="2">
        <f ca="1"/>
        <v>60.583065921081285</v>
      </c>
      <c r="AG5541" s="2">
        <f ca="1"/>
        <v>0.10207074250411918</v>
      </c>
      <c r="AH5541" s="2" t="str">
        <f ca="1"/>
        <v>OK</v>
      </c>
    </row>
    <row r="5542" spans="2:34" x14ac:dyDescent="0.2">
      <c r="B5542" s="2">
        <f ca="1"/>
        <v>5.4618557532829959E-2</v>
      </c>
      <c r="O5542" s="2">
        <f ca="1"/>
        <v>0.78517187513208186</v>
      </c>
      <c r="X5542" s="2">
        <f ca="1"/>
        <v>33.45671512734026</v>
      </c>
      <c r="AG5542" s="2">
        <f ca="1"/>
        <v>0.81490399154590354</v>
      </c>
      <c r="AH5542" s="2" t="str">
        <f ca="1"/>
        <v>Bad</v>
      </c>
    </row>
    <row r="5543" spans="2:34" x14ac:dyDescent="0.2">
      <c r="B5543" s="2">
        <f ca="1"/>
        <v>0.44550176011942599</v>
      </c>
      <c r="O5543" s="2">
        <f ca="1"/>
        <v>-0.74708078185524918</v>
      </c>
      <c r="X5543" s="2">
        <f ca="1"/>
        <v>29.438154454186218</v>
      </c>
      <c r="AG5543" s="2">
        <f ca="1"/>
        <v>0.55907284009566993</v>
      </c>
      <c r="AH5543" s="2" t="str">
        <f ca="1"/>
        <v>Bad</v>
      </c>
    </row>
    <row r="5544" spans="2:34" x14ac:dyDescent="0.2">
      <c r="B5544" s="2">
        <f ca="1"/>
        <v>0.4342366563804767</v>
      </c>
      <c r="O5544" s="2">
        <f ca="1"/>
        <v>-1.2039075643114463</v>
      </c>
      <c r="X5544" s="2">
        <f ca="1"/>
        <v>55.545688054224485</v>
      </c>
      <c r="AG5544" s="2">
        <f ca="1"/>
        <v>0.71518183869828156</v>
      </c>
      <c r="AH5544" s="2" t="str">
        <f ca="1"/>
        <v>Bad</v>
      </c>
    </row>
    <row r="5545" spans="2:34" x14ac:dyDescent="0.2">
      <c r="B5545" s="2">
        <f ca="1"/>
        <v>0.58867693159015877</v>
      </c>
      <c r="O5545" s="2">
        <f ca="1"/>
        <v>-2.0797822143103932</v>
      </c>
      <c r="X5545" s="2">
        <f ca="1"/>
        <v>53.438632454506347</v>
      </c>
      <c r="AG5545" s="2">
        <f ca="1"/>
        <v>0.99157583996345466</v>
      </c>
      <c r="AH5545" s="2" t="str">
        <f ca="1"/>
        <v>Bad</v>
      </c>
    </row>
    <row r="5546" spans="2:34" x14ac:dyDescent="0.2">
      <c r="B5546" s="2">
        <f ca="1"/>
        <v>2.7088832241953131E-2</v>
      </c>
      <c r="O5546" s="2">
        <f ca="1"/>
        <v>1.6583209751622423</v>
      </c>
      <c r="X5546" s="2">
        <f ca="1"/>
        <v>47.288227711408702</v>
      </c>
      <c r="AG5546" s="2">
        <f ca="1"/>
        <v>0.26960121927266267</v>
      </c>
      <c r="AH5546" s="2" t="str">
        <f ca="1"/>
        <v>OK</v>
      </c>
    </row>
    <row r="5547" spans="2:34" x14ac:dyDescent="0.2">
      <c r="B5547" s="2">
        <f ca="1"/>
        <v>0.33598273270028023</v>
      </c>
      <c r="O5547" s="2">
        <f ca="1"/>
        <v>-0.76116888533846894</v>
      </c>
      <c r="X5547" s="2">
        <f ca="1"/>
        <v>75.467637531208808</v>
      </c>
      <c r="AG5547" s="2">
        <f ca="1"/>
        <v>0.2640037100056345</v>
      </c>
      <c r="AH5547" s="2" t="str">
        <f ca="1"/>
        <v>OK</v>
      </c>
    </row>
    <row r="5548" spans="2:34" x14ac:dyDescent="0.2">
      <c r="B5548" s="2">
        <f ca="1"/>
        <v>0.78065053259951256</v>
      </c>
      <c r="O5548" s="2">
        <f ca="1"/>
        <v>1.2621462849563594</v>
      </c>
      <c r="X5548" s="2">
        <f ca="1"/>
        <v>32.85815347222065</v>
      </c>
      <c r="AG5548" s="2">
        <f ca="1"/>
        <v>0.25013245737027856</v>
      </c>
      <c r="AH5548" s="2" t="str">
        <f ca="1"/>
        <v>OK</v>
      </c>
    </row>
    <row r="5549" spans="2:34" x14ac:dyDescent="0.2">
      <c r="B5549" s="2">
        <f ca="1"/>
        <v>0.85498386812948524</v>
      </c>
      <c r="O5549" s="2">
        <f ca="1"/>
        <v>-0.46940591182443858</v>
      </c>
      <c r="X5549" s="2">
        <f ca="1"/>
        <v>58.310647872011387</v>
      </c>
      <c r="AG5549" s="2">
        <f ca="1"/>
        <v>0.32073553995971871</v>
      </c>
      <c r="AH5549" s="2" t="str">
        <f ca="1"/>
        <v>OK</v>
      </c>
    </row>
    <row r="5550" spans="2:34" x14ac:dyDescent="0.2">
      <c r="B5550" s="2">
        <f ca="1"/>
        <v>0.40101342529701745</v>
      </c>
      <c r="O5550" s="2">
        <f ca="1"/>
        <v>-1.8628064911860747</v>
      </c>
      <c r="X5550" s="2">
        <f ca="1"/>
        <v>44.09212566741715</v>
      </c>
      <c r="AG5550" s="2">
        <f ca="1"/>
        <v>0.50368392029476405</v>
      </c>
      <c r="AH5550" s="2" t="str">
        <f ca="1"/>
        <v>Bad</v>
      </c>
    </row>
    <row r="5551" spans="2:34" x14ac:dyDescent="0.2">
      <c r="B5551" s="2">
        <f ca="1"/>
        <v>0.8499713744966888</v>
      </c>
      <c r="O5551" s="2">
        <f ca="1"/>
        <v>0.39662945709227587</v>
      </c>
      <c r="X5551" s="2">
        <f ca="1"/>
        <v>98.582452219295163</v>
      </c>
      <c r="AG5551" s="2">
        <f ca="1"/>
        <v>0.79210490550333823</v>
      </c>
      <c r="AH5551" s="2" t="str">
        <f ca="1"/>
        <v>Bad</v>
      </c>
    </row>
    <row r="5552" spans="2:34" x14ac:dyDescent="0.2">
      <c r="B5552" s="2">
        <f ca="1"/>
        <v>0.12681010505699764</v>
      </c>
      <c r="O5552" s="2">
        <f ca="1"/>
        <v>0.27861531835415543</v>
      </c>
      <c r="X5552" s="2">
        <f ca="1"/>
        <v>72.380098126079943</v>
      </c>
      <c r="AG5552" s="2">
        <f ca="1"/>
        <v>0.54742201845008043</v>
      </c>
      <c r="AH5552" s="2" t="str">
        <f ca="1"/>
        <v>Bad</v>
      </c>
    </row>
    <row r="5553" spans="2:34" x14ac:dyDescent="0.2">
      <c r="B5553" s="2">
        <f ca="1"/>
        <v>0.61178929290055439</v>
      </c>
      <c r="O5553" s="2">
        <f ca="1"/>
        <v>2.4932055833120184</v>
      </c>
      <c r="X5553" s="2">
        <f ca="1"/>
        <v>54.71427657126101</v>
      </c>
      <c r="AG5553" s="2">
        <f ca="1"/>
        <v>0.40659007183599871</v>
      </c>
      <c r="AH5553" s="2" t="str">
        <f ca="1"/>
        <v>Bad</v>
      </c>
    </row>
    <row r="5554" spans="2:34" x14ac:dyDescent="0.2">
      <c r="B5554" s="2">
        <f ca="1"/>
        <v>0.7379307539896911</v>
      </c>
      <c r="O5554" s="2">
        <f ca="1"/>
        <v>-2.1711295404777071</v>
      </c>
      <c r="X5554" s="2">
        <f ca="1"/>
        <v>54.1302511121797</v>
      </c>
      <c r="AG5554" s="2">
        <f ca="1"/>
        <v>0.35631302224470063</v>
      </c>
      <c r="AH5554" s="2" t="str">
        <f ca="1"/>
        <v>OK</v>
      </c>
    </row>
    <row r="5555" spans="2:34" x14ac:dyDescent="0.2">
      <c r="B5555" s="2">
        <f ca="1"/>
        <v>0.32707298521394623</v>
      </c>
      <c r="O5555" s="2">
        <f ca="1"/>
        <v>0.1759665093032281</v>
      </c>
      <c r="X5555" s="2">
        <f ca="1"/>
        <v>24.595606391284043</v>
      </c>
      <c r="AG5555" s="2">
        <f ca="1"/>
        <v>0.77953156009397429</v>
      </c>
      <c r="AH5555" s="2" t="str">
        <f ca="1"/>
        <v>Bad</v>
      </c>
    </row>
    <row r="5556" spans="2:34" x14ac:dyDescent="0.2">
      <c r="B5556" s="2">
        <f ca="1"/>
        <v>0.20888892562925365</v>
      </c>
      <c r="O5556" s="2">
        <f ca="1"/>
        <v>0.52231723896989313</v>
      </c>
      <c r="X5556" s="2">
        <f ca="1"/>
        <v>36.303936718521939</v>
      </c>
      <c r="AG5556" s="2">
        <f ca="1"/>
        <v>0.55529851434776334</v>
      </c>
      <c r="AH5556" s="2" t="str">
        <f ca="1"/>
        <v>Bad</v>
      </c>
    </row>
    <row r="5557" spans="2:34" x14ac:dyDescent="0.2">
      <c r="B5557" s="2">
        <f ca="1"/>
        <v>9.5917368770070066E-2</v>
      </c>
      <c r="O5557" s="2">
        <f ca="1"/>
        <v>0.63566687916514053</v>
      </c>
      <c r="X5557" s="2">
        <f ca="1"/>
        <v>27.405573734393315</v>
      </c>
      <c r="AG5557" s="2">
        <f ca="1"/>
        <v>0.33375570400740129</v>
      </c>
      <c r="AH5557" s="2" t="str">
        <f ca="1"/>
        <v>OK</v>
      </c>
    </row>
    <row r="5558" spans="2:34" x14ac:dyDescent="0.2">
      <c r="B5558" s="2">
        <f ca="1"/>
        <v>9.7073037241742099E-2</v>
      </c>
      <c r="O5558" s="2">
        <f ca="1"/>
        <v>1.4582969796868768</v>
      </c>
      <c r="X5558" s="2">
        <f ca="1"/>
        <v>52.170608017743703</v>
      </c>
      <c r="AG5558" s="2">
        <f ca="1"/>
        <v>0.22579275024884282</v>
      </c>
      <c r="AH5558" s="2" t="str">
        <f ca="1"/>
        <v>OK</v>
      </c>
    </row>
    <row r="5559" spans="2:34" x14ac:dyDescent="0.2">
      <c r="B5559" s="2">
        <f ca="1"/>
        <v>0.64523171540500646</v>
      </c>
      <c r="O5559" s="2">
        <f ca="1"/>
        <v>-0.32216736951513725</v>
      </c>
      <c r="X5559" s="2">
        <f ca="1"/>
        <v>41.642204754636587</v>
      </c>
      <c r="AG5559" s="2">
        <f ca="1"/>
        <v>0.42825190796773294</v>
      </c>
      <c r="AH5559" s="2" t="str">
        <f ca="1"/>
        <v>Bad</v>
      </c>
    </row>
    <row r="5560" spans="2:34" x14ac:dyDescent="0.2">
      <c r="B5560" s="2">
        <f ca="1"/>
        <v>0.18227999945492313</v>
      </c>
      <c r="O5560" s="2">
        <f ca="1"/>
        <v>1.040416334486995</v>
      </c>
      <c r="X5560" s="2">
        <f ca="1"/>
        <v>20.846228057190078</v>
      </c>
      <c r="AG5560" s="2">
        <f ca="1"/>
        <v>0.77363795392987122</v>
      </c>
      <c r="AH5560" s="2" t="str">
        <f ca="1"/>
        <v>Bad</v>
      </c>
    </row>
    <row r="5561" spans="2:34" x14ac:dyDescent="0.2">
      <c r="B5561" s="2">
        <f ca="1"/>
        <v>0.69183688298558077</v>
      </c>
      <c r="O5561" s="2">
        <f ca="1"/>
        <v>-7.7340147592581718E-2</v>
      </c>
      <c r="X5561" s="2">
        <f ca="1"/>
        <v>45.35233319372449</v>
      </c>
      <c r="AG5561" s="2">
        <f ca="1"/>
        <v>0.70030704841232305</v>
      </c>
      <c r="AH5561" s="2" t="str">
        <f ca="1"/>
        <v>Bad</v>
      </c>
    </row>
    <row r="5562" spans="2:34" x14ac:dyDescent="0.2">
      <c r="B5562" s="2">
        <f ca="1"/>
        <v>0.86077627170194804</v>
      </c>
      <c r="O5562" s="2">
        <f ca="1"/>
        <v>-0.12683999658120221</v>
      </c>
      <c r="X5562" s="2">
        <f ca="1"/>
        <v>47.101255926557705</v>
      </c>
      <c r="AG5562" s="2">
        <f ca="1"/>
        <v>2.8596594021630617E-2</v>
      </c>
      <c r="AH5562" s="2" t="str">
        <f ca="1"/>
        <v>Good</v>
      </c>
    </row>
    <row r="5563" spans="2:34" x14ac:dyDescent="0.2">
      <c r="B5563" s="2">
        <f ca="1"/>
        <v>0.83598686039255998</v>
      </c>
      <c r="O5563" s="2">
        <f ca="1"/>
        <v>-1.3792225726361365</v>
      </c>
      <c r="X5563" s="2">
        <f ca="1"/>
        <v>39.409369624556895</v>
      </c>
      <c r="AG5563" s="2">
        <f ca="1"/>
        <v>0.4863618468156059</v>
      </c>
      <c r="AH5563" s="2" t="str">
        <f ca="1"/>
        <v>Bad</v>
      </c>
    </row>
    <row r="5564" spans="2:34" x14ac:dyDescent="0.2">
      <c r="B5564" s="2">
        <f ca="1"/>
        <v>0.12471082642289422</v>
      </c>
      <c r="O5564" s="2">
        <f ca="1"/>
        <v>-1.6440191854307027</v>
      </c>
      <c r="X5564" s="2">
        <f ca="1"/>
        <v>97.530652418624939</v>
      </c>
      <c r="AG5564" s="2">
        <f ca="1"/>
        <v>0.30449676188291219</v>
      </c>
      <c r="AH5564" s="2" t="str">
        <f ca="1"/>
        <v>OK</v>
      </c>
    </row>
    <row r="5565" spans="2:34" x14ac:dyDescent="0.2">
      <c r="B5565" s="2">
        <f ca="1"/>
        <v>0.92440765891265553</v>
      </c>
      <c r="O5565" s="2">
        <f ca="1"/>
        <v>-3.4639007785748103E-3</v>
      </c>
      <c r="X5565" s="2">
        <f ca="1"/>
        <v>46.805850762746289</v>
      </c>
      <c r="AG5565" s="2">
        <f ca="1"/>
        <v>0.8392705944727239</v>
      </c>
      <c r="AH5565" s="2" t="str">
        <f ca="1"/>
        <v>Bad</v>
      </c>
    </row>
    <row r="5566" spans="2:34" x14ac:dyDescent="0.2">
      <c r="B5566" s="2">
        <f ca="1"/>
        <v>0.19599759090714386</v>
      </c>
      <c r="O5566" s="2">
        <f ca="1"/>
        <v>0.93518383975146946</v>
      </c>
      <c r="X5566" s="2">
        <f ca="1"/>
        <v>47.533036147843802</v>
      </c>
      <c r="AG5566" s="2">
        <f ca="1"/>
        <v>0.63366078209422327</v>
      </c>
      <c r="AH5566" s="2" t="str">
        <f ca="1"/>
        <v>Bad</v>
      </c>
    </row>
    <row r="5567" spans="2:34" x14ac:dyDescent="0.2">
      <c r="B5567" s="2">
        <f ca="1"/>
        <v>4.2048989350362387E-2</v>
      </c>
      <c r="O5567" s="2">
        <f ca="1"/>
        <v>0.10360788600923385</v>
      </c>
      <c r="X5567" s="2">
        <f ca="1"/>
        <v>27.668370397469324</v>
      </c>
      <c r="AG5567" s="2">
        <f ca="1"/>
        <v>0.49079460073582415</v>
      </c>
      <c r="AH5567" s="2" t="str">
        <f ca="1"/>
        <v>Bad</v>
      </c>
    </row>
    <row r="5568" spans="2:34" x14ac:dyDescent="0.2">
      <c r="B5568" s="2">
        <f ca="1"/>
        <v>0.98767803464278137</v>
      </c>
      <c r="O5568" s="2">
        <f ca="1"/>
        <v>0.19345290123750422</v>
      </c>
      <c r="X5568" s="2">
        <f ca="1"/>
        <v>60.03265598064074</v>
      </c>
      <c r="AG5568" s="2">
        <f ca="1"/>
        <v>0.22441017868265822</v>
      </c>
      <c r="AH5568" s="2" t="str">
        <f ca="1"/>
        <v>OK</v>
      </c>
    </row>
    <row r="5569" spans="2:34" x14ac:dyDescent="0.2">
      <c r="B5569" s="2">
        <f ca="1"/>
        <v>0.16835416651567781</v>
      </c>
      <c r="O5569" s="2">
        <f ca="1"/>
        <v>0.82854042322860444</v>
      </c>
      <c r="X5569" s="2">
        <f ca="1"/>
        <v>21.722524518906958</v>
      </c>
      <c r="AG5569" s="2">
        <f ca="1"/>
        <v>0.90360558042945671</v>
      </c>
      <c r="AH5569" s="2" t="str">
        <f ca="1"/>
        <v>Bad</v>
      </c>
    </row>
    <row r="5570" spans="2:34" x14ac:dyDescent="0.2">
      <c r="B5570" s="2">
        <f ca="1"/>
        <v>0.63895663054388807</v>
      </c>
      <c r="O5570" s="2">
        <f ca="1"/>
        <v>0.55763838750366224</v>
      </c>
      <c r="X5570" s="2">
        <f ca="1"/>
        <v>62.487325870539408</v>
      </c>
      <c r="AG5570" s="2">
        <f ca="1"/>
        <v>0.15001539940165642</v>
      </c>
      <c r="AH5570" s="2" t="str">
        <f ca="1"/>
        <v>OK</v>
      </c>
    </row>
    <row r="5571" spans="2:34" x14ac:dyDescent="0.2">
      <c r="B5571" s="2">
        <f ca="1"/>
        <v>0.7039814617616349</v>
      </c>
      <c r="O5571" s="2">
        <f ca="1"/>
        <v>0.40676907395046191</v>
      </c>
      <c r="X5571" s="2">
        <f ca="1"/>
        <v>32.473826530298744</v>
      </c>
      <c r="AG5571" s="2">
        <f ca="1"/>
        <v>9.728486101093714E-2</v>
      </c>
      <c r="AH5571" s="2" t="str">
        <f ca="1"/>
        <v>OK</v>
      </c>
    </row>
    <row r="5572" spans="2:34" x14ac:dyDescent="0.2">
      <c r="B5572" s="2">
        <f ca="1"/>
        <v>0.38753368934473298</v>
      </c>
      <c r="O5572" s="2">
        <f ca="1"/>
        <v>0.44727151937364396</v>
      </c>
      <c r="X5572" s="2">
        <f ca="1"/>
        <v>40.364980623549378</v>
      </c>
      <c r="AG5572" s="2">
        <f ca="1"/>
        <v>0.28340525300702546</v>
      </c>
      <c r="AH5572" s="2" t="str">
        <f ca="1"/>
        <v>OK</v>
      </c>
    </row>
    <row r="5573" spans="2:34" x14ac:dyDescent="0.2">
      <c r="B5573" s="2">
        <f ca="1"/>
        <v>0.5325653346044954</v>
      </c>
      <c r="O5573" s="2">
        <f ca="1"/>
        <v>-1.4895382596371116</v>
      </c>
      <c r="X5573" s="2">
        <f ca="1"/>
        <v>63.536678603363832</v>
      </c>
      <c r="AG5573" s="2">
        <f ca="1"/>
        <v>0.65900531983690747</v>
      </c>
      <c r="AH5573" s="2" t="str">
        <f ca="1"/>
        <v>Bad</v>
      </c>
    </row>
    <row r="5574" spans="2:34" x14ac:dyDescent="0.2">
      <c r="B5574" s="2">
        <f ca="1"/>
        <v>0.75971364221505122</v>
      </c>
      <c r="O5574" s="2">
        <f ca="1"/>
        <v>-1.0873135401671687</v>
      </c>
      <c r="X5574" s="2">
        <f ca="1"/>
        <v>31.995466667606074</v>
      </c>
      <c r="AG5574" s="2">
        <f ca="1"/>
        <v>0.29573087364026263</v>
      </c>
      <c r="AH5574" s="2" t="str">
        <f ca="1"/>
        <v>OK</v>
      </c>
    </row>
    <row r="5575" spans="2:34" x14ac:dyDescent="0.2">
      <c r="B5575" s="2">
        <f ca="1"/>
        <v>0.67814505506129064</v>
      </c>
      <c r="O5575" s="2">
        <f ca="1"/>
        <v>-0.20682151720351788</v>
      </c>
      <c r="X5575" s="2">
        <f ca="1"/>
        <v>69.064712309876427</v>
      </c>
      <c r="AG5575" s="2">
        <f ca="1"/>
        <v>0.14795837710599535</v>
      </c>
      <c r="AH5575" s="2" t="str">
        <f ca="1"/>
        <v>OK</v>
      </c>
    </row>
    <row r="5576" spans="2:34" x14ac:dyDescent="0.2">
      <c r="B5576" s="2">
        <f ca="1"/>
        <v>0.90025810783398907</v>
      </c>
      <c r="O5576" s="2">
        <f ca="1"/>
        <v>0.32818927989939678</v>
      </c>
      <c r="X5576" s="2">
        <f ca="1"/>
        <v>45.838046616772907</v>
      </c>
      <c r="AG5576" s="2">
        <f ca="1"/>
        <v>0.99349371688012011</v>
      </c>
      <c r="AH5576" s="2" t="str">
        <f ca="1"/>
        <v>Bad</v>
      </c>
    </row>
    <row r="5577" spans="2:34" x14ac:dyDescent="0.2">
      <c r="B5577" s="2">
        <f ca="1"/>
        <v>0.67985861143008797</v>
      </c>
      <c r="O5577" s="2">
        <f ca="1"/>
        <v>-1.6477320034087084E-2</v>
      </c>
      <c r="X5577" s="2">
        <f ca="1"/>
        <v>63.029433828924113</v>
      </c>
      <c r="AG5577" s="2">
        <f ca="1"/>
        <v>0.20821630552332548</v>
      </c>
      <c r="AH5577" s="2" t="str">
        <f ca="1"/>
        <v>OK</v>
      </c>
    </row>
    <row r="5578" spans="2:34" x14ac:dyDescent="0.2">
      <c r="B5578" s="2">
        <f ca="1"/>
        <v>0.17951591464871131</v>
      </c>
      <c r="O5578" s="2">
        <f ca="1"/>
        <v>-0.85824410167480825</v>
      </c>
      <c r="X5578" s="2">
        <f ca="1"/>
        <v>68.183098880923211</v>
      </c>
      <c r="AG5578" s="2">
        <f ca="1"/>
        <v>0.98172067360689641</v>
      </c>
      <c r="AH5578" s="2" t="str">
        <f ca="1"/>
        <v>Bad</v>
      </c>
    </row>
    <row r="5579" spans="2:34" x14ac:dyDescent="0.2">
      <c r="B5579" s="2">
        <f ca="1"/>
        <v>0.94479457397434174</v>
      </c>
      <c r="O5579" s="2">
        <f ca="1"/>
        <v>-0.68137636393333312</v>
      </c>
      <c r="X5579" s="2">
        <f ca="1"/>
        <v>77.062918748523813</v>
      </c>
      <c r="AG5579" s="2">
        <f ca="1"/>
        <v>0.73551218948438324</v>
      </c>
      <c r="AH5579" s="2" t="str">
        <f ca="1"/>
        <v>Bad</v>
      </c>
    </row>
    <row r="5580" spans="2:34" x14ac:dyDescent="0.2">
      <c r="B5580" s="2">
        <f ca="1"/>
        <v>0.33660831112533973</v>
      </c>
      <c r="O5580" s="2">
        <f ca="1"/>
        <v>-0.95082887969714747</v>
      </c>
      <c r="X5580" s="2">
        <f ca="1"/>
        <v>37.797821283035091</v>
      </c>
      <c r="AG5580" s="2">
        <f ca="1"/>
        <v>0.69420371273563442</v>
      </c>
      <c r="AH5580" s="2" t="str">
        <f ca="1"/>
        <v>Bad</v>
      </c>
    </row>
    <row r="5581" spans="2:34" x14ac:dyDescent="0.2">
      <c r="B5581" s="2">
        <f ca="1"/>
        <v>0.79940277973031781</v>
      </c>
      <c r="O5581" s="2">
        <f ca="1"/>
        <v>-0.42040305657381977</v>
      </c>
      <c r="X5581" s="2">
        <f ca="1"/>
        <v>46.972828834737925</v>
      </c>
      <c r="AG5581" s="2">
        <f ca="1"/>
        <v>0.25864176824355645</v>
      </c>
      <c r="AH5581" s="2" t="str">
        <f ca="1"/>
        <v>OK</v>
      </c>
    </row>
    <row r="5582" spans="2:34" x14ac:dyDescent="0.2">
      <c r="B5582" s="2">
        <f ca="1"/>
        <v>0.69064338682964088</v>
      </c>
      <c r="O5582" s="2">
        <f ca="1"/>
        <v>-0.83853609019384012</v>
      </c>
      <c r="X5582" s="2">
        <f ca="1"/>
        <v>34.724251749072309</v>
      </c>
      <c r="AG5582" s="2">
        <f ca="1"/>
        <v>0.69709735849442755</v>
      </c>
      <c r="AH5582" s="2" t="str">
        <f ca="1"/>
        <v>Bad</v>
      </c>
    </row>
    <row r="5583" spans="2:34" x14ac:dyDescent="0.2">
      <c r="B5583" s="2">
        <f ca="1"/>
        <v>0.46774527913669584</v>
      </c>
      <c r="O5583" s="2">
        <f ca="1"/>
        <v>0.21036115481613921</v>
      </c>
      <c r="X5583" s="2">
        <f ca="1"/>
        <v>48.793658914073539</v>
      </c>
      <c r="AG5583" s="2">
        <f ca="1"/>
        <v>0.84885240772264581</v>
      </c>
      <c r="AH5583" s="2" t="str">
        <f ca="1"/>
        <v>Bad</v>
      </c>
    </row>
    <row r="5584" spans="2:34" x14ac:dyDescent="0.2">
      <c r="B5584" s="2">
        <f ca="1"/>
        <v>0.7794515286119299</v>
      </c>
      <c r="O5584" s="2">
        <f ca="1"/>
        <v>-0.26337254558019224</v>
      </c>
      <c r="X5584" s="2">
        <f ca="1"/>
        <v>73.644683680603464</v>
      </c>
      <c r="AG5584" s="2">
        <f ca="1"/>
        <v>0.41712046440235606</v>
      </c>
      <c r="AH5584" s="2" t="str">
        <f ca="1"/>
        <v>Bad</v>
      </c>
    </row>
    <row r="5585" spans="2:34" x14ac:dyDescent="0.2">
      <c r="B5585" s="2">
        <f ca="1"/>
        <v>0.37226017609805284</v>
      </c>
      <c r="O5585" s="2">
        <f ca="1"/>
        <v>0.40131197031501425</v>
      </c>
      <c r="X5585" s="2">
        <f ca="1"/>
        <v>79.472856646885958</v>
      </c>
      <c r="AG5585" s="2">
        <f ca="1"/>
        <v>0.49762177676047337</v>
      </c>
      <c r="AH5585" s="2" t="str">
        <f ca="1"/>
        <v>Bad</v>
      </c>
    </row>
    <row r="5586" spans="2:34" x14ac:dyDescent="0.2">
      <c r="B5586" s="2">
        <f ca="1"/>
        <v>0.2042889603307283</v>
      </c>
      <c r="O5586" s="2">
        <f ca="1"/>
        <v>-0.15364813298577365</v>
      </c>
      <c r="X5586" s="2">
        <f ca="1"/>
        <v>43.998357100147487</v>
      </c>
      <c r="AG5586" s="2">
        <f ca="1"/>
        <v>0.87642999406588151</v>
      </c>
      <c r="AH5586" s="2" t="str">
        <f ca="1"/>
        <v>Bad</v>
      </c>
    </row>
    <row r="5587" spans="2:34" x14ac:dyDescent="0.2">
      <c r="B5587" s="2">
        <f ca="1"/>
        <v>8.3585164393033651E-2</v>
      </c>
      <c r="O5587" s="2">
        <f ca="1"/>
        <v>-0.20841746180955112</v>
      </c>
      <c r="X5587" s="2">
        <f ca="1"/>
        <v>35.47936478463216</v>
      </c>
      <c r="AG5587" s="2">
        <f ca="1"/>
        <v>9.5740675559563559E-3</v>
      </c>
      <c r="AH5587" s="2" t="str">
        <f ca="1"/>
        <v>Good</v>
      </c>
    </row>
    <row r="5588" spans="2:34" x14ac:dyDescent="0.2">
      <c r="B5588" s="2">
        <f ca="1"/>
        <v>5.3103950032875158E-2</v>
      </c>
      <c r="O5588" s="2">
        <f ca="1"/>
        <v>-0.54969928126598244</v>
      </c>
      <c r="X5588" s="2">
        <f ca="1"/>
        <v>58.725289234985922</v>
      </c>
      <c r="AG5588" s="2">
        <f ca="1"/>
        <v>5.8865933823495364E-2</v>
      </c>
      <c r="AH5588" s="2" t="str">
        <f ca="1"/>
        <v>OK</v>
      </c>
    </row>
    <row r="5589" spans="2:34" x14ac:dyDescent="0.2">
      <c r="B5589" s="2">
        <f ca="1"/>
        <v>0.86658967647496854</v>
      </c>
      <c r="O5589" s="2">
        <f ca="1"/>
        <v>-8.9041858592932593E-2</v>
      </c>
      <c r="X5589" s="2">
        <f ca="1"/>
        <v>44.185997840309938</v>
      </c>
      <c r="AG5589" s="2">
        <f ca="1"/>
        <v>0.59997602673269812</v>
      </c>
      <c r="AH5589" s="2" t="str">
        <f ca="1"/>
        <v>Bad</v>
      </c>
    </row>
    <row r="5590" spans="2:34" x14ac:dyDescent="0.2">
      <c r="B5590" s="2">
        <f ca="1"/>
        <v>0.68100597329937851</v>
      </c>
      <c r="O5590" s="2">
        <f ca="1"/>
        <v>-1.6509170839227718</v>
      </c>
      <c r="X5590" s="2">
        <f ca="1"/>
        <v>38.652822723162274</v>
      </c>
      <c r="AG5590" s="2">
        <f ca="1"/>
        <v>0.78553915878879899</v>
      </c>
      <c r="AH5590" s="2" t="str">
        <f ca="1"/>
        <v>Bad</v>
      </c>
    </row>
    <row r="5591" spans="2:34" x14ac:dyDescent="0.2">
      <c r="B5591" s="2">
        <f ca="1"/>
        <v>0.69021229247161875</v>
      </c>
      <c r="O5591" s="2">
        <f ca="1"/>
        <v>1.7350061737137499</v>
      </c>
      <c r="X5591" s="2">
        <f ca="1"/>
        <v>43.724454159572723</v>
      </c>
      <c r="AG5591" s="2">
        <f ca="1"/>
        <v>0.13126237272080399</v>
      </c>
      <c r="AH5591" s="2" t="str">
        <f ca="1"/>
        <v>OK</v>
      </c>
    </row>
    <row r="5592" spans="2:34" x14ac:dyDescent="0.2">
      <c r="B5592" s="2">
        <f ca="1"/>
        <v>0.25434494092211968</v>
      </c>
      <c r="O5592" s="2">
        <f ca="1"/>
        <v>1.6173200665339378</v>
      </c>
      <c r="X5592" s="2">
        <f ca="1"/>
        <v>56.927642848049686</v>
      </c>
      <c r="AG5592" s="2">
        <f ca="1"/>
        <v>5.659921207051033E-2</v>
      </c>
      <c r="AH5592" s="2" t="str">
        <f ca="1"/>
        <v>OK</v>
      </c>
    </row>
    <row r="5593" spans="2:34" x14ac:dyDescent="0.2">
      <c r="B5593" s="2">
        <f ca="1"/>
        <v>0.62289604618044647</v>
      </c>
      <c r="O5593" s="2">
        <f ca="1"/>
        <v>0.53070286639693676</v>
      </c>
      <c r="X5593" s="2">
        <f ca="1"/>
        <v>50.000522466649564</v>
      </c>
      <c r="AG5593" s="2">
        <f ca="1"/>
        <v>0.65360330721625037</v>
      </c>
      <c r="AH5593" s="2" t="str">
        <f ca="1"/>
        <v>Bad</v>
      </c>
    </row>
    <row r="5594" spans="2:34" x14ac:dyDescent="0.2">
      <c r="B5594" s="2">
        <f ca="1"/>
        <v>0.73788792836088613</v>
      </c>
      <c r="O5594" s="2">
        <f ca="1"/>
        <v>0.35084773695664678</v>
      </c>
      <c r="X5594" s="2">
        <f ca="1"/>
        <v>66.817066628778463</v>
      </c>
      <c r="AG5594" s="2">
        <f ca="1"/>
        <v>0.21328495485736565</v>
      </c>
      <c r="AH5594" s="2" t="str">
        <f ca="1"/>
        <v>OK</v>
      </c>
    </row>
    <row r="5595" spans="2:34" x14ac:dyDescent="0.2">
      <c r="B5595" s="2">
        <f ca="1"/>
        <v>0.71801429379549786</v>
      </c>
      <c r="O5595" s="2">
        <f ca="1"/>
        <v>1.705638761524539</v>
      </c>
      <c r="X5595" s="2">
        <f ca="1"/>
        <v>68.339930244324563</v>
      </c>
      <c r="AG5595" s="2">
        <f ca="1"/>
        <v>0.88490166079688959</v>
      </c>
      <c r="AH5595" s="2" t="str">
        <f ca="1"/>
        <v>Bad</v>
      </c>
    </row>
    <row r="5596" spans="2:34" x14ac:dyDescent="0.2">
      <c r="B5596" s="2">
        <f ca="1"/>
        <v>7.4819236792316834E-2</v>
      </c>
      <c r="O5596" s="2">
        <f ca="1"/>
        <v>-0.58748676557280821</v>
      </c>
      <c r="X5596" s="2">
        <f ca="1"/>
        <v>35.507086879862598</v>
      </c>
      <c r="AG5596" s="2">
        <f ca="1"/>
        <v>0.1690818932327609</v>
      </c>
      <c r="AH5596" s="2" t="str">
        <f ca="1"/>
        <v>OK</v>
      </c>
    </row>
    <row r="5597" spans="2:34" x14ac:dyDescent="0.2">
      <c r="B5597" s="2">
        <f ca="1"/>
        <v>0.75296503347593613</v>
      </c>
      <c r="O5597" s="2">
        <f ca="1"/>
        <v>0.51375803077832749</v>
      </c>
      <c r="X5597" s="2">
        <f ca="1"/>
        <v>34.571515326697039</v>
      </c>
      <c r="AG5597" s="2">
        <f ca="1"/>
        <v>0.15119958967077274</v>
      </c>
      <c r="AH5597" s="2" t="str">
        <f ca="1"/>
        <v>OK</v>
      </c>
    </row>
    <row r="5598" spans="2:34" x14ac:dyDescent="0.2">
      <c r="B5598" s="2">
        <f ca="1"/>
        <v>0.70002508510807515</v>
      </c>
      <c r="O5598" s="2">
        <f ca="1"/>
        <v>0.53390014278811826</v>
      </c>
      <c r="X5598" s="2">
        <f ca="1"/>
        <v>84.206610049229326</v>
      </c>
      <c r="AG5598" s="2">
        <f ca="1"/>
        <v>0.36027407607530004</v>
      </c>
      <c r="AH5598" s="2" t="str">
        <f ca="1"/>
        <v>OK</v>
      </c>
    </row>
    <row r="5599" spans="2:34" x14ac:dyDescent="0.2">
      <c r="B5599" s="2">
        <f ca="1"/>
        <v>9.4665066491343319E-2</v>
      </c>
      <c r="O5599" s="2">
        <f ca="1"/>
        <v>0.69857204518734606</v>
      </c>
      <c r="X5599" s="2">
        <f ca="1"/>
        <v>44.511425433825096</v>
      </c>
      <c r="AG5599" s="2">
        <f ca="1"/>
        <v>0.81043837227906645</v>
      </c>
      <c r="AH5599" s="2" t="str">
        <f ca="1"/>
        <v>Bad</v>
      </c>
    </row>
    <row r="5600" spans="2:34" x14ac:dyDescent="0.2">
      <c r="B5600" s="2">
        <f ca="1"/>
        <v>0.40627891981193764</v>
      </c>
      <c r="O5600" s="2">
        <f ca="1"/>
        <v>-0.28656665325514608</v>
      </c>
      <c r="X5600" s="2">
        <f ca="1"/>
        <v>41.437761373454158</v>
      </c>
      <c r="AG5600" s="2">
        <f ca="1"/>
        <v>1.6021618382904279E-3</v>
      </c>
      <c r="AH5600" s="2" t="str">
        <f ca="1"/>
        <v>Good</v>
      </c>
    </row>
    <row r="5601" spans="2:34" x14ac:dyDescent="0.2">
      <c r="B5601" s="2">
        <f ca="1"/>
        <v>0.45135878483622194</v>
      </c>
      <c r="O5601" s="2">
        <f ca="1"/>
        <v>1.4007284821062569</v>
      </c>
      <c r="X5601" s="2">
        <f ca="1"/>
        <v>37.86508000670883</v>
      </c>
      <c r="AG5601" s="2">
        <f ca="1"/>
        <v>0.41017058781954852</v>
      </c>
      <c r="AH5601" s="2" t="str">
        <f ca="1"/>
        <v>Bad</v>
      </c>
    </row>
    <row r="5602" spans="2:34" x14ac:dyDescent="0.2">
      <c r="B5602" s="2">
        <f ca="1"/>
        <v>0.18157277473348477</v>
      </c>
      <c r="O5602" s="2">
        <f ca="1"/>
        <v>-0.23855342019113907</v>
      </c>
      <c r="X5602" s="2">
        <f ca="1"/>
        <v>49.756069704801604</v>
      </c>
      <c r="AG5602" s="2">
        <f ca="1"/>
        <v>0.5869391365485539</v>
      </c>
      <c r="AH5602" s="2" t="str">
        <f ca="1"/>
        <v>Bad</v>
      </c>
    </row>
    <row r="5603" spans="2:34" x14ac:dyDescent="0.2">
      <c r="B5603" s="2">
        <f ca="1"/>
        <v>0.86666811085096596</v>
      </c>
      <c r="O5603" s="2">
        <f ca="1"/>
        <v>-1.5109788143026512</v>
      </c>
      <c r="X5603" s="2">
        <f ca="1"/>
        <v>49.715230235046405</v>
      </c>
      <c r="AG5603" s="2">
        <f ca="1"/>
        <v>0.44339838844777368</v>
      </c>
      <c r="AH5603" s="2" t="str">
        <f ca="1"/>
        <v>Bad</v>
      </c>
    </row>
    <row r="5604" spans="2:34" x14ac:dyDescent="0.2">
      <c r="B5604" s="2">
        <f ca="1"/>
        <v>0.67944087630949279</v>
      </c>
      <c r="O5604" s="2">
        <f ca="1"/>
        <v>1.3595928946672848</v>
      </c>
      <c r="X5604" s="2">
        <f ca="1"/>
        <v>55.945717029013309</v>
      </c>
      <c r="AG5604" s="2">
        <f ca="1"/>
        <v>0.20875813989946113</v>
      </c>
      <c r="AH5604" s="2" t="str">
        <f ca="1"/>
        <v>OK</v>
      </c>
    </row>
    <row r="5605" spans="2:34" x14ac:dyDescent="0.2">
      <c r="B5605" s="2">
        <f ca="1"/>
        <v>3.2852176036602954E-2</v>
      </c>
      <c r="O5605" s="2">
        <f ca="1"/>
        <v>-0.71023230576470875</v>
      </c>
      <c r="X5605" s="2">
        <f ca="1"/>
        <v>64.758259645217734</v>
      </c>
      <c r="AG5605" s="2">
        <f ca="1"/>
        <v>0.30731511390311805</v>
      </c>
      <c r="AH5605" s="2" t="str">
        <f ca="1"/>
        <v>OK</v>
      </c>
    </row>
    <row r="5606" spans="2:34" x14ac:dyDescent="0.2">
      <c r="B5606" s="2">
        <f ca="1"/>
        <v>0.6620632822013286</v>
      </c>
      <c r="O5606" s="2">
        <f ca="1"/>
        <v>-0.93542268102964121</v>
      </c>
      <c r="X5606" s="2">
        <f ca="1"/>
        <v>52.137595950491473</v>
      </c>
      <c r="AG5606" s="2">
        <f ca="1"/>
        <v>0.64917669159978764</v>
      </c>
      <c r="AH5606" s="2" t="str">
        <f ca="1"/>
        <v>Bad</v>
      </c>
    </row>
    <row r="5607" spans="2:34" x14ac:dyDescent="0.2">
      <c r="B5607" s="2">
        <f ca="1"/>
        <v>0.40648641107931316</v>
      </c>
      <c r="O5607" s="2">
        <f ca="1"/>
        <v>5.9188881171912622E-2</v>
      </c>
      <c r="X5607" s="2">
        <f ca="1"/>
        <v>42.863634463373572</v>
      </c>
      <c r="AG5607" s="2">
        <f ca="1"/>
        <v>8.9449177463838403E-2</v>
      </c>
      <c r="AH5607" s="2" t="str">
        <f ca="1"/>
        <v>OK</v>
      </c>
    </row>
    <row r="5608" spans="2:34" x14ac:dyDescent="0.2">
      <c r="B5608" s="2">
        <f ca="1"/>
        <v>0.60823297162645518</v>
      </c>
      <c r="O5608" s="2">
        <f ca="1"/>
        <v>0.34848324043207035</v>
      </c>
      <c r="X5608" s="2">
        <f ca="1"/>
        <v>50.351158435686642</v>
      </c>
      <c r="AG5608" s="2">
        <f ca="1"/>
        <v>0.80911326175781673</v>
      </c>
      <c r="AH5608" s="2" t="str">
        <f ca="1"/>
        <v>Bad</v>
      </c>
    </row>
    <row r="5609" spans="2:34" x14ac:dyDescent="0.2">
      <c r="B5609" s="2">
        <f ca="1"/>
        <v>0.93893113076949697</v>
      </c>
      <c r="O5609" s="2">
        <f ca="1"/>
        <v>-0.65930636716549529</v>
      </c>
      <c r="X5609" s="2">
        <f ca="1"/>
        <v>51.326617538339448</v>
      </c>
      <c r="AG5609" s="2">
        <f ca="1"/>
        <v>0.30094701105083743</v>
      </c>
      <c r="AH5609" s="2" t="str">
        <f ca="1"/>
        <v>OK</v>
      </c>
    </row>
    <row r="5610" spans="2:34" x14ac:dyDescent="0.2">
      <c r="B5610" s="2">
        <f ca="1"/>
        <v>0.68206567981989874</v>
      </c>
      <c r="O5610" s="2">
        <f ca="1"/>
        <v>5.0097055406670546E-2</v>
      </c>
      <c r="X5610" s="2">
        <f ca="1"/>
        <v>56.617139689318719</v>
      </c>
      <c r="AG5610" s="2">
        <f ca="1"/>
        <v>0.79479341189549957</v>
      </c>
      <c r="AH5610" s="2" t="str">
        <f ca="1"/>
        <v>Bad</v>
      </c>
    </row>
    <row r="5611" spans="2:34" x14ac:dyDescent="0.2">
      <c r="B5611" s="2">
        <f ca="1"/>
        <v>0.66395124131897187</v>
      </c>
      <c r="O5611" s="2">
        <f ca="1"/>
        <v>0.74559116315619611</v>
      </c>
      <c r="X5611" s="2">
        <f ca="1"/>
        <v>59.978409942873341</v>
      </c>
      <c r="AG5611" s="2">
        <f ca="1"/>
        <v>0.71897135006392321</v>
      </c>
      <c r="AH5611" s="2" t="str">
        <f ca="1"/>
        <v>Bad</v>
      </c>
    </row>
    <row r="5612" spans="2:34" x14ac:dyDescent="0.2">
      <c r="B5612" s="2">
        <f ca="1"/>
        <v>0.30110309293181747</v>
      </c>
      <c r="O5612" s="2">
        <f ca="1"/>
        <v>0.19786182785878467</v>
      </c>
      <c r="X5612" s="2">
        <f ca="1"/>
        <v>42.688188112128351</v>
      </c>
      <c r="AG5612" s="2">
        <f ca="1"/>
        <v>5.341959978171662E-2</v>
      </c>
      <c r="AH5612" s="2" t="str">
        <f ca="1"/>
        <v>OK</v>
      </c>
    </row>
    <row r="5613" spans="2:34" x14ac:dyDescent="0.2">
      <c r="B5613" s="2">
        <f ca="1"/>
        <v>0.54078285268142667</v>
      </c>
      <c r="O5613" s="2">
        <f ca="1"/>
        <v>-1.2854896757923151</v>
      </c>
      <c r="X5613" s="2">
        <f ca="1"/>
        <v>43.995805878388133</v>
      </c>
      <c r="AG5613" s="2">
        <f ca="1"/>
        <v>0.100446867411774</v>
      </c>
      <c r="AH5613" s="2" t="str">
        <f ca="1"/>
        <v>OK</v>
      </c>
    </row>
    <row r="5614" spans="2:34" x14ac:dyDescent="0.2">
      <c r="B5614" s="2">
        <f ca="1"/>
        <v>1.8523702265241582E-2</v>
      </c>
      <c r="O5614" s="2">
        <f ca="1"/>
        <v>0.11470484461381071</v>
      </c>
      <c r="X5614" s="2">
        <f ca="1"/>
        <v>39.23074061163608</v>
      </c>
      <c r="AG5614" s="2">
        <f ca="1"/>
        <v>0.59710102619792993</v>
      </c>
      <c r="AH5614" s="2" t="str">
        <f ca="1"/>
        <v>Bad</v>
      </c>
    </row>
    <row r="5615" spans="2:34" x14ac:dyDescent="0.2">
      <c r="B5615" s="2">
        <f ca="1"/>
        <v>0.86591865709780835</v>
      </c>
      <c r="O5615" s="2">
        <f ca="1"/>
        <v>-2.1681987210232161E-2</v>
      </c>
      <c r="X5615" s="2">
        <f ca="1"/>
        <v>48.709595237370181</v>
      </c>
      <c r="AG5615" s="2">
        <f ca="1"/>
        <v>4.949596962285896E-2</v>
      </c>
      <c r="AH5615" s="2" t="str">
        <f ca="1"/>
        <v>Good</v>
      </c>
    </row>
    <row r="5616" spans="2:34" x14ac:dyDescent="0.2">
      <c r="B5616" s="2">
        <f ca="1"/>
        <v>0.24201515458720069</v>
      </c>
      <c r="O5616" s="2">
        <f ca="1"/>
        <v>0.16548244853256289</v>
      </c>
      <c r="X5616" s="2">
        <f ca="1"/>
        <v>56.460600855914223</v>
      </c>
      <c r="AG5616" s="2">
        <f ca="1"/>
        <v>0.49941233011225528</v>
      </c>
      <c r="AH5616" s="2" t="str">
        <f ca="1"/>
        <v>Bad</v>
      </c>
    </row>
    <row r="5617" spans="2:34" x14ac:dyDescent="0.2">
      <c r="B5617" s="2">
        <f ca="1"/>
        <v>0.34905077708481125</v>
      </c>
      <c r="O5617" s="2">
        <f ca="1"/>
        <v>0.53583948247859781</v>
      </c>
      <c r="X5617" s="2">
        <f ca="1"/>
        <v>65.17487421200282</v>
      </c>
      <c r="AG5617" s="2">
        <f ca="1"/>
        <v>0.61132914772253844</v>
      </c>
      <c r="AH5617" s="2" t="str">
        <f ca="1"/>
        <v>Bad</v>
      </c>
    </row>
    <row r="5618" spans="2:34" x14ac:dyDescent="0.2">
      <c r="B5618" s="2">
        <f ca="1"/>
        <v>0.87430980913514822</v>
      </c>
      <c r="O5618" s="2">
        <f ca="1"/>
        <v>1.0517123898005984</v>
      </c>
      <c r="X5618" s="2">
        <f ca="1"/>
        <v>61.893505869960833</v>
      </c>
      <c r="AG5618" s="2">
        <f ca="1"/>
        <v>0.45746327366722572</v>
      </c>
      <c r="AH5618" s="2" t="str">
        <f ca="1"/>
        <v>Bad</v>
      </c>
    </row>
    <row r="5619" spans="2:34" x14ac:dyDescent="0.2">
      <c r="B5619" s="2">
        <f ca="1"/>
        <v>0.17842222596907709</v>
      </c>
      <c r="O5619" s="2">
        <f ca="1"/>
        <v>-0.52101469125119881</v>
      </c>
      <c r="X5619" s="2">
        <f ca="1"/>
        <v>43.374790056443835</v>
      </c>
      <c r="AG5619" s="2">
        <f ca="1"/>
        <v>0.43119044384236438</v>
      </c>
      <c r="AH5619" s="2" t="str">
        <f ca="1"/>
        <v>Bad</v>
      </c>
    </row>
    <row r="5620" spans="2:34" x14ac:dyDescent="0.2">
      <c r="B5620" s="2">
        <f ca="1"/>
        <v>5.7992019949294038E-2</v>
      </c>
      <c r="O5620" s="2">
        <f ca="1"/>
        <v>0.97667151638285221</v>
      </c>
      <c r="X5620" s="2">
        <f ca="1"/>
        <v>40.682631034394767</v>
      </c>
      <c r="AG5620" s="2">
        <f ca="1"/>
        <v>4.7049702190262721E-3</v>
      </c>
      <c r="AH5620" s="2" t="str">
        <f ca="1"/>
        <v>Good</v>
      </c>
    </row>
    <row r="5621" spans="2:34" x14ac:dyDescent="0.2">
      <c r="B5621" s="2">
        <f ca="1"/>
        <v>0.49772069522156737</v>
      </c>
      <c r="O5621" s="2">
        <f ca="1"/>
        <v>-1.0452625585190094</v>
      </c>
      <c r="X5621" s="2">
        <f ca="1"/>
        <v>69.797190535542128</v>
      </c>
      <c r="AG5621" s="2">
        <f ca="1"/>
        <v>0.99710317382762725</v>
      </c>
      <c r="AH5621" s="2" t="str">
        <f ca="1"/>
        <v>Bad</v>
      </c>
    </row>
    <row r="5622" spans="2:34" x14ac:dyDescent="0.2">
      <c r="B5622" s="2">
        <f ca="1"/>
        <v>0.1506819696850572</v>
      </c>
      <c r="O5622" s="2">
        <f ca="1"/>
        <v>-2.5688583284257187</v>
      </c>
      <c r="X5622" s="2">
        <f ca="1"/>
        <v>48.278673386600694</v>
      </c>
      <c r="AG5622" s="2">
        <f ca="1"/>
        <v>0.33356241477585202</v>
      </c>
      <c r="AH5622" s="2" t="str">
        <f ca="1"/>
        <v>OK</v>
      </c>
    </row>
    <row r="5623" spans="2:34" x14ac:dyDescent="0.2">
      <c r="B5623" s="2">
        <f ca="1"/>
        <v>0.70101788030398615</v>
      </c>
      <c r="O5623" s="2">
        <f ca="1"/>
        <v>0.77510953174153063</v>
      </c>
      <c r="X5623" s="2">
        <f ca="1"/>
        <v>40.488427834067338</v>
      </c>
      <c r="AG5623" s="2">
        <f ca="1"/>
        <v>0.80604336455939651</v>
      </c>
      <c r="AH5623" s="2" t="str">
        <f ca="1"/>
        <v>Bad</v>
      </c>
    </row>
    <row r="5624" spans="2:34" x14ac:dyDescent="0.2">
      <c r="B5624" s="2">
        <f ca="1"/>
        <v>5.2541278436848637E-2</v>
      </c>
      <c r="O5624" s="2">
        <f ca="1"/>
        <v>0.69293209967846869</v>
      </c>
      <c r="X5624" s="2">
        <f ca="1"/>
        <v>55.884194129448488</v>
      </c>
      <c r="AG5624" s="2">
        <f ca="1"/>
        <v>0.1924233091072487</v>
      </c>
      <c r="AH5624" s="2" t="str">
        <f ca="1"/>
        <v>OK</v>
      </c>
    </row>
    <row r="5625" spans="2:34" x14ac:dyDescent="0.2">
      <c r="B5625" s="2">
        <f ca="1"/>
        <v>0.91605369129052461</v>
      </c>
      <c r="O5625" s="2">
        <f ca="1"/>
        <v>-0.30588061718694337</v>
      </c>
      <c r="X5625" s="2">
        <f ca="1"/>
        <v>46.631579457699743</v>
      </c>
      <c r="AG5625" s="2">
        <f ca="1"/>
        <v>6.2788304466889988E-2</v>
      </c>
      <c r="AH5625" s="2" t="str">
        <f ca="1"/>
        <v>OK</v>
      </c>
    </row>
    <row r="5626" spans="2:34" x14ac:dyDescent="0.2">
      <c r="B5626" s="2">
        <f ca="1"/>
        <v>0.43075512443301034</v>
      </c>
      <c r="O5626" s="2">
        <f ca="1"/>
        <v>-0.90456572817076319</v>
      </c>
      <c r="X5626" s="2">
        <f ca="1"/>
        <v>54.697495296742375</v>
      </c>
      <c r="AG5626" s="2">
        <f ca="1"/>
        <v>0.10794018769287783</v>
      </c>
      <c r="AH5626" s="2" t="str">
        <f ca="1"/>
        <v>OK</v>
      </c>
    </row>
    <row r="5627" spans="2:34" x14ac:dyDescent="0.2">
      <c r="B5627" s="2">
        <f ca="1"/>
        <v>0.82369995338945068</v>
      </c>
      <c r="O5627" s="2">
        <f ca="1"/>
        <v>-0.23063376311596348</v>
      </c>
      <c r="X5627" s="2">
        <f ca="1"/>
        <v>42.279366109616532</v>
      </c>
      <c r="AG5627" s="2">
        <f ca="1"/>
        <v>0.95618132209085194</v>
      </c>
      <c r="AH5627" s="2" t="str">
        <f ca="1"/>
        <v>Bad</v>
      </c>
    </row>
    <row r="5628" spans="2:34" x14ac:dyDescent="0.2">
      <c r="B5628" s="2">
        <f ca="1"/>
        <v>0.3771722691840087</v>
      </c>
      <c r="O5628" s="2">
        <f ca="1"/>
        <v>-1.0604502212672902</v>
      </c>
      <c r="X5628" s="2">
        <f ca="1"/>
        <v>25.938665530446904</v>
      </c>
      <c r="AG5628" s="2">
        <f ca="1"/>
        <v>0.95261608867791425</v>
      </c>
      <c r="AH5628" s="2" t="str">
        <f ca="1"/>
        <v>Bad</v>
      </c>
    </row>
    <row r="5629" spans="2:34" x14ac:dyDescent="0.2">
      <c r="B5629" s="2">
        <f ca="1"/>
        <v>7.553611653176584E-2</v>
      </c>
      <c r="O5629" s="2">
        <f ca="1"/>
        <v>0.21103614606348178</v>
      </c>
      <c r="X5629" s="2">
        <f ca="1"/>
        <v>78.992810848560836</v>
      </c>
      <c r="AG5629" s="2">
        <f ca="1"/>
        <v>0.70140602474593994</v>
      </c>
      <c r="AH5629" s="2" t="str">
        <f ca="1"/>
        <v>Bad</v>
      </c>
    </row>
    <row r="5630" spans="2:34" x14ac:dyDescent="0.2">
      <c r="B5630" s="2">
        <f ca="1"/>
        <v>0.69873721894823726</v>
      </c>
      <c r="O5630" s="2">
        <f ca="1"/>
        <v>-0.90211904335134885</v>
      </c>
      <c r="X5630" s="2">
        <f ca="1"/>
        <v>30.824847429945386</v>
      </c>
      <c r="AG5630" s="2">
        <f ca="1"/>
        <v>0.77944831306141449</v>
      </c>
      <c r="AH5630" s="2" t="str">
        <f ca="1"/>
        <v>Bad</v>
      </c>
    </row>
    <row r="5631" spans="2:34" x14ac:dyDescent="0.2">
      <c r="B5631" s="2">
        <f ca="1"/>
        <v>4.2990677272506828E-2</v>
      </c>
      <c r="O5631" s="2">
        <f ca="1"/>
        <v>-2.1010384825571</v>
      </c>
      <c r="X5631" s="2">
        <f ca="1"/>
        <v>49.735130217225674</v>
      </c>
      <c r="AG5631" s="2">
        <f ca="1"/>
        <v>0.70752245004444325</v>
      </c>
      <c r="AH5631" s="2" t="str">
        <f ca="1"/>
        <v>Bad</v>
      </c>
    </row>
    <row r="5632" spans="2:34" x14ac:dyDescent="0.2">
      <c r="B5632" s="2">
        <f ca="1"/>
        <v>0.16152588126857137</v>
      </c>
      <c r="O5632" s="2">
        <f ca="1"/>
        <v>-0.98025977197327785</v>
      </c>
      <c r="X5632" s="2">
        <f ca="1"/>
        <v>61.642356052415657</v>
      </c>
      <c r="AG5632" s="2">
        <f ca="1"/>
        <v>0.788062890204837</v>
      </c>
      <c r="AH5632" s="2" t="str">
        <f ca="1"/>
        <v>Bad</v>
      </c>
    </row>
    <row r="5633" spans="2:34" x14ac:dyDescent="0.2">
      <c r="B5633" s="2">
        <f ca="1"/>
        <v>0.70040648737429634</v>
      </c>
      <c r="O5633" s="2">
        <f ca="1"/>
        <v>0.14790028374060243</v>
      </c>
      <c r="X5633" s="2">
        <f ca="1"/>
        <v>29.90092147410779</v>
      </c>
      <c r="AG5633" s="2">
        <f ca="1"/>
        <v>0.69685944641111708</v>
      </c>
      <c r="AH5633" s="2" t="str">
        <f ca="1"/>
        <v>Bad</v>
      </c>
    </row>
    <row r="5634" spans="2:34" x14ac:dyDescent="0.2">
      <c r="B5634" s="2">
        <f ca="1"/>
        <v>0.85104918571656807</v>
      </c>
      <c r="O5634" s="2">
        <f ca="1"/>
        <v>2.3379965800709512</v>
      </c>
      <c r="X5634" s="2">
        <f ca="1"/>
        <v>25.126036488387811</v>
      </c>
      <c r="AG5634" s="2">
        <f ca="1"/>
        <v>0.47944464599175074</v>
      </c>
      <c r="AH5634" s="2" t="str">
        <f ca="1"/>
        <v>Bad</v>
      </c>
    </row>
    <row r="5635" spans="2:34" x14ac:dyDescent="0.2">
      <c r="B5635" s="2">
        <f ca="1"/>
        <v>0.47491570258407978</v>
      </c>
      <c r="O5635" s="2">
        <f ca="1"/>
        <v>0.3495171506912938</v>
      </c>
      <c r="X5635" s="2">
        <f ca="1"/>
        <v>48.51773632382389</v>
      </c>
      <c r="AG5635" s="2">
        <f ca="1"/>
        <v>0.24487243924959756</v>
      </c>
      <c r="AH5635" s="2" t="str">
        <f ca="1"/>
        <v>OK</v>
      </c>
    </row>
    <row r="5636" spans="2:34" x14ac:dyDescent="0.2">
      <c r="B5636" s="2">
        <f ca="1"/>
        <v>0.27669159853929615</v>
      </c>
      <c r="O5636" s="2">
        <f ca="1"/>
        <v>-0.24161889689315563</v>
      </c>
      <c r="X5636" s="2">
        <f ca="1"/>
        <v>78.325028354430671</v>
      </c>
      <c r="AG5636" s="2">
        <f ca="1"/>
        <v>0.91676037067691429</v>
      </c>
      <c r="AH5636" s="2" t="str">
        <f ca="1"/>
        <v>Bad</v>
      </c>
    </row>
    <row r="5637" spans="2:34" x14ac:dyDescent="0.2">
      <c r="B5637" s="2">
        <f ca="1"/>
        <v>0.76988700940324839</v>
      </c>
      <c r="O5637" s="2">
        <f ca="1"/>
        <v>-0.54715637967120689</v>
      </c>
      <c r="X5637" s="2">
        <f ca="1"/>
        <v>51.08149984277118</v>
      </c>
      <c r="AG5637" s="2">
        <f ca="1"/>
        <v>0.73781855052884904</v>
      </c>
      <c r="AH5637" s="2" t="str">
        <f ca="1"/>
        <v>Bad</v>
      </c>
    </row>
    <row r="5638" spans="2:34" x14ac:dyDescent="0.2">
      <c r="B5638" s="2">
        <f ca="1"/>
        <v>0.46233968028414529</v>
      </c>
      <c r="O5638" s="2">
        <f ca="1"/>
        <v>-2.3706611250713401</v>
      </c>
      <c r="X5638" s="2">
        <f ca="1"/>
        <v>34.20156337930328</v>
      </c>
      <c r="AG5638" s="2">
        <f ca="1"/>
        <v>0.65646655186736358</v>
      </c>
      <c r="AH5638" s="2" t="str">
        <f ca="1"/>
        <v>Bad</v>
      </c>
    </row>
    <row r="5639" spans="2:34" x14ac:dyDescent="0.2">
      <c r="B5639" s="2">
        <f ca="1"/>
        <v>9.3670765475163176E-2</v>
      </c>
      <c r="O5639" s="2">
        <f ca="1"/>
        <v>-0.72909560241846827</v>
      </c>
      <c r="X5639" s="2">
        <f ca="1"/>
        <v>46.86581336537013</v>
      </c>
      <c r="AG5639" s="2">
        <f ca="1"/>
        <v>0.89983686726887924</v>
      </c>
      <c r="AH5639" s="2" t="str">
        <f ca="1"/>
        <v>Bad</v>
      </c>
    </row>
    <row r="5640" spans="2:34" x14ac:dyDescent="0.2">
      <c r="B5640" s="2">
        <f ca="1"/>
        <v>0.14754227257489028</v>
      </c>
      <c r="O5640" s="2">
        <f ca="1"/>
        <v>0.24499713617622065</v>
      </c>
      <c r="X5640" s="2">
        <f ca="1"/>
        <v>79.123936171045628</v>
      </c>
      <c r="AG5640" s="2">
        <f ca="1"/>
        <v>0.18443736538637645</v>
      </c>
      <c r="AH5640" s="2" t="str">
        <f ca="1"/>
        <v>OK</v>
      </c>
    </row>
    <row r="5641" spans="2:34" x14ac:dyDescent="0.2">
      <c r="B5641" s="2">
        <f ca="1"/>
        <v>0.90183536205813897</v>
      </c>
      <c r="O5641" s="2">
        <f ca="1"/>
        <v>-1.3026537855780216</v>
      </c>
      <c r="X5641" s="2">
        <f ca="1"/>
        <v>67.093551508771327</v>
      </c>
      <c r="AG5641" s="2">
        <f ca="1"/>
        <v>0.33937818625239902</v>
      </c>
      <c r="AH5641" s="2" t="str">
        <f ca="1"/>
        <v>OK</v>
      </c>
    </row>
    <row r="5642" spans="2:34" x14ac:dyDescent="0.2">
      <c r="B5642" s="2">
        <f ca="1"/>
        <v>0.31868824492157977</v>
      </c>
      <c r="O5642" s="2">
        <f ca="1"/>
        <v>0.37119625226173819</v>
      </c>
      <c r="X5642" s="2">
        <f ca="1"/>
        <v>58.24413064530858</v>
      </c>
      <c r="AG5642" s="2">
        <f ca="1"/>
        <v>0.24604363362916359</v>
      </c>
      <c r="AH5642" s="2" t="str">
        <f ca="1"/>
        <v>OK</v>
      </c>
    </row>
    <row r="5643" spans="2:34" x14ac:dyDescent="0.2">
      <c r="B5643" s="2">
        <f ca="1"/>
        <v>5.2868458303720445E-2</v>
      </c>
      <c r="O5643" s="2">
        <f ca="1"/>
        <v>-0.19043871424588155</v>
      </c>
      <c r="X5643" s="2">
        <f ca="1"/>
        <v>62.021935611741242</v>
      </c>
      <c r="AG5643" s="2">
        <f ca="1"/>
        <v>0.34128223610490727</v>
      </c>
      <c r="AH5643" s="2" t="str">
        <f ca="1"/>
        <v>OK</v>
      </c>
    </row>
    <row r="5644" spans="2:34" x14ac:dyDescent="0.2">
      <c r="B5644" s="2">
        <f ca="1"/>
        <v>0.56788630628707448</v>
      </c>
      <c r="O5644" s="2">
        <f ca="1"/>
        <v>-0.57409421002046457</v>
      </c>
      <c r="X5644" s="2">
        <f ca="1"/>
        <v>54.328553180073591</v>
      </c>
      <c r="AG5644" s="2">
        <f ca="1"/>
        <v>0.20229819465867793</v>
      </c>
      <c r="AH5644" s="2" t="str">
        <f ca="1"/>
        <v>OK</v>
      </c>
    </row>
    <row r="5645" spans="2:34" x14ac:dyDescent="0.2">
      <c r="B5645" s="2">
        <f ca="1"/>
        <v>0.17891456573856446</v>
      </c>
      <c r="O5645" s="2">
        <f ca="1"/>
        <v>1.4556574405819751</v>
      </c>
      <c r="X5645" s="2">
        <f ca="1"/>
        <v>78.097821582547795</v>
      </c>
      <c r="AG5645" s="2">
        <f ca="1"/>
        <v>0.69288472320454675</v>
      </c>
      <c r="AH5645" s="2" t="str">
        <f ca="1"/>
        <v>Bad</v>
      </c>
    </row>
    <row r="5646" spans="2:34" x14ac:dyDescent="0.2">
      <c r="B5646" s="2">
        <f ca="1"/>
        <v>0.14878722281816503</v>
      </c>
      <c r="O5646" s="2">
        <f ca="1"/>
        <v>1.9050606484718242</v>
      </c>
      <c r="X5646" s="2">
        <f ca="1"/>
        <v>69.371862504030886</v>
      </c>
      <c r="AG5646" s="2">
        <f ca="1"/>
        <v>0.49243224885423809</v>
      </c>
      <c r="AH5646" s="2" t="str">
        <f ca="1"/>
        <v>Bad</v>
      </c>
    </row>
    <row r="5647" spans="2:34" x14ac:dyDescent="0.2">
      <c r="B5647" s="2">
        <f ca="1"/>
        <v>0.87227617128492763</v>
      </c>
      <c r="O5647" s="2">
        <f ca="1"/>
        <v>-4.9761624343276037E-2</v>
      </c>
      <c r="X5647" s="2">
        <f ca="1"/>
        <v>37.462921909816274</v>
      </c>
      <c r="AG5647" s="2">
        <f ca="1"/>
        <v>0.97634708623868516</v>
      </c>
      <c r="AH5647" s="2" t="str">
        <f ca="1"/>
        <v>Bad</v>
      </c>
    </row>
    <row r="5648" spans="2:34" x14ac:dyDescent="0.2">
      <c r="B5648" s="2">
        <f ca="1"/>
        <v>6.1103389475476E-2</v>
      </c>
      <c r="O5648" s="2">
        <f ca="1"/>
        <v>0.21375169917801043</v>
      </c>
      <c r="X5648" s="2">
        <f ca="1"/>
        <v>54.870910328440914</v>
      </c>
      <c r="AG5648" s="2">
        <f ca="1"/>
        <v>0.55143351774695049</v>
      </c>
      <c r="AH5648" s="2" t="str">
        <f ca="1"/>
        <v>Bad</v>
      </c>
    </row>
    <row r="5649" spans="2:34" x14ac:dyDescent="0.2">
      <c r="B5649" s="2">
        <f ca="1"/>
        <v>2.9506094301394725E-3</v>
      </c>
      <c r="O5649" s="2">
        <f ca="1"/>
        <v>-2.7430375299266591E-2</v>
      </c>
      <c r="X5649" s="2">
        <f ca="1"/>
        <v>47.034948986171031</v>
      </c>
      <c r="AG5649" s="2">
        <f ca="1"/>
        <v>0.94267755511705142</v>
      </c>
      <c r="AH5649" s="2" t="str">
        <f ca="1"/>
        <v>Bad</v>
      </c>
    </row>
    <row r="5650" spans="2:34" x14ac:dyDescent="0.2">
      <c r="B5650" s="2">
        <f ca="1"/>
        <v>8.1297027011077327E-2</v>
      </c>
      <c r="O5650" s="2">
        <f ca="1"/>
        <v>0.71708272239453075</v>
      </c>
      <c r="X5650" s="2">
        <f ca="1"/>
        <v>42.399737773832967</v>
      </c>
      <c r="AG5650" s="2">
        <f ca="1"/>
        <v>0.64141524746593093</v>
      </c>
      <c r="AH5650" s="2" t="str">
        <f ca="1"/>
        <v>Bad</v>
      </c>
    </row>
    <row r="5651" spans="2:34" x14ac:dyDescent="0.2">
      <c r="B5651" s="2">
        <f ca="1"/>
        <v>0.38078736914127331</v>
      </c>
      <c r="O5651" s="2">
        <f ca="1"/>
        <v>1.3544797731282767</v>
      </c>
      <c r="X5651" s="2">
        <f ca="1"/>
        <v>62.481416014932663</v>
      </c>
      <c r="AG5651" s="2">
        <f ca="1"/>
        <v>0.63493797778008432</v>
      </c>
      <c r="AH5651" s="2" t="str">
        <f ca="1"/>
        <v>Bad</v>
      </c>
    </row>
    <row r="5652" spans="2:34" x14ac:dyDescent="0.2">
      <c r="B5652" s="2">
        <f ca="1"/>
        <v>0.46985043330982412</v>
      </c>
      <c r="O5652" s="2">
        <f ca="1"/>
        <v>-0.29887450312375208</v>
      </c>
      <c r="X5652" s="2">
        <f ca="1"/>
        <v>49.515123463564777</v>
      </c>
      <c r="AG5652" s="2">
        <f ca="1"/>
        <v>0.28159104516480027</v>
      </c>
      <c r="AH5652" s="2" t="str">
        <f ca="1"/>
        <v>OK</v>
      </c>
    </row>
    <row r="5653" spans="2:34" x14ac:dyDescent="0.2">
      <c r="B5653" s="2">
        <f ca="1"/>
        <v>0.49911188760028535</v>
      </c>
      <c r="O5653" s="2">
        <f ca="1"/>
        <v>-0.52258874618461981</v>
      </c>
      <c r="X5653" s="2">
        <f ca="1"/>
        <v>84.415368820701232</v>
      </c>
      <c r="AG5653" s="2">
        <f ca="1"/>
        <v>0.71445284980205326</v>
      </c>
      <c r="AH5653" s="2" t="str">
        <f ca="1"/>
        <v>Bad</v>
      </c>
    </row>
    <row r="5654" spans="2:34" x14ac:dyDescent="0.2">
      <c r="B5654" s="2">
        <f ca="1"/>
        <v>0.47166553264070576</v>
      </c>
      <c r="O5654" s="2">
        <f ca="1"/>
        <v>0.74810887256611147</v>
      </c>
      <c r="X5654" s="2">
        <f ca="1"/>
        <v>50.384947779485572</v>
      </c>
      <c r="AG5654" s="2">
        <f ca="1"/>
        <v>0.86533042490296919</v>
      </c>
      <c r="AH5654" s="2" t="str">
        <f ca="1"/>
        <v>Bad</v>
      </c>
    </row>
    <row r="5655" spans="2:34" x14ac:dyDescent="0.2">
      <c r="B5655" s="2">
        <f ca="1"/>
        <v>1.4022254528213374E-2</v>
      </c>
      <c r="O5655" s="2">
        <f ca="1"/>
        <v>1.8491074847597824</v>
      </c>
      <c r="X5655" s="2">
        <f ca="1"/>
        <v>42.189691321282211</v>
      </c>
      <c r="AG5655" s="2">
        <f ca="1"/>
        <v>0.88593382701930934</v>
      </c>
      <c r="AH5655" s="2" t="str">
        <f ca="1"/>
        <v>Bad</v>
      </c>
    </row>
    <row r="5656" spans="2:34" x14ac:dyDescent="0.2">
      <c r="B5656" s="2">
        <f ca="1"/>
        <v>0.85234354961019099</v>
      </c>
      <c r="O5656" s="2">
        <f ca="1"/>
        <v>1.304160822445164</v>
      </c>
      <c r="X5656" s="2">
        <f ca="1"/>
        <v>27.36494368714974</v>
      </c>
      <c r="AG5656" s="2">
        <f ca="1"/>
        <v>0.29284259886617225</v>
      </c>
      <c r="AH5656" s="2" t="str">
        <f ca="1"/>
        <v>OK</v>
      </c>
    </row>
    <row r="5657" spans="2:34" x14ac:dyDescent="0.2">
      <c r="B5657" s="2">
        <f ca="1"/>
        <v>0.94926784142534926</v>
      </c>
      <c r="O5657" s="2">
        <f ca="1"/>
        <v>-0.70811998559041844</v>
      </c>
      <c r="X5657" s="2">
        <f ca="1"/>
        <v>15.8093437590882</v>
      </c>
      <c r="AG5657" s="2">
        <f ca="1"/>
        <v>0.49145143970526006</v>
      </c>
      <c r="AH5657" s="2" t="str">
        <f ca="1"/>
        <v>Bad</v>
      </c>
    </row>
    <row r="5658" spans="2:34" x14ac:dyDescent="0.2">
      <c r="B5658" s="2">
        <f ca="1"/>
        <v>6.7864657673272877E-2</v>
      </c>
      <c r="O5658" s="2">
        <f ca="1"/>
        <v>9.4103337854390165E-2</v>
      </c>
      <c r="X5658" s="2">
        <f ca="1"/>
        <v>39.331457444840837</v>
      </c>
      <c r="AG5658" s="2">
        <f ca="1"/>
        <v>0.68575376815683486</v>
      </c>
      <c r="AH5658" s="2" t="str">
        <f ca="1"/>
        <v>Bad</v>
      </c>
    </row>
    <row r="5659" spans="2:34" x14ac:dyDescent="0.2">
      <c r="B5659" s="2">
        <f ca="1"/>
        <v>0.40372784080019053</v>
      </c>
      <c r="O5659" s="2">
        <f ca="1"/>
        <v>-0.10687548996016392</v>
      </c>
      <c r="X5659" s="2">
        <f ca="1"/>
        <v>33.299413459857107</v>
      </c>
      <c r="AG5659" s="2">
        <f ca="1"/>
        <v>0.53541400846350196</v>
      </c>
      <c r="AH5659" s="2" t="str">
        <f ca="1"/>
        <v>Bad</v>
      </c>
    </row>
    <row r="5660" spans="2:34" x14ac:dyDescent="0.2">
      <c r="B5660" s="2">
        <f ca="1"/>
        <v>0.92494238406923457</v>
      </c>
      <c r="O5660" s="2">
        <f ca="1"/>
        <v>-0.44673804940053158</v>
      </c>
      <c r="X5660" s="2">
        <f ca="1"/>
        <v>42.13876844334429</v>
      </c>
      <c r="AG5660" s="2">
        <f ca="1"/>
        <v>0.81608771200188146</v>
      </c>
      <c r="AH5660" s="2" t="str">
        <f ca="1"/>
        <v>Bad</v>
      </c>
    </row>
    <row r="5661" spans="2:34" x14ac:dyDescent="0.2">
      <c r="B5661" s="2">
        <f ca="1"/>
        <v>0.73085927334137812</v>
      </c>
      <c r="O5661" s="2">
        <f ca="1"/>
        <v>-1.8087827618771459</v>
      </c>
      <c r="X5661" s="2">
        <f ca="1"/>
        <v>44.40212235667488</v>
      </c>
      <c r="AG5661" s="2">
        <f ca="1"/>
        <v>0.42820755224663487</v>
      </c>
      <c r="AH5661" s="2" t="str">
        <f ca="1"/>
        <v>Bad</v>
      </c>
    </row>
    <row r="5662" spans="2:34" x14ac:dyDescent="0.2">
      <c r="B5662" s="2">
        <f ca="1"/>
        <v>0.85531167867872004</v>
      </c>
      <c r="O5662" s="2">
        <f ca="1"/>
        <v>-1.0998689039260416</v>
      </c>
      <c r="X5662" s="2">
        <f ca="1"/>
        <v>50.759993615391124</v>
      </c>
      <c r="AG5662" s="2">
        <f ca="1"/>
        <v>0.56206955685782467</v>
      </c>
      <c r="AH5662" s="2" t="str">
        <f ca="1"/>
        <v>Bad</v>
      </c>
    </row>
    <row r="5663" spans="2:34" x14ac:dyDescent="0.2">
      <c r="B5663" s="2">
        <f ca="1"/>
        <v>0.52423242036056461</v>
      </c>
      <c r="O5663" s="2">
        <f ca="1"/>
        <v>-0.13830699775506775</v>
      </c>
      <c r="X5663" s="2">
        <f ca="1"/>
        <v>61.643375043702491</v>
      </c>
      <c r="AG5663" s="2">
        <f ca="1"/>
        <v>0.64617924213848688</v>
      </c>
      <c r="AH5663" s="2" t="str">
        <f ca="1"/>
        <v>Bad</v>
      </c>
    </row>
    <row r="5664" spans="2:34" x14ac:dyDescent="0.2">
      <c r="B5664" s="2">
        <f ca="1"/>
        <v>0.16422847002340557</v>
      </c>
      <c r="O5664" s="2">
        <f ca="1"/>
        <v>1.1530524300500484</v>
      </c>
      <c r="X5664" s="2">
        <f ca="1"/>
        <v>59.549150305995546</v>
      </c>
      <c r="AG5664" s="2">
        <f ca="1"/>
        <v>0.86621409360046608</v>
      </c>
      <c r="AH5664" s="2" t="str">
        <f ca="1"/>
        <v>Bad</v>
      </c>
    </row>
    <row r="5665" spans="2:34" x14ac:dyDescent="0.2">
      <c r="B5665" s="2">
        <f ca="1"/>
        <v>0.39803772998236631</v>
      </c>
      <c r="O5665" s="2">
        <f ca="1"/>
        <v>-0.93757322225806194</v>
      </c>
      <c r="X5665" s="2">
        <f ca="1"/>
        <v>39.878411184099008</v>
      </c>
      <c r="AG5665" s="2">
        <f ca="1"/>
        <v>0.81061030494850428</v>
      </c>
      <c r="AH5665" s="2" t="str">
        <f ca="1"/>
        <v>Bad</v>
      </c>
    </row>
    <row r="5666" spans="2:34" x14ac:dyDescent="0.2">
      <c r="B5666" s="2">
        <f ca="1"/>
        <v>0.15906774985297267</v>
      </c>
      <c r="O5666" s="2">
        <f ca="1"/>
        <v>-0.48484500701605693</v>
      </c>
      <c r="X5666" s="2">
        <f ca="1"/>
        <v>43.143779820574849</v>
      </c>
      <c r="AG5666" s="2">
        <f ca="1"/>
        <v>0.78665939948346852</v>
      </c>
      <c r="AH5666" s="2" t="str">
        <f ca="1"/>
        <v>Bad</v>
      </c>
    </row>
    <row r="5667" spans="2:34" x14ac:dyDescent="0.2">
      <c r="B5667" s="2">
        <f ca="1"/>
        <v>0.21598226352207206</v>
      </c>
      <c r="O5667" s="2">
        <f ca="1"/>
        <v>-0.89283080953886607</v>
      </c>
      <c r="X5667" s="2">
        <f ca="1"/>
        <v>50.97069213571033</v>
      </c>
      <c r="AG5667" s="2">
        <f ca="1"/>
        <v>0.59128940286797249</v>
      </c>
      <c r="AH5667" s="2" t="str">
        <f ca="1"/>
        <v>Bad</v>
      </c>
    </row>
    <row r="5668" spans="2:34" x14ac:dyDescent="0.2">
      <c r="B5668" s="2">
        <f ca="1"/>
        <v>0.99973828846942991</v>
      </c>
      <c r="O5668" s="2">
        <f ca="1"/>
        <v>9.9320020559744968E-2</v>
      </c>
      <c r="X5668" s="2">
        <f ca="1"/>
        <v>39.183456006300375</v>
      </c>
      <c r="AG5668" s="2">
        <f ca="1"/>
        <v>0.40383975242886128</v>
      </c>
      <c r="AH5668" s="2" t="str">
        <f ca="1"/>
        <v>Bad</v>
      </c>
    </row>
    <row r="5669" spans="2:34" x14ac:dyDescent="0.2">
      <c r="B5669" s="2">
        <f ca="1"/>
        <v>0.50944688738166999</v>
      </c>
      <c r="O5669" s="2">
        <f ca="1"/>
        <v>-1.2824347071187081</v>
      </c>
      <c r="X5669" s="2">
        <f ca="1"/>
        <v>34.007366567595035</v>
      </c>
      <c r="AG5669" s="2">
        <f ca="1"/>
        <v>0.82690413165392984</v>
      </c>
      <c r="AH5669" s="2" t="str">
        <f ca="1"/>
        <v>Bad</v>
      </c>
    </row>
    <row r="5670" spans="2:34" x14ac:dyDescent="0.2">
      <c r="B5670" s="2">
        <f ca="1"/>
        <v>0.31954858572446465</v>
      </c>
      <c r="O5670" s="2">
        <f ca="1"/>
        <v>0.98024161439302548</v>
      </c>
      <c r="X5670" s="2">
        <f ca="1"/>
        <v>35.532021466863512</v>
      </c>
      <c r="AG5670" s="2">
        <f ca="1"/>
        <v>0.49957472665854885</v>
      </c>
      <c r="AH5670" s="2" t="str">
        <f ca="1"/>
        <v>Bad</v>
      </c>
    </row>
    <row r="5671" spans="2:34" x14ac:dyDescent="0.2">
      <c r="B5671" s="2">
        <f ca="1"/>
        <v>0.34669001552479584</v>
      </c>
      <c r="O5671" s="2">
        <f ca="1"/>
        <v>0.71372443811457476</v>
      </c>
      <c r="X5671" s="2">
        <f ca="1"/>
        <v>38.340148089245893</v>
      </c>
      <c r="AG5671" s="2">
        <f ca="1"/>
        <v>0.42696825362499391</v>
      </c>
      <c r="AH5671" s="2" t="str">
        <f ca="1"/>
        <v>Bad</v>
      </c>
    </row>
    <row r="5672" spans="2:34" x14ac:dyDescent="0.2">
      <c r="B5672" s="2">
        <f ca="1"/>
        <v>0.84101031165775719</v>
      </c>
      <c r="O5672" s="2">
        <f ca="1"/>
        <v>-0.51043425591070202</v>
      </c>
      <c r="X5672" s="2">
        <f ca="1"/>
        <v>59.288074324359513</v>
      </c>
      <c r="AG5672" s="2">
        <f ca="1"/>
        <v>0.24646703313179752</v>
      </c>
      <c r="AH5672" s="2" t="str">
        <f ca="1"/>
        <v>OK</v>
      </c>
    </row>
    <row r="5673" spans="2:34" x14ac:dyDescent="0.2">
      <c r="B5673" s="2">
        <f ca="1"/>
        <v>0.24852159236871629</v>
      </c>
      <c r="O5673" s="2">
        <f ca="1"/>
        <v>0.45428184128229077</v>
      </c>
      <c r="X5673" s="2">
        <f ca="1"/>
        <v>26.636906521836671</v>
      </c>
      <c r="AG5673" s="2">
        <f ca="1"/>
        <v>0.3955929984832709</v>
      </c>
      <c r="AH5673" s="2" t="str">
        <f ca="1"/>
        <v>OK</v>
      </c>
    </row>
    <row r="5674" spans="2:34" x14ac:dyDescent="0.2">
      <c r="B5674" s="2">
        <f ca="1"/>
        <v>0.15664027805883718</v>
      </c>
      <c r="O5674" s="2">
        <f ca="1"/>
        <v>0.60248609011199139</v>
      </c>
      <c r="X5674" s="2">
        <f ca="1"/>
        <v>44.33868986099575</v>
      </c>
      <c r="AG5674" s="2">
        <f ca="1"/>
        <v>7.8970515792769813E-2</v>
      </c>
      <c r="AH5674" s="2" t="str">
        <f ca="1"/>
        <v>OK</v>
      </c>
    </row>
    <row r="5675" spans="2:34" x14ac:dyDescent="0.2">
      <c r="B5675" s="2">
        <f ca="1"/>
        <v>0.344193084613865</v>
      </c>
      <c r="O5675" s="2">
        <f ca="1"/>
        <v>-1.2670488736268866</v>
      </c>
      <c r="X5675" s="2">
        <f ca="1"/>
        <v>69.937963356212663</v>
      </c>
      <c r="AG5675" s="2">
        <f ca="1"/>
        <v>0.96969216574925632</v>
      </c>
      <c r="AH5675" s="2" t="str">
        <f ca="1"/>
        <v>Bad</v>
      </c>
    </row>
    <row r="5676" spans="2:34" x14ac:dyDescent="0.2">
      <c r="B5676" s="2">
        <f ca="1"/>
        <v>0.68865298056713464</v>
      </c>
      <c r="O5676" s="2">
        <f ca="1"/>
        <v>0.62593757507989234</v>
      </c>
      <c r="X5676" s="2">
        <f ca="1"/>
        <v>29.585855165945954</v>
      </c>
      <c r="AG5676" s="2">
        <f ca="1"/>
        <v>0.37272822387534821</v>
      </c>
      <c r="AH5676" s="2" t="str">
        <f ca="1"/>
        <v>OK</v>
      </c>
    </row>
    <row r="5677" spans="2:34" x14ac:dyDescent="0.2">
      <c r="B5677" s="2">
        <f ca="1"/>
        <v>0.17356457662824698</v>
      </c>
      <c r="O5677" s="2">
        <f ca="1"/>
        <v>-0.76802754431920328</v>
      </c>
      <c r="X5677" s="2">
        <f ca="1"/>
        <v>31.15458924345387</v>
      </c>
      <c r="AG5677" s="2">
        <f ca="1"/>
        <v>0.29069402372440267</v>
      </c>
      <c r="AH5677" s="2" t="str">
        <f ca="1"/>
        <v>OK</v>
      </c>
    </row>
    <row r="5678" spans="2:34" x14ac:dyDescent="0.2">
      <c r="B5678" s="2">
        <f ca="1"/>
        <v>0.69595874705133531</v>
      </c>
      <c r="O5678" s="2">
        <f ca="1"/>
        <v>0.84793061632235267</v>
      </c>
      <c r="X5678" s="2">
        <f ca="1"/>
        <v>33.119530553429598</v>
      </c>
      <c r="AG5678" s="2">
        <f ca="1"/>
        <v>0.67088157575261786</v>
      </c>
      <c r="AH5678" s="2" t="str">
        <f ca="1"/>
        <v>Bad</v>
      </c>
    </row>
    <row r="5679" spans="2:34" x14ac:dyDescent="0.2">
      <c r="B5679" s="2">
        <f ca="1"/>
        <v>0.10856478699751149</v>
      </c>
      <c r="O5679" s="2">
        <f ca="1"/>
        <v>0.82733962782097159</v>
      </c>
      <c r="X5679" s="2">
        <f ca="1"/>
        <v>48.309953548658214</v>
      </c>
      <c r="AG5679" s="2">
        <f ca="1"/>
        <v>0.89431965698890625</v>
      </c>
      <c r="AH5679" s="2" t="str">
        <f ca="1"/>
        <v>Bad</v>
      </c>
    </row>
    <row r="5680" spans="2:34" x14ac:dyDescent="0.2">
      <c r="B5680" s="2">
        <f ca="1"/>
        <v>0.78986969365186455</v>
      </c>
      <c r="O5680" s="2">
        <f ca="1"/>
        <v>2.3310634017056509</v>
      </c>
      <c r="X5680" s="2">
        <f ca="1"/>
        <v>60.300685969413976</v>
      </c>
      <c r="AG5680" s="2">
        <f ca="1"/>
        <v>0.22237190691819531</v>
      </c>
      <c r="AH5680" s="2" t="str">
        <f ca="1"/>
        <v>OK</v>
      </c>
    </row>
    <row r="5681" spans="2:34" x14ac:dyDescent="0.2">
      <c r="B5681" s="2">
        <f ca="1"/>
        <v>9.8236462028521654E-2</v>
      </c>
      <c r="O5681" s="2">
        <f ca="1"/>
        <v>0.6932941010139072</v>
      </c>
      <c r="X5681" s="2">
        <f ca="1"/>
        <v>43.113660998094488</v>
      </c>
      <c r="AG5681" s="2">
        <f ca="1"/>
        <v>0.45087111742800112</v>
      </c>
      <c r="AH5681" s="2" t="str">
        <f ca="1"/>
        <v>Bad</v>
      </c>
    </row>
    <row r="5682" spans="2:34" x14ac:dyDescent="0.2">
      <c r="B5682" s="2">
        <f ca="1"/>
        <v>0.18983764807929382</v>
      </c>
      <c r="O5682" s="2">
        <f ca="1"/>
        <v>0.21741656839582105</v>
      </c>
      <c r="X5682" s="2">
        <f ca="1"/>
        <v>45.491525277570084</v>
      </c>
      <c r="AG5682" s="2">
        <f ca="1"/>
        <v>0.42186761188255151</v>
      </c>
      <c r="AH5682" s="2" t="str">
        <f ca="1"/>
        <v>Bad</v>
      </c>
    </row>
    <row r="5683" spans="2:34" x14ac:dyDescent="0.2">
      <c r="B5683" s="2">
        <f ca="1"/>
        <v>0.38834905723611435</v>
      </c>
      <c r="O5683" s="2">
        <f ca="1"/>
        <v>-0.29138919375526595</v>
      </c>
      <c r="X5683" s="2">
        <f ca="1"/>
        <v>25.193797350048065</v>
      </c>
      <c r="AG5683" s="2">
        <f ca="1"/>
        <v>1.7428079461779378E-2</v>
      </c>
      <c r="AH5683" s="2" t="str">
        <f ca="1"/>
        <v>Good</v>
      </c>
    </row>
    <row r="5684" spans="2:34" x14ac:dyDescent="0.2">
      <c r="B5684" s="2">
        <f ca="1"/>
        <v>0.65969828307551226</v>
      </c>
      <c r="O5684" s="2">
        <f ca="1"/>
        <v>0.59329081564502517</v>
      </c>
      <c r="X5684" s="2">
        <f ca="1"/>
        <v>39.538917647403899</v>
      </c>
      <c r="AG5684" s="2">
        <f ca="1"/>
        <v>0.83659290436430211</v>
      </c>
      <c r="AH5684" s="2" t="str">
        <f ca="1"/>
        <v>Bad</v>
      </c>
    </row>
    <row r="5685" spans="2:34" x14ac:dyDescent="0.2">
      <c r="B5685" s="2">
        <f ca="1"/>
        <v>8.9616989401590352E-2</v>
      </c>
      <c r="O5685" s="2">
        <f ca="1"/>
        <v>-0.42090018673756935</v>
      </c>
      <c r="X5685" s="2">
        <f ca="1"/>
        <v>39.453756930971544</v>
      </c>
      <c r="AG5685" s="2">
        <f ca="1"/>
        <v>0.53730353853567236</v>
      </c>
      <c r="AH5685" s="2" t="str">
        <f ca="1"/>
        <v>Bad</v>
      </c>
    </row>
    <row r="5686" spans="2:34" x14ac:dyDescent="0.2">
      <c r="B5686" s="2">
        <f ca="1"/>
        <v>0.33740315768344464</v>
      </c>
      <c r="O5686" s="2">
        <f ca="1"/>
        <v>0.36470244187303763</v>
      </c>
      <c r="X5686" s="2">
        <f ca="1"/>
        <v>63.833622952901159</v>
      </c>
      <c r="AG5686" s="2">
        <f ca="1"/>
        <v>0.63395406054619041</v>
      </c>
      <c r="AH5686" s="2" t="str">
        <f ca="1"/>
        <v>Bad</v>
      </c>
    </row>
    <row r="5687" spans="2:34" x14ac:dyDescent="0.2">
      <c r="B5687" s="2">
        <f ca="1"/>
        <v>1.2904330960202159E-2</v>
      </c>
      <c r="O5687" s="2">
        <f ca="1"/>
        <v>-2.6635929543299737</v>
      </c>
      <c r="X5687" s="2">
        <f ca="1"/>
        <v>58.657282658226684</v>
      </c>
      <c r="AG5687" s="2">
        <f ca="1"/>
        <v>0.17567816163949201</v>
      </c>
      <c r="AH5687" s="2" t="str">
        <f ca="1"/>
        <v>OK</v>
      </c>
    </row>
    <row r="5688" spans="2:34" x14ac:dyDescent="0.2">
      <c r="B5688" s="2">
        <f ca="1"/>
        <v>0.60749667639968896</v>
      </c>
      <c r="O5688" s="2">
        <f ca="1"/>
        <v>-1.3090132424793108</v>
      </c>
      <c r="X5688" s="2">
        <f ca="1"/>
        <v>74.449544077049126</v>
      </c>
      <c r="AG5688" s="2">
        <f ca="1"/>
        <v>0.3207996318663322</v>
      </c>
      <c r="AH5688" s="2" t="str">
        <f ca="1"/>
        <v>OK</v>
      </c>
    </row>
    <row r="5689" spans="2:34" x14ac:dyDescent="0.2">
      <c r="B5689" s="2">
        <f ca="1"/>
        <v>0.88739408755864568</v>
      </c>
      <c r="O5689" s="2">
        <f ca="1"/>
        <v>0.40080013796353253</v>
      </c>
      <c r="X5689" s="2">
        <f ca="1"/>
        <v>48.62727874733686</v>
      </c>
      <c r="AG5689" s="2">
        <f ca="1"/>
        <v>0.2716054013236715</v>
      </c>
      <c r="AH5689" s="2" t="str">
        <f ca="1"/>
        <v>OK</v>
      </c>
    </row>
    <row r="5690" spans="2:34" x14ac:dyDescent="0.2">
      <c r="B5690" s="2">
        <f ca="1"/>
        <v>0.39008166416094836</v>
      </c>
      <c r="O5690" s="2">
        <f ca="1"/>
        <v>-0.49705475025906698</v>
      </c>
      <c r="X5690" s="2">
        <f ca="1"/>
        <v>50.933639057926882</v>
      </c>
      <c r="AG5690" s="2">
        <f ca="1"/>
        <v>0.8230188699048413</v>
      </c>
      <c r="AH5690" s="2" t="str">
        <f ca="1"/>
        <v>Bad</v>
      </c>
    </row>
    <row r="5691" spans="2:34" x14ac:dyDescent="0.2">
      <c r="B5691" s="2">
        <f ca="1"/>
        <v>0.89062094719440976</v>
      </c>
      <c r="O5691" s="2">
        <f ca="1"/>
        <v>0.47807917069978684</v>
      </c>
      <c r="X5691" s="2">
        <f ca="1"/>
        <v>31.832290413134892</v>
      </c>
      <c r="AG5691" s="2">
        <f ca="1"/>
        <v>0.95328148207401076</v>
      </c>
      <c r="AH5691" s="2" t="str">
        <f ca="1"/>
        <v>Bad</v>
      </c>
    </row>
    <row r="5692" spans="2:34" x14ac:dyDescent="0.2">
      <c r="B5692" s="2">
        <f ca="1"/>
        <v>0.18536384839904518</v>
      </c>
      <c r="O5692" s="2">
        <f ca="1"/>
        <v>0.89266571695945907</v>
      </c>
      <c r="X5692" s="2">
        <f ca="1"/>
        <v>68.107829077950527</v>
      </c>
      <c r="AG5692" s="2">
        <f ca="1"/>
        <v>0.37783490269222386</v>
      </c>
      <c r="AH5692" s="2" t="str">
        <f ca="1"/>
        <v>OK</v>
      </c>
    </row>
    <row r="5693" spans="2:34" x14ac:dyDescent="0.2">
      <c r="B5693" s="2">
        <f ca="1"/>
        <v>2.640715780242564E-2</v>
      </c>
      <c r="O5693" s="2">
        <f ca="1"/>
        <v>1.0844952788535451</v>
      </c>
      <c r="X5693" s="2">
        <f ca="1"/>
        <v>71.26797193750275</v>
      </c>
      <c r="AG5693" s="2">
        <f ca="1"/>
        <v>0.64770649276905545</v>
      </c>
      <c r="AH5693" s="2" t="str">
        <f ca="1"/>
        <v>Bad</v>
      </c>
    </row>
    <row r="5694" spans="2:34" x14ac:dyDescent="0.2">
      <c r="B5694" s="2">
        <f ca="1"/>
        <v>0.95844122255349884</v>
      </c>
      <c r="O5694" s="2">
        <f ca="1"/>
        <v>-0.75315508607783421</v>
      </c>
      <c r="X5694" s="2">
        <f ca="1"/>
        <v>41.880165974626479</v>
      </c>
      <c r="AG5694" s="2">
        <f ca="1"/>
        <v>0.90100967515830233</v>
      </c>
      <c r="AH5694" s="2" t="str">
        <f ca="1"/>
        <v>Bad</v>
      </c>
    </row>
    <row r="5695" spans="2:34" x14ac:dyDescent="0.2">
      <c r="B5695" s="2">
        <f ca="1"/>
        <v>0.47106253191968439</v>
      </c>
      <c r="O5695" s="2">
        <f ca="1"/>
        <v>6.5825681733323663E-2</v>
      </c>
      <c r="X5695" s="2">
        <f ca="1"/>
        <v>84.780464615173571</v>
      </c>
      <c r="AG5695" s="2">
        <f ca="1"/>
        <v>0.16645023087340904</v>
      </c>
      <c r="AH5695" s="2" t="str">
        <f ca="1"/>
        <v>OK</v>
      </c>
    </row>
    <row r="5696" spans="2:34" x14ac:dyDescent="0.2">
      <c r="B5696" s="2">
        <f ca="1"/>
        <v>0.2940742623376007</v>
      </c>
      <c r="O5696" s="2">
        <f ca="1"/>
        <v>0.136623181599898</v>
      </c>
      <c r="X5696" s="2">
        <f ca="1"/>
        <v>41.523254301266036</v>
      </c>
      <c r="AG5696" s="2">
        <f ca="1"/>
        <v>0.32757843449343538</v>
      </c>
      <c r="AH5696" s="2" t="str">
        <f ca="1"/>
        <v>OK</v>
      </c>
    </row>
    <row r="5697" spans="2:34" x14ac:dyDescent="0.2">
      <c r="B5697" s="2">
        <f ca="1"/>
        <v>0.26586199281814471</v>
      </c>
      <c r="O5697" s="2">
        <f ca="1"/>
        <v>-1.7833977575644768</v>
      </c>
      <c r="X5697" s="2">
        <f ca="1"/>
        <v>31.348822537725702</v>
      </c>
      <c r="AG5697" s="2">
        <f ca="1"/>
        <v>0.59661339907074051</v>
      </c>
      <c r="AH5697" s="2" t="str">
        <f ca="1"/>
        <v>Bad</v>
      </c>
    </row>
    <row r="5698" spans="2:34" x14ac:dyDescent="0.2">
      <c r="B5698" s="2">
        <f ca="1"/>
        <v>0.30061726287350377</v>
      </c>
      <c r="O5698" s="2">
        <f ca="1"/>
        <v>-0.94528649412959131</v>
      </c>
      <c r="X5698" s="2">
        <f ca="1"/>
        <v>63.890171697753871</v>
      </c>
      <c r="AG5698" s="2">
        <f ca="1"/>
        <v>0.2700729738211789</v>
      </c>
      <c r="AH5698" s="2" t="str">
        <f ca="1"/>
        <v>OK</v>
      </c>
    </row>
    <row r="5699" spans="2:34" x14ac:dyDescent="0.2">
      <c r="B5699" s="2">
        <f ca="1"/>
        <v>0.3316177961559601</v>
      </c>
      <c r="O5699" s="2">
        <f ca="1"/>
        <v>0.86442192827982489</v>
      </c>
      <c r="X5699" s="2">
        <f ca="1"/>
        <v>58.922352635487513</v>
      </c>
      <c r="AG5699" s="2">
        <f ca="1"/>
        <v>0.22092371525566867</v>
      </c>
      <c r="AH5699" s="2" t="str">
        <f ca="1"/>
        <v>OK</v>
      </c>
    </row>
    <row r="5700" spans="2:34" x14ac:dyDescent="0.2">
      <c r="B5700" s="2">
        <f ca="1"/>
        <v>7.0357749094706046E-2</v>
      </c>
      <c r="O5700" s="2">
        <f ca="1"/>
        <v>1.0037480834842671</v>
      </c>
      <c r="X5700" s="2">
        <f ca="1"/>
        <v>55.303466471851124</v>
      </c>
      <c r="AG5700" s="2">
        <f ca="1"/>
        <v>0.58877484615908804</v>
      </c>
      <c r="AH5700" s="2" t="str">
        <f ca="1"/>
        <v>Bad</v>
      </c>
    </row>
    <row r="5701" spans="2:34" x14ac:dyDescent="0.2">
      <c r="B5701" s="2">
        <f ca="1"/>
        <v>0.82463003809420488</v>
      </c>
      <c r="O5701" s="2">
        <f ca="1"/>
        <v>-0.85420394105485076</v>
      </c>
      <c r="X5701" s="2">
        <f ca="1"/>
        <v>50.312233426324781</v>
      </c>
      <c r="AG5701" s="2">
        <f ca="1"/>
        <v>0.75594784038689333</v>
      </c>
      <c r="AH5701" s="2" t="str">
        <f ca="1"/>
        <v>Bad</v>
      </c>
    </row>
    <row r="5702" spans="2:34" x14ac:dyDescent="0.2">
      <c r="B5702" s="2">
        <f ca="1"/>
        <v>0.44989199773434474</v>
      </c>
      <c r="O5702" s="2">
        <f ca="1"/>
        <v>-0.6795046420614117</v>
      </c>
      <c r="X5702" s="2">
        <f ca="1"/>
        <v>32.466089666557593</v>
      </c>
      <c r="AG5702" s="2">
        <f ca="1"/>
        <v>0.84999936902286644</v>
      </c>
      <c r="AH5702" s="2" t="str">
        <f ca="1"/>
        <v>Bad</v>
      </c>
    </row>
    <row r="5703" spans="2:34" x14ac:dyDescent="0.2">
      <c r="B5703" s="2">
        <f ca="1"/>
        <v>0.22915492898112255</v>
      </c>
      <c r="O5703" s="2">
        <f ca="1"/>
        <v>-0.406304844604501</v>
      </c>
      <c r="X5703" s="2">
        <f ca="1"/>
        <v>46.645478987174023</v>
      </c>
      <c r="AG5703" s="2">
        <f ca="1"/>
        <v>0.48506544913928651</v>
      </c>
      <c r="AH5703" s="2" t="str">
        <f ca="1"/>
        <v>Bad</v>
      </c>
    </row>
    <row r="5704" spans="2:34" x14ac:dyDescent="0.2">
      <c r="B5704" s="2">
        <f ca="1"/>
        <v>0.98963156009073217</v>
      </c>
      <c r="O5704" s="2">
        <f ca="1"/>
        <v>2.5151215967614375E-2</v>
      </c>
      <c r="X5704" s="2">
        <f ca="1"/>
        <v>44.06510491159495</v>
      </c>
      <c r="AG5704" s="2">
        <f ca="1"/>
        <v>0.5602621759337878</v>
      </c>
      <c r="AH5704" s="2" t="str">
        <f ca="1"/>
        <v>Bad</v>
      </c>
    </row>
    <row r="5705" spans="2:34" x14ac:dyDescent="0.2">
      <c r="B5705" s="2">
        <f ca="1"/>
        <v>0.64583818850824581</v>
      </c>
      <c r="O5705" s="2">
        <f ca="1"/>
        <v>0.56798318293424399</v>
      </c>
      <c r="X5705" s="2">
        <f ca="1"/>
        <v>26.618446452464646</v>
      </c>
      <c r="AG5705" s="2">
        <f ca="1"/>
        <v>0.88393716036007564</v>
      </c>
      <c r="AH5705" s="2" t="str">
        <f ca="1"/>
        <v>Bad</v>
      </c>
    </row>
    <row r="5706" spans="2:34" x14ac:dyDescent="0.2">
      <c r="B5706" s="2">
        <f ca="1"/>
        <v>0.71726451653845369</v>
      </c>
      <c r="O5706" s="2">
        <f ca="1"/>
        <v>-1.3204369690684679</v>
      </c>
      <c r="X5706" s="2">
        <f ca="1"/>
        <v>43.728213380310081</v>
      </c>
      <c r="AG5706" s="2">
        <f ca="1"/>
        <v>0.35818480832292088</v>
      </c>
      <c r="AH5706" s="2" t="str">
        <f ca="1"/>
        <v>OK</v>
      </c>
    </row>
    <row r="5707" spans="2:34" x14ac:dyDescent="0.2">
      <c r="B5707" s="2">
        <f ca="1"/>
        <v>0.55372047391670609</v>
      </c>
      <c r="O5707" s="2">
        <f ca="1"/>
        <v>-0.33866161432117653</v>
      </c>
      <c r="X5707" s="2">
        <f ca="1"/>
        <v>76.304702553654394</v>
      </c>
      <c r="AG5707" s="2">
        <f ca="1"/>
        <v>0.43150346930194194</v>
      </c>
      <c r="AH5707" s="2" t="str">
        <f ca="1"/>
        <v>Bad</v>
      </c>
    </row>
    <row r="5708" spans="2:34" x14ac:dyDescent="0.2">
      <c r="B5708" s="2">
        <f ca="1"/>
        <v>0.41730737465890844</v>
      </c>
      <c r="O5708" s="2">
        <f ca="1"/>
        <v>-0.71319771257929154</v>
      </c>
      <c r="X5708" s="2">
        <f ca="1"/>
        <v>36.01244785195474</v>
      </c>
      <c r="AG5708" s="2">
        <f ca="1"/>
        <v>0.67100893037863396</v>
      </c>
      <c r="AH5708" s="2" t="str">
        <f ca="1"/>
        <v>Bad</v>
      </c>
    </row>
    <row r="5709" spans="2:34" x14ac:dyDescent="0.2">
      <c r="B5709" s="2">
        <f ca="1"/>
        <v>0.96201757767470331</v>
      </c>
      <c r="O5709" s="2">
        <f ca="1"/>
        <v>-0.10451625934521645</v>
      </c>
      <c r="X5709" s="2">
        <f ca="1"/>
        <v>33.034363565146599</v>
      </c>
      <c r="AG5709" s="2">
        <f ca="1"/>
        <v>0.75110701303591298</v>
      </c>
      <c r="AH5709" s="2" t="str">
        <f ca="1"/>
        <v>Bad</v>
      </c>
    </row>
    <row r="5710" spans="2:34" x14ac:dyDescent="0.2">
      <c r="B5710" s="2">
        <f ca="1"/>
        <v>2.3061809688599944E-2</v>
      </c>
      <c r="O5710" s="2">
        <f ca="1"/>
        <v>-1.5950334406016964</v>
      </c>
      <c r="X5710" s="2">
        <f ca="1"/>
        <v>76.871549591532997</v>
      </c>
      <c r="AG5710" s="2">
        <f ca="1"/>
        <v>0.99259836064873275</v>
      </c>
      <c r="AH5710" s="2" t="str">
        <f ca="1"/>
        <v>Bad</v>
      </c>
    </row>
    <row r="5711" spans="2:34" x14ac:dyDescent="0.2">
      <c r="B5711" s="2">
        <f ca="1"/>
        <v>0.35260206311357001</v>
      </c>
      <c r="O5711" s="2">
        <f ca="1"/>
        <v>0.34894718109976652</v>
      </c>
      <c r="X5711" s="2">
        <f ca="1"/>
        <v>59.065009821651998</v>
      </c>
      <c r="AG5711" s="2">
        <f ca="1"/>
        <v>0.32886507170090629</v>
      </c>
      <c r="AH5711" s="2" t="str">
        <f ca="1"/>
        <v>OK</v>
      </c>
    </row>
    <row r="5712" spans="2:34" x14ac:dyDescent="0.2">
      <c r="B5712" s="2">
        <f ca="1"/>
        <v>0.41707849051665913</v>
      </c>
      <c r="O5712" s="2">
        <f ca="1"/>
        <v>0.35412968047036164</v>
      </c>
      <c r="X5712" s="2">
        <f ca="1"/>
        <v>45.711101720991493</v>
      </c>
      <c r="AG5712" s="2">
        <f ca="1"/>
        <v>0.16866512244379872</v>
      </c>
      <c r="AH5712" s="2" t="str">
        <f ca="1"/>
        <v>OK</v>
      </c>
    </row>
    <row r="5713" spans="2:34" x14ac:dyDescent="0.2">
      <c r="B5713" s="2">
        <f ca="1"/>
        <v>6.7172511722277672E-2</v>
      </c>
      <c r="O5713" s="2">
        <f ca="1"/>
        <v>-0.87704326101383456</v>
      </c>
      <c r="X5713" s="2">
        <f ca="1"/>
        <v>66.983378080937854</v>
      </c>
      <c r="AG5713" s="2">
        <f ca="1"/>
        <v>0.26857361484414399</v>
      </c>
      <c r="AH5713" s="2" t="str">
        <f ca="1"/>
        <v>OK</v>
      </c>
    </row>
    <row r="5714" spans="2:34" x14ac:dyDescent="0.2">
      <c r="B5714" s="2">
        <f ca="1"/>
        <v>0.3360111460487929</v>
      </c>
      <c r="O5714" s="2">
        <f ca="1"/>
        <v>1.4512567284247047</v>
      </c>
      <c r="X5714" s="2">
        <f ca="1"/>
        <v>53.44179004967274</v>
      </c>
      <c r="AG5714" s="2">
        <f ca="1"/>
        <v>0.57667763048365983</v>
      </c>
      <c r="AH5714" s="2" t="str">
        <f ca="1"/>
        <v>Bad</v>
      </c>
    </row>
    <row r="5715" spans="2:34" x14ac:dyDescent="0.2">
      <c r="B5715" s="2">
        <f ca="1"/>
        <v>0.6288163359486878</v>
      </c>
      <c r="O5715" s="2">
        <f ca="1"/>
        <v>-0.73613388744520114</v>
      </c>
      <c r="X5715" s="2">
        <f ca="1"/>
        <v>34.753222848616971</v>
      </c>
      <c r="AG5715" s="2">
        <f ca="1"/>
        <v>1.3565901313801199E-2</v>
      </c>
      <c r="AH5715" s="2" t="str">
        <f ca="1"/>
        <v>Good</v>
      </c>
    </row>
    <row r="5716" spans="2:34" x14ac:dyDescent="0.2">
      <c r="B5716" s="2">
        <f ca="1"/>
        <v>4.7914968732785335E-2</v>
      </c>
      <c r="O5716" s="2">
        <f ca="1"/>
        <v>-2.1546394807840334</v>
      </c>
      <c r="X5716" s="2">
        <f ca="1"/>
        <v>62.565685723356268</v>
      </c>
      <c r="AG5716" s="2">
        <f ca="1"/>
        <v>0.22378260852483756</v>
      </c>
      <c r="AH5716" s="2" t="str">
        <f ca="1"/>
        <v>OK</v>
      </c>
    </row>
    <row r="5717" spans="2:34" x14ac:dyDescent="0.2">
      <c r="B5717" s="2">
        <f ca="1"/>
        <v>0.27702819466909534</v>
      </c>
      <c r="O5717" s="2">
        <f ca="1"/>
        <v>-0.95241059550142693</v>
      </c>
      <c r="X5717" s="2">
        <f ca="1"/>
        <v>91.376488733024814</v>
      </c>
      <c r="AG5717" s="2">
        <f ca="1"/>
        <v>0.2804320676165033</v>
      </c>
      <c r="AH5717" s="2" t="str">
        <f ca="1"/>
        <v>OK</v>
      </c>
    </row>
    <row r="5718" spans="2:34" x14ac:dyDescent="0.2">
      <c r="B5718" s="2">
        <f ca="1"/>
        <v>0.74786548924550189</v>
      </c>
      <c r="O5718" s="2">
        <f ca="1"/>
        <v>0.99837729510749196</v>
      </c>
      <c r="X5718" s="2">
        <f ca="1"/>
        <v>64.91043037208027</v>
      </c>
      <c r="AG5718" s="2">
        <f ca="1"/>
        <v>5.8248551305073448E-3</v>
      </c>
      <c r="AH5718" s="2" t="str">
        <f ca="1"/>
        <v>Good</v>
      </c>
    </row>
    <row r="5719" spans="2:34" x14ac:dyDescent="0.2">
      <c r="B5719" s="2">
        <f ca="1"/>
        <v>9.7612722773028793E-2</v>
      </c>
      <c r="O5719" s="2">
        <f ca="1"/>
        <v>0.86720982303289706</v>
      </c>
      <c r="X5719" s="2">
        <f ca="1"/>
        <v>57.979930049103288</v>
      </c>
      <c r="AG5719" s="2">
        <f ca="1"/>
        <v>0.66446673568183812</v>
      </c>
      <c r="AH5719" s="2" t="str">
        <f ca="1"/>
        <v>Bad</v>
      </c>
    </row>
    <row r="5720" spans="2:34" x14ac:dyDescent="0.2">
      <c r="B5720" s="2">
        <f ca="1"/>
        <v>0.31679145770217421</v>
      </c>
      <c r="O5720" s="2">
        <f ca="1"/>
        <v>0.47014439397917712</v>
      </c>
      <c r="X5720" s="2">
        <f ca="1"/>
        <v>55.83026153833498</v>
      </c>
      <c r="AG5720" s="2">
        <f ca="1"/>
        <v>0.83122188099759042</v>
      </c>
      <c r="AH5720" s="2" t="str">
        <f ca="1"/>
        <v>Bad</v>
      </c>
    </row>
    <row r="5721" spans="2:34" x14ac:dyDescent="0.2">
      <c r="B5721" s="2">
        <f ca="1"/>
        <v>0.41990452706093118</v>
      </c>
      <c r="O5721" s="2">
        <f ca="1"/>
        <v>-0.92992455329718793</v>
      </c>
      <c r="X5721" s="2">
        <f ca="1"/>
        <v>33.083969659467485</v>
      </c>
      <c r="AG5721" s="2">
        <f ca="1"/>
        <v>8.7765891238404503E-2</v>
      </c>
      <c r="AH5721" s="2" t="str">
        <f ca="1"/>
        <v>OK</v>
      </c>
    </row>
    <row r="5722" spans="2:34" x14ac:dyDescent="0.2">
      <c r="B5722" s="2">
        <f ca="1"/>
        <v>0.63000056681691086</v>
      </c>
      <c r="O5722" s="2">
        <f ca="1"/>
        <v>-0.37080955365233653</v>
      </c>
      <c r="X5722" s="2">
        <f ca="1"/>
        <v>39.525452169350721</v>
      </c>
      <c r="AG5722" s="2">
        <f ca="1"/>
        <v>0.58252049269658612</v>
      </c>
      <c r="AH5722" s="2" t="str">
        <f ca="1"/>
        <v>Bad</v>
      </c>
    </row>
    <row r="5723" spans="2:34" x14ac:dyDescent="0.2">
      <c r="B5723" s="2">
        <f ca="1"/>
        <v>0.79315559846969652</v>
      </c>
      <c r="O5723" s="2">
        <f ca="1"/>
        <v>-0.67066044047628381</v>
      </c>
      <c r="X5723" s="2">
        <f ca="1"/>
        <v>30.492479649570008</v>
      </c>
      <c r="AG5723" s="2">
        <f ca="1"/>
        <v>0.19442987137817824</v>
      </c>
      <c r="AH5723" s="2" t="str">
        <f ca="1"/>
        <v>OK</v>
      </c>
    </row>
    <row r="5724" spans="2:34" x14ac:dyDescent="0.2">
      <c r="B5724" s="2">
        <f ca="1"/>
        <v>0.75503952102219118</v>
      </c>
      <c r="O5724" s="2">
        <f ca="1"/>
        <v>-9.0204555963658867E-2</v>
      </c>
      <c r="X5724" s="2">
        <f ca="1"/>
        <v>44.958615053137557</v>
      </c>
      <c r="AG5724" s="2">
        <f ca="1"/>
        <v>2.893451862221208E-2</v>
      </c>
      <c r="AH5724" s="2" t="str">
        <f ca="1"/>
        <v>Good</v>
      </c>
    </row>
    <row r="5725" spans="2:34" x14ac:dyDescent="0.2">
      <c r="B5725" s="2">
        <f ca="1"/>
        <v>0.86741351628239816</v>
      </c>
      <c r="O5725" s="2">
        <f ca="1"/>
        <v>-0.60932627968697395</v>
      </c>
      <c r="X5725" s="2">
        <f ca="1"/>
        <v>28.638372058966659</v>
      </c>
      <c r="AG5725" s="2">
        <f ca="1"/>
        <v>0.97846970891993412</v>
      </c>
      <c r="AH5725" s="2" t="str">
        <f ca="1"/>
        <v>Bad</v>
      </c>
    </row>
    <row r="5726" spans="2:34" x14ac:dyDescent="0.2">
      <c r="B5726" s="2">
        <f ca="1"/>
        <v>0.12553452081913408</v>
      </c>
      <c r="O5726" s="2">
        <f ca="1"/>
        <v>0.61490927651639826</v>
      </c>
      <c r="X5726" s="2">
        <f ca="1"/>
        <v>39.929056843856145</v>
      </c>
      <c r="AG5726" s="2">
        <f ca="1"/>
        <v>0.66037186424976868</v>
      </c>
      <c r="AH5726" s="2" t="str">
        <f ca="1"/>
        <v>Bad</v>
      </c>
    </row>
    <row r="5727" spans="2:34" x14ac:dyDescent="0.2">
      <c r="B5727" s="2">
        <f ca="1"/>
        <v>0.53329810561674917</v>
      </c>
      <c r="O5727" s="2">
        <f ca="1"/>
        <v>-0.54849020088949518</v>
      </c>
      <c r="X5727" s="2">
        <f ca="1"/>
        <v>42.796485679309875</v>
      </c>
      <c r="AG5727" s="2">
        <f ca="1"/>
        <v>0.43446104105293193</v>
      </c>
      <c r="AH5727" s="2" t="str">
        <f ca="1"/>
        <v>Bad</v>
      </c>
    </row>
    <row r="5728" spans="2:34" x14ac:dyDescent="0.2">
      <c r="B5728" s="2">
        <f ca="1"/>
        <v>0.32927038839693812</v>
      </c>
      <c r="O5728" s="2">
        <f ca="1"/>
        <v>1.2973723704933626</v>
      </c>
      <c r="X5728" s="2">
        <f ca="1"/>
        <v>54.055819086395623</v>
      </c>
      <c r="AG5728" s="2">
        <f ca="1"/>
        <v>0.15009990283043173</v>
      </c>
      <c r="AH5728" s="2" t="str">
        <f ca="1"/>
        <v>OK</v>
      </c>
    </row>
    <row r="5729" spans="2:34" x14ac:dyDescent="0.2">
      <c r="B5729" s="2">
        <f ca="1"/>
        <v>0.19949641366915749</v>
      </c>
      <c r="O5729" s="2">
        <f ca="1"/>
        <v>-1.6073956067836377</v>
      </c>
      <c r="X5729" s="2">
        <f ca="1"/>
        <v>51.439829989247201</v>
      </c>
      <c r="AG5729" s="2">
        <f ca="1"/>
        <v>0.82970681357789355</v>
      </c>
      <c r="AH5729" s="2" t="str">
        <f ca="1"/>
        <v>Bad</v>
      </c>
    </row>
    <row r="5730" spans="2:34" x14ac:dyDescent="0.2">
      <c r="B5730" s="2">
        <f ca="1"/>
        <v>8.8357080627571083E-2</v>
      </c>
      <c r="O5730" s="2">
        <f ca="1"/>
        <v>0.74312592423564072</v>
      </c>
      <c r="X5730" s="2">
        <f ca="1"/>
        <v>45.854005480836257</v>
      </c>
      <c r="AG5730" s="2">
        <f ca="1"/>
        <v>0.15337295740076229</v>
      </c>
      <c r="AH5730" s="2" t="str">
        <f ca="1"/>
        <v>OK</v>
      </c>
    </row>
    <row r="5731" spans="2:34" x14ac:dyDescent="0.2">
      <c r="B5731" s="2">
        <f ca="1"/>
        <v>0.27197396652439099</v>
      </c>
      <c r="O5731" s="2">
        <f ca="1"/>
        <v>-0.63349123139096586</v>
      </c>
      <c r="X5731" s="2">
        <f ca="1"/>
        <v>39.186959972815067</v>
      </c>
      <c r="AG5731" s="2">
        <f ca="1"/>
        <v>0.95594313597436287</v>
      </c>
      <c r="AH5731" s="2" t="str">
        <f ca="1"/>
        <v>Bad</v>
      </c>
    </row>
    <row r="5732" spans="2:34" x14ac:dyDescent="0.2">
      <c r="B5732" s="2">
        <f ca="1"/>
        <v>0.44053778933116394</v>
      </c>
      <c r="O5732" s="2">
        <f ca="1"/>
        <v>-0.25485430796721253</v>
      </c>
      <c r="X5732" s="2">
        <f ca="1"/>
        <v>32.471557406619105</v>
      </c>
      <c r="AG5732" s="2">
        <f ca="1"/>
        <v>0.60101014972253619</v>
      </c>
      <c r="AH5732" s="2" t="str">
        <f ca="1"/>
        <v>Bad</v>
      </c>
    </row>
    <row r="5733" spans="2:34" x14ac:dyDescent="0.2">
      <c r="B5733" s="2">
        <f ca="1"/>
        <v>0.12945787789512475</v>
      </c>
      <c r="O5733" s="2">
        <f ca="1"/>
        <v>0.34791287177790831</v>
      </c>
      <c r="X5733" s="2">
        <f ca="1"/>
        <v>41.202269113008512</v>
      </c>
      <c r="AG5733" s="2">
        <f ca="1"/>
        <v>0.51937402767005603</v>
      </c>
      <c r="AH5733" s="2" t="str">
        <f ca="1"/>
        <v>Bad</v>
      </c>
    </row>
    <row r="5734" spans="2:34" x14ac:dyDescent="0.2">
      <c r="B5734" s="2">
        <f ca="1"/>
        <v>0.36204123278288969</v>
      </c>
      <c r="O5734" s="2">
        <f ca="1"/>
        <v>1.7282821314337398</v>
      </c>
      <c r="X5734" s="2">
        <f ca="1"/>
        <v>58.787153694048861</v>
      </c>
      <c r="AG5734" s="2">
        <f ca="1"/>
        <v>0.78069997215508002</v>
      </c>
      <c r="AH5734" s="2" t="str">
        <f ca="1"/>
        <v>Bad</v>
      </c>
    </row>
    <row r="5735" spans="2:34" x14ac:dyDescent="0.2">
      <c r="B5735" s="2">
        <f ca="1"/>
        <v>0.40781361014647222</v>
      </c>
      <c r="O5735" s="2">
        <f ca="1"/>
        <v>-0.55102649755857114</v>
      </c>
      <c r="X5735" s="2">
        <f ca="1"/>
        <v>57.318675437332416</v>
      </c>
      <c r="AG5735" s="2">
        <f ca="1"/>
        <v>0.22507699136216974</v>
      </c>
      <c r="AH5735" s="2" t="str">
        <f ca="1"/>
        <v>OK</v>
      </c>
    </row>
    <row r="5736" spans="2:34" x14ac:dyDescent="0.2">
      <c r="B5736" s="2">
        <f ca="1"/>
        <v>0.81262006789042318</v>
      </c>
      <c r="O5736" s="2">
        <f ca="1"/>
        <v>-2.0811739292816465</v>
      </c>
      <c r="X5736" s="2">
        <f ca="1"/>
        <v>21.998353698642195</v>
      </c>
      <c r="AG5736" s="2">
        <f ca="1"/>
        <v>0.82436099429694676</v>
      </c>
      <c r="AH5736" s="2" t="str">
        <f ca="1"/>
        <v>Bad</v>
      </c>
    </row>
    <row r="5737" spans="2:34" x14ac:dyDescent="0.2">
      <c r="B5737" s="2">
        <f ca="1"/>
        <v>0.36937040107968611</v>
      </c>
      <c r="O5737" s="2">
        <f ca="1"/>
        <v>0.16689864044216882</v>
      </c>
      <c r="X5737" s="2">
        <f ca="1"/>
        <v>43.228165365767381</v>
      </c>
      <c r="AG5737" s="2">
        <f ca="1"/>
        <v>0.49742317130196034</v>
      </c>
      <c r="AH5737" s="2" t="str">
        <f ca="1"/>
        <v>Bad</v>
      </c>
    </row>
    <row r="5738" spans="2:34" x14ac:dyDescent="0.2">
      <c r="B5738" s="2">
        <f ca="1"/>
        <v>0.71705149898057541</v>
      </c>
      <c r="O5738" s="2">
        <f ca="1"/>
        <v>1.2094662622327741</v>
      </c>
      <c r="X5738" s="2">
        <f ca="1"/>
        <v>74.899438964356165</v>
      </c>
      <c r="AG5738" s="2">
        <f ca="1"/>
        <v>0.16954467199811218</v>
      </c>
      <c r="AH5738" s="2" t="str">
        <f ca="1"/>
        <v>OK</v>
      </c>
    </row>
    <row r="5739" spans="2:34" x14ac:dyDescent="0.2">
      <c r="B5739" s="2">
        <f ca="1"/>
        <v>0.18326491912157805</v>
      </c>
      <c r="O5739" s="2">
        <f ca="1"/>
        <v>-3.1838138831893743</v>
      </c>
      <c r="X5739" s="2">
        <f ca="1"/>
        <v>50.22122011331524</v>
      </c>
      <c r="AG5739" s="2">
        <f ca="1"/>
        <v>0.88073079316237934</v>
      </c>
      <c r="AH5739" s="2" t="str">
        <f ca="1"/>
        <v>Bad</v>
      </c>
    </row>
    <row r="5740" spans="2:34" x14ac:dyDescent="0.2">
      <c r="B5740" s="2">
        <f ca="1"/>
        <v>0.67052726357961201</v>
      </c>
      <c r="O5740" s="2">
        <f ca="1"/>
        <v>-1.0673502868180911</v>
      </c>
      <c r="X5740" s="2">
        <f ca="1"/>
        <v>38.713298426288233</v>
      </c>
      <c r="AG5740" s="2">
        <f ca="1"/>
        <v>0.81885315114165524</v>
      </c>
      <c r="AH5740" s="2" t="str">
        <f ca="1"/>
        <v>Bad</v>
      </c>
    </row>
    <row r="5741" spans="2:34" x14ac:dyDescent="0.2">
      <c r="B5741" s="2">
        <f ca="1"/>
        <v>6.5960114854317187E-2</v>
      </c>
      <c r="O5741" s="2">
        <f ca="1"/>
        <v>1.0447701962776783</v>
      </c>
      <c r="X5741" s="2">
        <f ca="1"/>
        <v>71.631616132413413</v>
      </c>
      <c r="AG5741" s="2">
        <f ca="1"/>
        <v>0.30822615376381912</v>
      </c>
      <c r="AH5741" s="2" t="str">
        <f ca="1"/>
        <v>OK</v>
      </c>
    </row>
    <row r="5742" spans="2:34" x14ac:dyDescent="0.2">
      <c r="B5742" s="2">
        <f ca="1"/>
        <v>5.730284943717967E-2</v>
      </c>
      <c r="O5742" s="2">
        <f ca="1"/>
        <v>-0.44111219596376522</v>
      </c>
      <c r="X5742" s="2">
        <f ca="1"/>
        <v>62.725907514299628</v>
      </c>
      <c r="AG5742" s="2">
        <f ca="1"/>
        <v>0.31690807131781562</v>
      </c>
      <c r="AH5742" s="2" t="str">
        <f ca="1"/>
        <v>OK</v>
      </c>
    </row>
    <row r="5743" spans="2:34" x14ac:dyDescent="0.2">
      <c r="B5743" s="2">
        <f ca="1"/>
        <v>6.3384377999722297E-3</v>
      </c>
      <c r="O5743" s="2">
        <f ca="1"/>
        <v>-1.3703191280397731E-2</v>
      </c>
      <c r="X5743" s="2">
        <f ca="1"/>
        <v>74.713040594938519</v>
      </c>
      <c r="AG5743" s="2">
        <f ca="1"/>
        <v>2.2510433315282796E-2</v>
      </c>
      <c r="AH5743" s="2" t="str">
        <f ca="1"/>
        <v>Good</v>
      </c>
    </row>
    <row r="5744" spans="2:34" x14ac:dyDescent="0.2">
      <c r="B5744" s="2">
        <f ca="1"/>
        <v>0.49479094963227066</v>
      </c>
      <c r="O5744" s="2">
        <f ca="1"/>
        <v>1.7682741608676285E-2</v>
      </c>
      <c r="X5744" s="2">
        <f ca="1"/>
        <v>50.19947140790174</v>
      </c>
      <c r="AG5744" s="2">
        <f ca="1"/>
        <v>0.10540322338572539</v>
      </c>
      <c r="AH5744" s="2" t="str">
        <f ca="1"/>
        <v>OK</v>
      </c>
    </row>
    <row r="5745" spans="2:34" x14ac:dyDescent="0.2">
      <c r="B5745" s="2">
        <f ca="1"/>
        <v>0.35675703413029503</v>
      </c>
      <c r="O5745" s="2">
        <f ca="1"/>
        <v>-0.11209386526366916</v>
      </c>
      <c r="X5745" s="2">
        <f ca="1"/>
        <v>59.71609570097506</v>
      </c>
      <c r="AG5745" s="2">
        <f ca="1"/>
        <v>0.88331197928296845</v>
      </c>
      <c r="AH5745" s="2" t="str">
        <f ca="1"/>
        <v>Bad</v>
      </c>
    </row>
    <row r="5746" spans="2:34" x14ac:dyDescent="0.2">
      <c r="B5746" s="2">
        <f ca="1"/>
        <v>0.52240054712212092</v>
      </c>
      <c r="O5746" s="2">
        <f ca="1"/>
        <v>0.14152106475602463</v>
      </c>
      <c r="X5746" s="2">
        <f ca="1"/>
        <v>56.757241705704132</v>
      </c>
      <c r="AG5746" s="2">
        <f ca="1"/>
        <v>0.77826775721219987</v>
      </c>
      <c r="AH5746" s="2" t="str">
        <f ca="1"/>
        <v>Bad</v>
      </c>
    </row>
    <row r="5747" spans="2:34" x14ac:dyDescent="0.2">
      <c r="B5747" s="2">
        <f ca="1"/>
        <v>1.2180827776275827E-2</v>
      </c>
      <c r="O5747" s="2">
        <f ca="1"/>
        <v>-1.0668929926486657</v>
      </c>
      <c r="X5747" s="2">
        <f ca="1"/>
        <v>39.259971650371341</v>
      </c>
      <c r="AG5747" s="2">
        <f ca="1"/>
        <v>0.88564218749806156</v>
      </c>
      <c r="AH5747" s="2" t="str">
        <f ca="1"/>
        <v>Bad</v>
      </c>
    </row>
    <row r="5748" spans="2:34" x14ac:dyDescent="0.2">
      <c r="B5748" s="2">
        <f ca="1"/>
        <v>0.4669986993422548</v>
      </c>
      <c r="O5748" s="2">
        <f ca="1"/>
        <v>-0.19006875703902931</v>
      </c>
      <c r="X5748" s="2">
        <f ca="1"/>
        <v>47.934813820337261</v>
      </c>
      <c r="AG5748" s="2">
        <f ca="1"/>
        <v>0.8890445008862764</v>
      </c>
      <c r="AH5748" s="2" t="str">
        <f ca="1"/>
        <v>Bad</v>
      </c>
    </row>
    <row r="5749" spans="2:34" x14ac:dyDescent="0.2">
      <c r="B5749" s="2">
        <f ca="1"/>
        <v>0.69984795366634844</v>
      </c>
      <c r="O5749" s="2">
        <f ca="1"/>
        <v>0.20419000632022519</v>
      </c>
      <c r="X5749" s="2">
        <f ca="1"/>
        <v>55.531737107522041</v>
      </c>
      <c r="AG5749" s="2">
        <f ca="1"/>
        <v>0.24926269512972477</v>
      </c>
      <c r="AH5749" s="2" t="str">
        <f ca="1"/>
        <v>OK</v>
      </c>
    </row>
    <row r="5750" spans="2:34" x14ac:dyDescent="0.2">
      <c r="B5750" s="2">
        <f ca="1"/>
        <v>6.7841503048012397E-2</v>
      </c>
      <c r="O5750" s="2">
        <f ca="1"/>
        <v>-0.906642623489608</v>
      </c>
      <c r="X5750" s="2">
        <f ca="1"/>
        <v>55.423704794182136</v>
      </c>
      <c r="AG5750" s="2">
        <f ca="1"/>
        <v>0.68031930102138705</v>
      </c>
      <c r="AH5750" s="2" t="str">
        <f ca="1"/>
        <v>Bad</v>
      </c>
    </row>
    <row r="5751" spans="2:34" x14ac:dyDescent="0.2">
      <c r="B5751" s="2">
        <f ca="1"/>
        <v>0.14878431603905007</v>
      </c>
      <c r="O5751" s="2">
        <f ca="1"/>
        <v>-3.5815834806584138E-2</v>
      </c>
      <c r="X5751" s="2">
        <f ca="1"/>
        <v>74.928576783603646</v>
      </c>
      <c r="AG5751" s="2">
        <f ca="1"/>
        <v>0.59174188849431242</v>
      </c>
      <c r="AH5751" s="2" t="str">
        <f ca="1"/>
        <v>Bad</v>
      </c>
    </row>
    <row r="5752" spans="2:34" x14ac:dyDescent="0.2">
      <c r="B5752" s="2">
        <f ca="1"/>
        <v>8.4092455259051846E-2</v>
      </c>
      <c r="O5752" s="2">
        <f ca="1"/>
        <v>0.28942018501277761</v>
      </c>
      <c r="X5752" s="2">
        <f ca="1"/>
        <v>55.841114318295297</v>
      </c>
      <c r="AG5752" s="2">
        <f ca="1"/>
        <v>0.62115839720227672</v>
      </c>
      <c r="AH5752" s="2" t="str">
        <f ca="1"/>
        <v>Bad</v>
      </c>
    </row>
    <row r="5753" spans="2:34" x14ac:dyDescent="0.2">
      <c r="B5753" s="2">
        <f ca="1"/>
        <v>0.45585482393484278</v>
      </c>
      <c r="O5753" s="2">
        <f ca="1"/>
        <v>-0.87231448490644958</v>
      </c>
      <c r="X5753" s="2">
        <f ca="1"/>
        <v>41.277068309564193</v>
      </c>
      <c r="AG5753" s="2">
        <f ca="1"/>
        <v>0.67865287585680512</v>
      </c>
      <c r="AH5753" s="2" t="str">
        <f ca="1"/>
        <v>Bad</v>
      </c>
    </row>
    <row r="5754" spans="2:34" x14ac:dyDescent="0.2">
      <c r="B5754" s="2">
        <f ca="1"/>
        <v>0.87063979971807304</v>
      </c>
      <c r="O5754" s="2">
        <f ca="1"/>
        <v>0.53036677826777745</v>
      </c>
      <c r="X5754" s="2">
        <f ca="1"/>
        <v>65.149395866376437</v>
      </c>
      <c r="AG5754" s="2">
        <f ca="1"/>
        <v>0.14626019610728247</v>
      </c>
      <c r="AH5754" s="2" t="str">
        <f ca="1"/>
        <v>OK</v>
      </c>
    </row>
    <row r="5755" spans="2:34" x14ac:dyDescent="0.2">
      <c r="B5755" s="2">
        <f ca="1"/>
        <v>0.85407386616538017</v>
      </c>
      <c r="O5755" s="2">
        <f ca="1"/>
        <v>0.30834012550487705</v>
      </c>
      <c r="X5755" s="2">
        <f ca="1"/>
        <v>49.90013821572493</v>
      </c>
      <c r="AG5755" s="2">
        <f ca="1"/>
        <v>0.94559403578898804</v>
      </c>
      <c r="AH5755" s="2" t="str">
        <f ca="1"/>
        <v>Bad</v>
      </c>
    </row>
    <row r="5756" spans="2:34" x14ac:dyDescent="0.2">
      <c r="B5756" s="2">
        <f ca="1"/>
        <v>0.63486439812466711</v>
      </c>
      <c r="O5756" s="2">
        <f ca="1"/>
        <v>-6.0680619715997301E-2</v>
      </c>
      <c r="X5756" s="2">
        <f ca="1"/>
        <v>34.912461602725358</v>
      </c>
      <c r="AG5756" s="2">
        <f ca="1"/>
        <v>3.24620184792348E-2</v>
      </c>
      <c r="AH5756" s="2" t="str">
        <f ca="1"/>
        <v>Good</v>
      </c>
    </row>
    <row r="5757" spans="2:34" x14ac:dyDescent="0.2">
      <c r="B5757" s="2">
        <f ca="1"/>
        <v>0.58386176877892915</v>
      </c>
      <c r="O5757" s="2">
        <f ca="1"/>
        <v>9.6901436899653096E-2</v>
      </c>
      <c r="X5757" s="2">
        <f ca="1"/>
        <v>37.181759776570061</v>
      </c>
      <c r="AG5757" s="2">
        <f ca="1"/>
        <v>0.26511982681138724</v>
      </c>
      <c r="AH5757" s="2" t="str">
        <f ca="1"/>
        <v>OK</v>
      </c>
    </row>
    <row r="5758" spans="2:34" x14ac:dyDescent="0.2">
      <c r="B5758" s="2">
        <f ca="1"/>
        <v>0.14640917457691627</v>
      </c>
      <c r="O5758" s="2">
        <f ca="1"/>
        <v>-0.24562893527508198</v>
      </c>
      <c r="X5758" s="2">
        <f ca="1"/>
        <v>43.443506591208518</v>
      </c>
      <c r="AG5758" s="2">
        <f ca="1"/>
        <v>0.82577396509913958</v>
      </c>
      <c r="AH5758" s="2" t="str">
        <f ca="1"/>
        <v>Bad</v>
      </c>
    </row>
    <row r="5759" spans="2:34" x14ac:dyDescent="0.2">
      <c r="B5759" s="2">
        <f ca="1"/>
        <v>0.20460855655014987</v>
      </c>
      <c r="O5759" s="2">
        <f ca="1"/>
        <v>0.49463477308281284</v>
      </c>
      <c r="X5759" s="2">
        <f ca="1"/>
        <v>28.420231904378142</v>
      </c>
      <c r="AG5759" s="2">
        <f ca="1"/>
        <v>0.1265461493605462</v>
      </c>
      <c r="AH5759" s="2" t="str">
        <f ca="1"/>
        <v>OK</v>
      </c>
    </row>
    <row r="5760" spans="2:34" x14ac:dyDescent="0.2">
      <c r="B5760" s="2">
        <f ca="1"/>
        <v>3.4613322329250407E-2</v>
      </c>
      <c r="O5760" s="2">
        <f ca="1"/>
        <v>-0.28534733672861862</v>
      </c>
      <c r="X5760" s="2">
        <f ca="1"/>
        <v>56.391910812659034</v>
      </c>
      <c r="AG5760" s="2">
        <f ca="1"/>
        <v>0.8566223845774632</v>
      </c>
      <c r="AH5760" s="2" t="str">
        <f ca="1"/>
        <v>Bad</v>
      </c>
    </row>
    <row r="5761" spans="2:34" x14ac:dyDescent="0.2">
      <c r="B5761" s="2">
        <f ca="1"/>
        <v>0.37248323444234543</v>
      </c>
      <c r="O5761" s="2">
        <f ca="1"/>
        <v>1.0392762267624183</v>
      </c>
      <c r="X5761" s="2">
        <f ca="1"/>
        <v>41.647914803819845</v>
      </c>
      <c r="AG5761" s="2">
        <f ca="1"/>
        <v>0.78702432700600244</v>
      </c>
      <c r="AH5761" s="2" t="str">
        <f ca="1"/>
        <v>Bad</v>
      </c>
    </row>
    <row r="5762" spans="2:34" x14ac:dyDescent="0.2">
      <c r="B5762" s="2">
        <f ca="1"/>
        <v>0.87108739001181346</v>
      </c>
      <c r="O5762" s="2">
        <f ca="1"/>
        <v>0.90304565237090573</v>
      </c>
      <c r="X5762" s="2">
        <f ca="1"/>
        <v>29.137765440797416</v>
      </c>
      <c r="AG5762" s="2">
        <f ca="1"/>
        <v>0.46728595089992853</v>
      </c>
      <c r="AH5762" s="2" t="str">
        <f ca="1"/>
        <v>Bad</v>
      </c>
    </row>
    <row r="5763" spans="2:34" x14ac:dyDescent="0.2">
      <c r="B5763" s="2">
        <f ca="1"/>
        <v>0.41087559738646018</v>
      </c>
      <c r="O5763" s="2">
        <f ca="1"/>
        <v>-1.572719348192797</v>
      </c>
      <c r="X5763" s="2">
        <f ca="1"/>
        <v>33.911723227622822</v>
      </c>
      <c r="AG5763" s="2">
        <f ca="1"/>
        <v>0.49155251713183401</v>
      </c>
      <c r="AH5763" s="2" t="str">
        <f ca="1"/>
        <v>Bad</v>
      </c>
    </row>
    <row r="5764" spans="2:34" x14ac:dyDescent="0.2">
      <c r="B5764" s="2">
        <f ca="1"/>
        <v>0.30092110424398122</v>
      </c>
      <c r="O5764" s="2">
        <f ca="1"/>
        <v>-0.14341709356401416</v>
      </c>
      <c r="X5764" s="2">
        <f ca="1"/>
        <v>53.716378085768014</v>
      </c>
      <c r="AG5764" s="2">
        <f ca="1"/>
        <v>0.71027790949386871</v>
      </c>
      <c r="AH5764" s="2" t="str">
        <f ca="1"/>
        <v>Bad</v>
      </c>
    </row>
    <row r="5765" spans="2:34" x14ac:dyDescent="0.2">
      <c r="B5765" s="2">
        <f ca="1"/>
        <v>0.69813368159493483</v>
      </c>
      <c r="O5765" s="2">
        <f ca="1"/>
        <v>0.62129157366269949</v>
      </c>
      <c r="X5765" s="2">
        <f ca="1"/>
        <v>51.600774785957427</v>
      </c>
      <c r="AG5765" s="2">
        <f ca="1"/>
        <v>0.37100041562915798</v>
      </c>
      <c r="AH5765" s="2" t="str">
        <f ca="1"/>
        <v>OK</v>
      </c>
    </row>
    <row r="5766" spans="2:34" x14ac:dyDescent="0.2">
      <c r="B5766" s="2">
        <f ca="1"/>
        <v>0.31784564093348799</v>
      </c>
      <c r="O5766" s="2">
        <f ca="1"/>
        <v>-0.47026461453507423</v>
      </c>
      <c r="X5766" s="2">
        <f ca="1"/>
        <v>42.880437071222644</v>
      </c>
      <c r="AG5766" s="2">
        <f ca="1"/>
        <v>0.54584447573825523</v>
      </c>
      <c r="AH5766" s="2" t="str">
        <f ca="1"/>
        <v>Bad</v>
      </c>
    </row>
    <row r="5767" spans="2:34" x14ac:dyDescent="0.2">
      <c r="B5767" s="2">
        <f ca="1"/>
        <v>0.74057116706227433</v>
      </c>
      <c r="O5767" s="2">
        <f ca="1"/>
        <v>-1.2131016647127366</v>
      </c>
      <c r="X5767" s="2">
        <f ca="1"/>
        <v>52.543863925747644</v>
      </c>
      <c r="AG5767" s="2">
        <f ca="1"/>
        <v>0.61265266508034433</v>
      </c>
      <c r="AH5767" s="2" t="str">
        <f ca="1"/>
        <v>Bad</v>
      </c>
    </row>
    <row r="5768" spans="2:34" x14ac:dyDescent="0.2">
      <c r="B5768" s="2">
        <f ca="1"/>
        <v>0.25129493084474785</v>
      </c>
      <c r="O5768" s="2">
        <f ca="1"/>
        <v>0.19185519398504303</v>
      </c>
      <c r="X5768" s="2">
        <f ca="1"/>
        <v>52.949875849629457</v>
      </c>
      <c r="AG5768" s="2">
        <f ca="1"/>
        <v>0.61652835721032484</v>
      </c>
      <c r="AH5768" s="2" t="str">
        <f ca="1"/>
        <v>Bad</v>
      </c>
    </row>
    <row r="5769" spans="2:34" x14ac:dyDescent="0.2">
      <c r="B5769" s="2">
        <f ca="1"/>
        <v>6.9228562329020304E-2</v>
      </c>
      <c r="O5769" s="2">
        <f ca="1"/>
        <v>-1.9312595428140882</v>
      </c>
      <c r="X5769" s="2">
        <f ca="1"/>
        <v>51.604193946809517</v>
      </c>
      <c r="AG5769" s="2">
        <f ca="1"/>
        <v>0.1132594854318727</v>
      </c>
      <c r="AH5769" s="2" t="str">
        <f ca="1"/>
        <v>OK</v>
      </c>
    </row>
    <row r="5770" spans="2:34" x14ac:dyDescent="0.2">
      <c r="B5770" s="2">
        <f ca="1"/>
        <v>0.436621508110139</v>
      </c>
      <c r="O5770" s="2">
        <f ca="1"/>
        <v>0.95167028636554973</v>
      </c>
      <c r="X5770" s="2">
        <f ca="1"/>
        <v>53.904198194345909</v>
      </c>
      <c r="AG5770" s="2">
        <f ca="1"/>
        <v>0.16613484707302639</v>
      </c>
      <c r="AH5770" s="2" t="str">
        <f ca="1"/>
        <v>OK</v>
      </c>
    </row>
    <row r="5771" spans="2:34" x14ac:dyDescent="0.2">
      <c r="B5771" s="2">
        <f ca="1"/>
        <v>0.52545112970653185</v>
      </c>
      <c r="O5771" s="2">
        <f ca="1"/>
        <v>-1.4131769306798334</v>
      </c>
      <c r="X5771" s="2">
        <f ca="1"/>
        <v>50.09142493013065</v>
      </c>
      <c r="AG5771" s="2">
        <f ca="1"/>
        <v>0.89803842977276638</v>
      </c>
      <c r="AH5771" s="2" t="str">
        <f ca="1"/>
        <v>Bad</v>
      </c>
    </row>
    <row r="5772" spans="2:34" x14ac:dyDescent="0.2">
      <c r="B5772" s="2">
        <f ca="1"/>
        <v>0.71471344223554456</v>
      </c>
      <c r="O5772" s="2">
        <f ca="1"/>
        <v>-1.9954279205555807E-2</v>
      </c>
      <c r="X5772" s="2">
        <f ca="1"/>
        <v>27.956456799852624</v>
      </c>
      <c r="AG5772" s="2">
        <f ca="1"/>
        <v>0.20435437382874544</v>
      </c>
      <c r="AH5772" s="2" t="str">
        <f ca="1"/>
        <v>OK</v>
      </c>
    </row>
    <row r="5773" spans="2:34" x14ac:dyDescent="0.2">
      <c r="B5773" s="2">
        <f ca="1"/>
        <v>0.98349327368101291</v>
      </c>
      <c r="O5773" s="2">
        <f ca="1"/>
        <v>-1.7752557018187127</v>
      </c>
      <c r="X5773" s="2">
        <f ca="1"/>
        <v>40.062518148231973</v>
      </c>
      <c r="AG5773" s="2">
        <f ca="1"/>
        <v>0.32373305278583597</v>
      </c>
      <c r="AH5773" s="2" t="str">
        <f ca="1"/>
        <v>OK</v>
      </c>
    </row>
    <row r="5774" spans="2:34" x14ac:dyDescent="0.2">
      <c r="B5774" s="2">
        <f ca="1"/>
        <v>0.7342642516844502</v>
      </c>
      <c r="O5774" s="2">
        <f ca="1"/>
        <v>0.66956291039984317</v>
      </c>
      <c r="X5774" s="2">
        <f ca="1"/>
        <v>49.634700637832694</v>
      </c>
      <c r="AG5774" s="2">
        <f ca="1"/>
        <v>0.34626229662042385</v>
      </c>
      <c r="AH5774" s="2" t="str">
        <f ca="1"/>
        <v>OK</v>
      </c>
    </row>
    <row r="5775" spans="2:34" x14ac:dyDescent="0.2">
      <c r="B5775" s="2">
        <f ca="1"/>
        <v>0.72266170561769472</v>
      </c>
      <c r="O5775" s="2">
        <f ca="1"/>
        <v>0.46938560631782106</v>
      </c>
      <c r="X5775" s="2">
        <f ca="1"/>
        <v>36.382084881661491</v>
      </c>
      <c r="AG5775" s="2">
        <f ca="1"/>
        <v>0.13129725225181765</v>
      </c>
      <c r="AH5775" s="2" t="str">
        <f ca="1"/>
        <v>OK</v>
      </c>
    </row>
    <row r="5776" spans="2:34" x14ac:dyDescent="0.2">
      <c r="B5776" s="2">
        <f ca="1"/>
        <v>0.52272302816447191</v>
      </c>
      <c r="O5776" s="2">
        <f ca="1"/>
        <v>0.29743081825030054</v>
      </c>
      <c r="X5776" s="2">
        <f ca="1"/>
        <v>43.86354310480327</v>
      </c>
      <c r="AG5776" s="2">
        <f ca="1"/>
        <v>0.45576524882942038</v>
      </c>
      <c r="AH5776" s="2" t="str">
        <f ca="1"/>
        <v>Bad</v>
      </c>
    </row>
    <row r="5777" spans="2:34" x14ac:dyDescent="0.2">
      <c r="B5777" s="2">
        <f ca="1"/>
        <v>0.32417457497068569</v>
      </c>
      <c r="O5777" s="2">
        <f ca="1"/>
        <v>-0.87872925303653926</v>
      </c>
      <c r="X5777" s="2">
        <f ca="1"/>
        <v>79.053260234025203</v>
      </c>
      <c r="AG5777" s="2">
        <f ca="1"/>
        <v>0.81991093284877103</v>
      </c>
      <c r="AH5777" s="2" t="str">
        <f ca="1"/>
        <v>Bad</v>
      </c>
    </row>
    <row r="5778" spans="2:34" x14ac:dyDescent="0.2">
      <c r="B5778" s="2">
        <f ca="1"/>
        <v>0.3295730422231109</v>
      </c>
      <c r="O5778" s="2">
        <f ca="1"/>
        <v>-0.80574882508228152</v>
      </c>
      <c r="X5778" s="2">
        <f ca="1"/>
        <v>66.808078597066881</v>
      </c>
      <c r="AG5778" s="2">
        <f ca="1"/>
        <v>0.61181380775701144</v>
      </c>
      <c r="AH5778" s="2" t="str">
        <f ca="1"/>
        <v>Bad</v>
      </c>
    </row>
    <row r="5779" spans="2:34" x14ac:dyDescent="0.2">
      <c r="B5779" s="2">
        <f ca="1"/>
        <v>3.8294496394752686E-2</v>
      </c>
      <c r="O5779" s="2">
        <f ca="1"/>
        <v>-0.44164693608768463</v>
      </c>
      <c r="X5779" s="2">
        <f ca="1"/>
        <v>78.184193827261041</v>
      </c>
      <c r="AG5779" s="2">
        <f ca="1"/>
        <v>0.62125246206947726</v>
      </c>
      <c r="AH5779" s="2" t="str">
        <f ca="1"/>
        <v>Bad</v>
      </c>
    </row>
    <row r="5780" spans="2:34" x14ac:dyDescent="0.2">
      <c r="B5780" s="2">
        <f ca="1"/>
        <v>0.1433668827582677</v>
      </c>
      <c r="O5780" s="2">
        <f ca="1"/>
        <v>1.2555981881363765</v>
      </c>
      <c r="X5780" s="2">
        <f ca="1"/>
        <v>28.529318342800039</v>
      </c>
      <c r="AG5780" s="2">
        <f ca="1"/>
        <v>0.26271119747856919</v>
      </c>
      <c r="AH5780" s="2" t="str">
        <f ca="1"/>
        <v>OK</v>
      </c>
    </row>
    <row r="5781" spans="2:34" x14ac:dyDescent="0.2">
      <c r="B5781" s="2">
        <f ca="1"/>
        <v>0.73295298327567804</v>
      </c>
      <c r="O5781" s="2">
        <f ca="1"/>
        <v>-0.36529725452900941</v>
      </c>
      <c r="X5781" s="2">
        <f ca="1"/>
        <v>69.847045851704777</v>
      </c>
      <c r="AG5781" s="2">
        <f ca="1"/>
        <v>0.72903924732514036</v>
      </c>
      <c r="AH5781" s="2" t="str">
        <f ca="1"/>
        <v>Bad</v>
      </c>
    </row>
    <row r="5782" spans="2:34" x14ac:dyDescent="0.2">
      <c r="B5782" s="2">
        <f ca="1"/>
        <v>0.96287593691912066</v>
      </c>
      <c r="O5782" s="2">
        <f ca="1"/>
        <v>-2.377122863742618E-2</v>
      </c>
      <c r="X5782" s="2">
        <f ca="1"/>
        <v>60.314415261363777</v>
      </c>
      <c r="AG5782" s="2">
        <f ca="1"/>
        <v>4.2360223043775846E-3</v>
      </c>
      <c r="AH5782" s="2" t="str">
        <f ca="1"/>
        <v>Good</v>
      </c>
    </row>
    <row r="5783" spans="2:34" x14ac:dyDescent="0.2">
      <c r="B5783" s="2">
        <f ca="1"/>
        <v>0.22231613026308672</v>
      </c>
      <c r="O5783" s="2">
        <f ca="1"/>
        <v>-0.74440100583858093</v>
      </c>
      <c r="X5783" s="2">
        <f ca="1"/>
        <v>63.197324061074809</v>
      </c>
      <c r="AG5783" s="2">
        <f ca="1"/>
        <v>0.49218051615813962</v>
      </c>
      <c r="AH5783" s="2" t="str">
        <f ca="1"/>
        <v>Bad</v>
      </c>
    </row>
    <row r="5784" spans="2:34" x14ac:dyDescent="0.2">
      <c r="B5784" s="2">
        <f ca="1"/>
        <v>0.978704221429328</v>
      </c>
      <c r="O5784" s="2">
        <f ca="1"/>
        <v>-1.8216989674168431</v>
      </c>
      <c r="X5784" s="2">
        <f ca="1"/>
        <v>24.061470789151098</v>
      </c>
      <c r="AG5784" s="2">
        <f ca="1"/>
        <v>0.38917417122174047</v>
      </c>
      <c r="AH5784" s="2" t="str">
        <f ca="1"/>
        <v>OK</v>
      </c>
    </row>
    <row r="5785" spans="2:34" x14ac:dyDescent="0.2">
      <c r="B5785" s="2">
        <f ca="1"/>
        <v>0.25335727671108055</v>
      </c>
      <c r="O5785" s="2">
        <f ca="1"/>
        <v>-0.24780862482524157</v>
      </c>
      <c r="X5785" s="2">
        <f ca="1"/>
        <v>29.350456855513571</v>
      </c>
      <c r="AG5785" s="2">
        <f ca="1"/>
        <v>0.57835073308451923</v>
      </c>
      <c r="AH5785" s="2" t="str">
        <f ca="1"/>
        <v>Bad</v>
      </c>
    </row>
    <row r="5786" spans="2:34" x14ac:dyDescent="0.2">
      <c r="B5786" s="2">
        <f ca="1"/>
        <v>0.1452507081973462</v>
      </c>
      <c r="O5786" s="2">
        <f ca="1"/>
        <v>0.15479139062374561</v>
      </c>
      <c r="X5786" s="2">
        <f ca="1"/>
        <v>35.894790387029133</v>
      </c>
      <c r="AG5786" s="2">
        <f ca="1"/>
        <v>0.25023828807325765</v>
      </c>
      <c r="AH5786" s="2" t="str">
        <f ca="1"/>
        <v>OK</v>
      </c>
    </row>
    <row r="5787" spans="2:34" x14ac:dyDescent="0.2">
      <c r="B5787" s="2">
        <f ca="1"/>
        <v>0.15264125082047064</v>
      </c>
      <c r="O5787" s="2">
        <f ca="1"/>
        <v>0.32828317676747826</v>
      </c>
      <c r="X5787" s="2">
        <f ca="1"/>
        <v>45.222112372767327</v>
      </c>
      <c r="AG5787" s="2">
        <f ca="1"/>
        <v>0.21664391245860215</v>
      </c>
      <c r="AH5787" s="2" t="str">
        <f ca="1"/>
        <v>OK</v>
      </c>
    </row>
    <row r="5788" spans="2:34" x14ac:dyDescent="0.2">
      <c r="B5788" s="2">
        <f ca="1"/>
        <v>0.97355811448931906</v>
      </c>
      <c r="O5788" s="2">
        <f ca="1"/>
        <v>1.0572051178744459</v>
      </c>
      <c r="X5788" s="2">
        <f ca="1"/>
        <v>87.335199273427136</v>
      </c>
      <c r="AG5788" s="2">
        <f ca="1"/>
        <v>0.22819895840618942</v>
      </c>
      <c r="AH5788" s="2" t="str">
        <f ca="1"/>
        <v>OK</v>
      </c>
    </row>
    <row r="5789" spans="2:34" x14ac:dyDescent="0.2">
      <c r="B5789" s="2">
        <f ca="1"/>
        <v>0.26574545483883605</v>
      </c>
      <c r="O5789" s="2">
        <f ca="1"/>
        <v>-0.37447981596779689</v>
      </c>
      <c r="X5789" s="2">
        <f ca="1"/>
        <v>62.515509709052701</v>
      </c>
      <c r="AG5789" s="2">
        <f ca="1"/>
        <v>0.57099655288084117</v>
      </c>
      <c r="AH5789" s="2" t="str">
        <f ca="1"/>
        <v>Bad</v>
      </c>
    </row>
    <row r="5790" spans="2:34" x14ac:dyDescent="0.2">
      <c r="B5790" s="2">
        <f ca="1"/>
        <v>0.9899507742762661</v>
      </c>
      <c r="O5790" s="2">
        <f ca="1"/>
        <v>-2.6449614971716433E-2</v>
      </c>
      <c r="X5790" s="2">
        <f ca="1"/>
        <v>65.235250817035762</v>
      </c>
      <c r="AG5790" s="2">
        <f ca="1"/>
        <v>0.4408360443612489</v>
      </c>
      <c r="AH5790" s="2" t="str">
        <f ca="1"/>
        <v>Bad</v>
      </c>
    </row>
    <row r="5791" spans="2:34" x14ac:dyDescent="0.2">
      <c r="B5791" s="2">
        <f ca="1"/>
        <v>0.45995990782787821</v>
      </c>
      <c r="O5791" s="2">
        <f ca="1"/>
        <v>1.0574357169463964</v>
      </c>
      <c r="X5791" s="2">
        <f ca="1"/>
        <v>46.32980582544608</v>
      </c>
      <c r="AG5791" s="2">
        <f ca="1"/>
        <v>0.42325274890146103</v>
      </c>
      <c r="AH5791" s="2" t="str">
        <f ca="1"/>
        <v>Bad</v>
      </c>
    </row>
    <row r="5792" spans="2:34" x14ac:dyDescent="0.2">
      <c r="B5792" s="2">
        <f ca="1"/>
        <v>0.38162467427103675</v>
      </c>
      <c r="O5792" s="2">
        <f ca="1"/>
        <v>-0.4890843539393534</v>
      </c>
      <c r="X5792" s="2">
        <f ca="1"/>
        <v>42.957672030129871</v>
      </c>
      <c r="AG5792" s="2">
        <f ca="1"/>
        <v>0.43130067707641162</v>
      </c>
      <c r="AH5792" s="2" t="str">
        <f ca="1"/>
        <v>Bad</v>
      </c>
    </row>
    <row r="5793" spans="2:34" x14ac:dyDescent="0.2">
      <c r="B5793" s="2">
        <f ca="1"/>
        <v>0.22756711348966152</v>
      </c>
      <c r="O5793" s="2">
        <f ca="1"/>
        <v>-1.1463184436320148</v>
      </c>
      <c r="X5793" s="2">
        <f ca="1"/>
        <v>55.079955550379623</v>
      </c>
      <c r="AG5793" s="2">
        <f ca="1"/>
        <v>0.36081816829297697</v>
      </c>
      <c r="AH5793" s="2" t="str">
        <f ca="1"/>
        <v>OK</v>
      </c>
    </row>
    <row r="5794" spans="2:34" x14ac:dyDescent="0.2">
      <c r="B5794" s="2">
        <f ca="1"/>
        <v>0.79151529080068261</v>
      </c>
      <c r="O5794" s="2">
        <f ca="1"/>
        <v>-0.14438315772193325</v>
      </c>
      <c r="X5794" s="2">
        <f ca="1"/>
        <v>42.489395391250568</v>
      </c>
      <c r="AG5794" s="2">
        <f ca="1"/>
        <v>0.85981167734960628</v>
      </c>
      <c r="AH5794" s="2" t="str">
        <f ca="1"/>
        <v>Bad</v>
      </c>
    </row>
    <row r="5795" spans="2:34" x14ac:dyDescent="0.2">
      <c r="B5795" s="2">
        <f ca="1"/>
        <v>0.7026999749271432</v>
      </c>
      <c r="O5795" s="2">
        <f ca="1"/>
        <v>0.60264136049317607</v>
      </c>
      <c r="X5795" s="2">
        <f ca="1"/>
        <v>66.980173670870059</v>
      </c>
      <c r="AG5795" s="2">
        <f ca="1"/>
        <v>0.39185280047991844</v>
      </c>
      <c r="AH5795" s="2" t="str">
        <f ca="1"/>
        <v>OK</v>
      </c>
    </row>
    <row r="5796" spans="2:34" x14ac:dyDescent="0.2">
      <c r="B5796" s="2">
        <f ca="1"/>
        <v>0.43179631511798178</v>
      </c>
      <c r="O5796" s="2">
        <f ca="1"/>
        <v>-0.29656679195750957</v>
      </c>
      <c r="X5796" s="2">
        <f ca="1"/>
        <v>36.104824228514154</v>
      </c>
      <c r="AG5796" s="2">
        <f ca="1"/>
        <v>0.49447157370304273</v>
      </c>
      <c r="AH5796" s="2" t="str">
        <f ca="1"/>
        <v>Bad</v>
      </c>
    </row>
    <row r="5797" spans="2:34" x14ac:dyDescent="0.2">
      <c r="B5797" s="2">
        <f ca="1"/>
        <v>0.94857375535515809</v>
      </c>
      <c r="O5797" s="2">
        <f ca="1"/>
        <v>-0.94079390255038342</v>
      </c>
      <c r="X5797" s="2">
        <f ca="1"/>
        <v>60.455989077084084</v>
      </c>
      <c r="AG5797" s="2">
        <f ca="1"/>
        <v>0.712331796771702</v>
      </c>
      <c r="AH5797" s="2" t="str">
        <f ca="1"/>
        <v>Bad</v>
      </c>
    </row>
    <row r="5798" spans="2:34" x14ac:dyDescent="0.2">
      <c r="B5798" s="2">
        <f ca="1"/>
        <v>4.5896329322943519E-2</v>
      </c>
      <c r="O5798" s="2">
        <f ca="1"/>
        <v>0.15217652080726965</v>
      </c>
      <c r="X5798" s="2">
        <f ca="1"/>
        <v>79.242704844942253</v>
      </c>
      <c r="AG5798" s="2">
        <f ca="1"/>
        <v>0.9610348216163247</v>
      </c>
      <c r="AH5798" s="2" t="str">
        <f ca="1"/>
        <v>Bad</v>
      </c>
    </row>
    <row r="5799" spans="2:34" x14ac:dyDescent="0.2">
      <c r="B5799" s="2">
        <f ca="1"/>
        <v>0.38521799956389269</v>
      </c>
      <c r="O5799" s="2">
        <f ca="1"/>
        <v>-0.64993168479826025</v>
      </c>
      <c r="X5799" s="2">
        <f ca="1"/>
        <v>43.631740030544421</v>
      </c>
      <c r="AG5799" s="2">
        <f ca="1"/>
        <v>0.68847080738313049</v>
      </c>
      <c r="AH5799" s="2" t="str">
        <f ca="1"/>
        <v>Bad</v>
      </c>
    </row>
    <row r="5800" spans="2:34" x14ac:dyDescent="0.2">
      <c r="B5800" s="2">
        <f ca="1"/>
        <v>0.22859734715584801</v>
      </c>
      <c r="O5800" s="2">
        <f ca="1"/>
        <v>-0.42556300803465663</v>
      </c>
      <c r="X5800" s="2">
        <f ca="1"/>
        <v>33.03934537246478</v>
      </c>
      <c r="AG5800" s="2">
        <f ca="1"/>
        <v>0.24574556204152742</v>
      </c>
      <c r="AH5800" s="2" t="str">
        <f ca="1"/>
        <v>OK</v>
      </c>
    </row>
    <row r="5801" spans="2:34" x14ac:dyDescent="0.2">
      <c r="B5801" s="2">
        <f ca="1"/>
        <v>0.5832600162930619</v>
      </c>
      <c r="O5801" s="2">
        <f ca="1"/>
        <v>0.29991444834668646</v>
      </c>
      <c r="X5801" s="2">
        <f ca="1"/>
        <v>75.679339860703593</v>
      </c>
      <c r="AG5801" s="2">
        <f ca="1"/>
        <v>0.41313215627918143</v>
      </c>
      <c r="AH5801" s="2" t="str">
        <f ca="1"/>
        <v>Bad</v>
      </c>
    </row>
    <row r="5802" spans="2:34" x14ac:dyDescent="0.2">
      <c r="B5802" s="2">
        <f ca="1"/>
        <v>9.4389216684944044E-2</v>
      </c>
      <c r="O5802" s="2">
        <f ca="1"/>
        <v>0.74931831270703908</v>
      </c>
      <c r="X5802" s="2">
        <f ca="1"/>
        <v>30.80839307966864</v>
      </c>
      <c r="AG5802" s="2">
        <f ca="1"/>
        <v>0.59002215117875867</v>
      </c>
      <c r="AH5802" s="2" t="str">
        <f ca="1"/>
        <v>Bad</v>
      </c>
    </row>
    <row r="5803" spans="2:34" x14ac:dyDescent="0.2">
      <c r="B5803" s="2">
        <f ca="1"/>
        <v>0.65721745834722145</v>
      </c>
      <c r="O5803" s="2">
        <f ca="1"/>
        <v>-1.5161496109182637</v>
      </c>
      <c r="X5803" s="2">
        <f ca="1"/>
        <v>26.604907507430354</v>
      </c>
      <c r="AG5803" s="2">
        <f ca="1"/>
        <v>0.99807448126007969</v>
      </c>
      <c r="AH5803" s="2" t="str">
        <f ca="1"/>
        <v>Bad</v>
      </c>
    </row>
    <row r="5804" spans="2:34" x14ac:dyDescent="0.2">
      <c r="B5804" s="2">
        <f ca="1"/>
        <v>0.38325309678743591</v>
      </c>
      <c r="O5804" s="2">
        <f ca="1"/>
        <v>-3.584089239178273E-2</v>
      </c>
      <c r="X5804" s="2">
        <f ca="1"/>
        <v>39.225555709365494</v>
      </c>
      <c r="AG5804" s="2">
        <f ca="1"/>
        <v>0.50828164965779843</v>
      </c>
      <c r="AH5804" s="2" t="str">
        <f ca="1"/>
        <v>Bad</v>
      </c>
    </row>
    <row r="5805" spans="2:34" x14ac:dyDescent="0.2">
      <c r="B5805" s="2">
        <f ca="1"/>
        <v>0.72769787407158093</v>
      </c>
      <c r="O5805" s="2">
        <f ca="1"/>
        <v>-0.37091164279488159</v>
      </c>
      <c r="X5805" s="2">
        <f ca="1"/>
        <v>36.588536254457814</v>
      </c>
      <c r="AG5805" s="2">
        <f ca="1"/>
        <v>0.48925269690112461</v>
      </c>
      <c r="AH5805" s="2" t="str">
        <f ca="1"/>
        <v>Bad</v>
      </c>
    </row>
    <row r="5806" spans="2:34" x14ac:dyDescent="0.2">
      <c r="B5806" s="2">
        <f ca="1"/>
        <v>0.19404057450805268</v>
      </c>
      <c r="O5806" s="2">
        <f ca="1"/>
        <v>1.3801606478745494</v>
      </c>
      <c r="X5806" s="2">
        <f ca="1"/>
        <v>87.474642907572758</v>
      </c>
      <c r="AG5806" s="2">
        <f ca="1"/>
        <v>0.88027269456486579</v>
      </c>
      <c r="AH5806" s="2" t="str">
        <f ca="1"/>
        <v>Bad</v>
      </c>
    </row>
    <row r="5807" spans="2:34" x14ac:dyDescent="0.2">
      <c r="B5807" s="2">
        <f ca="1"/>
        <v>0.83559976440142791</v>
      </c>
      <c r="O5807" s="2">
        <f ca="1"/>
        <v>-0.21775992293340624</v>
      </c>
      <c r="X5807" s="2">
        <f ca="1"/>
        <v>74.974819648175597</v>
      </c>
      <c r="AG5807" s="2">
        <f ca="1"/>
        <v>0.3637640356432621</v>
      </c>
      <c r="AH5807" s="2" t="str">
        <f ca="1"/>
        <v>OK</v>
      </c>
    </row>
    <row r="5808" spans="2:34" x14ac:dyDescent="0.2">
      <c r="B5808" s="2">
        <f ca="1"/>
        <v>7.2152997965988508E-2</v>
      </c>
      <c r="O5808" s="2">
        <f ca="1"/>
        <v>0.62960927679359968</v>
      </c>
      <c r="X5808" s="2">
        <f ca="1"/>
        <v>55.497083734795048</v>
      </c>
      <c r="AG5808" s="2">
        <f ca="1"/>
        <v>3.1124865820299163E-2</v>
      </c>
      <c r="AH5808" s="2" t="str">
        <f ca="1"/>
        <v>Good</v>
      </c>
    </row>
    <row r="5809" spans="2:34" x14ac:dyDescent="0.2">
      <c r="B5809" s="2">
        <f ca="1"/>
        <v>0.11263742907264307</v>
      </c>
      <c r="O5809" s="2">
        <f ca="1"/>
        <v>-5.964987723141979E-2</v>
      </c>
      <c r="X5809" s="2">
        <f ca="1"/>
        <v>42.474173350437724</v>
      </c>
      <c r="AG5809" s="2">
        <f ca="1"/>
        <v>0.10152857771489554</v>
      </c>
      <c r="AH5809" s="2" t="str">
        <f ca="1"/>
        <v>OK</v>
      </c>
    </row>
    <row r="5810" spans="2:34" x14ac:dyDescent="0.2">
      <c r="B5810" s="2">
        <f ca="1"/>
        <v>7.6513274950906318E-2</v>
      </c>
      <c r="O5810" s="2">
        <f ca="1"/>
        <v>3.8752964338625559E-2</v>
      </c>
      <c r="X5810" s="2">
        <f ca="1"/>
        <v>48.447887593202111</v>
      </c>
      <c r="AG5810" s="2">
        <f ca="1"/>
        <v>0.89688418979907758</v>
      </c>
      <c r="AH5810" s="2" t="str">
        <f ca="1"/>
        <v>Bad</v>
      </c>
    </row>
    <row r="5811" spans="2:34" x14ac:dyDescent="0.2">
      <c r="B5811" s="2">
        <f ca="1"/>
        <v>0.9938286650117254</v>
      </c>
      <c r="O5811" s="2">
        <f ca="1"/>
        <v>-0.53401495704971458</v>
      </c>
      <c r="X5811" s="2">
        <f ca="1"/>
        <v>24.208391081445786</v>
      </c>
      <c r="AG5811" s="2">
        <f ca="1"/>
        <v>0.22680570218143759</v>
      </c>
      <c r="AH5811" s="2" t="str">
        <f ca="1"/>
        <v>OK</v>
      </c>
    </row>
    <row r="5812" spans="2:34" x14ac:dyDescent="0.2">
      <c r="B5812" s="2">
        <f ca="1"/>
        <v>0.20210307747905154</v>
      </c>
      <c r="O5812" s="2">
        <f ca="1"/>
        <v>-1.7956742938284398</v>
      </c>
      <c r="X5812" s="2">
        <f ca="1"/>
        <v>49.325584775895557</v>
      </c>
      <c r="AG5812" s="2">
        <f ca="1"/>
        <v>0.64303814605503318</v>
      </c>
      <c r="AH5812" s="2" t="str">
        <f ca="1"/>
        <v>Bad</v>
      </c>
    </row>
    <row r="5813" spans="2:34" x14ac:dyDescent="0.2">
      <c r="B5813" s="2">
        <f ca="1"/>
        <v>0.28665900189317051</v>
      </c>
      <c r="O5813" s="2">
        <f ca="1"/>
        <v>1.0288680480272283</v>
      </c>
      <c r="X5813" s="2">
        <f ca="1"/>
        <v>28.7030207003681</v>
      </c>
      <c r="AG5813" s="2">
        <f ca="1"/>
        <v>9.1953030822789827E-2</v>
      </c>
      <c r="AH5813" s="2" t="str">
        <f ca="1"/>
        <v>OK</v>
      </c>
    </row>
    <row r="5814" spans="2:34" x14ac:dyDescent="0.2">
      <c r="B5814" s="2">
        <f ca="1"/>
        <v>2.802219392747074E-2</v>
      </c>
      <c r="O5814" s="2">
        <f ca="1"/>
        <v>1.4529983007978549</v>
      </c>
      <c r="X5814" s="2">
        <f ca="1"/>
        <v>40.648120078166691</v>
      </c>
      <c r="AG5814" s="2">
        <f ca="1"/>
        <v>9.9775622677268139E-2</v>
      </c>
      <c r="AH5814" s="2" t="str">
        <f ca="1"/>
        <v>OK</v>
      </c>
    </row>
    <row r="5815" spans="2:34" x14ac:dyDescent="0.2">
      <c r="B5815" s="2">
        <f ca="1"/>
        <v>0.47905457827414022</v>
      </c>
      <c r="O5815" s="2">
        <f ca="1"/>
        <v>-1.1204573520799739</v>
      </c>
      <c r="X5815" s="2">
        <f ca="1"/>
        <v>39.192440806347435</v>
      </c>
      <c r="AG5815" s="2">
        <f ca="1"/>
        <v>0.79767346004695816</v>
      </c>
      <c r="AH5815" s="2" t="str">
        <f ca="1"/>
        <v>Bad</v>
      </c>
    </row>
    <row r="5816" spans="2:34" x14ac:dyDescent="0.2">
      <c r="B5816" s="2">
        <f ca="1"/>
        <v>0.45166154090408916</v>
      </c>
      <c r="O5816" s="2">
        <f ca="1"/>
        <v>0.6495201853794047</v>
      </c>
      <c r="X5816" s="2">
        <f ca="1"/>
        <v>73.137040357576595</v>
      </c>
      <c r="AG5816" s="2">
        <f ca="1"/>
        <v>0.58691434914418128</v>
      </c>
      <c r="AH5816" s="2" t="str">
        <f ca="1"/>
        <v>Bad</v>
      </c>
    </row>
    <row r="5817" spans="2:34" x14ac:dyDescent="0.2">
      <c r="B5817" s="2">
        <f ca="1"/>
        <v>0.96260111463623144</v>
      </c>
      <c r="O5817" s="2">
        <f ca="1"/>
        <v>-0.43523444940579387</v>
      </c>
      <c r="X5817" s="2">
        <f ca="1"/>
        <v>23.849260854082498</v>
      </c>
      <c r="AG5817" s="2">
        <f ca="1"/>
        <v>0.1244169027777704</v>
      </c>
      <c r="AH5817" s="2" t="str">
        <f ca="1"/>
        <v>OK</v>
      </c>
    </row>
    <row r="5818" spans="2:34" x14ac:dyDescent="0.2">
      <c r="B5818" s="2">
        <f ca="1"/>
        <v>3.8261285037500592E-2</v>
      </c>
      <c r="O5818" s="2">
        <f ca="1"/>
        <v>0.28652954396302993</v>
      </c>
      <c r="X5818" s="2">
        <f ca="1"/>
        <v>53.646460684342607</v>
      </c>
      <c r="AG5818" s="2">
        <f ca="1"/>
        <v>3.9505000686519631E-2</v>
      </c>
      <c r="AH5818" s="2" t="str">
        <f ca="1"/>
        <v>Good</v>
      </c>
    </row>
    <row r="5819" spans="2:34" x14ac:dyDescent="0.2">
      <c r="B5819" s="2">
        <f ca="1"/>
        <v>0.41077603596965639</v>
      </c>
      <c r="O5819" s="2">
        <f ca="1"/>
        <v>8.8831043196707218E-2</v>
      </c>
      <c r="X5819" s="2">
        <f ca="1"/>
        <v>62.30980887418341</v>
      </c>
      <c r="AG5819" s="2">
        <f ca="1"/>
        <v>0.17738431566369273</v>
      </c>
      <c r="AH5819" s="2" t="str">
        <f ca="1"/>
        <v>OK</v>
      </c>
    </row>
    <row r="5820" spans="2:34" x14ac:dyDescent="0.2">
      <c r="B5820" s="2">
        <f ca="1"/>
        <v>0.55435312215696797</v>
      </c>
      <c r="O5820" s="2">
        <f ca="1"/>
        <v>0.23051412763786933</v>
      </c>
      <c r="X5820" s="2">
        <f ca="1"/>
        <v>42.805355939645963</v>
      </c>
      <c r="AG5820" s="2">
        <f ca="1"/>
        <v>0.57649404655342606</v>
      </c>
      <c r="AH5820" s="2" t="str">
        <f ca="1"/>
        <v>Bad</v>
      </c>
    </row>
    <row r="5821" spans="2:34" x14ac:dyDescent="0.2">
      <c r="B5821" s="2">
        <f ca="1"/>
        <v>0.19499034582921149</v>
      </c>
      <c r="O5821" s="2">
        <f ca="1"/>
        <v>2.6097500557705602</v>
      </c>
      <c r="X5821" s="2">
        <f ca="1"/>
        <v>50.851581549300406</v>
      </c>
      <c r="AG5821" s="2">
        <f ca="1"/>
        <v>0.63081010007137794</v>
      </c>
      <c r="AH5821" s="2" t="str">
        <f ca="1"/>
        <v>Bad</v>
      </c>
    </row>
    <row r="5822" spans="2:34" x14ac:dyDescent="0.2">
      <c r="B5822" s="2">
        <f ca="1"/>
        <v>0.13113109747779461</v>
      </c>
      <c r="O5822" s="2">
        <f ca="1"/>
        <v>-6.8765680927607726E-3</v>
      </c>
      <c r="X5822" s="2">
        <f ca="1"/>
        <v>70.733829252511697</v>
      </c>
      <c r="AG5822" s="2">
        <f ca="1"/>
        <v>0.16465085424969339</v>
      </c>
      <c r="AH5822" s="2" t="str">
        <f ca="1"/>
        <v>OK</v>
      </c>
    </row>
    <row r="5823" spans="2:34" x14ac:dyDescent="0.2">
      <c r="B5823" s="2">
        <f ca="1"/>
        <v>0.16987786935309623</v>
      </c>
      <c r="O5823" s="2">
        <f ca="1"/>
        <v>-2.3771093557347722</v>
      </c>
      <c r="X5823" s="2">
        <f ca="1"/>
        <v>47.039438417370711</v>
      </c>
      <c r="AG5823" s="2">
        <f ca="1"/>
        <v>0.62705551768063761</v>
      </c>
      <c r="AH5823" s="2" t="str">
        <f ca="1"/>
        <v>Bad</v>
      </c>
    </row>
    <row r="5824" spans="2:34" x14ac:dyDescent="0.2">
      <c r="B5824" s="2">
        <f ca="1"/>
        <v>0.18204672507954101</v>
      </c>
      <c r="O5824" s="2">
        <f ca="1"/>
        <v>0.65190686508158169</v>
      </c>
      <c r="X5824" s="2">
        <f ca="1"/>
        <v>64.499355304387294</v>
      </c>
      <c r="AG5824" s="2">
        <f ca="1"/>
        <v>0.98077100643259207</v>
      </c>
      <c r="AH5824" s="2" t="str">
        <f ca="1"/>
        <v>Bad</v>
      </c>
    </row>
    <row r="5825" spans="2:34" x14ac:dyDescent="0.2">
      <c r="B5825" s="2">
        <f ca="1"/>
        <v>0.56162985584292535</v>
      </c>
      <c r="O5825" s="2">
        <f ca="1"/>
        <v>-0.16296509912719223</v>
      </c>
      <c r="X5825" s="2">
        <f ca="1"/>
        <v>58.240900753795508</v>
      </c>
      <c r="AG5825" s="2">
        <f ca="1"/>
        <v>0.31241751519487915</v>
      </c>
      <c r="AH5825" s="2" t="str">
        <f ca="1"/>
        <v>OK</v>
      </c>
    </row>
    <row r="5826" spans="2:34" x14ac:dyDescent="0.2">
      <c r="B5826" s="2">
        <f ca="1"/>
        <v>0.54446638418391657</v>
      </c>
      <c r="O5826" s="2">
        <f ca="1"/>
        <v>0.14195599729315439</v>
      </c>
      <c r="X5826" s="2">
        <f ca="1"/>
        <v>44.882375815690466</v>
      </c>
      <c r="AG5826" s="2">
        <f ca="1"/>
        <v>0.99184486952013451</v>
      </c>
      <c r="AH5826" s="2" t="str">
        <f ca="1"/>
        <v>Bad</v>
      </c>
    </row>
    <row r="5827" spans="2:34" x14ac:dyDescent="0.2">
      <c r="B5827" s="2">
        <f ca="1"/>
        <v>0.71108706664533927</v>
      </c>
      <c r="O5827" s="2">
        <f ca="1"/>
        <v>-0.73435006419522331</v>
      </c>
      <c r="X5827" s="2">
        <f ca="1"/>
        <v>45.965849159985979</v>
      </c>
      <c r="AG5827" s="2">
        <f ca="1"/>
        <v>0.8979109604878559</v>
      </c>
      <c r="AH5827" s="2" t="str">
        <f ca="1"/>
        <v>Bad</v>
      </c>
    </row>
    <row r="5828" spans="2:34" x14ac:dyDescent="0.2">
      <c r="B5828" s="2">
        <f ca="1"/>
        <v>0.3154896447815021</v>
      </c>
      <c r="O5828" s="2">
        <f ca="1"/>
        <v>0.48927098179308426</v>
      </c>
      <c r="X5828" s="2">
        <f ca="1"/>
        <v>36.746036259317513</v>
      </c>
      <c r="AG5828" s="2">
        <f ca="1"/>
        <v>0.43583466137655247</v>
      </c>
      <c r="AH5828" s="2" t="str">
        <f ca="1"/>
        <v>Bad</v>
      </c>
    </row>
    <row r="5829" spans="2:34" x14ac:dyDescent="0.2">
      <c r="B5829" s="2">
        <f ca="1"/>
        <v>0.92301013022698508</v>
      </c>
      <c r="O5829" s="2">
        <f ca="1"/>
        <v>2.9953223297380538E-2</v>
      </c>
      <c r="X5829" s="2">
        <f ca="1"/>
        <v>29.205477775954762</v>
      </c>
      <c r="AG5829" s="2">
        <f ca="1"/>
        <v>0.5752368283371887</v>
      </c>
      <c r="AH5829" s="2" t="str">
        <f ca="1"/>
        <v>Bad</v>
      </c>
    </row>
    <row r="5830" spans="2:34" x14ac:dyDescent="0.2">
      <c r="B5830" s="2">
        <f ca="1"/>
        <v>0.26754093327898065</v>
      </c>
      <c r="O5830" s="2">
        <f ca="1"/>
        <v>0.58115442487023761</v>
      </c>
      <c r="X5830" s="2">
        <f ca="1"/>
        <v>27.550618895595107</v>
      </c>
      <c r="AG5830" s="2">
        <f ca="1"/>
        <v>8.6643214002803948E-2</v>
      </c>
      <c r="AH5830" s="2" t="str">
        <f ca="1"/>
        <v>OK</v>
      </c>
    </row>
    <row r="5831" spans="2:34" x14ac:dyDescent="0.2">
      <c r="B5831" s="2">
        <f ca="1"/>
        <v>0.37904517049383935</v>
      </c>
      <c r="O5831" s="2">
        <f ca="1"/>
        <v>-0.83985606882694264</v>
      </c>
      <c r="X5831" s="2">
        <f ca="1"/>
        <v>58.170057588595967</v>
      </c>
      <c r="AG5831" s="2">
        <f ca="1"/>
        <v>4.7936366210114434E-2</v>
      </c>
      <c r="AH5831" s="2" t="str">
        <f ca="1"/>
        <v>Good</v>
      </c>
    </row>
    <row r="5832" spans="2:34" x14ac:dyDescent="0.2">
      <c r="B5832" s="2">
        <f ca="1"/>
        <v>0.53413335674166529</v>
      </c>
      <c r="O5832" s="2">
        <f ca="1"/>
        <v>-0.94347599883944366</v>
      </c>
      <c r="X5832" s="2">
        <f ca="1"/>
        <v>48.711327745829209</v>
      </c>
      <c r="AG5832" s="2">
        <f ca="1"/>
        <v>2.1805779888297128E-2</v>
      </c>
      <c r="AH5832" s="2" t="str">
        <f ca="1"/>
        <v>Good</v>
      </c>
    </row>
    <row r="5833" spans="2:34" x14ac:dyDescent="0.2">
      <c r="B5833" s="2">
        <f ca="1"/>
        <v>0.13254226822783477</v>
      </c>
      <c r="O5833" s="2">
        <f ca="1"/>
        <v>0.19834876018676748</v>
      </c>
      <c r="X5833" s="2">
        <f ca="1"/>
        <v>55.683878898527652</v>
      </c>
      <c r="AG5833" s="2">
        <f ca="1"/>
        <v>0.35347583476705036</v>
      </c>
      <c r="AH5833" s="2" t="str">
        <f ca="1"/>
        <v>OK</v>
      </c>
    </row>
    <row r="5834" spans="2:34" x14ac:dyDescent="0.2">
      <c r="B5834" s="2">
        <f ca="1"/>
        <v>0.71633842306410433</v>
      </c>
      <c r="O5834" s="2">
        <f ca="1"/>
        <v>-0.17934576535851113</v>
      </c>
      <c r="X5834" s="2">
        <f ca="1"/>
        <v>69.2693863736868</v>
      </c>
      <c r="AG5834" s="2">
        <f ca="1"/>
        <v>0.88691793443389089</v>
      </c>
      <c r="AH5834" s="2" t="str">
        <f ca="1"/>
        <v>Bad</v>
      </c>
    </row>
    <row r="5835" spans="2:34" x14ac:dyDescent="0.2">
      <c r="B5835" s="2">
        <f ca="1"/>
        <v>0.59705593467641549</v>
      </c>
      <c r="O5835" s="2">
        <f ca="1"/>
        <v>-0.8804001455980226</v>
      </c>
      <c r="X5835" s="2">
        <f ca="1"/>
        <v>58.96201489451488</v>
      </c>
      <c r="AG5835" s="2">
        <f ca="1"/>
        <v>0.61059346856900776</v>
      </c>
      <c r="AH5835" s="2" t="str">
        <f ca="1"/>
        <v>Bad</v>
      </c>
    </row>
    <row r="5836" spans="2:34" x14ac:dyDescent="0.2">
      <c r="B5836" s="2">
        <f ca="1"/>
        <v>0.31898462192259225</v>
      </c>
      <c r="O5836" s="2">
        <f ca="1"/>
        <v>0.75942747031799607</v>
      </c>
      <c r="X5836" s="2">
        <f ca="1"/>
        <v>48.859657051279456</v>
      </c>
      <c r="AG5836" s="2">
        <f ca="1"/>
        <v>0.79773391970876761</v>
      </c>
      <c r="AH5836" s="2" t="str">
        <f ca="1"/>
        <v>Bad</v>
      </c>
    </row>
    <row r="5837" spans="2:34" x14ac:dyDescent="0.2">
      <c r="B5837" s="2">
        <f ca="1"/>
        <v>0.87432477814848863</v>
      </c>
      <c r="O5837" s="2">
        <f ca="1"/>
        <v>-0.74612869026193929</v>
      </c>
      <c r="X5837" s="2">
        <f ca="1"/>
        <v>36.60407106847871</v>
      </c>
      <c r="AG5837" s="2">
        <f ca="1"/>
        <v>0.23801342736134656</v>
      </c>
      <c r="AH5837" s="2" t="str">
        <f ca="1"/>
        <v>OK</v>
      </c>
    </row>
    <row r="5838" spans="2:34" x14ac:dyDescent="0.2">
      <c r="B5838" s="2">
        <f ca="1"/>
        <v>0.75642935996050675</v>
      </c>
      <c r="O5838" s="2">
        <f ca="1"/>
        <v>0.32598960201874461</v>
      </c>
      <c r="X5838" s="2">
        <f ca="1"/>
        <v>33.69219583588842</v>
      </c>
      <c r="AG5838" s="2">
        <f ca="1"/>
        <v>0.8592475542054081</v>
      </c>
      <c r="AH5838" s="2" t="str">
        <f ca="1"/>
        <v>Bad</v>
      </c>
    </row>
    <row r="5839" spans="2:34" x14ac:dyDescent="0.2">
      <c r="B5839" s="2">
        <f ca="1"/>
        <v>0.10630411703292175</v>
      </c>
      <c r="O5839" s="2">
        <f ca="1"/>
        <v>1.4985266054683326</v>
      </c>
      <c r="X5839" s="2">
        <f ca="1"/>
        <v>75.425071449686271</v>
      </c>
      <c r="AG5839" s="2">
        <f ca="1"/>
        <v>2.6775502545933527E-2</v>
      </c>
      <c r="AH5839" s="2" t="str">
        <f ca="1"/>
        <v>Good</v>
      </c>
    </row>
    <row r="5840" spans="2:34" x14ac:dyDescent="0.2">
      <c r="B5840" s="2">
        <f ca="1"/>
        <v>3.0157314875973507E-2</v>
      </c>
      <c r="O5840" s="2">
        <f ca="1"/>
        <v>-0.55120842196483932</v>
      </c>
      <c r="X5840" s="2">
        <f ca="1"/>
        <v>35.672621053415739</v>
      </c>
      <c r="AG5840" s="2">
        <f ca="1"/>
        <v>0.43155663982858217</v>
      </c>
      <c r="AH5840" s="2" t="str">
        <f ca="1"/>
        <v>Bad</v>
      </c>
    </row>
    <row r="5841" spans="2:34" x14ac:dyDescent="0.2">
      <c r="B5841" s="2">
        <f ca="1"/>
        <v>0.36248806110203824</v>
      </c>
      <c r="O5841" s="2">
        <f ca="1"/>
        <v>-0.17940081259620005</v>
      </c>
      <c r="X5841" s="2">
        <f ca="1"/>
        <v>52.955328289073307</v>
      </c>
      <c r="AG5841" s="2">
        <f ca="1"/>
        <v>0.41418275505533275</v>
      </c>
      <c r="AH5841" s="2" t="str">
        <f ca="1"/>
        <v>Bad</v>
      </c>
    </row>
    <row r="5842" spans="2:34" x14ac:dyDescent="0.2">
      <c r="B5842" s="2">
        <f ca="1"/>
        <v>0.69084158622560032</v>
      </c>
      <c r="O5842" s="2">
        <f ca="1"/>
        <v>-0.21021760522910998</v>
      </c>
      <c r="X5842" s="2">
        <f ca="1"/>
        <v>56.479488119540953</v>
      </c>
      <c r="AG5842" s="2">
        <f ca="1"/>
        <v>0.86143661452286024</v>
      </c>
      <c r="AH5842" s="2" t="str">
        <f ca="1"/>
        <v>Bad</v>
      </c>
    </row>
    <row r="5843" spans="2:34" x14ac:dyDescent="0.2">
      <c r="B5843" s="2">
        <f ca="1"/>
        <v>0.34321504060612118</v>
      </c>
      <c r="O5843" s="2">
        <f ca="1"/>
        <v>0.20536219383592674</v>
      </c>
      <c r="X5843" s="2">
        <f ca="1"/>
        <v>34.357464586958748</v>
      </c>
      <c r="AG5843" s="2">
        <f ca="1"/>
        <v>0.8435241015313808</v>
      </c>
      <c r="AH5843" s="2" t="str">
        <f ca="1"/>
        <v>Bad</v>
      </c>
    </row>
    <row r="5844" spans="2:34" x14ac:dyDescent="0.2">
      <c r="B5844" s="2">
        <f ca="1"/>
        <v>0.59452313194306239</v>
      </c>
      <c r="O5844" s="2">
        <f ca="1"/>
        <v>0.42407617052487584</v>
      </c>
      <c r="X5844" s="2">
        <f ca="1"/>
        <v>38.780499035384501</v>
      </c>
      <c r="AG5844" s="2">
        <f ca="1"/>
        <v>0.60322616057458789</v>
      </c>
      <c r="AH5844" s="2" t="str">
        <f ca="1"/>
        <v>Bad</v>
      </c>
    </row>
    <row r="5845" spans="2:34" x14ac:dyDescent="0.2">
      <c r="B5845" s="2">
        <f ca="1"/>
        <v>0.38455021789059507</v>
      </c>
      <c r="O5845" s="2">
        <f ca="1"/>
        <v>0.42708387854477009</v>
      </c>
      <c r="X5845" s="2">
        <f ca="1"/>
        <v>71.042176511602477</v>
      </c>
      <c r="AG5845" s="2">
        <f ca="1"/>
        <v>0.20465123824424403</v>
      </c>
      <c r="AH5845" s="2" t="str">
        <f ca="1"/>
        <v>OK</v>
      </c>
    </row>
    <row r="5846" spans="2:34" x14ac:dyDescent="0.2">
      <c r="B5846" s="2">
        <f ca="1"/>
        <v>0.48231450089758487</v>
      </c>
      <c r="O5846" s="2">
        <f ca="1"/>
        <v>0.67515155240301872</v>
      </c>
      <c r="X5846" s="2">
        <f ca="1"/>
        <v>37.861361651813766</v>
      </c>
      <c r="AG5846" s="2">
        <f ca="1"/>
        <v>0.97633570533364522</v>
      </c>
      <c r="AH5846" s="2" t="str">
        <f ca="1"/>
        <v>Bad</v>
      </c>
    </row>
    <row r="5847" spans="2:34" x14ac:dyDescent="0.2">
      <c r="B5847" s="2">
        <f ca="1"/>
        <v>0.1225440828612534</v>
      </c>
      <c r="O5847" s="2">
        <f ca="1"/>
        <v>1.7713819139603451</v>
      </c>
      <c r="X5847" s="2">
        <f ca="1"/>
        <v>59.255182071719837</v>
      </c>
      <c r="AG5847" s="2">
        <f ca="1"/>
        <v>0.21055948323770091</v>
      </c>
      <c r="AH5847" s="2" t="str">
        <f ca="1"/>
        <v>OK</v>
      </c>
    </row>
    <row r="5848" spans="2:34" x14ac:dyDescent="0.2">
      <c r="B5848" s="2">
        <f ca="1"/>
        <v>0.15770955128771003</v>
      </c>
      <c r="O5848" s="2">
        <f ca="1"/>
        <v>-0.84774897714892905</v>
      </c>
      <c r="X5848" s="2">
        <f ca="1"/>
        <v>66.755306970919165</v>
      </c>
      <c r="AG5848" s="2">
        <f ca="1"/>
        <v>1.9902379463008213E-2</v>
      </c>
      <c r="AH5848" s="2" t="str">
        <f ca="1"/>
        <v>Good</v>
      </c>
    </row>
    <row r="5849" spans="2:34" x14ac:dyDescent="0.2">
      <c r="B5849" s="2">
        <f ca="1"/>
        <v>0.99326470042218262</v>
      </c>
      <c r="O5849" s="2">
        <f ca="1"/>
        <v>0.21599962140220652</v>
      </c>
      <c r="X5849" s="2">
        <f ca="1"/>
        <v>27.072378427794348</v>
      </c>
      <c r="AG5849" s="2">
        <f ca="1"/>
        <v>0.47733935022228846</v>
      </c>
      <c r="AH5849" s="2" t="str">
        <f ca="1"/>
        <v>Bad</v>
      </c>
    </row>
    <row r="5850" spans="2:34" x14ac:dyDescent="0.2">
      <c r="B5850" s="2">
        <f ca="1"/>
        <v>0.4715733421436572</v>
      </c>
      <c r="O5850" s="2">
        <f ca="1"/>
        <v>-0.94159143948623647</v>
      </c>
      <c r="X5850" s="2">
        <f ca="1"/>
        <v>28.122423181552918</v>
      </c>
      <c r="AG5850" s="2">
        <f ca="1"/>
        <v>0.70869338943867799</v>
      </c>
      <c r="AH5850" s="2" t="str">
        <f ca="1"/>
        <v>Bad</v>
      </c>
    </row>
    <row r="5851" spans="2:34" x14ac:dyDescent="0.2">
      <c r="B5851" s="2">
        <f ca="1"/>
        <v>0.10164210117325467</v>
      </c>
      <c r="O5851" s="2">
        <f ca="1"/>
        <v>0.33788013324955024</v>
      </c>
      <c r="X5851" s="2">
        <f ca="1"/>
        <v>35.493944285626782</v>
      </c>
      <c r="AG5851" s="2">
        <f ca="1"/>
        <v>0.40267761450131867</v>
      </c>
      <c r="AH5851" s="2" t="str">
        <f ca="1"/>
        <v>Bad</v>
      </c>
    </row>
    <row r="5852" spans="2:34" x14ac:dyDescent="0.2">
      <c r="B5852" s="2">
        <f ca="1"/>
        <v>0.92178819156225167</v>
      </c>
      <c r="O5852" s="2">
        <f ca="1"/>
        <v>0.28554053849492977</v>
      </c>
      <c r="X5852" s="2">
        <f ca="1"/>
        <v>27.360628502291043</v>
      </c>
      <c r="AG5852" s="2">
        <f ca="1"/>
        <v>0.29014031964703513</v>
      </c>
      <c r="AH5852" s="2" t="str">
        <f ca="1"/>
        <v>OK</v>
      </c>
    </row>
    <row r="5853" spans="2:34" x14ac:dyDescent="0.2">
      <c r="B5853" s="2">
        <f ca="1"/>
        <v>0.64198642023470387</v>
      </c>
      <c r="O5853" s="2">
        <f ca="1"/>
        <v>0.99062711295360206</v>
      </c>
      <c r="X5853" s="2">
        <f ca="1"/>
        <v>45.952888021311708</v>
      </c>
      <c r="AG5853" s="2">
        <f ca="1"/>
        <v>0.94023138441396137</v>
      </c>
      <c r="AH5853" s="2" t="str">
        <f ca="1"/>
        <v>Bad</v>
      </c>
    </row>
    <row r="5854" spans="2:34" x14ac:dyDescent="0.2">
      <c r="B5854" s="2">
        <f ca="1"/>
        <v>0.88261448305413248</v>
      </c>
      <c r="O5854" s="2">
        <f ca="1"/>
        <v>1.0657327550459792</v>
      </c>
      <c r="X5854" s="2">
        <f ca="1"/>
        <v>58.508545124248592</v>
      </c>
      <c r="AG5854" s="2">
        <f ca="1"/>
        <v>0.3429655278177739</v>
      </c>
      <c r="AH5854" s="2" t="str">
        <f ca="1"/>
        <v>OK</v>
      </c>
    </row>
    <row r="5855" spans="2:34" x14ac:dyDescent="0.2">
      <c r="B5855" s="2">
        <f ca="1"/>
        <v>0.2368227144197792</v>
      </c>
      <c r="O5855" s="2">
        <f ca="1"/>
        <v>-1.0319564127613288</v>
      </c>
      <c r="X5855" s="2">
        <f ca="1"/>
        <v>43.209744807395431</v>
      </c>
      <c r="AG5855" s="2">
        <f ca="1"/>
        <v>0.19796878212881319</v>
      </c>
      <c r="AH5855" s="2" t="str">
        <f ca="1"/>
        <v>OK</v>
      </c>
    </row>
    <row r="5856" spans="2:34" x14ac:dyDescent="0.2">
      <c r="B5856" s="2">
        <f ca="1"/>
        <v>0.84781758114004102</v>
      </c>
      <c r="O5856" s="2">
        <f ca="1"/>
        <v>-0.48321115630768596</v>
      </c>
      <c r="X5856" s="2">
        <f ca="1"/>
        <v>33.703019279678472</v>
      </c>
      <c r="AG5856" s="2">
        <f ca="1"/>
        <v>0.74348972435971095</v>
      </c>
      <c r="AH5856" s="2" t="str">
        <f ca="1"/>
        <v>Bad</v>
      </c>
    </row>
    <row r="5857" spans="2:34" x14ac:dyDescent="0.2">
      <c r="B5857" s="2">
        <f ca="1"/>
        <v>0.18840955941778437</v>
      </c>
      <c r="O5857" s="2">
        <f ca="1"/>
        <v>0.8693766392718002</v>
      </c>
      <c r="X5857" s="2">
        <f ca="1"/>
        <v>23.72410254584317</v>
      </c>
      <c r="AG5857" s="2">
        <f ca="1"/>
        <v>0.51436108183308216</v>
      </c>
      <c r="AH5857" s="2" t="str">
        <f ca="1"/>
        <v>Bad</v>
      </c>
    </row>
    <row r="5858" spans="2:34" x14ac:dyDescent="0.2">
      <c r="B5858" s="2">
        <f ca="1"/>
        <v>0.6031039880289244</v>
      </c>
      <c r="O5858" s="2">
        <f ca="1"/>
        <v>-0.53796797686367781</v>
      </c>
      <c r="X5858" s="2">
        <f ca="1"/>
        <v>65.753173695744366</v>
      </c>
      <c r="AG5858" s="2">
        <f ca="1"/>
        <v>0.61938659598105361</v>
      </c>
      <c r="AH5858" s="2" t="str">
        <f ca="1"/>
        <v>Bad</v>
      </c>
    </row>
    <row r="5859" spans="2:34" x14ac:dyDescent="0.2">
      <c r="B5859" s="2">
        <f ca="1"/>
        <v>8.2100002495333113E-2</v>
      </c>
      <c r="O5859" s="2">
        <f ca="1"/>
        <v>1.4704527220707151</v>
      </c>
      <c r="X5859" s="2">
        <f ca="1"/>
        <v>30.64282038851416</v>
      </c>
      <c r="AG5859" s="2">
        <f ca="1"/>
        <v>0.88407924436521546</v>
      </c>
      <c r="AH5859" s="2" t="str">
        <f ca="1"/>
        <v>Bad</v>
      </c>
    </row>
    <row r="5860" spans="2:34" x14ac:dyDescent="0.2">
      <c r="B5860" s="2">
        <f ca="1"/>
        <v>0.36804626545869534</v>
      </c>
      <c r="O5860" s="2">
        <f ca="1"/>
        <v>1.3125656955698337</v>
      </c>
      <c r="X5860" s="2">
        <f ca="1"/>
        <v>48.689557951330748</v>
      </c>
      <c r="AG5860" s="2">
        <f ca="1"/>
        <v>0.48133237482164626</v>
      </c>
      <c r="AH5860" s="2" t="str">
        <f ca="1"/>
        <v>Bad</v>
      </c>
    </row>
    <row r="5861" spans="2:34" x14ac:dyDescent="0.2">
      <c r="B5861" s="2">
        <f ca="1"/>
        <v>8.3263836508841393E-2</v>
      </c>
      <c r="O5861" s="2">
        <f ca="1"/>
        <v>0.16525983410400766</v>
      </c>
      <c r="X5861" s="2">
        <f ca="1"/>
        <v>62.534713613573359</v>
      </c>
      <c r="AG5861" s="2">
        <f ca="1"/>
        <v>0.38554366630040593</v>
      </c>
      <c r="AH5861" s="2" t="str">
        <f ca="1"/>
        <v>OK</v>
      </c>
    </row>
    <row r="5862" spans="2:34" x14ac:dyDescent="0.2">
      <c r="B5862" s="2">
        <f ca="1"/>
        <v>0.96669107194742709</v>
      </c>
      <c r="O5862" s="2">
        <f ca="1"/>
        <v>-0.96156852485546584</v>
      </c>
      <c r="X5862" s="2">
        <f ca="1"/>
        <v>52.76115891649313</v>
      </c>
      <c r="AG5862" s="2">
        <f ca="1"/>
        <v>0.47210739262439794</v>
      </c>
      <c r="AH5862" s="2" t="str">
        <f ca="1"/>
        <v>Bad</v>
      </c>
    </row>
    <row r="5863" spans="2:34" x14ac:dyDescent="0.2">
      <c r="B5863" s="2">
        <f ca="1"/>
        <v>0.91754609312140323</v>
      </c>
      <c r="O5863" s="2">
        <f ca="1"/>
        <v>2.2056290265430767E-2</v>
      </c>
      <c r="X5863" s="2">
        <f ca="1"/>
        <v>29.422612027953026</v>
      </c>
      <c r="AG5863" s="2">
        <f ca="1"/>
        <v>0.59139075122052565</v>
      </c>
      <c r="AH5863" s="2" t="str">
        <f ca="1"/>
        <v>Bad</v>
      </c>
    </row>
    <row r="5864" spans="2:34" x14ac:dyDescent="0.2">
      <c r="B5864" s="2">
        <f ca="1"/>
        <v>0.68930948141368842</v>
      </c>
      <c r="O5864" s="2">
        <f ca="1"/>
        <v>-0.28035106416747868</v>
      </c>
      <c r="X5864" s="2">
        <f ca="1"/>
        <v>40.573076254561336</v>
      </c>
      <c r="AG5864" s="2">
        <f ca="1"/>
        <v>0.22978846963401267</v>
      </c>
      <c r="AH5864" s="2" t="str">
        <f ca="1"/>
        <v>OK</v>
      </c>
    </row>
    <row r="5865" spans="2:34" x14ac:dyDescent="0.2">
      <c r="B5865" s="2">
        <f ca="1"/>
        <v>0.57569250366168201</v>
      </c>
      <c r="O5865" s="2">
        <f ca="1"/>
        <v>0.21162379095693748</v>
      </c>
      <c r="X5865" s="2">
        <f ca="1"/>
        <v>39.938747555533254</v>
      </c>
      <c r="AG5865" s="2">
        <f ca="1"/>
        <v>0.34605798476698468</v>
      </c>
      <c r="AH5865" s="2" t="str">
        <f ca="1"/>
        <v>OK</v>
      </c>
    </row>
    <row r="5866" spans="2:34" x14ac:dyDescent="0.2">
      <c r="B5866" s="2">
        <f ca="1"/>
        <v>0.97393657056381633</v>
      </c>
      <c r="O5866" s="2">
        <f ca="1"/>
        <v>-0.27759603951974843</v>
      </c>
      <c r="X5866" s="2">
        <f ca="1"/>
        <v>55.22533216206476</v>
      </c>
      <c r="AG5866" s="2">
        <f ca="1"/>
        <v>0.30741538870720553</v>
      </c>
      <c r="AH5866" s="2" t="str">
        <f ca="1"/>
        <v>OK</v>
      </c>
    </row>
    <row r="5867" spans="2:34" x14ac:dyDescent="0.2">
      <c r="B5867" s="2">
        <f ca="1"/>
        <v>0.29045126935751764</v>
      </c>
      <c r="O5867" s="2">
        <f ca="1"/>
        <v>0.56913110550831425</v>
      </c>
      <c r="X5867" s="2">
        <f ca="1"/>
        <v>52.018176575814294</v>
      </c>
      <c r="AG5867" s="2">
        <f ca="1"/>
        <v>0.79040239130676171</v>
      </c>
      <c r="AH5867" s="2" t="str">
        <f ca="1"/>
        <v>Bad</v>
      </c>
    </row>
    <row r="5868" spans="2:34" x14ac:dyDescent="0.2">
      <c r="B5868" s="2">
        <f ca="1"/>
        <v>0.324305054663234</v>
      </c>
      <c r="O5868" s="2">
        <f ca="1"/>
        <v>0.72106689082350128</v>
      </c>
      <c r="X5868" s="2">
        <f ca="1"/>
        <v>59.949050780464219</v>
      </c>
      <c r="AG5868" s="2">
        <f ca="1"/>
        <v>0.55952859877862182</v>
      </c>
      <c r="AH5868" s="2" t="str">
        <f ca="1"/>
        <v>Bad</v>
      </c>
    </row>
    <row r="5869" spans="2:34" x14ac:dyDescent="0.2">
      <c r="B5869" s="2">
        <f ca="1"/>
        <v>3.3837663347284552E-2</v>
      </c>
      <c r="O5869" s="2">
        <f ca="1"/>
        <v>-0.13941026379920818</v>
      </c>
      <c r="X5869" s="2">
        <f ca="1"/>
        <v>48.336190997142566</v>
      </c>
      <c r="AG5869" s="2">
        <f ca="1"/>
        <v>0.42154060433477269</v>
      </c>
      <c r="AH5869" s="2" t="str">
        <f ca="1"/>
        <v>Bad</v>
      </c>
    </row>
    <row r="5870" spans="2:34" x14ac:dyDescent="0.2">
      <c r="B5870" s="2">
        <f ca="1"/>
        <v>0.38015321153895387</v>
      </c>
      <c r="O5870" s="2">
        <f ca="1"/>
        <v>-1.5646172580267237</v>
      </c>
      <c r="X5870" s="2">
        <f ca="1"/>
        <v>60.797368115126019</v>
      </c>
      <c r="AG5870" s="2">
        <f ca="1"/>
        <v>0.43194800681019907</v>
      </c>
      <c r="AH5870" s="2" t="str">
        <f ca="1"/>
        <v>Bad</v>
      </c>
    </row>
    <row r="5871" spans="2:34" x14ac:dyDescent="0.2">
      <c r="B5871" s="2">
        <f ca="1"/>
        <v>0.64715662605135371</v>
      </c>
      <c r="O5871" s="2">
        <f ca="1"/>
        <v>0.37251642572309873</v>
      </c>
      <c r="X5871" s="2">
        <f ca="1"/>
        <v>83.842130214800505</v>
      </c>
      <c r="AG5871" s="2">
        <f ca="1"/>
        <v>0.37172239743853686</v>
      </c>
      <c r="AH5871" s="2" t="str">
        <f ca="1"/>
        <v>OK</v>
      </c>
    </row>
    <row r="5872" spans="2:34" x14ac:dyDescent="0.2">
      <c r="B5872" s="2">
        <f ca="1"/>
        <v>0.46703766001946745</v>
      </c>
      <c r="O5872" s="2">
        <f ca="1"/>
        <v>-0.33951543825132813</v>
      </c>
      <c r="X5872" s="2">
        <f ca="1"/>
        <v>44.28063942599011</v>
      </c>
      <c r="AG5872" s="2">
        <f ca="1"/>
        <v>0.31259502091754587</v>
      </c>
      <c r="AH5872" s="2" t="str">
        <f ca="1"/>
        <v>OK</v>
      </c>
    </row>
    <row r="5873" spans="2:34" x14ac:dyDescent="0.2">
      <c r="B5873" s="2">
        <f ca="1"/>
        <v>0.60370367620857213</v>
      </c>
      <c r="O5873" s="2">
        <f ca="1"/>
        <v>-0.16753567684632603</v>
      </c>
      <c r="X5873" s="2">
        <f ca="1"/>
        <v>34.733017840490596</v>
      </c>
      <c r="AG5873" s="2">
        <f ca="1"/>
        <v>0.99840632789665196</v>
      </c>
      <c r="AH5873" s="2" t="str">
        <f ca="1"/>
        <v>Bad</v>
      </c>
    </row>
    <row r="5874" spans="2:34" x14ac:dyDescent="0.2">
      <c r="B5874" s="2">
        <f ca="1"/>
        <v>0.78006235202057983</v>
      </c>
      <c r="O5874" s="2">
        <f ca="1"/>
        <v>-1.0079957837739522</v>
      </c>
      <c r="X5874" s="2">
        <f ca="1"/>
        <v>43.305835952207801</v>
      </c>
      <c r="AG5874" s="2">
        <f ca="1"/>
        <v>0.23219731860784631</v>
      </c>
      <c r="AH5874" s="2" t="str">
        <f ca="1"/>
        <v>OK</v>
      </c>
    </row>
    <row r="5875" spans="2:34" x14ac:dyDescent="0.2">
      <c r="B5875" s="2">
        <f ca="1"/>
        <v>0.26241973603649482</v>
      </c>
      <c r="O5875" s="2">
        <f ca="1"/>
        <v>-1.5133849933546342</v>
      </c>
      <c r="X5875" s="2">
        <f ca="1"/>
        <v>30.477633384355592</v>
      </c>
      <c r="AG5875" s="2">
        <f ca="1"/>
        <v>0.79652147883284519</v>
      </c>
      <c r="AH5875" s="2" t="str">
        <f ca="1"/>
        <v>Bad</v>
      </c>
    </row>
    <row r="5876" spans="2:34" x14ac:dyDescent="0.2">
      <c r="B5876" s="2">
        <f ca="1"/>
        <v>0.37896437166652341</v>
      </c>
      <c r="O5876" s="2">
        <f ca="1"/>
        <v>4.6570015465989233E-2</v>
      </c>
      <c r="X5876" s="2">
        <f ca="1"/>
        <v>59.63433532607138</v>
      </c>
      <c r="AG5876" s="2">
        <f ca="1"/>
        <v>0.74172788502705544</v>
      </c>
      <c r="AH5876" s="2" t="str">
        <f ca="1"/>
        <v>Bad</v>
      </c>
    </row>
    <row r="5877" spans="2:34" x14ac:dyDescent="0.2">
      <c r="B5877" s="2">
        <f ca="1"/>
        <v>0.70144054114274113</v>
      </c>
      <c r="O5877" s="2">
        <f ca="1"/>
        <v>-0.95225997694743825</v>
      </c>
      <c r="X5877" s="2">
        <f ca="1"/>
        <v>22.286200002725472</v>
      </c>
      <c r="AG5877" s="2">
        <f ca="1"/>
        <v>0.97427996589475807</v>
      </c>
      <c r="AH5877" s="2" t="str">
        <f ca="1"/>
        <v>Bad</v>
      </c>
    </row>
    <row r="5878" spans="2:34" x14ac:dyDescent="0.2">
      <c r="B5878" s="2">
        <f ca="1"/>
        <v>0.33078873746803472</v>
      </c>
      <c r="O5878" s="2">
        <f ca="1"/>
        <v>-0.10204088586452023</v>
      </c>
      <c r="X5878" s="2">
        <f ca="1"/>
        <v>53.924838081473212</v>
      </c>
      <c r="AG5878" s="2">
        <f ca="1"/>
        <v>0.43995834536386402</v>
      </c>
      <c r="AH5878" s="2" t="str">
        <f ca="1"/>
        <v>Bad</v>
      </c>
    </row>
    <row r="5879" spans="2:34" x14ac:dyDescent="0.2">
      <c r="B5879" s="2">
        <f ca="1"/>
        <v>0.63538145947747227</v>
      </c>
      <c r="O5879" s="2">
        <f ca="1"/>
        <v>2.2297356386901255</v>
      </c>
      <c r="X5879" s="2">
        <f ca="1"/>
        <v>46.708431513250872</v>
      </c>
      <c r="AG5879" s="2">
        <f ca="1"/>
        <v>0.50432995382157597</v>
      </c>
      <c r="AH5879" s="2" t="str">
        <f ca="1"/>
        <v>Bad</v>
      </c>
    </row>
    <row r="5880" spans="2:34" x14ac:dyDescent="0.2">
      <c r="B5880" s="2">
        <f ca="1"/>
        <v>5.9794814261140417E-2</v>
      </c>
      <c r="O5880" s="2">
        <f ca="1"/>
        <v>-0.84585053402798493</v>
      </c>
      <c r="X5880" s="2">
        <f ca="1"/>
        <v>45.663936641839044</v>
      </c>
      <c r="AG5880" s="2">
        <f ca="1"/>
        <v>0.24754070512815285</v>
      </c>
      <c r="AH5880" s="2" t="str">
        <f ca="1"/>
        <v>OK</v>
      </c>
    </row>
    <row r="5881" spans="2:34" x14ac:dyDescent="0.2">
      <c r="B5881" s="2">
        <f ca="1"/>
        <v>0.44790048492660683</v>
      </c>
      <c r="O5881" s="2">
        <f ca="1"/>
        <v>-1.0898432808883285</v>
      </c>
      <c r="X5881" s="2">
        <f ca="1"/>
        <v>59.449739612353852</v>
      </c>
      <c r="AG5881" s="2">
        <f ca="1"/>
        <v>5.3862549799721604E-2</v>
      </c>
      <c r="AH5881" s="2" t="str">
        <f ca="1"/>
        <v>OK</v>
      </c>
    </row>
    <row r="5882" spans="2:34" x14ac:dyDescent="0.2">
      <c r="B5882" s="2">
        <f ca="1"/>
        <v>0.60594982097066286</v>
      </c>
      <c r="O5882" s="2">
        <f ca="1"/>
        <v>-1.2048282837474327</v>
      </c>
      <c r="X5882" s="2">
        <f ca="1"/>
        <v>56.754555609004534</v>
      </c>
      <c r="AG5882" s="2">
        <f ca="1"/>
        <v>0.28494377753781985</v>
      </c>
      <c r="AH5882" s="2" t="str">
        <f ca="1"/>
        <v>OK</v>
      </c>
    </row>
    <row r="5883" spans="2:34" x14ac:dyDescent="0.2">
      <c r="B5883" s="2">
        <f ca="1"/>
        <v>0.27490615536871377</v>
      </c>
      <c r="O5883" s="2">
        <f ca="1"/>
        <v>-0.96079857994141971</v>
      </c>
      <c r="X5883" s="2">
        <f ca="1"/>
        <v>47.215168591169842</v>
      </c>
      <c r="AG5883" s="2">
        <f ca="1"/>
        <v>4.8496040640726434E-3</v>
      </c>
      <c r="AH5883" s="2" t="str">
        <f ca="1"/>
        <v>Good</v>
      </c>
    </row>
    <row r="5884" spans="2:34" x14ac:dyDescent="0.2">
      <c r="B5884" s="2">
        <f ca="1"/>
        <v>0.98547467064331773</v>
      </c>
      <c r="O5884" s="2">
        <f ca="1"/>
        <v>-1.6813380420498274</v>
      </c>
      <c r="X5884" s="2">
        <f ca="1"/>
        <v>45.910429462626396</v>
      </c>
      <c r="AG5884" s="2">
        <f ca="1"/>
        <v>0.96482119583421877</v>
      </c>
      <c r="AH5884" s="2" t="str">
        <f ca="1"/>
        <v>Bad</v>
      </c>
    </row>
    <row r="5885" spans="2:34" x14ac:dyDescent="0.2">
      <c r="B5885" s="2">
        <f ca="1"/>
        <v>0.67322371168711492</v>
      </c>
      <c r="O5885" s="2">
        <f ca="1"/>
        <v>-1.386622458894597</v>
      </c>
      <c r="X5885" s="2">
        <f ca="1"/>
        <v>70.598297207431301</v>
      </c>
      <c r="AG5885" s="2">
        <f ca="1"/>
        <v>0.19567432621704706</v>
      </c>
      <c r="AH5885" s="2" t="str">
        <f ca="1"/>
        <v>OK</v>
      </c>
    </row>
    <row r="5886" spans="2:34" x14ac:dyDescent="0.2">
      <c r="B5886" s="2">
        <f ca="1"/>
        <v>0.26169833541151233</v>
      </c>
      <c r="O5886" s="2">
        <f ca="1"/>
        <v>-0.59929972896441575</v>
      </c>
      <c r="X5886" s="2">
        <f ca="1"/>
        <v>42.110349071358264</v>
      </c>
      <c r="AG5886" s="2">
        <f ca="1"/>
        <v>0.67952644567333542</v>
      </c>
      <c r="AH5886" s="2" t="str">
        <f ca="1"/>
        <v>Bad</v>
      </c>
    </row>
    <row r="5887" spans="2:34" x14ac:dyDescent="0.2">
      <c r="B5887" s="2">
        <f ca="1"/>
        <v>0.31812035254230042</v>
      </c>
      <c r="O5887" s="2">
        <f ca="1"/>
        <v>-0.8293928314892367</v>
      </c>
      <c r="X5887" s="2">
        <f ca="1"/>
        <v>72.207403071362293</v>
      </c>
      <c r="AG5887" s="2">
        <f ca="1"/>
        <v>0.75920812422566653</v>
      </c>
      <c r="AH5887" s="2" t="str">
        <f ca="1"/>
        <v>Bad</v>
      </c>
    </row>
    <row r="5888" spans="2:34" x14ac:dyDescent="0.2">
      <c r="B5888" s="2">
        <f ca="1"/>
        <v>0.67105274811803017</v>
      </c>
      <c r="O5888" s="2">
        <f ca="1"/>
        <v>1.803120743765031</v>
      </c>
      <c r="X5888" s="2">
        <f ca="1"/>
        <v>60.665968891411346</v>
      </c>
      <c r="AG5888" s="2">
        <f ca="1"/>
        <v>0.94875021177431496</v>
      </c>
      <c r="AH5888" s="2" t="str">
        <f ca="1"/>
        <v>Bad</v>
      </c>
    </row>
    <row r="5889" spans="2:34" x14ac:dyDescent="0.2">
      <c r="B5889" s="2">
        <f ca="1"/>
        <v>0.3365473363379774</v>
      </c>
      <c r="O5889" s="2">
        <f ca="1"/>
        <v>1.5926527746323169</v>
      </c>
      <c r="X5889" s="2">
        <f ca="1"/>
        <v>54.144255745453279</v>
      </c>
      <c r="AG5889" s="2">
        <f ca="1"/>
        <v>0.40045401652881596</v>
      </c>
      <c r="AH5889" s="2" t="str">
        <f ca="1"/>
        <v>Bad</v>
      </c>
    </row>
    <row r="5890" spans="2:34" x14ac:dyDescent="0.2">
      <c r="B5890" s="2">
        <f ca="1"/>
        <v>0.99325602164640792</v>
      </c>
      <c r="O5890" s="2">
        <f ca="1"/>
        <v>6.3774877028949906E-2</v>
      </c>
      <c r="X5890" s="2">
        <f ca="1"/>
        <v>37.097150756791606</v>
      </c>
      <c r="AG5890" s="2">
        <f ca="1"/>
        <v>0.52964002339901817</v>
      </c>
      <c r="AH5890" s="2" t="str">
        <f ca="1"/>
        <v>Bad</v>
      </c>
    </row>
    <row r="5891" spans="2:34" x14ac:dyDescent="0.2">
      <c r="B5891" s="2">
        <f ca="1"/>
        <v>0.94565035098185524</v>
      </c>
      <c r="O5891" s="2">
        <f ca="1"/>
        <v>1.9485512451402186E-2</v>
      </c>
      <c r="X5891" s="2">
        <f ca="1"/>
        <v>42.089338077623388</v>
      </c>
      <c r="AG5891" s="2">
        <f ca="1"/>
        <v>0.80722943515229395</v>
      </c>
      <c r="AH5891" s="2" t="str">
        <f ca="1"/>
        <v>Bad</v>
      </c>
    </row>
    <row r="5892" spans="2:34" x14ac:dyDescent="0.2">
      <c r="B5892" s="2">
        <f ca="1"/>
        <v>0.14621214389487958</v>
      </c>
      <c r="O5892" s="2">
        <f ca="1"/>
        <v>0.45000718455975958</v>
      </c>
      <c r="X5892" s="2">
        <f ca="1"/>
        <v>34.299357354352949</v>
      </c>
      <c r="AG5892" s="2">
        <f ca="1"/>
        <v>0.64784432806790426</v>
      </c>
      <c r="AH5892" s="2" t="str">
        <f ca="1"/>
        <v>Bad</v>
      </c>
    </row>
    <row r="5893" spans="2:34" x14ac:dyDescent="0.2">
      <c r="B5893" s="2">
        <f ca="1"/>
        <v>0.30253793084107317</v>
      </c>
      <c r="O5893" s="2">
        <f ca="1"/>
        <v>0.52681995176341379</v>
      </c>
      <c r="X5893" s="2">
        <f ca="1"/>
        <v>65.615319620037099</v>
      </c>
      <c r="AG5893" s="2">
        <f ca="1"/>
        <v>0.42417025951040976</v>
      </c>
      <c r="AH5893" s="2" t="str">
        <f ca="1"/>
        <v>Bad</v>
      </c>
    </row>
    <row r="5894" spans="2:34" x14ac:dyDescent="0.2">
      <c r="B5894" s="2">
        <f ca="1"/>
        <v>0.75477058118059914</v>
      </c>
      <c r="O5894" s="2">
        <f ca="1"/>
        <v>-0.38828911820292167</v>
      </c>
      <c r="X5894" s="2">
        <f ca="1"/>
        <v>66.85370254781327</v>
      </c>
      <c r="AG5894" s="2">
        <f ca="1"/>
        <v>0.23588089457598405</v>
      </c>
      <c r="AH5894" s="2" t="str">
        <f ca="1"/>
        <v>OK</v>
      </c>
    </row>
    <row r="5895" spans="2:34" x14ac:dyDescent="0.2">
      <c r="B5895" s="2">
        <f ca="1"/>
        <v>0.30855244569720575</v>
      </c>
      <c r="O5895" s="2">
        <f ca="1"/>
        <v>0.59822445589870565</v>
      </c>
      <c r="X5895" s="2">
        <f ca="1"/>
        <v>26.746570407438114</v>
      </c>
      <c r="AG5895" s="2">
        <f ca="1"/>
        <v>0.26701169499909572</v>
      </c>
      <c r="AH5895" s="2" t="str">
        <f ca="1"/>
        <v>OK</v>
      </c>
    </row>
    <row r="5896" spans="2:34" x14ac:dyDescent="0.2">
      <c r="B5896" s="2">
        <f ca="1"/>
        <v>0.41781419132208253</v>
      </c>
      <c r="O5896" s="2">
        <f ca="1"/>
        <v>0.94839870366963719</v>
      </c>
      <c r="X5896" s="2">
        <f ca="1"/>
        <v>48.778650042353505</v>
      </c>
      <c r="AG5896" s="2">
        <f ca="1"/>
        <v>0.74549598788478977</v>
      </c>
      <c r="AH5896" s="2" t="str">
        <f ca="1"/>
        <v>Bad</v>
      </c>
    </row>
    <row r="5897" spans="2:34" x14ac:dyDescent="0.2">
      <c r="B5897" s="2">
        <f ca="1"/>
        <v>0.1475998776090981</v>
      </c>
      <c r="O5897" s="2">
        <f ca="1"/>
        <v>1.6805147676337093</v>
      </c>
      <c r="X5897" s="2">
        <f ca="1"/>
        <v>54.51671498663832</v>
      </c>
      <c r="AG5897" s="2">
        <f ca="1"/>
        <v>0.85045414318301815</v>
      </c>
      <c r="AH5897" s="2" t="str">
        <f ca="1"/>
        <v>Bad</v>
      </c>
    </row>
    <row r="5898" spans="2:34" x14ac:dyDescent="0.2">
      <c r="B5898" s="2">
        <f ca="1"/>
        <v>0.74475277013198427</v>
      </c>
      <c r="O5898" s="2">
        <f ca="1"/>
        <v>8.2589668075999337E-2</v>
      </c>
      <c r="X5898" s="2">
        <f ca="1"/>
        <v>66.822534266522368</v>
      </c>
      <c r="AG5898" s="2">
        <f ca="1"/>
        <v>0.37796567742521869</v>
      </c>
      <c r="AH5898" s="2" t="str">
        <f ca="1"/>
        <v>OK</v>
      </c>
    </row>
    <row r="5899" spans="2:34" x14ac:dyDescent="0.2">
      <c r="B5899" s="2">
        <f ca="1"/>
        <v>0.70501477709487737</v>
      </c>
      <c r="O5899" s="2">
        <f ca="1"/>
        <v>-1.0998155307901902</v>
      </c>
      <c r="X5899" s="2">
        <f ca="1"/>
        <v>29.649119590066345</v>
      </c>
      <c r="AG5899" s="2">
        <f ca="1"/>
        <v>0.14219762265321712</v>
      </c>
      <c r="AH5899" s="2" t="str">
        <f ca="1"/>
        <v>OK</v>
      </c>
    </row>
    <row r="5900" spans="2:34" x14ac:dyDescent="0.2">
      <c r="B5900" s="2">
        <f ca="1"/>
        <v>0.36954204353495146</v>
      </c>
      <c r="O5900" s="2">
        <f ca="1"/>
        <v>0.45067659379906294</v>
      </c>
      <c r="X5900" s="2">
        <f ca="1"/>
        <v>43.974706549892176</v>
      </c>
      <c r="AG5900" s="2">
        <f ca="1"/>
        <v>0.9605458229627466</v>
      </c>
      <c r="AH5900" s="2" t="str">
        <f ca="1"/>
        <v>Bad</v>
      </c>
    </row>
    <row r="5901" spans="2:34" x14ac:dyDescent="0.2">
      <c r="B5901" s="2">
        <f ca="1"/>
        <v>0.16207777773060483</v>
      </c>
      <c r="O5901" s="2">
        <f ca="1"/>
        <v>0.74200377133512019</v>
      </c>
      <c r="X5901" s="2">
        <f ca="1"/>
        <v>64.91995900987547</v>
      </c>
      <c r="AG5901" s="2">
        <f ca="1"/>
        <v>0.15755275534560642</v>
      </c>
      <c r="AH5901" s="2" t="str">
        <f ca="1"/>
        <v>OK</v>
      </c>
    </row>
    <row r="5902" spans="2:34" x14ac:dyDescent="0.2">
      <c r="B5902" s="2">
        <f ca="1"/>
        <v>0.6616138772692044</v>
      </c>
      <c r="O5902" s="2">
        <f ca="1"/>
        <v>0.45795112040327779</v>
      </c>
      <c r="X5902" s="2">
        <f ca="1"/>
        <v>38.574311125267073</v>
      </c>
      <c r="AG5902" s="2">
        <f ca="1"/>
        <v>0.46760791340076246</v>
      </c>
      <c r="AH5902" s="2" t="str">
        <f ca="1"/>
        <v>Bad</v>
      </c>
    </row>
    <row r="5903" spans="2:34" x14ac:dyDescent="0.2">
      <c r="B5903" s="2">
        <f ca="1"/>
        <v>0.39734478158793252</v>
      </c>
      <c r="O5903" s="2">
        <f ca="1"/>
        <v>-0.36900527750452983</v>
      </c>
      <c r="X5903" s="2">
        <f ca="1"/>
        <v>57.726263474630642</v>
      </c>
      <c r="AG5903" s="2">
        <f ca="1"/>
        <v>0.82138113814005465</v>
      </c>
      <c r="AH5903" s="2" t="str">
        <f ca="1"/>
        <v>Bad</v>
      </c>
    </row>
    <row r="5904" spans="2:34" x14ac:dyDescent="0.2">
      <c r="B5904" s="2">
        <f ca="1"/>
        <v>0.98923629903468502</v>
      </c>
      <c r="O5904" s="2">
        <f ca="1"/>
        <v>1.2421273932375698</v>
      </c>
      <c r="X5904" s="2">
        <f ca="1"/>
        <v>37.105158018734855</v>
      </c>
      <c r="AG5904" s="2">
        <f ca="1"/>
        <v>0.36409634713139449</v>
      </c>
      <c r="AH5904" s="2" t="str">
        <f ca="1"/>
        <v>OK</v>
      </c>
    </row>
    <row r="5905" spans="2:34" x14ac:dyDescent="0.2">
      <c r="B5905" s="2">
        <f ca="1"/>
        <v>0.89697185676950975</v>
      </c>
      <c r="O5905" s="2">
        <f ca="1"/>
        <v>0.61532142537769419</v>
      </c>
      <c r="X5905" s="2">
        <f ca="1"/>
        <v>45.332917024111701</v>
      </c>
      <c r="AG5905" s="2">
        <f ca="1"/>
        <v>0.50478648108255553</v>
      </c>
      <c r="AH5905" s="2" t="str">
        <f ca="1"/>
        <v>Bad</v>
      </c>
    </row>
    <row r="5906" spans="2:34" x14ac:dyDescent="0.2">
      <c r="B5906" s="2">
        <f ca="1"/>
        <v>0.26582969313408467</v>
      </c>
      <c r="O5906" s="2">
        <f ca="1"/>
        <v>-0.58558566288395564</v>
      </c>
      <c r="X5906" s="2">
        <f ca="1"/>
        <v>71.51786481033659</v>
      </c>
      <c r="AG5906" s="2">
        <f ca="1"/>
        <v>0.40059103766210868</v>
      </c>
      <c r="AH5906" s="2" t="str">
        <f ca="1"/>
        <v>Bad</v>
      </c>
    </row>
    <row r="5907" spans="2:34" x14ac:dyDescent="0.2">
      <c r="B5907" s="2">
        <f ca="1"/>
        <v>0.79075493253403395</v>
      </c>
      <c r="O5907" s="2">
        <f ca="1"/>
        <v>-0.16476349292308762</v>
      </c>
      <c r="X5907" s="2">
        <f ca="1"/>
        <v>52.624514044889153</v>
      </c>
      <c r="AG5907" s="2">
        <f ca="1"/>
        <v>0.14678729891444786</v>
      </c>
      <c r="AH5907" s="2" t="str">
        <f ca="1"/>
        <v>OK</v>
      </c>
    </row>
    <row r="5908" spans="2:34" x14ac:dyDescent="0.2">
      <c r="B5908" s="2">
        <f ca="1"/>
        <v>0.19483562033186397</v>
      </c>
      <c r="O5908" s="2">
        <f ca="1"/>
        <v>7.1699485396709728E-2</v>
      </c>
      <c r="X5908" s="2">
        <f ca="1"/>
        <v>45.110223550756942</v>
      </c>
      <c r="AG5908" s="2">
        <f ca="1"/>
        <v>0.83999470256912812</v>
      </c>
      <c r="AH5908" s="2" t="str">
        <f ca="1"/>
        <v>Bad</v>
      </c>
    </row>
    <row r="5909" spans="2:34" x14ac:dyDescent="0.2">
      <c r="B5909" s="2">
        <f ca="1"/>
        <v>0.65824030166475778</v>
      </c>
      <c r="O5909" s="2">
        <f ca="1"/>
        <v>-0.64876571559620233</v>
      </c>
      <c r="X5909" s="2">
        <f ca="1"/>
        <v>32.385160135259326</v>
      </c>
      <c r="AG5909" s="2">
        <f ca="1"/>
        <v>8.5724363898515232E-2</v>
      </c>
      <c r="AH5909" s="2" t="str">
        <f ca="1"/>
        <v>OK</v>
      </c>
    </row>
    <row r="5910" spans="2:34" x14ac:dyDescent="0.2">
      <c r="B5910" s="2">
        <f ca="1"/>
        <v>0.19306071095874633</v>
      </c>
      <c r="O5910" s="2">
        <f ca="1"/>
        <v>-1.7778304147167916</v>
      </c>
      <c r="X5910" s="2">
        <f ca="1"/>
        <v>54.481966882558154</v>
      </c>
      <c r="AG5910" s="2">
        <f ca="1"/>
        <v>0.37288314251147492</v>
      </c>
      <c r="AH5910" s="2" t="str">
        <f ca="1"/>
        <v>OK</v>
      </c>
    </row>
    <row r="5911" spans="2:34" x14ac:dyDescent="0.2">
      <c r="B5911" s="2">
        <f ca="1"/>
        <v>0.96242770090791452</v>
      </c>
      <c r="O5911" s="2">
        <f ca="1"/>
        <v>0.14147900814447789</v>
      </c>
      <c r="X5911" s="2">
        <f ca="1"/>
        <v>46.467733875604225</v>
      </c>
      <c r="AG5911" s="2">
        <f ca="1"/>
        <v>0.21467093388642255</v>
      </c>
      <c r="AH5911" s="2" t="str">
        <f ca="1"/>
        <v>OK</v>
      </c>
    </row>
    <row r="5912" spans="2:34" x14ac:dyDescent="0.2">
      <c r="B5912" s="2">
        <f ca="1"/>
        <v>0.82808694782493864</v>
      </c>
      <c r="O5912" s="2">
        <f ca="1"/>
        <v>1.2514418970295551</v>
      </c>
      <c r="X5912" s="2">
        <f ca="1"/>
        <v>74.77466212925799</v>
      </c>
      <c r="AG5912" s="2">
        <f ca="1"/>
        <v>0.7002404181712325</v>
      </c>
      <c r="AH5912" s="2" t="str">
        <f ca="1"/>
        <v>Bad</v>
      </c>
    </row>
    <row r="5913" spans="2:34" x14ac:dyDescent="0.2">
      <c r="B5913" s="2">
        <f ca="1"/>
        <v>0.16135371573438029</v>
      </c>
      <c r="O5913" s="2">
        <f ca="1"/>
        <v>-0.88220727723838133</v>
      </c>
      <c r="X5913" s="2">
        <f ca="1"/>
        <v>45.929170048812537</v>
      </c>
      <c r="AG5913" s="2">
        <f ca="1"/>
        <v>3.6715557731386017E-2</v>
      </c>
      <c r="AH5913" s="2" t="str">
        <f ca="1"/>
        <v>Good</v>
      </c>
    </row>
    <row r="5914" spans="2:34" x14ac:dyDescent="0.2">
      <c r="B5914" s="2">
        <f ca="1"/>
        <v>0.70311275700796672</v>
      </c>
      <c r="O5914" s="2">
        <f ca="1"/>
        <v>-1.818434596137483</v>
      </c>
      <c r="X5914" s="2">
        <f ca="1"/>
        <v>42.87103793653533</v>
      </c>
      <c r="AG5914" s="2">
        <f ca="1"/>
        <v>0.42359215355788926</v>
      </c>
      <c r="AH5914" s="2" t="str">
        <f ca="1"/>
        <v>Bad</v>
      </c>
    </row>
    <row r="5915" spans="2:34" x14ac:dyDescent="0.2">
      <c r="B5915" s="2">
        <f ca="1"/>
        <v>0.72459939313101729</v>
      </c>
      <c r="O5915" s="2">
        <f ca="1"/>
        <v>0.11879552494454254</v>
      </c>
      <c r="X5915" s="2">
        <f ca="1"/>
        <v>36.989483496916208</v>
      </c>
      <c r="AG5915" s="2">
        <f ca="1"/>
        <v>0.73129306149321849</v>
      </c>
      <c r="AH5915" s="2" t="str">
        <f ca="1"/>
        <v>Bad</v>
      </c>
    </row>
    <row r="5916" spans="2:34" x14ac:dyDescent="0.2">
      <c r="B5916" s="2">
        <f ca="1"/>
        <v>0.59247283689406616</v>
      </c>
      <c r="O5916" s="2">
        <f ca="1"/>
        <v>6.228948433563479E-2</v>
      </c>
      <c r="X5916" s="2">
        <f ca="1"/>
        <v>30.183473315102777</v>
      </c>
      <c r="AG5916" s="2">
        <f ca="1"/>
        <v>0.26981250935540491</v>
      </c>
      <c r="AH5916" s="2" t="str">
        <f ca="1"/>
        <v>OK</v>
      </c>
    </row>
    <row r="5917" spans="2:34" x14ac:dyDescent="0.2">
      <c r="B5917" s="2">
        <f ca="1"/>
        <v>0.56410570827612849</v>
      </c>
      <c r="O5917" s="2">
        <f ca="1"/>
        <v>-1.0543951931453928</v>
      </c>
      <c r="X5917" s="2">
        <f ca="1"/>
        <v>67.860216366830258</v>
      </c>
      <c r="AG5917" s="2">
        <f ca="1"/>
        <v>0.70427891698735579</v>
      </c>
      <c r="AH5917" s="2" t="str">
        <f ca="1"/>
        <v>Bad</v>
      </c>
    </row>
    <row r="5918" spans="2:34" x14ac:dyDescent="0.2">
      <c r="B5918" s="2">
        <f ca="1"/>
        <v>0.16303053710032045</v>
      </c>
      <c r="O5918" s="2">
        <f ca="1"/>
        <v>0.71859029869245394</v>
      </c>
      <c r="X5918" s="2">
        <f ca="1"/>
        <v>48.695092318600423</v>
      </c>
      <c r="AG5918" s="2">
        <f ca="1"/>
        <v>0.48877406096098008</v>
      </c>
      <c r="AH5918" s="2" t="str">
        <f ca="1"/>
        <v>Bad</v>
      </c>
    </row>
    <row r="5919" spans="2:34" x14ac:dyDescent="0.2">
      <c r="B5919" s="2">
        <f ca="1"/>
        <v>0.68744723522966411</v>
      </c>
      <c r="O5919" s="2">
        <f ca="1"/>
        <v>0.16504721132407438</v>
      </c>
      <c r="X5919" s="2">
        <f ca="1"/>
        <v>88.416975657205398</v>
      </c>
      <c r="AG5919" s="2">
        <f ca="1"/>
        <v>0.28111301500907548</v>
      </c>
      <c r="AH5919" s="2" t="str">
        <f ca="1"/>
        <v>OK</v>
      </c>
    </row>
    <row r="5920" spans="2:34" x14ac:dyDescent="0.2">
      <c r="B5920" s="2">
        <f ca="1"/>
        <v>0.86607651490572368</v>
      </c>
      <c r="O5920" s="2">
        <f ca="1"/>
        <v>1.035439624163712</v>
      </c>
      <c r="X5920" s="2">
        <f ca="1"/>
        <v>51.134833485906519</v>
      </c>
      <c r="AG5920" s="2">
        <f ca="1"/>
        <v>0.55761325349070012</v>
      </c>
      <c r="AH5920" s="2" t="str">
        <f ca="1"/>
        <v>Bad</v>
      </c>
    </row>
    <row r="5921" spans="2:34" x14ac:dyDescent="0.2">
      <c r="B5921" s="2">
        <f ca="1"/>
        <v>0.7319076855635005</v>
      </c>
      <c r="O5921" s="2">
        <f ca="1"/>
        <v>6.6004847576561665E-2</v>
      </c>
      <c r="X5921" s="2">
        <f ca="1"/>
        <v>52.475022133019039</v>
      </c>
      <c r="AG5921" s="2">
        <f ca="1"/>
        <v>0.33827691239612112</v>
      </c>
      <c r="AH5921" s="2" t="str">
        <f ca="1"/>
        <v>OK</v>
      </c>
    </row>
    <row r="5922" spans="2:34" x14ac:dyDescent="0.2">
      <c r="B5922" s="2">
        <f ca="1"/>
        <v>0.27596104679273759</v>
      </c>
      <c r="O5922" s="2">
        <f ca="1"/>
        <v>-0.65912261719530973</v>
      </c>
      <c r="X5922" s="2">
        <f ca="1"/>
        <v>46.037009184409932</v>
      </c>
      <c r="AG5922" s="2">
        <f ca="1"/>
        <v>0.41439846754902621</v>
      </c>
      <c r="AH5922" s="2" t="str">
        <f ca="1"/>
        <v>Bad</v>
      </c>
    </row>
    <row r="5923" spans="2:34" x14ac:dyDescent="0.2">
      <c r="B5923" s="2">
        <f ca="1"/>
        <v>0.14397404854195406</v>
      </c>
      <c r="O5923" s="2">
        <f ca="1"/>
        <v>-1.2610608300846076</v>
      </c>
      <c r="X5923" s="2">
        <f ca="1"/>
        <v>73.000864845681946</v>
      </c>
      <c r="AG5923" s="2">
        <f ca="1"/>
        <v>0.82399182774118573</v>
      </c>
      <c r="AH5923" s="2" t="str">
        <f ca="1"/>
        <v>Bad</v>
      </c>
    </row>
    <row r="5924" spans="2:34" x14ac:dyDescent="0.2">
      <c r="B5924" s="2">
        <f ca="1"/>
        <v>0.41175611940058143</v>
      </c>
      <c r="O5924" s="2">
        <f ca="1"/>
        <v>-1.3419621806592696</v>
      </c>
      <c r="X5924" s="2">
        <f ca="1"/>
        <v>39.311221062659655</v>
      </c>
      <c r="AG5924" s="2">
        <f ca="1"/>
        <v>0.9875704916460375</v>
      </c>
      <c r="AH5924" s="2" t="str">
        <f ca="1"/>
        <v>Bad</v>
      </c>
    </row>
    <row r="5925" spans="2:34" x14ac:dyDescent="0.2">
      <c r="B5925" s="2">
        <f ca="1"/>
        <v>0.32527625538174165</v>
      </c>
      <c r="O5925" s="2">
        <f ca="1"/>
        <v>0.66845116683897177</v>
      </c>
      <c r="X5925" s="2">
        <f ca="1"/>
        <v>30.769825469124413</v>
      </c>
      <c r="AG5925" s="2">
        <f ca="1"/>
        <v>0.89625450568877718</v>
      </c>
      <c r="AH5925" s="2" t="str">
        <f ca="1"/>
        <v>Bad</v>
      </c>
    </row>
    <row r="5926" spans="2:34" x14ac:dyDescent="0.2">
      <c r="B5926" s="2">
        <f ca="1"/>
        <v>0.30465151233229526</v>
      </c>
      <c r="O5926" s="2">
        <f ca="1"/>
        <v>-1.3240383237155078</v>
      </c>
      <c r="X5926" s="2">
        <f ca="1"/>
        <v>62.311549604858129</v>
      </c>
      <c r="AG5926" s="2">
        <f ca="1"/>
        <v>4.9604108756692078E-2</v>
      </c>
      <c r="AH5926" s="2" t="str">
        <f ca="1"/>
        <v>Good</v>
      </c>
    </row>
    <row r="5927" spans="2:34" x14ac:dyDescent="0.2">
      <c r="B5927" s="2">
        <f ca="1"/>
        <v>6.9276461761411001E-2</v>
      </c>
      <c r="O5927" s="2">
        <f ca="1"/>
        <v>-0.26272718927218219</v>
      </c>
      <c r="X5927" s="2">
        <f ca="1"/>
        <v>45.723101635200692</v>
      </c>
      <c r="AG5927" s="2">
        <f ca="1"/>
        <v>1.1893837728692125E-2</v>
      </c>
      <c r="AH5927" s="2" t="str">
        <f ca="1"/>
        <v>Good</v>
      </c>
    </row>
    <row r="5928" spans="2:34" x14ac:dyDescent="0.2">
      <c r="B5928" s="2">
        <f ca="1"/>
        <v>0.81607506992230361</v>
      </c>
      <c r="O5928" s="2">
        <f ca="1"/>
        <v>1.0024311712489467</v>
      </c>
      <c r="X5928" s="2">
        <f ca="1"/>
        <v>64.400502940098846</v>
      </c>
      <c r="AG5928" s="2">
        <f ca="1"/>
        <v>3.5046229098062209E-2</v>
      </c>
      <c r="AH5928" s="2" t="str">
        <f ca="1"/>
        <v>Good</v>
      </c>
    </row>
    <row r="5929" spans="2:34" x14ac:dyDescent="0.2">
      <c r="B5929" s="2">
        <f ca="1"/>
        <v>0.35784502181295252</v>
      </c>
      <c r="O5929" s="2">
        <f ca="1"/>
        <v>-0.33934003199190454</v>
      </c>
      <c r="X5929" s="2">
        <f ca="1"/>
        <v>45.370466154622349</v>
      </c>
      <c r="AG5929" s="2">
        <f ca="1"/>
        <v>1.7560614218488091E-2</v>
      </c>
      <c r="AH5929" s="2" t="str">
        <f ca="1"/>
        <v>Good</v>
      </c>
    </row>
    <row r="5930" spans="2:34" x14ac:dyDescent="0.2">
      <c r="B5930" s="2">
        <f ca="1"/>
        <v>0.63717166689853433</v>
      </c>
      <c r="O5930" s="2">
        <f ca="1"/>
        <v>-1.9330379127254977</v>
      </c>
      <c r="X5930" s="2">
        <f ca="1"/>
        <v>45.926291479454605</v>
      </c>
      <c r="AG5930" s="2">
        <f ca="1"/>
        <v>0.4720708854372202</v>
      </c>
      <c r="AH5930" s="2" t="str">
        <f ca="1"/>
        <v>Bad</v>
      </c>
    </row>
    <row r="5931" spans="2:34" x14ac:dyDescent="0.2">
      <c r="B5931" s="2">
        <f ca="1"/>
        <v>0.51785847020912379</v>
      </c>
      <c r="O5931" s="2">
        <f ca="1"/>
        <v>0.27798199322926159</v>
      </c>
      <c r="X5931" s="2">
        <f ca="1"/>
        <v>65.121988610518116</v>
      </c>
      <c r="AG5931" s="2">
        <f ca="1"/>
        <v>0.13798017851414457</v>
      </c>
      <c r="AH5931" s="2" t="str">
        <f ca="1"/>
        <v>OK</v>
      </c>
    </row>
    <row r="5932" spans="2:34" x14ac:dyDescent="0.2">
      <c r="B5932" s="2">
        <f ca="1"/>
        <v>0.50078623976279379</v>
      </c>
      <c r="O5932" s="2">
        <f ca="1"/>
        <v>0.28775291931947516</v>
      </c>
      <c r="X5932" s="2">
        <f ca="1"/>
        <v>48.11411836695391</v>
      </c>
      <c r="AG5932" s="2">
        <f ca="1"/>
        <v>0.68969502728887155</v>
      </c>
      <c r="AH5932" s="2" t="str">
        <f ca="1"/>
        <v>Bad</v>
      </c>
    </row>
    <row r="5933" spans="2:34" x14ac:dyDescent="0.2">
      <c r="B5933" s="2">
        <f ca="1"/>
        <v>0.3277796688181418</v>
      </c>
      <c r="O5933" s="2">
        <f ca="1"/>
        <v>0.22306523267005604</v>
      </c>
      <c r="X5933" s="2">
        <f ca="1"/>
        <v>44.090499547743661</v>
      </c>
      <c r="AG5933" s="2">
        <f ca="1"/>
        <v>0.1212793365691327</v>
      </c>
      <c r="AH5933" s="2" t="str">
        <f ca="1"/>
        <v>OK</v>
      </c>
    </row>
    <row r="5934" spans="2:34" x14ac:dyDescent="0.2">
      <c r="B5934" s="2">
        <f ca="1"/>
        <v>0.79382538714813822</v>
      </c>
      <c r="O5934" s="2">
        <f ca="1"/>
        <v>-0.94259554274815305</v>
      </c>
      <c r="X5934" s="2">
        <f ca="1"/>
        <v>64.033426087058047</v>
      </c>
      <c r="AG5934" s="2">
        <f ca="1"/>
        <v>0.7081441127344148</v>
      </c>
      <c r="AH5934" s="2" t="str">
        <f ca="1"/>
        <v>Bad</v>
      </c>
    </row>
    <row r="5935" spans="2:34" x14ac:dyDescent="0.2">
      <c r="B5935" s="2">
        <f ca="1"/>
        <v>0.79492773063370281</v>
      </c>
      <c r="O5935" s="2">
        <f ca="1"/>
        <v>-0.44756039773293149</v>
      </c>
      <c r="X5935" s="2">
        <f ca="1"/>
        <v>31.753179804108971</v>
      </c>
      <c r="AG5935" s="2">
        <f ca="1"/>
        <v>0.39726450908331201</v>
      </c>
      <c r="AH5935" s="2" t="str">
        <f ca="1"/>
        <v>OK</v>
      </c>
    </row>
    <row r="5936" spans="2:34" x14ac:dyDescent="0.2">
      <c r="B5936" s="2">
        <f ca="1"/>
        <v>0.55921585995274437</v>
      </c>
      <c r="O5936" s="2">
        <f ca="1"/>
        <v>0.75327156745901636</v>
      </c>
      <c r="X5936" s="2">
        <f ca="1"/>
        <v>35.626380012877995</v>
      </c>
      <c r="AG5936" s="2">
        <f ca="1"/>
        <v>0.11233067634759974</v>
      </c>
      <c r="AH5936" s="2" t="str">
        <f ca="1"/>
        <v>OK</v>
      </c>
    </row>
    <row r="5937" spans="2:34" x14ac:dyDescent="0.2">
      <c r="B5937" s="2">
        <f ca="1"/>
        <v>0.75343913332887769</v>
      </c>
      <c r="O5937" s="2">
        <f ca="1"/>
        <v>0.1294713162433177</v>
      </c>
      <c r="X5937" s="2">
        <f ca="1"/>
        <v>48.635881148591565</v>
      </c>
      <c r="AG5937" s="2">
        <f ca="1"/>
        <v>0.93914717254475311</v>
      </c>
      <c r="AH5937" s="2" t="str">
        <f ca="1"/>
        <v>Bad</v>
      </c>
    </row>
    <row r="5938" spans="2:34" x14ac:dyDescent="0.2">
      <c r="B5938" s="2">
        <f ca="1"/>
        <v>0.38707608963335138</v>
      </c>
      <c r="O5938" s="2">
        <f ca="1"/>
        <v>1.4001937776733284</v>
      </c>
      <c r="X5938" s="2">
        <f ca="1"/>
        <v>32.85131401650866</v>
      </c>
      <c r="AG5938" s="2">
        <f ca="1"/>
        <v>0.22156004654609784</v>
      </c>
      <c r="AH5938" s="2" t="str">
        <f ca="1"/>
        <v>OK</v>
      </c>
    </row>
    <row r="5939" spans="2:34" x14ac:dyDescent="0.2">
      <c r="B5939" s="2">
        <f ca="1"/>
        <v>0.79876278889735008</v>
      </c>
      <c r="O5939" s="2">
        <f ca="1"/>
        <v>0.11659793542702221</v>
      </c>
      <c r="X5939" s="2">
        <f ca="1"/>
        <v>52.764767782497245</v>
      </c>
      <c r="AG5939" s="2">
        <f ca="1"/>
        <v>0.33989457409709223</v>
      </c>
      <c r="AH5939" s="2" t="str">
        <f ca="1"/>
        <v>OK</v>
      </c>
    </row>
    <row r="5940" spans="2:34" x14ac:dyDescent="0.2">
      <c r="B5940" s="2">
        <f ca="1"/>
        <v>0.83912077323461154</v>
      </c>
      <c r="O5940" s="2">
        <f ca="1"/>
        <v>2.4315600639061921</v>
      </c>
      <c r="X5940" s="2">
        <f ca="1"/>
        <v>56.118092024299244</v>
      </c>
      <c r="AG5940" s="2">
        <f ca="1"/>
        <v>0.52767487487918285</v>
      </c>
      <c r="AH5940" s="2" t="str">
        <f ca="1"/>
        <v>Bad</v>
      </c>
    </row>
    <row r="5941" spans="2:34" x14ac:dyDescent="0.2">
      <c r="B5941" s="2">
        <f ca="1"/>
        <v>0.53362732027159288</v>
      </c>
      <c r="O5941" s="2">
        <f ca="1"/>
        <v>0.34852838937887864</v>
      </c>
      <c r="X5941" s="2">
        <f ca="1"/>
        <v>36.384180426910518</v>
      </c>
      <c r="AG5941" s="2">
        <f ca="1"/>
        <v>0.6810705526992582</v>
      </c>
      <c r="AH5941" s="2" t="str">
        <f ca="1"/>
        <v>Bad</v>
      </c>
    </row>
    <row r="5942" spans="2:34" x14ac:dyDescent="0.2">
      <c r="B5942" s="2">
        <f ca="1"/>
        <v>0.40584430926536652</v>
      </c>
      <c r="O5942" s="2">
        <f ca="1"/>
        <v>-0.73596785623679917</v>
      </c>
      <c r="X5942" s="2">
        <f ca="1"/>
        <v>45.572434181105514</v>
      </c>
      <c r="AG5942" s="2">
        <f ca="1"/>
        <v>0.56827690433113798</v>
      </c>
      <c r="AH5942" s="2" t="str">
        <f ca="1"/>
        <v>Bad</v>
      </c>
    </row>
    <row r="5943" spans="2:34" x14ac:dyDescent="0.2">
      <c r="B5943" s="2">
        <f ca="1"/>
        <v>0.27555076730763362</v>
      </c>
      <c r="O5943" s="2">
        <f ca="1"/>
        <v>0.80098846660527057</v>
      </c>
      <c r="X5943" s="2">
        <f ca="1"/>
        <v>49.562189522623882</v>
      </c>
      <c r="AG5943" s="2">
        <f ca="1"/>
        <v>0.80684055848890202</v>
      </c>
      <c r="AH5943" s="2" t="str">
        <f ca="1"/>
        <v>Bad</v>
      </c>
    </row>
    <row r="5944" spans="2:34" x14ac:dyDescent="0.2">
      <c r="B5944" s="2">
        <f ca="1"/>
        <v>0.66399529120442136</v>
      </c>
      <c r="O5944" s="2">
        <f ca="1"/>
        <v>0.20518717357648197</v>
      </c>
      <c r="X5944" s="2">
        <f ca="1"/>
        <v>58.641618057777023</v>
      </c>
      <c r="AG5944" s="2">
        <f ca="1"/>
        <v>2.8684384386819195E-2</v>
      </c>
      <c r="AH5944" s="2" t="str">
        <f ca="1"/>
        <v>Good</v>
      </c>
    </row>
    <row r="5945" spans="2:34" x14ac:dyDescent="0.2">
      <c r="B5945" s="2">
        <f ca="1"/>
        <v>0.54933714707884707</v>
      </c>
      <c r="O5945" s="2">
        <f ca="1"/>
        <v>-1.7619972327074778</v>
      </c>
      <c r="X5945" s="2">
        <f ca="1"/>
        <v>64.866537678509275</v>
      </c>
      <c r="AG5945" s="2">
        <f ca="1"/>
        <v>5.9471136687370585E-2</v>
      </c>
      <c r="AH5945" s="2" t="str">
        <f ca="1"/>
        <v>OK</v>
      </c>
    </row>
    <row r="5946" spans="2:34" x14ac:dyDescent="0.2">
      <c r="B5946" s="2">
        <f ca="1"/>
        <v>0.89859599431145809</v>
      </c>
      <c r="O5946" s="2">
        <f ca="1"/>
        <v>0.84309198004295449</v>
      </c>
      <c r="X5946" s="2">
        <f ca="1"/>
        <v>41.333123125574936</v>
      </c>
      <c r="AG5946" s="2">
        <f ca="1"/>
        <v>2.7174850064157985E-2</v>
      </c>
      <c r="AH5946" s="2" t="str">
        <f ca="1"/>
        <v>Good</v>
      </c>
    </row>
    <row r="5947" spans="2:34" x14ac:dyDescent="0.2">
      <c r="B5947" s="2">
        <f ca="1"/>
        <v>0.28480019704525783</v>
      </c>
      <c r="O5947" s="2">
        <f ca="1"/>
        <v>1.2829836470210521</v>
      </c>
      <c r="X5947" s="2">
        <f ca="1"/>
        <v>42.901304038077733</v>
      </c>
      <c r="AG5947" s="2">
        <f ca="1"/>
        <v>0.12266268183314777</v>
      </c>
      <c r="AH5947" s="2" t="str">
        <f ca="1"/>
        <v>OK</v>
      </c>
    </row>
    <row r="5948" spans="2:34" x14ac:dyDescent="0.2">
      <c r="B5948" s="2">
        <f ca="1"/>
        <v>5.6325220853662872E-2</v>
      </c>
      <c r="O5948" s="2">
        <f ca="1"/>
        <v>1.0888177921449016</v>
      </c>
      <c r="X5948" s="2">
        <f ca="1"/>
        <v>48.018048552614133</v>
      </c>
      <c r="AG5948" s="2">
        <f ca="1"/>
        <v>0.98295715712165554</v>
      </c>
      <c r="AH5948" s="2" t="str">
        <f ca="1"/>
        <v>Bad</v>
      </c>
    </row>
    <row r="5949" spans="2:34" x14ac:dyDescent="0.2">
      <c r="B5949" s="2">
        <f ca="1"/>
        <v>0.37551386731971248</v>
      </c>
      <c r="O5949" s="2">
        <f ca="1"/>
        <v>-2.0763121682433328</v>
      </c>
      <c r="X5949" s="2">
        <f ca="1"/>
        <v>64.107715809260725</v>
      </c>
      <c r="AG5949" s="2">
        <f ca="1"/>
        <v>0.41031645277763995</v>
      </c>
      <c r="AH5949" s="2" t="str">
        <f ca="1"/>
        <v>Bad</v>
      </c>
    </row>
    <row r="5950" spans="2:34" x14ac:dyDescent="0.2">
      <c r="B5950" s="2">
        <f ca="1"/>
        <v>0.45702213708684147</v>
      </c>
      <c r="O5950" s="2">
        <f ca="1"/>
        <v>-0.72348182472556877</v>
      </c>
      <c r="X5950" s="2">
        <f ca="1"/>
        <v>54.933525424449748</v>
      </c>
      <c r="AG5950" s="2">
        <f ca="1"/>
        <v>0.61703564800609279</v>
      </c>
      <c r="AH5950" s="2" t="str">
        <f ca="1"/>
        <v>Bad</v>
      </c>
    </row>
    <row r="5951" spans="2:34" x14ac:dyDescent="0.2">
      <c r="B5951" s="2">
        <f ca="1"/>
        <v>0.79153420697763899</v>
      </c>
      <c r="O5951" s="2">
        <f ca="1"/>
        <v>-0.52048386590560547</v>
      </c>
      <c r="X5951" s="2">
        <f ca="1"/>
        <v>55.708845548439008</v>
      </c>
      <c r="AG5951" s="2">
        <f ca="1"/>
        <v>0.37581116801943115</v>
      </c>
      <c r="AH5951" s="2" t="str">
        <f ca="1"/>
        <v>OK</v>
      </c>
    </row>
    <row r="5952" spans="2:34" x14ac:dyDescent="0.2">
      <c r="B5952" s="2">
        <f ca="1"/>
        <v>0.86733199089773838</v>
      </c>
      <c r="O5952" s="2">
        <f ca="1"/>
        <v>-0.98213831604701884</v>
      </c>
      <c r="X5952" s="2">
        <f ca="1"/>
        <v>68.664236148924772</v>
      </c>
      <c r="AG5952" s="2">
        <f ca="1"/>
        <v>0.68785602090608267</v>
      </c>
      <c r="AH5952" s="2" t="str">
        <f ca="1"/>
        <v>Bad</v>
      </c>
    </row>
    <row r="5953" spans="2:34" x14ac:dyDescent="0.2">
      <c r="B5953" s="2">
        <f ca="1"/>
        <v>0.65654880875422994</v>
      </c>
      <c r="O5953" s="2">
        <f ca="1"/>
        <v>0.15306652884691446</v>
      </c>
      <c r="X5953" s="2">
        <f ca="1"/>
        <v>50.981346316762455</v>
      </c>
      <c r="AG5953" s="2">
        <f ca="1"/>
        <v>0.6693038656446828</v>
      </c>
      <c r="AH5953" s="2" t="str">
        <f ca="1"/>
        <v>Bad</v>
      </c>
    </row>
    <row r="5954" spans="2:34" x14ac:dyDescent="0.2">
      <c r="B5954" s="2">
        <f ca="1"/>
        <v>0.87626965447874783</v>
      </c>
      <c r="O5954" s="2">
        <f ca="1"/>
        <v>-1.6235834731406591</v>
      </c>
      <c r="X5954" s="2">
        <f ca="1"/>
        <v>81.371424065002245</v>
      </c>
      <c r="AG5954" s="2">
        <f ca="1"/>
        <v>0.4163158041362014</v>
      </c>
      <c r="AH5954" s="2" t="str">
        <f ca="1"/>
        <v>Bad</v>
      </c>
    </row>
    <row r="5955" spans="2:34" x14ac:dyDescent="0.2">
      <c r="B5955" s="2">
        <f ca="1"/>
        <v>0.99313376501403861</v>
      </c>
      <c r="O5955" s="2">
        <f ca="1"/>
        <v>0.1768665269448399</v>
      </c>
      <c r="X5955" s="2">
        <f ca="1"/>
        <v>44.629949513085577</v>
      </c>
      <c r="AG5955" s="2">
        <f ca="1"/>
        <v>0.25116512922434331</v>
      </c>
      <c r="AH5955" s="2" t="str">
        <f ca="1"/>
        <v>OK</v>
      </c>
    </row>
    <row r="5956" spans="2:34" x14ac:dyDescent="0.2">
      <c r="B5956" s="2">
        <f ca="1"/>
        <v>0.44184305461541151</v>
      </c>
      <c r="O5956" s="2">
        <f ca="1"/>
        <v>-0.5877964381657107</v>
      </c>
      <c r="X5956" s="2">
        <f ca="1"/>
        <v>35.328198308812631</v>
      </c>
      <c r="AG5956" s="2">
        <f ca="1"/>
        <v>0.57458245180041545</v>
      </c>
      <c r="AH5956" s="2" t="str">
        <f ca="1"/>
        <v>Bad</v>
      </c>
    </row>
    <row r="5957" spans="2:34" x14ac:dyDescent="0.2">
      <c r="B5957" s="2">
        <f ca="1"/>
        <v>0.74972077427986128</v>
      </c>
      <c r="O5957" s="2">
        <f ca="1"/>
        <v>1.2375306504891697</v>
      </c>
      <c r="X5957" s="2">
        <f ca="1"/>
        <v>36.831277029859166</v>
      </c>
      <c r="AG5957" s="2">
        <f ca="1"/>
        <v>0.44260364403552765</v>
      </c>
      <c r="AH5957" s="2" t="str">
        <f ca="1"/>
        <v>Bad</v>
      </c>
    </row>
    <row r="5958" spans="2:34" x14ac:dyDescent="0.2">
      <c r="B5958" s="2">
        <f ca="1"/>
        <v>0.98059359864362405</v>
      </c>
      <c r="O5958" s="2">
        <f ca="1"/>
        <v>0.87354609421244966</v>
      </c>
      <c r="X5958" s="2">
        <f ca="1"/>
        <v>71.85379806140547</v>
      </c>
      <c r="AG5958" s="2">
        <f ca="1"/>
        <v>0.33345774925237226</v>
      </c>
      <c r="AH5958" s="2" t="str">
        <f ca="1"/>
        <v>OK</v>
      </c>
    </row>
    <row r="5959" spans="2:34" x14ac:dyDescent="0.2">
      <c r="B5959" s="2">
        <f ca="1"/>
        <v>0.6015692641174708</v>
      </c>
      <c r="O5959" s="2">
        <f ca="1"/>
        <v>0.70990236342049484</v>
      </c>
      <c r="X5959" s="2">
        <f ca="1"/>
        <v>38.959621244801106</v>
      </c>
      <c r="AG5959" s="2">
        <f ca="1"/>
        <v>0.10195810967759678</v>
      </c>
      <c r="AH5959" s="2" t="str">
        <f ca="1"/>
        <v>OK</v>
      </c>
    </row>
    <row r="5960" spans="2:34" x14ac:dyDescent="0.2">
      <c r="B5960" s="2">
        <f ca="1"/>
        <v>0.43386134618175465</v>
      </c>
      <c r="O5960" s="2">
        <f ca="1"/>
        <v>-0.33878894639269114</v>
      </c>
      <c r="X5960" s="2">
        <f ca="1"/>
        <v>22.917968926874778</v>
      </c>
      <c r="AG5960" s="2">
        <f ca="1"/>
        <v>0.15058560324821046</v>
      </c>
      <c r="AH5960" s="2" t="str">
        <f ca="1"/>
        <v>OK</v>
      </c>
    </row>
    <row r="5961" spans="2:34" x14ac:dyDescent="0.2">
      <c r="B5961" s="2">
        <f ca="1"/>
        <v>0.33856558257223335</v>
      </c>
      <c r="O5961" s="2">
        <f ca="1"/>
        <v>-0.304674941879233</v>
      </c>
      <c r="X5961" s="2">
        <f ca="1"/>
        <v>77.406052007472255</v>
      </c>
      <c r="AG5961" s="2">
        <f ca="1"/>
        <v>0.19907710407856705</v>
      </c>
      <c r="AH5961" s="2" t="str">
        <f ca="1"/>
        <v>OK</v>
      </c>
    </row>
    <row r="5962" spans="2:34" x14ac:dyDescent="0.2">
      <c r="B5962" s="2">
        <f ca="1"/>
        <v>0.5849699962863959</v>
      </c>
      <c r="O5962" s="2">
        <f ca="1"/>
        <v>-0.64290781325146329</v>
      </c>
      <c r="X5962" s="2">
        <f ca="1"/>
        <v>28.701415227554712</v>
      </c>
      <c r="AG5962" s="2">
        <f ca="1"/>
        <v>0.46743131410523375</v>
      </c>
      <c r="AH5962" s="2" t="str">
        <f ca="1"/>
        <v>Bad</v>
      </c>
    </row>
    <row r="5963" spans="2:34" x14ac:dyDescent="0.2">
      <c r="B5963" s="2">
        <f ca="1"/>
        <v>0.11079283021984199</v>
      </c>
      <c r="O5963" s="2">
        <f ca="1"/>
        <v>0.3383245458284207</v>
      </c>
      <c r="X5963" s="2">
        <f ca="1"/>
        <v>43.308943193176447</v>
      </c>
      <c r="AG5963" s="2">
        <f ca="1"/>
        <v>0.33471910359495172</v>
      </c>
      <c r="AH5963" s="2" t="str">
        <f ca="1"/>
        <v>OK</v>
      </c>
    </row>
    <row r="5964" spans="2:34" x14ac:dyDescent="0.2">
      <c r="B5964" s="2">
        <f ca="1"/>
        <v>0.39279008121942849</v>
      </c>
      <c r="O5964" s="2">
        <f ca="1"/>
        <v>0.6238238832319084</v>
      </c>
      <c r="X5964" s="2">
        <f ca="1"/>
        <v>43.246950146169951</v>
      </c>
      <c r="AG5964" s="2">
        <f ca="1"/>
        <v>0.73566041852144526</v>
      </c>
      <c r="AH5964" s="2" t="str">
        <f ca="1"/>
        <v>Bad</v>
      </c>
    </row>
    <row r="5965" spans="2:34" x14ac:dyDescent="0.2">
      <c r="B5965" s="2">
        <f ca="1"/>
        <v>0.20838764214166439</v>
      </c>
      <c r="O5965" s="2">
        <f ca="1"/>
        <v>1.3108108456993017</v>
      </c>
      <c r="X5965" s="2">
        <f ca="1"/>
        <v>59.227525734803564</v>
      </c>
      <c r="AG5965" s="2">
        <f ca="1"/>
        <v>0.87422859883225534</v>
      </c>
      <c r="AH5965" s="2" t="str">
        <f ca="1"/>
        <v>Bad</v>
      </c>
    </row>
    <row r="5966" spans="2:34" x14ac:dyDescent="0.2">
      <c r="B5966" s="2">
        <f ca="1"/>
        <v>0.89936385260000851</v>
      </c>
      <c r="O5966" s="2">
        <f ca="1"/>
        <v>0.98492432469149915</v>
      </c>
      <c r="X5966" s="2">
        <f ca="1"/>
        <v>44.273809649270952</v>
      </c>
      <c r="AG5966" s="2">
        <f ca="1"/>
        <v>0.27925187269826823</v>
      </c>
      <c r="AH5966" s="2" t="str">
        <f ca="1"/>
        <v>OK</v>
      </c>
    </row>
    <row r="5967" spans="2:34" x14ac:dyDescent="0.2">
      <c r="B5967" s="2">
        <f ca="1"/>
        <v>9.859655955591462E-3</v>
      </c>
      <c r="O5967" s="2">
        <f ca="1"/>
        <v>-0.96821585151429312</v>
      </c>
      <c r="X5967" s="2">
        <f ca="1"/>
        <v>91.914280905112633</v>
      </c>
      <c r="AG5967" s="2">
        <f ca="1"/>
        <v>0.23236824756912333</v>
      </c>
      <c r="AH5967" s="2" t="str">
        <f ca="1"/>
        <v>OK</v>
      </c>
    </row>
    <row r="5968" spans="2:34" x14ac:dyDescent="0.2">
      <c r="B5968" s="2">
        <f ca="1"/>
        <v>0.24467620435929605</v>
      </c>
      <c r="O5968" s="2">
        <f ca="1"/>
        <v>0.33599397906283229</v>
      </c>
      <c r="X5968" s="2">
        <f ca="1"/>
        <v>47.105823687043937</v>
      </c>
      <c r="AG5968" s="2">
        <f ca="1"/>
        <v>0.19350499189717474</v>
      </c>
      <c r="AH5968" s="2" t="str">
        <f ca="1"/>
        <v>OK</v>
      </c>
    </row>
    <row r="5969" spans="2:34" x14ac:dyDescent="0.2">
      <c r="B5969" s="2">
        <f ca="1"/>
        <v>0.40635475256964426</v>
      </c>
      <c r="O5969" s="2">
        <f ca="1"/>
        <v>1.4888613851792001</v>
      </c>
      <c r="X5969" s="2">
        <f ca="1"/>
        <v>30.109547908226077</v>
      </c>
      <c r="AG5969" s="2">
        <f ca="1"/>
        <v>0.29700924963355968</v>
      </c>
      <c r="AH5969" s="2" t="str">
        <f ca="1"/>
        <v>OK</v>
      </c>
    </row>
    <row r="5970" spans="2:34" x14ac:dyDescent="0.2">
      <c r="B5970" s="2">
        <f ca="1"/>
        <v>0.18906607333699266</v>
      </c>
      <c r="O5970" s="2">
        <f ca="1"/>
        <v>0.66021596121249981</v>
      </c>
      <c r="X5970" s="2">
        <f ca="1"/>
        <v>66.515613863803637</v>
      </c>
      <c r="AG5970" s="2">
        <f ca="1"/>
        <v>0.26179169863403007</v>
      </c>
      <c r="AH5970" s="2" t="str">
        <f ca="1"/>
        <v>OK</v>
      </c>
    </row>
    <row r="5971" spans="2:34" x14ac:dyDescent="0.2">
      <c r="B5971" s="2">
        <f ca="1"/>
        <v>0.1100666826669241</v>
      </c>
      <c r="O5971" s="2">
        <f ca="1"/>
        <v>0.27857865681018246</v>
      </c>
      <c r="X5971" s="2">
        <f ca="1"/>
        <v>62.013141649695484</v>
      </c>
      <c r="AG5971" s="2">
        <f ca="1"/>
        <v>0.7473456819430806</v>
      </c>
      <c r="AH5971" s="2" t="str">
        <f ca="1"/>
        <v>Bad</v>
      </c>
    </row>
    <row r="5972" spans="2:34" x14ac:dyDescent="0.2">
      <c r="B5972" s="2">
        <f ca="1"/>
        <v>0.17547421020586551</v>
      </c>
      <c r="O5972" s="2">
        <f ca="1"/>
        <v>-0.3031163760009602</v>
      </c>
      <c r="X5972" s="2">
        <f ca="1"/>
        <v>57.394545068691301</v>
      </c>
      <c r="AG5972" s="2">
        <f ca="1"/>
        <v>0.52186434835004403</v>
      </c>
      <c r="AH5972" s="2" t="str">
        <f ca="1"/>
        <v>Bad</v>
      </c>
    </row>
    <row r="5973" spans="2:34" x14ac:dyDescent="0.2">
      <c r="B5973" s="2">
        <f ca="1"/>
        <v>0.46495862115471986</v>
      </c>
      <c r="O5973" s="2">
        <f ca="1"/>
        <v>-0.97065916718731438</v>
      </c>
      <c r="X5973" s="2">
        <f ca="1"/>
        <v>41.593698004659601</v>
      </c>
      <c r="AG5973" s="2">
        <f ca="1"/>
        <v>0.29237782239905385</v>
      </c>
      <c r="AH5973" s="2" t="str">
        <f ca="1"/>
        <v>OK</v>
      </c>
    </row>
    <row r="5974" spans="2:34" x14ac:dyDescent="0.2">
      <c r="B5974" s="2">
        <f ca="1"/>
        <v>0.19973518963521553</v>
      </c>
      <c r="O5974" s="2">
        <f ca="1"/>
        <v>0.50675662249562692</v>
      </c>
      <c r="X5974" s="2">
        <f ca="1"/>
        <v>47.506542007479339</v>
      </c>
      <c r="AG5974" s="2">
        <f ca="1"/>
        <v>0.32000675210191232</v>
      </c>
      <c r="AH5974" s="2" t="str">
        <f ca="1"/>
        <v>OK</v>
      </c>
    </row>
    <row r="5975" spans="2:34" x14ac:dyDescent="0.2">
      <c r="B5975" s="2">
        <f ca="1"/>
        <v>0.91561931666504792</v>
      </c>
      <c r="O5975" s="2">
        <f ca="1"/>
        <v>0.20058282287663459</v>
      </c>
      <c r="X5975" s="2">
        <f ca="1"/>
        <v>49.186546889964198</v>
      </c>
      <c r="AG5975" s="2">
        <f ca="1"/>
        <v>0.99215428887112611</v>
      </c>
      <c r="AH5975" s="2" t="str">
        <f ca="1"/>
        <v>Bad</v>
      </c>
    </row>
    <row r="5976" spans="2:34" x14ac:dyDescent="0.2">
      <c r="B5976" s="2">
        <f ca="1"/>
        <v>0.49943159511368318</v>
      </c>
      <c r="O5976" s="2">
        <f ca="1"/>
        <v>-0.12864344553266216</v>
      </c>
      <c r="X5976" s="2">
        <f ca="1"/>
        <v>41.492871640846857</v>
      </c>
      <c r="AG5976" s="2">
        <f ca="1"/>
        <v>7.2571568053287239E-2</v>
      </c>
      <c r="AH5976" s="2" t="str">
        <f ca="1"/>
        <v>OK</v>
      </c>
    </row>
    <row r="5977" spans="2:34" x14ac:dyDescent="0.2">
      <c r="B5977" s="2">
        <f ca="1"/>
        <v>0.11959474512469459</v>
      </c>
      <c r="O5977" s="2">
        <f ca="1"/>
        <v>-0.7368992214780391</v>
      </c>
      <c r="X5977" s="2">
        <f ca="1"/>
        <v>70.2325332864052</v>
      </c>
      <c r="AG5977" s="2">
        <f ca="1"/>
        <v>0.40571297977646692</v>
      </c>
      <c r="AH5977" s="2" t="str">
        <f ca="1"/>
        <v>Bad</v>
      </c>
    </row>
    <row r="5978" spans="2:34" x14ac:dyDescent="0.2">
      <c r="B5978" s="2">
        <f ca="1"/>
        <v>0.94120637497082971</v>
      </c>
      <c r="O5978" s="2">
        <f ca="1"/>
        <v>0.73310905961504647</v>
      </c>
      <c r="X5978" s="2">
        <f ca="1"/>
        <v>34.528429127520582</v>
      </c>
      <c r="AG5978" s="2">
        <f ca="1"/>
        <v>0.89502988611952072</v>
      </c>
      <c r="AH5978" s="2" t="str">
        <f ca="1"/>
        <v>Bad</v>
      </c>
    </row>
    <row r="5979" spans="2:34" x14ac:dyDescent="0.2">
      <c r="B5979" s="2">
        <f ca="1"/>
        <v>0.20409877676076582</v>
      </c>
      <c r="O5979" s="2">
        <f ca="1"/>
        <v>0.31603802833138706</v>
      </c>
      <c r="X5979" s="2">
        <f ca="1"/>
        <v>43.176657684351099</v>
      </c>
      <c r="AG5979" s="2">
        <f ca="1"/>
        <v>0.45381283978408105</v>
      </c>
      <c r="AH5979" s="2" t="str">
        <f ca="1"/>
        <v>Bad</v>
      </c>
    </row>
    <row r="5980" spans="2:34" x14ac:dyDescent="0.2">
      <c r="B5980" s="2">
        <f ca="1"/>
        <v>0.49899460055156042</v>
      </c>
      <c r="O5980" s="2">
        <f ca="1"/>
        <v>-0.68191126857020723</v>
      </c>
      <c r="X5980" s="2">
        <f ca="1"/>
        <v>33.555827508458599</v>
      </c>
      <c r="AG5980" s="2">
        <f ca="1"/>
        <v>0.48341933425262296</v>
      </c>
      <c r="AH5980" s="2" t="str">
        <f ca="1"/>
        <v>Bad</v>
      </c>
    </row>
    <row r="5981" spans="2:34" x14ac:dyDescent="0.2">
      <c r="B5981" s="2">
        <f ca="1"/>
        <v>0.75117541028698653</v>
      </c>
      <c r="O5981" s="2">
        <f ca="1"/>
        <v>-0.64875906816538509</v>
      </c>
      <c r="X5981" s="2">
        <f ca="1"/>
        <v>33.166257521437544</v>
      </c>
      <c r="AG5981" s="2">
        <f ca="1"/>
        <v>0.69227931804484277</v>
      </c>
      <c r="AH5981" s="2" t="str">
        <f ca="1"/>
        <v>Bad</v>
      </c>
    </row>
    <row r="5982" spans="2:34" x14ac:dyDescent="0.2">
      <c r="B5982" s="2">
        <f ca="1"/>
        <v>0.87570483616089545</v>
      </c>
      <c r="O5982" s="2">
        <f ca="1"/>
        <v>0.82954475746165335</v>
      </c>
      <c r="X5982" s="2">
        <f ca="1"/>
        <v>72.725618339618237</v>
      </c>
      <c r="AG5982" s="2">
        <f ca="1"/>
        <v>0.99323128461401944</v>
      </c>
      <c r="AH5982" s="2" t="str">
        <f ca="1"/>
        <v>Bad</v>
      </c>
    </row>
    <row r="5983" spans="2:34" x14ac:dyDescent="0.2">
      <c r="B5983" s="2">
        <f ca="1"/>
        <v>0.34948780193332452</v>
      </c>
      <c r="O5983" s="2">
        <f ca="1"/>
        <v>0.91940781781255898</v>
      </c>
      <c r="X5983" s="2">
        <f ca="1"/>
        <v>66.860976948848958</v>
      </c>
      <c r="AG5983" s="2">
        <f ca="1"/>
        <v>0.26445235419047686</v>
      </c>
      <c r="AH5983" s="2" t="str">
        <f ca="1"/>
        <v>OK</v>
      </c>
    </row>
    <row r="5984" spans="2:34" x14ac:dyDescent="0.2">
      <c r="B5984" s="2">
        <f ca="1"/>
        <v>0.27197126251301196</v>
      </c>
      <c r="O5984" s="2">
        <f ca="1"/>
        <v>0.55795007946534758</v>
      </c>
      <c r="X5984" s="2">
        <f ca="1"/>
        <v>39.844869829291923</v>
      </c>
      <c r="AG5984" s="2">
        <f ca="1"/>
        <v>0.19673394977735947</v>
      </c>
      <c r="AH5984" s="2" t="str">
        <f ca="1"/>
        <v>OK</v>
      </c>
    </row>
    <row r="5985" spans="2:34" x14ac:dyDescent="0.2">
      <c r="B5985" s="2">
        <f ca="1"/>
        <v>0.95290701581072934</v>
      </c>
      <c r="O5985" s="2">
        <f ca="1"/>
        <v>0.1305488688558861</v>
      </c>
      <c r="X5985" s="2">
        <f ca="1"/>
        <v>45.648728418017832</v>
      </c>
      <c r="AG5985" s="2">
        <f ca="1"/>
        <v>0.61579376841651423</v>
      </c>
      <c r="AH5985" s="2" t="str">
        <f ca="1"/>
        <v>Bad</v>
      </c>
    </row>
    <row r="5986" spans="2:34" x14ac:dyDescent="0.2">
      <c r="B5986" s="2">
        <f ca="1"/>
        <v>0.31464061231493856</v>
      </c>
      <c r="O5986" s="2">
        <f ca="1"/>
        <v>-1.3084026238881097</v>
      </c>
      <c r="X5986" s="2">
        <f ca="1"/>
        <v>56.790151296967402</v>
      </c>
      <c r="AG5986" s="2">
        <f ca="1"/>
        <v>0.20857247675524615</v>
      </c>
      <c r="AH5986" s="2" t="str">
        <f ca="1"/>
        <v>OK</v>
      </c>
    </row>
    <row r="5987" spans="2:34" x14ac:dyDescent="0.2">
      <c r="B5987" s="2">
        <f ca="1"/>
        <v>0.65585624989972113</v>
      </c>
      <c r="O5987" s="2">
        <f ca="1"/>
        <v>0.81144841816778746</v>
      </c>
      <c r="X5987" s="2">
        <f ca="1"/>
        <v>83.429995905261194</v>
      </c>
      <c r="AG5987" s="2">
        <f ca="1"/>
        <v>0.53332162789702076</v>
      </c>
      <c r="AH5987" s="2" t="str">
        <f ca="1"/>
        <v>Bad</v>
      </c>
    </row>
    <row r="5988" spans="2:34" x14ac:dyDescent="0.2">
      <c r="B5988" s="2">
        <f ca="1"/>
        <v>0.95096649210103434</v>
      </c>
      <c r="O5988" s="2">
        <f ca="1"/>
        <v>0.151488138068852</v>
      </c>
      <c r="X5988" s="2">
        <f ca="1"/>
        <v>58.81027281808371</v>
      </c>
      <c r="AG5988" s="2">
        <f ca="1"/>
        <v>0.5664896383586473</v>
      </c>
      <c r="AH5988" s="2" t="str">
        <f ca="1"/>
        <v>Bad</v>
      </c>
    </row>
    <row r="5989" spans="2:34" x14ac:dyDescent="0.2">
      <c r="B5989" s="2">
        <f ca="1"/>
        <v>0.2842741256903345</v>
      </c>
      <c r="O5989" s="2">
        <f ca="1"/>
        <v>0.11969375378113699</v>
      </c>
      <c r="X5989" s="2">
        <f ca="1"/>
        <v>58.921074388307744</v>
      </c>
      <c r="AG5989" s="2">
        <f ca="1"/>
        <v>0.79737588087203393</v>
      </c>
      <c r="AH5989" s="2" t="str">
        <f ca="1"/>
        <v>Bad</v>
      </c>
    </row>
    <row r="5990" spans="2:34" x14ac:dyDescent="0.2">
      <c r="B5990" s="2">
        <f ca="1"/>
        <v>0.87191202976851456</v>
      </c>
      <c r="O5990" s="2">
        <f ca="1"/>
        <v>5.2404408501378105E-2</v>
      </c>
      <c r="X5990" s="2">
        <f ca="1"/>
        <v>59.776564447792886</v>
      </c>
      <c r="AG5990" s="2">
        <f ca="1"/>
        <v>0.53667369841282953</v>
      </c>
      <c r="AH5990" s="2" t="str">
        <f ca="1"/>
        <v>Bad</v>
      </c>
    </row>
    <row r="5991" spans="2:34" x14ac:dyDescent="0.2">
      <c r="B5991" s="2">
        <f ca="1"/>
        <v>0.73107587853575962</v>
      </c>
      <c r="O5991" s="2">
        <f ca="1"/>
        <v>-0.7305501247238082</v>
      </c>
      <c r="X5991" s="2">
        <f ca="1"/>
        <v>40.204836997962531</v>
      </c>
      <c r="AG5991" s="2">
        <f ca="1"/>
        <v>0.76543810291471237</v>
      </c>
      <c r="AH5991" s="2" t="str">
        <f ca="1"/>
        <v>Bad</v>
      </c>
    </row>
    <row r="5992" spans="2:34" x14ac:dyDescent="0.2">
      <c r="B5992" s="2">
        <f ca="1"/>
        <v>0.13021242646692865</v>
      </c>
      <c r="O5992" s="2">
        <f ca="1"/>
        <v>-1.008957692711403</v>
      </c>
      <c r="X5992" s="2">
        <f ca="1"/>
        <v>44.993023071806419</v>
      </c>
      <c r="AG5992" s="2">
        <f ca="1"/>
        <v>0.86476432855293428</v>
      </c>
      <c r="AH5992" s="2" t="str">
        <f ca="1"/>
        <v>Bad</v>
      </c>
    </row>
    <row r="5993" spans="2:34" x14ac:dyDescent="0.2">
      <c r="B5993" s="2">
        <f ca="1"/>
        <v>0.66692681168717982</v>
      </c>
      <c r="O5993" s="2">
        <f ca="1"/>
        <v>0.57153470655903837</v>
      </c>
      <c r="X5993" s="2">
        <f ca="1"/>
        <v>34.569252967081667</v>
      </c>
      <c r="AG5993" s="2">
        <f ca="1"/>
        <v>0.62314355491289164</v>
      </c>
      <c r="AH5993" s="2" t="str">
        <f ca="1"/>
        <v>Bad</v>
      </c>
    </row>
    <row r="5994" spans="2:34" x14ac:dyDescent="0.2">
      <c r="B5994" s="2">
        <f ca="1"/>
        <v>0.64131036332432734</v>
      </c>
      <c r="O5994" s="2">
        <f ca="1"/>
        <v>0.36587794498311216</v>
      </c>
      <c r="X5994" s="2">
        <f ca="1"/>
        <v>24.311663090231544</v>
      </c>
      <c r="AG5994" s="2">
        <f ca="1"/>
        <v>0.65797416568172551</v>
      </c>
      <c r="AH5994" s="2" t="str">
        <f ca="1"/>
        <v>Bad</v>
      </c>
    </row>
    <row r="5995" spans="2:34" x14ac:dyDescent="0.2">
      <c r="B5995" s="2">
        <f ca="1"/>
        <v>5.7776775676887659E-3</v>
      </c>
      <c r="O5995" s="2">
        <f ca="1"/>
        <v>1.2074431419823577</v>
      </c>
      <c r="X5995" s="2">
        <f ca="1"/>
        <v>88.674221928937911</v>
      </c>
      <c r="AG5995" s="2">
        <f ca="1"/>
        <v>8.1069743519224247E-3</v>
      </c>
      <c r="AH5995" s="2" t="str">
        <f ca="1"/>
        <v>Good</v>
      </c>
    </row>
    <row r="5996" spans="2:34" x14ac:dyDescent="0.2">
      <c r="B5996" s="2">
        <f ca="1"/>
        <v>0.62729027792624081</v>
      </c>
      <c r="O5996" s="2">
        <f ca="1"/>
        <v>-0.5345451521786716</v>
      </c>
      <c r="X5996" s="2">
        <f ca="1"/>
        <v>85.559696981898625</v>
      </c>
      <c r="AG5996" s="2">
        <f ca="1"/>
        <v>0.68978416743457371</v>
      </c>
      <c r="AH5996" s="2" t="str">
        <f ca="1"/>
        <v>Bad</v>
      </c>
    </row>
    <row r="5997" spans="2:34" x14ac:dyDescent="0.2">
      <c r="B5997" s="2">
        <f ca="1"/>
        <v>0.10457711230740707</v>
      </c>
      <c r="O5997" s="2">
        <f ca="1"/>
        <v>-0.60190254719468361</v>
      </c>
      <c r="X5997" s="2">
        <f ca="1"/>
        <v>43.321000148019664</v>
      </c>
      <c r="AG5997" s="2">
        <f ca="1"/>
        <v>0.23103275179316363</v>
      </c>
      <c r="AH5997" s="2" t="str">
        <f ca="1"/>
        <v>OK</v>
      </c>
    </row>
    <row r="5998" spans="2:34" x14ac:dyDescent="0.2">
      <c r="B5998" s="2">
        <f ca="1"/>
        <v>0.38397729293961902</v>
      </c>
      <c r="O5998" s="2">
        <f ca="1"/>
        <v>-0.68247300221732443</v>
      </c>
      <c r="X5998" s="2">
        <f ca="1"/>
        <v>55.66695625131581</v>
      </c>
      <c r="AG5998" s="2">
        <f ca="1"/>
        <v>0.99571672869023464</v>
      </c>
      <c r="AH5998" s="2" t="str">
        <f ca="1"/>
        <v>Bad</v>
      </c>
    </row>
    <row r="5999" spans="2:34" x14ac:dyDescent="0.2">
      <c r="B5999" s="2">
        <f ca="1"/>
        <v>0.21703708269470834</v>
      </c>
      <c r="O5999" s="2">
        <f ca="1"/>
        <v>1.2745016349283713</v>
      </c>
      <c r="X5999" s="2">
        <f ca="1"/>
        <v>54.108849688169094</v>
      </c>
      <c r="AG5999" s="2">
        <f ca="1"/>
        <v>9.5674238283913748E-2</v>
      </c>
      <c r="AH5999" s="2" t="str">
        <f ca="1"/>
        <v>OK</v>
      </c>
    </row>
    <row r="6000" spans="2:34" x14ac:dyDescent="0.2">
      <c r="B6000" s="2">
        <f ca="1"/>
        <v>0.10635724612332531</v>
      </c>
      <c r="O6000" s="2">
        <f ca="1"/>
        <v>0.22836485947923682</v>
      </c>
      <c r="X6000" s="2">
        <f ca="1"/>
        <v>54.828727262420074</v>
      </c>
      <c r="AG6000" s="2">
        <f ca="1"/>
        <v>0.56808517454084706</v>
      </c>
      <c r="AH6000" s="2" t="str">
        <f ca="1"/>
        <v>Bad</v>
      </c>
    </row>
    <row r="6001" spans="2:34" x14ac:dyDescent="0.2">
      <c r="B6001" s="2">
        <f ca="1"/>
        <v>5.1897360451154118E-2</v>
      </c>
      <c r="O6001" s="2">
        <f ca="1"/>
        <v>-0.80292678317928989</v>
      </c>
      <c r="X6001" s="2">
        <f ca="1"/>
        <v>43.573788566429855</v>
      </c>
      <c r="AG6001" s="2">
        <f ca="1"/>
        <v>1.2804371302464146E-2</v>
      </c>
      <c r="AH6001" s="2" t="str">
        <f ca="1"/>
        <v>Good</v>
      </c>
    </row>
    <row r="6002" spans="2:34" x14ac:dyDescent="0.2">
      <c r="B6002" s="2">
        <f ca="1"/>
        <v>0.46859920218449691</v>
      </c>
      <c r="O6002" s="2">
        <f ca="1"/>
        <v>-0.9768157937318156</v>
      </c>
      <c r="X6002" s="2">
        <f ca="1"/>
        <v>49.494505553518437</v>
      </c>
      <c r="AG6002" s="2">
        <f ca="1"/>
        <v>0.87838618745064756</v>
      </c>
      <c r="AH6002" s="2" t="str">
        <f ca="1"/>
        <v>Bad</v>
      </c>
    </row>
    <row r="6003" spans="2:34" x14ac:dyDescent="0.2">
      <c r="B6003" s="2">
        <f ca="1"/>
        <v>0.30800639028974408</v>
      </c>
      <c r="O6003" s="2">
        <f ca="1"/>
        <v>-0.16996662064791954</v>
      </c>
      <c r="X6003" s="2">
        <f ca="1"/>
        <v>37.610272823163953</v>
      </c>
      <c r="AG6003" s="2">
        <f ca="1"/>
        <v>0.40867956213851264</v>
      </c>
      <c r="AH6003" s="2" t="str">
        <f ca="1"/>
        <v>Bad</v>
      </c>
    </row>
    <row r="6004" spans="2:34" x14ac:dyDescent="0.2">
      <c r="B6004" s="2">
        <f ca="1"/>
        <v>0.39282295140723589</v>
      </c>
      <c r="O6004" s="2">
        <f ca="1"/>
        <v>0.3903294195076501</v>
      </c>
      <c r="X6004" s="2">
        <f ca="1"/>
        <v>81.148625828569379</v>
      </c>
      <c r="AG6004" s="2">
        <f ca="1"/>
        <v>0.36863826704431868</v>
      </c>
      <c r="AH6004" s="2" t="str">
        <f ca="1"/>
        <v>OK</v>
      </c>
    </row>
    <row r="6005" spans="2:34" x14ac:dyDescent="0.2">
      <c r="B6005" s="2">
        <f ca="1"/>
        <v>0.52303843035381337</v>
      </c>
      <c r="O6005" s="2">
        <f ca="1"/>
        <v>-3.3627604974644822E-2</v>
      </c>
      <c r="X6005" s="2">
        <f ca="1"/>
        <v>55.985034222750514</v>
      </c>
      <c r="AG6005" s="2">
        <f ca="1"/>
        <v>0.95753870897209348</v>
      </c>
      <c r="AH6005" s="2" t="str">
        <f ca="1"/>
        <v>Bad</v>
      </c>
    </row>
    <row r="6006" spans="2:34" x14ac:dyDescent="0.2">
      <c r="B6006" s="2">
        <f ca="1"/>
        <v>6.6127457922494193E-2</v>
      </c>
      <c r="O6006" s="2">
        <f ca="1"/>
        <v>0.61862479850364882</v>
      </c>
      <c r="X6006" s="2">
        <f ca="1"/>
        <v>59.282855569736569</v>
      </c>
      <c r="AG6006" s="2">
        <f ca="1"/>
        <v>0.66071042814047876</v>
      </c>
      <c r="AH6006" s="2" t="str">
        <f ca="1"/>
        <v>Bad</v>
      </c>
    </row>
    <row r="6007" spans="2:34" x14ac:dyDescent="0.2">
      <c r="B6007" s="2">
        <f ca="1"/>
        <v>0.36270583580510496</v>
      </c>
      <c r="O6007" s="2">
        <f ca="1"/>
        <v>-0.82234637498127416</v>
      </c>
      <c r="X6007" s="2">
        <f ca="1"/>
        <v>45.393998676957146</v>
      </c>
      <c r="AG6007" s="2">
        <f ca="1"/>
        <v>0.42292779129162561</v>
      </c>
      <c r="AH6007" s="2" t="str">
        <f ca="1"/>
        <v>Bad</v>
      </c>
    </row>
    <row r="6008" spans="2:34" x14ac:dyDescent="0.2">
      <c r="B6008" s="2">
        <f ca="1"/>
        <v>3.0060359001147008E-2</v>
      </c>
      <c r="O6008" s="2">
        <f ca="1"/>
        <v>-0.73764470832210649</v>
      </c>
      <c r="X6008" s="2">
        <f ca="1"/>
        <v>52.070050445147388</v>
      </c>
      <c r="AG6008" s="2">
        <f ca="1"/>
        <v>0.95404405130783188</v>
      </c>
      <c r="AH6008" s="2" t="str">
        <f ca="1"/>
        <v>Bad</v>
      </c>
    </row>
    <row r="6009" spans="2:34" x14ac:dyDescent="0.2">
      <c r="B6009" s="2">
        <f ca="1"/>
        <v>0.98303403099152109</v>
      </c>
      <c r="O6009" s="2">
        <f ca="1"/>
        <v>0.28094780834638788</v>
      </c>
      <c r="X6009" s="2">
        <f ca="1"/>
        <v>69.087948689586227</v>
      </c>
      <c r="AG6009" s="2">
        <f ca="1"/>
        <v>0.62749705375787657</v>
      </c>
      <c r="AH6009" s="2" t="str">
        <f ca="1"/>
        <v>Bad</v>
      </c>
    </row>
    <row r="6010" spans="2:34" x14ac:dyDescent="0.2">
      <c r="B6010" s="2">
        <f ca="1"/>
        <v>0.37740413648152038</v>
      </c>
      <c r="O6010" s="2">
        <f ca="1"/>
        <v>0.6471971746245111</v>
      </c>
      <c r="X6010" s="2">
        <f ca="1"/>
        <v>35.570815553864037</v>
      </c>
      <c r="AG6010" s="2">
        <f ca="1"/>
        <v>0.69595975476592664</v>
      </c>
      <c r="AH6010" s="2" t="str">
        <f ca="1"/>
        <v>Bad</v>
      </c>
    </row>
    <row r="6011" spans="2:34" x14ac:dyDescent="0.2">
      <c r="B6011" s="2">
        <f ca="1"/>
        <v>0.70125241052517318</v>
      </c>
      <c r="O6011" s="2">
        <f ca="1"/>
        <v>1.022473435460409</v>
      </c>
      <c r="X6011" s="2">
        <f ca="1"/>
        <v>35.096512363835515</v>
      </c>
      <c r="AG6011" s="2">
        <f ca="1"/>
        <v>0.90491442535531408</v>
      </c>
      <c r="AH6011" s="2" t="str">
        <f ca="1"/>
        <v>Bad</v>
      </c>
    </row>
    <row r="6012" spans="2:34" x14ac:dyDescent="0.2">
      <c r="B6012" s="2">
        <f ca="1"/>
        <v>0.51975462280010332</v>
      </c>
      <c r="O6012" s="2">
        <f ca="1"/>
        <v>0.83937064111296766</v>
      </c>
      <c r="X6012" s="2">
        <f ca="1"/>
        <v>44.847670063458352</v>
      </c>
      <c r="AG6012" s="2">
        <f ca="1"/>
        <v>0.83328680116797416</v>
      </c>
      <c r="AH6012" s="2" t="str">
        <f ca="1"/>
        <v>Bad</v>
      </c>
    </row>
    <row r="6013" spans="2:34" x14ac:dyDescent="0.2">
      <c r="B6013" s="2">
        <f ca="1"/>
        <v>0.53218795277616371</v>
      </c>
      <c r="O6013" s="2">
        <f ca="1"/>
        <v>0.32322899228559782</v>
      </c>
      <c r="X6013" s="2">
        <f ca="1"/>
        <v>40.023465722693487</v>
      </c>
      <c r="AG6013" s="2">
        <f ca="1"/>
        <v>0.45957623840595252</v>
      </c>
      <c r="AH6013" s="2" t="str">
        <f ca="1"/>
        <v>Bad</v>
      </c>
    </row>
    <row r="6014" spans="2:34" x14ac:dyDescent="0.2">
      <c r="B6014" s="2">
        <f ca="1"/>
        <v>0.16139468016994285</v>
      </c>
      <c r="O6014" s="2">
        <f ca="1"/>
        <v>-0.19187498963249544</v>
      </c>
      <c r="X6014" s="2">
        <f ca="1"/>
        <v>28.280478893061492</v>
      </c>
      <c r="AG6014" s="2">
        <f ca="1"/>
        <v>0.50766391738509231</v>
      </c>
      <c r="AH6014" s="2" t="str">
        <f ca="1"/>
        <v>Bad</v>
      </c>
    </row>
    <row r="6015" spans="2:34" x14ac:dyDescent="0.2">
      <c r="B6015" s="2">
        <f ca="1"/>
        <v>0.4555871167004224</v>
      </c>
      <c r="O6015" s="2">
        <f ca="1"/>
        <v>1.9522924498498746</v>
      </c>
      <c r="X6015" s="2">
        <f ca="1"/>
        <v>38.44722402070591</v>
      </c>
      <c r="AG6015" s="2">
        <f ca="1"/>
        <v>0.29791855575926074</v>
      </c>
      <c r="AH6015" s="2" t="str">
        <f ca="1"/>
        <v>OK</v>
      </c>
    </row>
    <row r="6016" spans="2:34" x14ac:dyDescent="0.2">
      <c r="B6016" s="2">
        <f ca="1"/>
        <v>0.83918771857071905</v>
      </c>
      <c r="O6016" s="2">
        <f ca="1"/>
        <v>-0.3777861346759262</v>
      </c>
      <c r="X6016" s="2">
        <f ca="1"/>
        <v>54.316078020349046</v>
      </c>
      <c r="AG6016" s="2">
        <f ca="1"/>
        <v>0.80127990254044335</v>
      </c>
      <c r="AH6016" s="2" t="str">
        <f ca="1"/>
        <v>Bad</v>
      </c>
    </row>
    <row r="6017" spans="2:34" x14ac:dyDescent="0.2">
      <c r="B6017" s="2">
        <f ca="1"/>
        <v>0.493109383666124</v>
      </c>
      <c r="O6017" s="2">
        <f ca="1"/>
        <v>2.6618903360294901</v>
      </c>
      <c r="X6017" s="2">
        <f ca="1"/>
        <v>50.301184333580203</v>
      </c>
      <c r="AG6017" s="2">
        <f ca="1"/>
        <v>0.91410412174188926</v>
      </c>
      <c r="AH6017" s="2" t="str">
        <f ca="1"/>
        <v>Bad</v>
      </c>
    </row>
    <row r="6018" spans="2:34" x14ac:dyDescent="0.2">
      <c r="B6018" s="2">
        <f ca="1"/>
        <v>0.48353695202996305</v>
      </c>
      <c r="O6018" s="2">
        <f ca="1"/>
        <v>-1.4086781917051225</v>
      </c>
      <c r="X6018" s="2">
        <f ca="1"/>
        <v>46.232851855768125</v>
      </c>
      <c r="AG6018" s="2">
        <f ca="1"/>
        <v>0.12523804361876079</v>
      </c>
      <c r="AH6018" s="2" t="str">
        <f ca="1"/>
        <v>OK</v>
      </c>
    </row>
    <row r="6019" spans="2:34" x14ac:dyDescent="0.2">
      <c r="B6019" s="2">
        <f ca="1"/>
        <v>0.37146711719666614</v>
      </c>
      <c r="O6019" s="2">
        <f ca="1"/>
        <v>1.1762237779329778</v>
      </c>
      <c r="X6019" s="2">
        <f ca="1"/>
        <v>58.294466297254139</v>
      </c>
      <c r="AG6019" s="2">
        <f ca="1"/>
        <v>0.26218425025756331</v>
      </c>
      <c r="AH6019" s="2" t="str">
        <f ca="1"/>
        <v>OK</v>
      </c>
    </row>
    <row r="6020" spans="2:34" x14ac:dyDescent="0.2">
      <c r="B6020" s="2">
        <f ca="1"/>
        <v>0.32787228632290066</v>
      </c>
      <c r="O6020" s="2">
        <f ca="1"/>
        <v>0.47112429958498309</v>
      </c>
      <c r="X6020" s="2">
        <f ca="1"/>
        <v>57.886924128206701</v>
      </c>
      <c r="AG6020" s="2">
        <f ca="1"/>
        <v>0.32739789403034236</v>
      </c>
      <c r="AH6020" s="2" t="str">
        <f ca="1"/>
        <v>OK</v>
      </c>
    </row>
    <row r="6021" spans="2:34" x14ac:dyDescent="0.2">
      <c r="B6021" s="2">
        <f ca="1"/>
        <v>4.7570477355594054E-2</v>
      </c>
      <c r="O6021" s="2">
        <f ca="1"/>
        <v>-0.21099423838429102</v>
      </c>
      <c r="X6021" s="2">
        <f ca="1"/>
        <v>39.505342013489702</v>
      </c>
      <c r="AG6021" s="2">
        <f ca="1"/>
        <v>0.24359588585186098</v>
      </c>
      <c r="AH6021" s="2" t="str">
        <f ca="1"/>
        <v>OK</v>
      </c>
    </row>
    <row r="6022" spans="2:34" x14ac:dyDescent="0.2">
      <c r="B6022" s="2">
        <f ca="1"/>
        <v>3.3006660200827209E-3</v>
      </c>
      <c r="O6022" s="2">
        <f ca="1"/>
        <v>1.2530791023622152</v>
      </c>
      <c r="X6022" s="2">
        <f ca="1"/>
        <v>38.568104026126662</v>
      </c>
      <c r="AG6022" s="2">
        <f ca="1"/>
        <v>0.57075646483797038</v>
      </c>
      <c r="AH6022" s="2" t="str">
        <f ca="1"/>
        <v>Bad</v>
      </c>
    </row>
    <row r="6023" spans="2:34" x14ac:dyDescent="0.2">
      <c r="B6023" s="2">
        <f ca="1"/>
        <v>2.0255794469689059E-2</v>
      </c>
      <c r="O6023" s="2">
        <f ca="1"/>
        <v>-2.651241631354321</v>
      </c>
      <c r="X6023" s="2">
        <f ca="1"/>
        <v>21.512958643805376</v>
      </c>
      <c r="AG6023" s="2">
        <f ca="1"/>
        <v>0.39416084356944592</v>
      </c>
      <c r="AH6023" s="2" t="str">
        <f ca="1"/>
        <v>OK</v>
      </c>
    </row>
    <row r="6024" spans="2:34" x14ac:dyDescent="0.2">
      <c r="B6024" s="2">
        <f ca="1"/>
        <v>0.41931450917461732</v>
      </c>
      <c r="O6024" s="2">
        <f ca="1"/>
        <v>-3.3778820007599249E-2</v>
      </c>
      <c r="X6024" s="2">
        <f ca="1"/>
        <v>39.426263652808039</v>
      </c>
      <c r="AG6024" s="2">
        <f ca="1"/>
        <v>0.23654341787985089</v>
      </c>
      <c r="AH6024" s="2" t="str">
        <f ca="1"/>
        <v>OK</v>
      </c>
    </row>
    <row r="6025" spans="2:34" x14ac:dyDescent="0.2">
      <c r="B6025" s="2">
        <f ca="1"/>
        <v>0.93912500018329559</v>
      </c>
      <c r="O6025" s="2">
        <f ca="1"/>
        <v>0.75458986744468115</v>
      </c>
      <c r="X6025" s="2">
        <f ca="1"/>
        <v>53.385203245474642</v>
      </c>
      <c r="AG6025" s="2">
        <f ca="1"/>
        <v>0.77079029153366263</v>
      </c>
      <c r="AH6025" s="2" t="str">
        <f ca="1"/>
        <v>Bad</v>
      </c>
    </row>
    <row r="6026" spans="2:34" x14ac:dyDescent="0.2">
      <c r="B6026" s="2">
        <f ca="1"/>
        <v>0.32756292442395596</v>
      </c>
      <c r="O6026" s="2">
        <f ca="1"/>
        <v>1.1573940404924412</v>
      </c>
      <c r="X6026" s="2">
        <f ca="1"/>
        <v>40.901447369666656</v>
      </c>
      <c r="AG6026" s="2">
        <f ca="1"/>
        <v>0.39509397433104243</v>
      </c>
      <c r="AH6026" s="2" t="str">
        <f ca="1"/>
        <v>OK</v>
      </c>
    </row>
    <row r="6027" spans="2:34" x14ac:dyDescent="0.2">
      <c r="B6027" s="2">
        <f ca="1"/>
        <v>0.58022136716276007</v>
      </c>
      <c r="O6027" s="2">
        <f ca="1"/>
        <v>-0.48158896620210784</v>
      </c>
      <c r="X6027" s="2">
        <f ca="1"/>
        <v>24.480206937238037</v>
      </c>
      <c r="AG6027" s="2">
        <f ca="1"/>
        <v>0.79276314751749921</v>
      </c>
      <c r="AH6027" s="2" t="str">
        <f ca="1"/>
        <v>Bad</v>
      </c>
    </row>
    <row r="6028" spans="2:34" x14ac:dyDescent="0.2">
      <c r="B6028" s="2">
        <f ca="1"/>
        <v>0.39264427939773583</v>
      </c>
      <c r="O6028" s="2">
        <f ca="1"/>
        <v>-0.53121144788907315</v>
      </c>
      <c r="X6028" s="2">
        <f ca="1"/>
        <v>27.355289346221046</v>
      </c>
      <c r="AG6028" s="2">
        <f ca="1"/>
        <v>0.93016873487155927</v>
      </c>
      <c r="AH6028" s="2" t="str">
        <f ca="1"/>
        <v>Bad</v>
      </c>
    </row>
    <row r="6029" spans="2:34" x14ac:dyDescent="0.2">
      <c r="B6029" s="2">
        <f ca="1"/>
        <v>0.66264564061096354</v>
      </c>
      <c r="O6029" s="2">
        <f ca="1"/>
        <v>-0.68358155754293137</v>
      </c>
      <c r="X6029" s="2">
        <f ca="1"/>
        <v>40.535790235144269</v>
      </c>
      <c r="AG6029" s="2">
        <f ca="1"/>
        <v>0.62434451424618564</v>
      </c>
      <c r="AH6029" s="2" t="str">
        <f ca="1"/>
        <v>Bad</v>
      </c>
    </row>
    <row r="6030" spans="2:34" x14ac:dyDescent="0.2">
      <c r="B6030" s="2">
        <f ca="1"/>
        <v>0.24193812672402881</v>
      </c>
      <c r="O6030" s="2">
        <f ca="1"/>
        <v>-0.43307536509508421</v>
      </c>
      <c r="X6030" s="2">
        <f ca="1"/>
        <v>58.747548839070873</v>
      </c>
      <c r="AG6030" s="2">
        <f ca="1"/>
        <v>0.20565589688817409</v>
      </c>
      <c r="AH6030" s="2" t="str">
        <f ca="1"/>
        <v>OK</v>
      </c>
    </row>
    <row r="6031" spans="2:34" x14ac:dyDescent="0.2">
      <c r="B6031" s="2">
        <f ca="1"/>
        <v>0.5389050619421456</v>
      </c>
      <c r="O6031" s="2">
        <f ca="1"/>
        <v>1.6577067587279097</v>
      </c>
      <c r="X6031" s="2">
        <f ca="1"/>
        <v>65.962950925441746</v>
      </c>
      <c r="AG6031" s="2">
        <f ca="1"/>
        <v>5.6891737680730081E-2</v>
      </c>
      <c r="AH6031" s="2" t="str">
        <f ca="1"/>
        <v>OK</v>
      </c>
    </row>
    <row r="6032" spans="2:34" x14ac:dyDescent="0.2">
      <c r="B6032" s="2">
        <f ca="1"/>
        <v>0.45758686623400657</v>
      </c>
      <c r="O6032" s="2">
        <f ca="1"/>
        <v>-0.69186675013848353</v>
      </c>
      <c r="X6032" s="2">
        <f ca="1"/>
        <v>30.995567159158433</v>
      </c>
      <c r="AG6032" s="2">
        <f ca="1"/>
        <v>8.5817239632915321E-2</v>
      </c>
      <c r="AH6032" s="2" t="str">
        <f ca="1"/>
        <v>OK</v>
      </c>
    </row>
    <row r="6033" spans="2:34" x14ac:dyDescent="0.2">
      <c r="B6033" s="2">
        <f ca="1"/>
        <v>0.87573646282365836</v>
      </c>
      <c r="O6033" s="2">
        <f ca="1"/>
        <v>-1.5731018893301401</v>
      </c>
      <c r="X6033" s="2">
        <f ca="1"/>
        <v>61.387295508525959</v>
      </c>
      <c r="AG6033" s="2">
        <f ca="1"/>
        <v>0.84713358832329799</v>
      </c>
      <c r="AH6033" s="2" t="str">
        <f ca="1"/>
        <v>Bad</v>
      </c>
    </row>
    <row r="6034" spans="2:34" x14ac:dyDescent="0.2">
      <c r="B6034" s="2">
        <f ca="1"/>
        <v>0.33026596314061285</v>
      </c>
      <c r="O6034" s="2">
        <f ca="1"/>
        <v>0.28055679841086922</v>
      </c>
      <c r="X6034" s="2">
        <f ca="1"/>
        <v>65.047344022571366</v>
      </c>
      <c r="AG6034" s="2">
        <f ca="1"/>
        <v>9.1212502875117396E-2</v>
      </c>
      <c r="AH6034" s="2" t="str">
        <f ca="1"/>
        <v>OK</v>
      </c>
    </row>
    <row r="6035" spans="2:34" x14ac:dyDescent="0.2">
      <c r="B6035" s="2">
        <f ca="1"/>
        <v>0.10755985501523502</v>
      </c>
      <c r="O6035" s="2">
        <f ca="1"/>
        <v>-0.47038200522198176</v>
      </c>
      <c r="X6035" s="2">
        <f ca="1"/>
        <v>67.115557193976073</v>
      </c>
      <c r="AG6035" s="2">
        <f ca="1"/>
        <v>7.2341404446324864E-2</v>
      </c>
      <c r="AH6035" s="2" t="str">
        <f ca="1"/>
        <v>OK</v>
      </c>
    </row>
    <row r="6036" spans="2:34" x14ac:dyDescent="0.2">
      <c r="B6036" s="2">
        <f ca="1"/>
        <v>0.87640528563117193</v>
      </c>
      <c r="O6036" s="2">
        <f ca="1"/>
        <v>1.3514958330133895</v>
      </c>
      <c r="X6036" s="2">
        <f ca="1"/>
        <v>41.94194559724825</v>
      </c>
      <c r="AG6036" s="2">
        <f ca="1"/>
        <v>0.92252500700385798</v>
      </c>
      <c r="AH6036" s="2" t="str">
        <f ca="1"/>
        <v>Bad</v>
      </c>
    </row>
    <row r="6037" spans="2:34" x14ac:dyDescent="0.2">
      <c r="B6037" s="2">
        <f ca="1"/>
        <v>0.61083931583838846</v>
      </c>
      <c r="O6037" s="2">
        <f ca="1"/>
        <v>1.7499405327239779</v>
      </c>
      <c r="X6037" s="2">
        <f ca="1"/>
        <v>56.536937746938193</v>
      </c>
      <c r="AG6037" s="2">
        <f ca="1"/>
        <v>0.32202297088972354</v>
      </c>
      <c r="AH6037" s="2" t="str">
        <f ca="1"/>
        <v>OK</v>
      </c>
    </row>
    <row r="6038" spans="2:34" x14ac:dyDescent="0.2">
      <c r="B6038" s="2">
        <f ca="1"/>
        <v>0.6460673510943078</v>
      </c>
      <c r="O6038" s="2">
        <f ca="1"/>
        <v>-0.79239529012894128</v>
      </c>
      <c r="X6038" s="2">
        <f ca="1"/>
        <v>60.170943397554737</v>
      </c>
      <c r="AG6038" s="2">
        <f ca="1"/>
        <v>0.51359936506578219</v>
      </c>
      <c r="AH6038" s="2" t="str">
        <f ca="1"/>
        <v>Bad</v>
      </c>
    </row>
    <row r="6039" spans="2:34" x14ac:dyDescent="0.2">
      <c r="B6039" s="2">
        <f ca="1"/>
        <v>9.5724742131951368E-2</v>
      </c>
      <c r="O6039" s="2">
        <f ca="1"/>
        <v>0.14627995769390209</v>
      </c>
      <c r="X6039" s="2">
        <f ca="1"/>
        <v>63.346539829979136</v>
      </c>
      <c r="AG6039" s="2">
        <f ca="1"/>
        <v>0.95117436881437922</v>
      </c>
      <c r="AH6039" s="2" t="str">
        <f ca="1"/>
        <v>Bad</v>
      </c>
    </row>
    <row r="6040" spans="2:34" x14ac:dyDescent="0.2">
      <c r="B6040" s="2">
        <f ca="1"/>
        <v>8.3915647916805947E-2</v>
      </c>
      <c r="O6040" s="2">
        <f ca="1"/>
        <v>-0.5567312731676034</v>
      </c>
      <c r="X6040" s="2">
        <f ca="1"/>
        <v>50.260199281659879</v>
      </c>
      <c r="AG6040" s="2">
        <f ca="1"/>
        <v>0.5398099377386163</v>
      </c>
      <c r="AH6040" s="2" t="str">
        <f ca="1"/>
        <v>Bad</v>
      </c>
    </row>
    <row r="6041" spans="2:34" x14ac:dyDescent="0.2">
      <c r="B6041" s="2">
        <f ca="1"/>
        <v>0.11575767153250172</v>
      </c>
      <c r="O6041" s="2">
        <f ca="1"/>
        <v>0.84264847413375166</v>
      </c>
      <c r="X6041" s="2">
        <f ca="1"/>
        <v>28.038199303465117</v>
      </c>
      <c r="AG6041" s="2">
        <f ca="1"/>
        <v>0.99361757793107075</v>
      </c>
      <c r="AH6041" s="2" t="str">
        <f ca="1"/>
        <v>Bad</v>
      </c>
    </row>
    <row r="6042" spans="2:34" x14ac:dyDescent="0.2">
      <c r="B6042" s="2">
        <f ca="1"/>
        <v>2.3068328454022513E-2</v>
      </c>
      <c r="O6042" s="2">
        <f ca="1"/>
        <v>7.3534365902961182E-2</v>
      </c>
      <c r="X6042" s="2">
        <f ca="1"/>
        <v>81.808613500459131</v>
      </c>
      <c r="AG6042" s="2">
        <f ca="1"/>
        <v>0.40697425865059467</v>
      </c>
      <c r="AH6042" s="2" t="str">
        <f ca="1"/>
        <v>Bad</v>
      </c>
    </row>
    <row r="6043" spans="2:34" x14ac:dyDescent="0.2">
      <c r="B6043" s="2">
        <f ca="1"/>
        <v>0.67186664939411789</v>
      </c>
      <c r="O6043" s="2">
        <f ca="1"/>
        <v>-0.58517404011311869</v>
      </c>
      <c r="X6043" s="2">
        <f ca="1"/>
        <v>27.766740185481247</v>
      </c>
      <c r="AG6043" s="2">
        <f ca="1"/>
        <v>7.374331714720106E-2</v>
      </c>
      <c r="AH6043" s="2" t="str">
        <f ca="1"/>
        <v>OK</v>
      </c>
    </row>
    <row r="6044" spans="2:34" x14ac:dyDescent="0.2">
      <c r="B6044" s="2">
        <f ca="1"/>
        <v>0.53230507125230608</v>
      </c>
      <c r="O6044" s="2">
        <f ca="1"/>
        <v>-7.7037396687968385E-2</v>
      </c>
      <c r="X6044" s="2">
        <f ca="1"/>
        <v>31.17829629072833</v>
      </c>
      <c r="AG6044" s="2">
        <f ca="1"/>
        <v>0.63773440595582476</v>
      </c>
      <c r="AH6044" s="2" t="str">
        <f ca="1"/>
        <v>Bad</v>
      </c>
    </row>
    <row r="6045" spans="2:34" x14ac:dyDescent="0.2">
      <c r="B6045" s="2">
        <f ca="1"/>
        <v>0.4744702193920447</v>
      </c>
      <c r="O6045" s="2">
        <f ca="1"/>
        <v>-0.58425104895050572</v>
      </c>
      <c r="X6045" s="2">
        <f ca="1"/>
        <v>48.316143323472232</v>
      </c>
      <c r="AG6045" s="2">
        <f ca="1"/>
        <v>0.4068240036769466</v>
      </c>
      <c r="AH6045" s="2" t="str">
        <f ca="1"/>
        <v>Bad</v>
      </c>
    </row>
    <row r="6046" spans="2:34" x14ac:dyDescent="0.2">
      <c r="B6046" s="2">
        <f ca="1"/>
        <v>0.69456084103888216</v>
      </c>
      <c r="O6046" s="2">
        <f ca="1"/>
        <v>-0.47244763291563324</v>
      </c>
      <c r="X6046" s="2">
        <f ca="1"/>
        <v>34.292035584381622</v>
      </c>
      <c r="AG6046" s="2">
        <f ca="1"/>
        <v>0.96012789182523961</v>
      </c>
      <c r="AH6046" s="2" t="str">
        <f ca="1"/>
        <v>Bad</v>
      </c>
    </row>
    <row r="6047" spans="2:34" x14ac:dyDescent="0.2">
      <c r="B6047" s="2">
        <f ca="1"/>
        <v>0.95913741140127629</v>
      </c>
      <c r="O6047" s="2">
        <f ca="1"/>
        <v>-1.0134225792382181</v>
      </c>
      <c r="X6047" s="2">
        <f ca="1"/>
        <v>69.617130245810785</v>
      </c>
      <c r="AG6047" s="2">
        <f ca="1"/>
        <v>0.81075373854653066</v>
      </c>
      <c r="AH6047" s="2" t="str">
        <f ca="1"/>
        <v>Bad</v>
      </c>
    </row>
    <row r="6048" spans="2:34" x14ac:dyDescent="0.2">
      <c r="B6048" s="2">
        <f ca="1"/>
        <v>0.17603503450443014</v>
      </c>
      <c r="O6048" s="2">
        <f ca="1"/>
        <v>0.47224643038984754</v>
      </c>
      <c r="X6048" s="2">
        <f ca="1"/>
        <v>56.698863546910516</v>
      </c>
      <c r="AG6048" s="2">
        <f ca="1"/>
        <v>0.12792841129546306</v>
      </c>
      <c r="AH6048" s="2" t="str">
        <f ca="1"/>
        <v>OK</v>
      </c>
    </row>
    <row r="6049" spans="2:34" x14ac:dyDescent="0.2">
      <c r="B6049" s="2">
        <f ca="1"/>
        <v>0.56597755939848815</v>
      </c>
      <c r="O6049" s="2">
        <f ca="1"/>
        <v>-1.440593168628141</v>
      </c>
      <c r="X6049" s="2">
        <f ca="1"/>
        <v>65.893715743079582</v>
      </c>
      <c r="AG6049" s="2">
        <f ca="1"/>
        <v>0.1074509070093379</v>
      </c>
      <c r="AH6049" s="2" t="str">
        <f ca="1"/>
        <v>OK</v>
      </c>
    </row>
    <row r="6050" spans="2:34" x14ac:dyDescent="0.2">
      <c r="B6050" s="2">
        <f ca="1"/>
        <v>0.33194044748396201</v>
      </c>
      <c r="O6050" s="2">
        <f ca="1"/>
        <v>1.2447754486613154</v>
      </c>
      <c r="X6050" s="2">
        <f ca="1"/>
        <v>43.142904913631938</v>
      </c>
      <c r="AG6050" s="2">
        <f ca="1"/>
        <v>0.95449819635067135</v>
      </c>
      <c r="AH6050" s="2" t="str">
        <f ca="1"/>
        <v>Bad</v>
      </c>
    </row>
    <row r="6051" spans="2:34" x14ac:dyDescent="0.2">
      <c r="B6051" s="2">
        <f ca="1"/>
        <v>0.26048565001238377</v>
      </c>
      <c r="O6051" s="2">
        <f ca="1"/>
        <v>1.9739372830373496</v>
      </c>
      <c r="X6051" s="2">
        <f ca="1"/>
        <v>78.349426184692547</v>
      </c>
      <c r="AG6051" s="2">
        <f ca="1"/>
        <v>0.29470246167872372</v>
      </c>
      <c r="AH6051" s="2" t="str">
        <f ca="1"/>
        <v>OK</v>
      </c>
    </row>
    <row r="6052" spans="2:34" x14ac:dyDescent="0.2">
      <c r="B6052" s="2">
        <f ca="1"/>
        <v>0.25694145408105395</v>
      </c>
      <c r="O6052" s="2">
        <f ca="1"/>
        <v>-1.7977131809781572</v>
      </c>
      <c r="X6052" s="2">
        <f ca="1"/>
        <v>43.232742076729565</v>
      </c>
      <c r="AG6052" s="2">
        <f ca="1"/>
        <v>0.11448313185508496</v>
      </c>
      <c r="AH6052" s="2" t="str">
        <f ca="1"/>
        <v>OK</v>
      </c>
    </row>
    <row r="6053" spans="2:34" x14ac:dyDescent="0.2">
      <c r="B6053" s="2">
        <f ca="1"/>
        <v>0.12989051312440836</v>
      </c>
      <c r="O6053" s="2">
        <f ca="1"/>
        <v>-0.36251824826555434</v>
      </c>
      <c r="X6053" s="2">
        <f ca="1"/>
        <v>69.512381945854017</v>
      </c>
      <c r="AG6053" s="2">
        <f ca="1"/>
        <v>3.3949359427314363E-2</v>
      </c>
      <c r="AH6053" s="2" t="str">
        <f ca="1"/>
        <v>Good</v>
      </c>
    </row>
    <row r="6054" spans="2:34" x14ac:dyDescent="0.2">
      <c r="B6054" s="2">
        <f ca="1"/>
        <v>0.73882841206090477</v>
      </c>
      <c r="O6054" s="2">
        <f ca="1"/>
        <v>0.77112755204027261</v>
      </c>
      <c r="X6054" s="2">
        <f ca="1"/>
        <v>30.543364392012315</v>
      </c>
      <c r="AG6054" s="2">
        <f ca="1"/>
        <v>0.44621715782080518</v>
      </c>
      <c r="AH6054" s="2" t="str">
        <f ca="1"/>
        <v>Bad</v>
      </c>
    </row>
    <row r="6055" spans="2:34" x14ac:dyDescent="0.2">
      <c r="B6055" s="2">
        <f ca="1"/>
        <v>0.17921025930848811</v>
      </c>
      <c r="O6055" s="2">
        <f ca="1"/>
        <v>-2.4378778227102864</v>
      </c>
      <c r="X6055" s="2">
        <f ca="1"/>
        <v>74.546835896204001</v>
      </c>
      <c r="AG6055" s="2">
        <f ca="1"/>
        <v>0.79259587803377562</v>
      </c>
      <c r="AH6055" s="2" t="str">
        <f ca="1"/>
        <v>Bad</v>
      </c>
    </row>
    <row r="6056" spans="2:34" x14ac:dyDescent="0.2">
      <c r="B6056" s="2">
        <f ca="1"/>
        <v>0.1516747716816842</v>
      </c>
      <c r="O6056" s="2">
        <f ca="1"/>
        <v>0.75222774625982258</v>
      </c>
      <c r="X6056" s="2">
        <f ca="1"/>
        <v>57.13206187787673</v>
      </c>
      <c r="AG6056" s="2">
        <f ca="1"/>
        <v>0.42938502009239854</v>
      </c>
      <c r="AH6056" s="2" t="str">
        <f ca="1"/>
        <v>Bad</v>
      </c>
    </row>
    <row r="6057" spans="2:34" x14ac:dyDescent="0.2">
      <c r="B6057" s="2">
        <f ca="1"/>
        <v>6.4554157618877284E-2</v>
      </c>
      <c r="O6057" s="2">
        <f ca="1"/>
        <v>-1.0338135158595545</v>
      </c>
      <c r="X6057" s="2">
        <f ca="1"/>
        <v>29.143798885557995</v>
      </c>
      <c r="AG6057" s="2">
        <f ca="1"/>
        <v>0.58664866770591395</v>
      </c>
      <c r="AH6057" s="2" t="str">
        <f ca="1"/>
        <v>Bad</v>
      </c>
    </row>
    <row r="6058" spans="2:34" x14ac:dyDescent="0.2">
      <c r="B6058" s="2">
        <f ca="1"/>
        <v>0.33936734418034153</v>
      </c>
      <c r="O6058" s="2">
        <f ca="1"/>
        <v>-0.72839016413006985</v>
      </c>
      <c r="X6058" s="2">
        <f ca="1"/>
        <v>61.857206196579178</v>
      </c>
      <c r="AG6058" s="2">
        <f ca="1"/>
        <v>0.63132177246256438</v>
      </c>
      <c r="AH6058" s="2" t="str">
        <f ca="1"/>
        <v>Bad</v>
      </c>
    </row>
    <row r="6059" spans="2:34" x14ac:dyDescent="0.2">
      <c r="B6059" s="2">
        <f ca="1"/>
        <v>0.68439643778369219</v>
      </c>
      <c r="O6059" s="2">
        <f ca="1"/>
        <v>-0.87745021945668022</v>
      </c>
      <c r="X6059" s="2">
        <f ca="1"/>
        <v>49.594441418572792</v>
      </c>
      <c r="AG6059" s="2">
        <f ca="1"/>
        <v>0.8076597938068526</v>
      </c>
      <c r="AH6059" s="2" t="str">
        <f ca="1"/>
        <v>Bad</v>
      </c>
    </row>
    <row r="6060" spans="2:34" x14ac:dyDescent="0.2">
      <c r="B6060" s="2">
        <f ca="1"/>
        <v>4.6705040666989994E-2</v>
      </c>
      <c r="O6060" s="2">
        <f ca="1"/>
        <v>-0.10304009371786393</v>
      </c>
      <c r="X6060" s="2">
        <f ca="1"/>
        <v>65.688894932826031</v>
      </c>
      <c r="AG6060" s="2">
        <f ca="1"/>
        <v>0.867715442521233</v>
      </c>
      <c r="AH6060" s="2" t="str">
        <f ca="1"/>
        <v>Bad</v>
      </c>
    </row>
    <row r="6061" spans="2:34" x14ac:dyDescent="0.2">
      <c r="B6061" s="2">
        <f ca="1"/>
        <v>0.33823656293940929</v>
      </c>
      <c r="O6061" s="2">
        <f ca="1"/>
        <v>-0.57915772710403435</v>
      </c>
      <c r="X6061" s="2">
        <f ca="1"/>
        <v>39.638748776037247</v>
      </c>
      <c r="AG6061" s="2">
        <f ca="1"/>
        <v>0.96674733523519385</v>
      </c>
      <c r="AH6061" s="2" t="str">
        <f ca="1"/>
        <v>Bad</v>
      </c>
    </row>
    <row r="6062" spans="2:34" x14ac:dyDescent="0.2">
      <c r="B6062" s="2">
        <f ca="1"/>
        <v>0.51465965071727826</v>
      </c>
      <c r="O6062" s="2">
        <f ca="1"/>
        <v>0.14963292059697808</v>
      </c>
      <c r="X6062" s="2">
        <f ca="1"/>
        <v>54.544607738598913</v>
      </c>
      <c r="AG6062" s="2">
        <f ca="1"/>
        <v>0.46249051804130503</v>
      </c>
      <c r="AH6062" s="2" t="str">
        <f ca="1"/>
        <v>Bad</v>
      </c>
    </row>
    <row r="6063" spans="2:34" x14ac:dyDescent="0.2">
      <c r="B6063" s="2">
        <f ca="1"/>
        <v>0.70790325846507263</v>
      </c>
      <c r="O6063" s="2">
        <f ca="1"/>
        <v>-0.27508069373263044</v>
      </c>
      <c r="X6063" s="2">
        <f ca="1"/>
        <v>65.055251789865537</v>
      </c>
      <c r="AG6063" s="2">
        <f ca="1"/>
        <v>5.6018359689922193E-2</v>
      </c>
      <c r="AH6063" s="2" t="str">
        <f ca="1"/>
        <v>OK</v>
      </c>
    </row>
    <row r="6064" spans="2:34" x14ac:dyDescent="0.2">
      <c r="B6064" s="2">
        <f ca="1"/>
        <v>0.27437828097292094</v>
      </c>
      <c r="O6064" s="2">
        <f ca="1"/>
        <v>-1.0263135810355077</v>
      </c>
      <c r="X6064" s="2">
        <f ca="1"/>
        <v>76.261778073770287</v>
      </c>
      <c r="AG6064" s="2">
        <f ca="1"/>
        <v>0.20506031873934294</v>
      </c>
      <c r="AH6064" s="2" t="str">
        <f ca="1"/>
        <v>OK</v>
      </c>
    </row>
    <row r="6065" spans="2:34" x14ac:dyDescent="0.2">
      <c r="B6065" s="2">
        <f ca="1"/>
        <v>0.9514267548845492</v>
      </c>
      <c r="O6065" s="2">
        <f ca="1"/>
        <v>2.8913490411650393</v>
      </c>
      <c r="X6065" s="2">
        <f ca="1"/>
        <v>78.815165494435604</v>
      </c>
      <c r="AG6065" s="2">
        <f ca="1"/>
        <v>0.30254428724616877</v>
      </c>
      <c r="AH6065" s="2" t="str">
        <f ca="1"/>
        <v>OK</v>
      </c>
    </row>
    <row r="6066" spans="2:34" x14ac:dyDescent="0.2">
      <c r="B6066" s="2">
        <f ca="1"/>
        <v>0.57361725647212669</v>
      </c>
      <c r="O6066" s="2">
        <f ca="1"/>
        <v>-0.17318918982205764</v>
      </c>
      <c r="X6066" s="2">
        <f ca="1"/>
        <v>47.626857779830758</v>
      </c>
      <c r="AG6066" s="2">
        <f ca="1"/>
        <v>0.92746713624133781</v>
      </c>
      <c r="AH6066" s="2" t="str">
        <f ca="1"/>
        <v>Bad</v>
      </c>
    </row>
    <row r="6067" spans="2:34" x14ac:dyDescent="0.2">
      <c r="B6067" s="2">
        <f ca="1"/>
        <v>0.3962551854087204</v>
      </c>
      <c r="O6067" s="2">
        <f ca="1"/>
        <v>-0.56616543138677999</v>
      </c>
      <c r="X6067" s="2">
        <f ca="1"/>
        <v>57.727854903265808</v>
      </c>
      <c r="AG6067" s="2">
        <f ca="1"/>
        <v>0.87636067341624502</v>
      </c>
      <c r="AH6067" s="2" t="str">
        <f ca="1"/>
        <v>Bad</v>
      </c>
    </row>
    <row r="6068" spans="2:34" x14ac:dyDescent="0.2">
      <c r="B6068" s="2">
        <f ca="1"/>
        <v>0.45220503174929516</v>
      </c>
      <c r="O6068" s="2">
        <f ca="1"/>
        <v>-0.2780585042987383</v>
      </c>
      <c r="X6068" s="2">
        <f ca="1"/>
        <v>33.979495239711838</v>
      </c>
      <c r="AG6068" s="2">
        <f ca="1"/>
        <v>0.72970775234079799</v>
      </c>
      <c r="AH6068" s="2" t="str">
        <f ca="1"/>
        <v>Bad</v>
      </c>
    </row>
    <row r="6069" spans="2:34" x14ac:dyDescent="0.2">
      <c r="B6069" s="2">
        <f ca="1"/>
        <v>0.32289658705646573</v>
      </c>
      <c r="O6069" s="2">
        <f ca="1"/>
        <v>-0.77922778662853087</v>
      </c>
      <c r="X6069" s="2">
        <f ca="1"/>
        <v>53.844279328256029</v>
      </c>
      <c r="AG6069" s="2">
        <f ca="1"/>
        <v>7.0496570987701679E-2</v>
      </c>
      <c r="AH6069" s="2" t="str">
        <f ca="1"/>
        <v>OK</v>
      </c>
    </row>
    <row r="6070" spans="2:34" x14ac:dyDescent="0.2">
      <c r="B6070" s="2">
        <f ca="1"/>
        <v>0.66481847688092821</v>
      </c>
      <c r="O6070" s="2">
        <f ca="1"/>
        <v>0.56645481322129887</v>
      </c>
      <c r="X6070" s="2">
        <f ca="1"/>
        <v>84.779470156550346</v>
      </c>
      <c r="AG6070" s="2">
        <f ca="1"/>
        <v>0.41604635451060434</v>
      </c>
      <c r="AH6070" s="2" t="str">
        <f ca="1"/>
        <v>Bad</v>
      </c>
    </row>
    <row r="6071" spans="2:34" x14ac:dyDescent="0.2">
      <c r="B6071" s="2">
        <f ca="1"/>
        <v>0.29506219721573568</v>
      </c>
      <c r="O6071" s="2">
        <f ca="1"/>
        <v>-1.9151987335797098</v>
      </c>
      <c r="X6071" s="2">
        <f ca="1"/>
        <v>56.428714321497921</v>
      </c>
      <c r="AG6071" s="2">
        <f ca="1"/>
        <v>0.63798271070045676</v>
      </c>
      <c r="AH6071" s="2" t="str">
        <f ca="1"/>
        <v>Bad</v>
      </c>
    </row>
    <row r="6072" spans="2:34" x14ac:dyDescent="0.2">
      <c r="B6072" s="2">
        <f ca="1"/>
        <v>0.29753463078649189</v>
      </c>
      <c r="O6072" s="2">
        <f ca="1"/>
        <v>0.53834262230897634</v>
      </c>
      <c r="X6072" s="2">
        <f ca="1"/>
        <v>77.710595181876826</v>
      </c>
      <c r="AG6072" s="2">
        <f ca="1"/>
        <v>0.1802172965942257</v>
      </c>
      <c r="AH6072" s="2" t="str">
        <f ca="1"/>
        <v>OK</v>
      </c>
    </row>
    <row r="6073" spans="2:34" x14ac:dyDescent="0.2">
      <c r="B6073" s="2">
        <f ca="1"/>
        <v>0.20760024961087442</v>
      </c>
      <c r="O6073" s="2">
        <f ca="1"/>
        <v>-0.55004857364160697</v>
      </c>
      <c r="X6073" s="2">
        <f ca="1"/>
        <v>64.269380532216175</v>
      </c>
      <c r="AG6073" s="2">
        <f ca="1"/>
        <v>0.8244826250778563</v>
      </c>
      <c r="AH6073" s="2" t="str">
        <f ca="1"/>
        <v>Bad</v>
      </c>
    </row>
    <row r="6074" spans="2:34" x14ac:dyDescent="0.2">
      <c r="B6074" s="2">
        <f ca="1"/>
        <v>0.91879360888136308</v>
      </c>
      <c r="O6074" s="2">
        <f ca="1"/>
        <v>0.71214962076822674</v>
      </c>
      <c r="X6074" s="2">
        <f ca="1"/>
        <v>57.659718104808</v>
      </c>
      <c r="AG6074" s="2">
        <f ca="1"/>
        <v>0.81708447440434262</v>
      </c>
      <c r="AH6074" s="2" t="str">
        <f ca="1"/>
        <v>Bad</v>
      </c>
    </row>
    <row r="6075" spans="2:34" x14ac:dyDescent="0.2">
      <c r="B6075" s="2">
        <f ca="1"/>
        <v>0.80012257285535981</v>
      </c>
      <c r="O6075" s="2">
        <f ca="1"/>
        <v>1.7481309539493131E-2</v>
      </c>
      <c r="X6075" s="2">
        <f ca="1"/>
        <v>24.353165505189377</v>
      </c>
      <c r="AG6075" s="2">
        <f ca="1"/>
        <v>0.27090220657635911</v>
      </c>
      <c r="AH6075" s="2" t="str">
        <f ca="1"/>
        <v>OK</v>
      </c>
    </row>
    <row r="6076" spans="2:34" x14ac:dyDescent="0.2">
      <c r="B6076" s="2">
        <f ca="1"/>
        <v>0.81978917133147622</v>
      </c>
      <c r="O6076" s="2">
        <f ca="1"/>
        <v>0.23484156285207908</v>
      </c>
      <c r="X6076" s="2">
        <f ca="1"/>
        <v>62.259044353961258</v>
      </c>
      <c r="AG6076" s="2">
        <f ca="1"/>
        <v>0.27816974135662242</v>
      </c>
      <c r="AH6076" s="2" t="str">
        <f ca="1"/>
        <v>OK</v>
      </c>
    </row>
    <row r="6077" spans="2:34" x14ac:dyDescent="0.2">
      <c r="B6077" s="2">
        <f ca="1"/>
        <v>0.74554641787103448</v>
      </c>
      <c r="O6077" s="2">
        <f ca="1"/>
        <v>1.0440075772173762</v>
      </c>
      <c r="X6077" s="2">
        <f ca="1"/>
        <v>46.167211726236189</v>
      </c>
      <c r="AG6077" s="2">
        <f ca="1"/>
        <v>0.682768387173182</v>
      </c>
      <c r="AH6077" s="2" t="str">
        <f ca="1"/>
        <v>Bad</v>
      </c>
    </row>
    <row r="6078" spans="2:34" x14ac:dyDescent="0.2">
      <c r="B6078" s="2">
        <f ca="1"/>
        <v>7.2084887185987601E-2</v>
      </c>
      <c r="O6078" s="2">
        <f ca="1"/>
        <v>0.30475284700922611</v>
      </c>
      <c r="X6078" s="2">
        <f ca="1"/>
        <v>51.92492711413216</v>
      </c>
      <c r="AG6078" s="2">
        <f ca="1"/>
        <v>0.81127304929870148</v>
      </c>
      <c r="AH6078" s="2" t="str">
        <f ca="1"/>
        <v>Bad</v>
      </c>
    </row>
    <row r="6079" spans="2:34" x14ac:dyDescent="0.2">
      <c r="B6079" s="2">
        <f ca="1"/>
        <v>6.2611156610211438E-2</v>
      </c>
      <c r="O6079" s="2">
        <f ca="1"/>
        <v>9.3573878162178398E-3</v>
      </c>
      <c r="X6079" s="2">
        <f ca="1"/>
        <v>45.367527272160721</v>
      </c>
      <c r="AG6079" s="2">
        <f ca="1"/>
        <v>0.12010082651800458</v>
      </c>
      <c r="AH6079" s="2" t="str">
        <f ca="1"/>
        <v>OK</v>
      </c>
    </row>
    <row r="6080" spans="2:34" x14ac:dyDescent="0.2">
      <c r="B6080" s="2">
        <f ca="1"/>
        <v>0.14459927481853452</v>
      </c>
      <c r="O6080" s="2">
        <f ca="1"/>
        <v>0.17371879644615634</v>
      </c>
      <c r="X6080" s="2">
        <f ca="1"/>
        <v>53.76834372417278</v>
      </c>
      <c r="AG6080" s="2">
        <f ca="1"/>
        <v>0.39494800186580048</v>
      </c>
      <c r="AH6080" s="2" t="str">
        <f ca="1"/>
        <v>OK</v>
      </c>
    </row>
    <row r="6081" spans="2:34" x14ac:dyDescent="0.2">
      <c r="B6081" s="2">
        <f ca="1"/>
        <v>0.79940661560287318</v>
      </c>
      <c r="O6081" s="2">
        <f ca="1"/>
        <v>-0.47030303830119458</v>
      </c>
      <c r="X6081" s="2">
        <f ca="1"/>
        <v>38.394995094775211</v>
      </c>
      <c r="AG6081" s="2">
        <f ca="1"/>
        <v>0.85097325957674541</v>
      </c>
      <c r="AH6081" s="2" t="str">
        <f ca="1"/>
        <v>Bad</v>
      </c>
    </row>
    <row r="6082" spans="2:34" x14ac:dyDescent="0.2">
      <c r="B6082" s="2">
        <f ca="1"/>
        <v>0.10368985898663263</v>
      </c>
      <c r="O6082" s="2">
        <f ca="1"/>
        <v>2.8155573840536294</v>
      </c>
      <c r="X6082" s="2">
        <f ca="1"/>
        <v>47.94341461442086</v>
      </c>
      <c r="AG6082" s="2">
        <f ca="1"/>
        <v>0.14749205247093222</v>
      </c>
      <c r="AH6082" s="2" t="str">
        <f ca="1"/>
        <v>OK</v>
      </c>
    </row>
    <row r="6083" spans="2:34" x14ac:dyDescent="0.2">
      <c r="B6083" s="2">
        <f ca="1"/>
        <v>0.92758162502915931</v>
      </c>
      <c r="O6083" s="2">
        <f ca="1"/>
        <v>0.39250239073666982</v>
      </c>
      <c r="X6083" s="2">
        <f ca="1"/>
        <v>58.674632543831599</v>
      </c>
      <c r="AG6083" s="2">
        <f ca="1"/>
        <v>0.98823675995905669</v>
      </c>
      <c r="AH6083" s="2" t="str">
        <f ca="1"/>
        <v>Bad</v>
      </c>
    </row>
    <row r="6084" spans="2:34" x14ac:dyDescent="0.2">
      <c r="B6084" s="2">
        <f ca="1"/>
        <v>0.14843897570304065</v>
      </c>
      <c r="O6084" s="2">
        <f ca="1"/>
        <v>1.8414494713451095</v>
      </c>
      <c r="X6084" s="2">
        <f ca="1"/>
        <v>70.607251240960494</v>
      </c>
      <c r="AG6084" s="2">
        <f ca="1"/>
        <v>0.86395741356195033</v>
      </c>
      <c r="AH6084" s="2" t="str">
        <f ca="1"/>
        <v>Bad</v>
      </c>
    </row>
    <row r="6085" spans="2:34" x14ac:dyDescent="0.2">
      <c r="B6085" s="2">
        <f ca="1"/>
        <v>0.66781125490964444</v>
      </c>
      <c r="O6085" s="2">
        <f ca="1"/>
        <v>-0.1003398422856481</v>
      </c>
      <c r="X6085" s="2">
        <f ca="1"/>
        <v>74.098587460314846</v>
      </c>
      <c r="AG6085" s="2">
        <f ca="1"/>
        <v>0.51930710071482378</v>
      </c>
      <c r="AH6085" s="2" t="str">
        <f ca="1"/>
        <v>Bad</v>
      </c>
    </row>
    <row r="6086" spans="2:34" x14ac:dyDescent="0.2">
      <c r="B6086" s="2">
        <f ca="1"/>
        <v>0.78164528016384893</v>
      </c>
      <c r="O6086" s="2">
        <f ca="1"/>
        <v>1.6411554469370087</v>
      </c>
      <c r="X6086" s="2">
        <f ca="1"/>
        <v>44.782897912531737</v>
      </c>
      <c r="AG6086" s="2">
        <f ca="1"/>
        <v>0.50357259426136114</v>
      </c>
      <c r="AH6086" s="2" t="str">
        <f ca="1"/>
        <v>Bad</v>
      </c>
    </row>
    <row r="6087" spans="2:34" x14ac:dyDescent="0.2">
      <c r="B6087" s="2">
        <f ca="1"/>
        <v>0.58432487489476315</v>
      </c>
      <c r="O6087" s="2">
        <f ca="1"/>
        <v>0.48650726986346116</v>
      </c>
      <c r="X6087" s="2">
        <f ca="1"/>
        <v>47.069268105856509</v>
      </c>
      <c r="AG6087" s="2">
        <f ca="1"/>
        <v>0.89166318300166969</v>
      </c>
      <c r="AH6087" s="2" t="str">
        <f ca="1"/>
        <v>Bad</v>
      </c>
    </row>
    <row r="6088" spans="2:34" x14ac:dyDescent="0.2">
      <c r="B6088" s="2">
        <f ca="1"/>
        <v>0.36746584566319673</v>
      </c>
      <c r="O6088" s="2">
        <f ca="1"/>
        <v>0.35008936232671101</v>
      </c>
      <c r="X6088" s="2">
        <f ca="1"/>
        <v>54.188286433211744</v>
      </c>
      <c r="AG6088" s="2">
        <f ca="1"/>
        <v>0.16503097766507357</v>
      </c>
      <c r="AH6088" s="2" t="str">
        <f ca="1"/>
        <v>OK</v>
      </c>
    </row>
    <row r="6089" spans="2:34" x14ac:dyDescent="0.2">
      <c r="B6089" s="2">
        <f ca="1"/>
        <v>0.80305380113713354</v>
      </c>
      <c r="O6089" s="2">
        <f ca="1"/>
        <v>1.0606382805408521</v>
      </c>
      <c r="X6089" s="2">
        <f ca="1"/>
        <v>39.538220296075181</v>
      </c>
      <c r="AG6089" s="2">
        <f ca="1"/>
        <v>0.6393854553840348</v>
      </c>
      <c r="AH6089" s="2" t="str">
        <f ca="1"/>
        <v>Bad</v>
      </c>
    </row>
    <row r="6090" spans="2:34" x14ac:dyDescent="0.2">
      <c r="B6090" s="2">
        <f ca="1"/>
        <v>0.51502180450986668</v>
      </c>
      <c r="O6090" s="2">
        <f ca="1"/>
        <v>-4.2048582333834045E-2</v>
      </c>
      <c r="X6090" s="2">
        <f ca="1"/>
        <v>35.720188600002977</v>
      </c>
      <c r="AG6090" s="2">
        <f ca="1"/>
        <v>0.64264176802429152</v>
      </c>
      <c r="AH6090" s="2" t="str">
        <f ca="1"/>
        <v>Bad</v>
      </c>
    </row>
    <row r="6091" spans="2:34" x14ac:dyDescent="0.2">
      <c r="B6091" s="2">
        <f ca="1"/>
        <v>0.88755843396536238</v>
      </c>
      <c r="O6091" s="2">
        <f ca="1"/>
        <v>0.20239328000520013</v>
      </c>
      <c r="X6091" s="2">
        <f ca="1"/>
        <v>48.292424567182913</v>
      </c>
      <c r="AG6091" s="2">
        <f ca="1"/>
        <v>0.41505567456472359</v>
      </c>
      <c r="AH6091" s="2" t="str">
        <f ca="1"/>
        <v>Bad</v>
      </c>
    </row>
    <row r="6092" spans="2:34" x14ac:dyDescent="0.2">
      <c r="B6092" s="2">
        <f ca="1"/>
        <v>9.0299329543252371E-2</v>
      </c>
      <c r="O6092" s="2">
        <f ca="1"/>
        <v>0.39293760487143359</v>
      </c>
      <c r="X6092" s="2">
        <f ca="1"/>
        <v>102.18452683214069</v>
      </c>
      <c r="AG6092" s="2">
        <f ca="1"/>
        <v>0.21911978708144875</v>
      </c>
      <c r="AH6092" s="2" t="str">
        <f ca="1"/>
        <v>OK</v>
      </c>
    </row>
    <row r="6093" spans="2:34" x14ac:dyDescent="0.2">
      <c r="B6093" s="2">
        <f ca="1"/>
        <v>0.22198079813588745</v>
      </c>
      <c r="O6093" s="2">
        <f ca="1"/>
        <v>0.41735836250016706</v>
      </c>
      <c r="X6093" s="2">
        <f ca="1"/>
        <v>81.623451310861142</v>
      </c>
      <c r="AG6093" s="2">
        <f ca="1"/>
        <v>7.5929674546698855E-2</v>
      </c>
      <c r="AH6093" s="2" t="str">
        <f ca="1"/>
        <v>OK</v>
      </c>
    </row>
    <row r="6094" spans="2:34" x14ac:dyDescent="0.2">
      <c r="B6094" s="2">
        <f ca="1"/>
        <v>0.31714130065975787</v>
      </c>
      <c r="O6094" s="2">
        <f ca="1"/>
        <v>0.72785250334569873</v>
      </c>
      <c r="X6094" s="2">
        <f ca="1"/>
        <v>61.215733806910883</v>
      </c>
      <c r="AG6094" s="2">
        <f ca="1"/>
        <v>0.40006414859882877</v>
      </c>
      <c r="AH6094" s="2" t="str">
        <f ca="1"/>
        <v>Bad</v>
      </c>
    </row>
    <row r="6095" spans="2:34" x14ac:dyDescent="0.2">
      <c r="B6095" s="2">
        <f ca="1"/>
        <v>0.25532137754973006</v>
      </c>
      <c r="O6095" s="2">
        <f ca="1"/>
        <v>-3.3475962403348124E-2</v>
      </c>
      <c r="X6095" s="2">
        <f ca="1"/>
        <v>56.290500354621152</v>
      </c>
      <c r="AG6095" s="2">
        <f ca="1"/>
        <v>0.47576824385206851</v>
      </c>
      <c r="AH6095" s="2" t="str">
        <f ca="1"/>
        <v>Bad</v>
      </c>
    </row>
    <row r="6096" spans="2:34" x14ac:dyDescent="0.2">
      <c r="B6096" s="2">
        <f ca="1"/>
        <v>0.61412607701775679</v>
      </c>
      <c r="O6096" s="2">
        <f ca="1"/>
        <v>-0.14960717708472976</v>
      </c>
      <c r="X6096" s="2">
        <f ca="1"/>
        <v>57.538724074133718</v>
      </c>
      <c r="AG6096" s="2">
        <f ca="1"/>
        <v>0.79611379439594154</v>
      </c>
      <c r="AH6096" s="2" t="str">
        <f ca="1"/>
        <v>Bad</v>
      </c>
    </row>
    <row r="6097" spans="2:34" x14ac:dyDescent="0.2">
      <c r="B6097" s="2">
        <f ca="1"/>
        <v>0.71945255634987348</v>
      </c>
      <c r="O6097" s="2">
        <f ca="1"/>
        <v>0.11048702520885587</v>
      </c>
      <c r="X6097" s="2">
        <f ca="1"/>
        <v>40.783335825238908</v>
      </c>
      <c r="AG6097" s="2">
        <f ca="1"/>
        <v>0.34538286234748838</v>
      </c>
      <c r="AH6097" s="2" t="str">
        <f ca="1"/>
        <v>OK</v>
      </c>
    </row>
    <row r="6098" spans="2:34" x14ac:dyDescent="0.2">
      <c r="B6098" s="2">
        <f ca="1"/>
        <v>0.11005388160463481</v>
      </c>
      <c r="O6098" s="2">
        <f ca="1"/>
        <v>0.46845547835470136</v>
      </c>
      <c r="X6098" s="2">
        <f ca="1"/>
        <v>46.677410438033945</v>
      </c>
      <c r="AG6098" s="2">
        <f ca="1"/>
        <v>0.71787549759586589</v>
      </c>
      <c r="AH6098" s="2" t="str">
        <f ca="1"/>
        <v>Bad</v>
      </c>
    </row>
    <row r="6099" spans="2:34" x14ac:dyDescent="0.2">
      <c r="B6099" s="2">
        <f ca="1"/>
        <v>0.71268895049445691</v>
      </c>
      <c r="O6099" s="2">
        <f ca="1"/>
        <v>-1.7126921287510135</v>
      </c>
      <c r="X6099" s="2">
        <f ca="1"/>
        <v>72.441129294163289</v>
      </c>
      <c r="AG6099" s="2">
        <f ca="1"/>
        <v>0.4992490166687189</v>
      </c>
      <c r="AH6099" s="2" t="str">
        <f ca="1"/>
        <v>Bad</v>
      </c>
    </row>
    <row r="6100" spans="2:34" x14ac:dyDescent="0.2">
      <c r="B6100" s="2">
        <f ca="1"/>
        <v>0.4523890506145003</v>
      </c>
      <c r="O6100" s="2">
        <f ca="1"/>
        <v>-0.386862702301496</v>
      </c>
      <c r="X6100" s="2">
        <f ca="1"/>
        <v>41.138362630038536</v>
      </c>
      <c r="AG6100" s="2">
        <f ca="1"/>
        <v>0.71546160677633441</v>
      </c>
      <c r="AH6100" s="2" t="str">
        <f ca="1"/>
        <v>Bad</v>
      </c>
    </row>
    <row r="6101" spans="2:34" x14ac:dyDescent="0.2">
      <c r="B6101" s="2">
        <f ca="1"/>
        <v>0.6950748572034684</v>
      </c>
      <c r="O6101" s="2">
        <f ca="1"/>
        <v>-1.2448115130610409</v>
      </c>
      <c r="X6101" s="2">
        <f ca="1"/>
        <v>60.364705009015154</v>
      </c>
      <c r="AG6101" s="2">
        <f ca="1"/>
        <v>0.17042068998848503</v>
      </c>
      <c r="AH6101" s="2" t="str">
        <f ca="1"/>
        <v>OK</v>
      </c>
    </row>
    <row r="6102" spans="2:34" x14ac:dyDescent="0.2">
      <c r="B6102" s="2">
        <f ca="1"/>
        <v>8.7182551523371288E-2</v>
      </c>
      <c r="O6102" s="2">
        <f ca="1"/>
        <v>-0.2302660255409785</v>
      </c>
      <c r="X6102" s="2">
        <f ca="1"/>
        <v>38.830708829493112</v>
      </c>
      <c r="AG6102" s="2">
        <f ca="1"/>
        <v>0.25965232916376135</v>
      </c>
      <c r="AH6102" s="2" t="str">
        <f ca="1"/>
        <v>OK</v>
      </c>
    </row>
    <row r="6103" spans="2:34" x14ac:dyDescent="0.2">
      <c r="B6103" s="2">
        <f ca="1"/>
        <v>0.83399177041432515</v>
      </c>
      <c r="O6103" s="2">
        <f ca="1"/>
        <v>-0.53281326054593903</v>
      </c>
      <c r="X6103" s="2">
        <f ca="1"/>
        <v>75.284994343724023</v>
      </c>
      <c r="AG6103" s="2">
        <f ca="1"/>
        <v>0.33155118090863889</v>
      </c>
      <c r="AH6103" s="2" t="str">
        <f ca="1"/>
        <v>OK</v>
      </c>
    </row>
    <row r="6104" spans="2:34" x14ac:dyDescent="0.2">
      <c r="B6104" s="2">
        <f ca="1"/>
        <v>0.61707172009051114</v>
      </c>
      <c r="O6104" s="2">
        <f ca="1"/>
        <v>7.743440071831155E-2</v>
      </c>
      <c r="X6104" s="2">
        <f ca="1"/>
        <v>29.087395435284211</v>
      </c>
      <c r="AG6104" s="2">
        <f ca="1"/>
        <v>0.37682889635556327</v>
      </c>
      <c r="AH6104" s="2" t="str">
        <f ca="1"/>
        <v>OK</v>
      </c>
    </row>
    <row r="6105" spans="2:34" x14ac:dyDescent="0.2">
      <c r="B6105" s="2">
        <f ca="1"/>
        <v>5.9379668089005744E-3</v>
      </c>
      <c r="O6105" s="2">
        <f ca="1"/>
        <v>0.22544689633631784</v>
      </c>
      <c r="X6105" s="2">
        <f ca="1"/>
        <v>22.630438295898138</v>
      </c>
      <c r="AG6105" s="2">
        <f ca="1"/>
        <v>0.2014417388749421</v>
      </c>
      <c r="AH6105" s="2" t="str">
        <f ca="1"/>
        <v>OK</v>
      </c>
    </row>
    <row r="6106" spans="2:34" x14ac:dyDescent="0.2">
      <c r="B6106" s="2">
        <f ca="1"/>
        <v>0.5391368120289548</v>
      </c>
      <c r="O6106" s="2">
        <f ca="1"/>
        <v>0.31243339723000324</v>
      </c>
      <c r="X6106" s="2">
        <f ca="1"/>
        <v>87.618385704641838</v>
      </c>
      <c r="AG6106" s="2">
        <f ca="1"/>
        <v>0.33957533762267733</v>
      </c>
      <c r="AH6106" s="2" t="str">
        <f ca="1"/>
        <v>OK</v>
      </c>
    </row>
    <row r="6107" spans="2:34" x14ac:dyDescent="0.2">
      <c r="B6107" s="2">
        <f ca="1"/>
        <v>0.73059457269041861</v>
      </c>
      <c r="O6107" s="2">
        <f ca="1"/>
        <v>-0.44631533210693752</v>
      </c>
      <c r="X6107" s="2">
        <f ca="1"/>
        <v>47.164720229052136</v>
      </c>
      <c r="AG6107" s="2">
        <f ca="1"/>
        <v>0.64946706127868414</v>
      </c>
      <c r="AH6107" s="2" t="str">
        <f ca="1"/>
        <v>Bad</v>
      </c>
    </row>
    <row r="6108" spans="2:34" x14ac:dyDescent="0.2">
      <c r="B6108" s="2">
        <f ca="1"/>
        <v>0.96331761263946492</v>
      </c>
      <c r="O6108" s="2">
        <f ca="1"/>
        <v>0.3566713874284364</v>
      </c>
      <c r="X6108" s="2">
        <f ca="1"/>
        <v>31.673704003505883</v>
      </c>
      <c r="AG6108" s="2">
        <f ca="1"/>
        <v>0.35376021923350698</v>
      </c>
      <c r="AH6108" s="2" t="str">
        <f ca="1"/>
        <v>OK</v>
      </c>
    </row>
    <row r="6109" spans="2:34" x14ac:dyDescent="0.2">
      <c r="B6109" s="2">
        <f ca="1"/>
        <v>0.72553917611984042</v>
      </c>
      <c r="O6109" s="2">
        <f ca="1"/>
        <v>-0.36197787643262902</v>
      </c>
      <c r="X6109" s="2">
        <f ca="1"/>
        <v>71.923275795324614</v>
      </c>
      <c r="AG6109" s="2">
        <f ca="1"/>
        <v>0.13110723974340921</v>
      </c>
      <c r="AH6109" s="2" t="str">
        <f ca="1"/>
        <v>OK</v>
      </c>
    </row>
    <row r="6110" spans="2:34" x14ac:dyDescent="0.2">
      <c r="B6110" s="2">
        <f ca="1"/>
        <v>0.41485184128882913</v>
      </c>
      <c r="O6110" s="2">
        <f ca="1"/>
        <v>2.2187392104270662</v>
      </c>
      <c r="X6110" s="2">
        <f ca="1"/>
        <v>47.579914659842274</v>
      </c>
      <c r="AG6110" s="2">
        <f ca="1"/>
        <v>0.78899429750103645</v>
      </c>
      <c r="AH6110" s="2" t="str">
        <f ca="1"/>
        <v>Bad</v>
      </c>
    </row>
    <row r="6111" spans="2:34" x14ac:dyDescent="0.2">
      <c r="B6111" s="2">
        <f ca="1"/>
        <v>3.6130028219178989E-3</v>
      </c>
      <c r="O6111" s="2">
        <f ca="1"/>
        <v>-0.90952532878023173</v>
      </c>
      <c r="X6111" s="2">
        <f ca="1"/>
        <v>53.977286305118817</v>
      </c>
      <c r="AG6111" s="2">
        <f ca="1"/>
        <v>0.89116115460159895</v>
      </c>
      <c r="AH6111" s="2" t="str">
        <f ca="1"/>
        <v>Bad</v>
      </c>
    </row>
    <row r="6112" spans="2:34" x14ac:dyDescent="0.2">
      <c r="B6112" s="2">
        <f ca="1"/>
        <v>0.82620111077676062</v>
      </c>
      <c r="O6112" s="2">
        <f ca="1"/>
        <v>0.19935738336956252</v>
      </c>
      <c r="X6112" s="2">
        <f ca="1"/>
        <v>40.134726442870942</v>
      </c>
      <c r="AG6112" s="2">
        <f ca="1"/>
        <v>0.78932734245561487</v>
      </c>
      <c r="AH6112" s="2" t="str">
        <f ca="1"/>
        <v>Bad</v>
      </c>
    </row>
    <row r="6113" spans="2:34" x14ac:dyDescent="0.2">
      <c r="B6113" s="2">
        <f ca="1"/>
        <v>0.54842136211617443</v>
      </c>
      <c r="O6113" s="2">
        <f ca="1"/>
        <v>-1.3403800794314926</v>
      </c>
      <c r="X6113" s="2">
        <f ca="1"/>
        <v>49.489858108363308</v>
      </c>
      <c r="AG6113" s="2">
        <f ca="1"/>
        <v>0.39595435834447334</v>
      </c>
      <c r="AH6113" s="2" t="str">
        <f ca="1"/>
        <v>OK</v>
      </c>
    </row>
    <row r="6114" spans="2:34" x14ac:dyDescent="0.2">
      <c r="B6114" s="2">
        <f ca="1"/>
        <v>0.17724584772348151</v>
      </c>
      <c r="O6114" s="2">
        <f ca="1"/>
        <v>0.91326970779080852</v>
      </c>
      <c r="X6114" s="2">
        <f ca="1"/>
        <v>58.625948146684095</v>
      </c>
      <c r="AG6114" s="2">
        <f ca="1"/>
        <v>0.91248829753996286</v>
      </c>
      <c r="AH6114" s="2" t="str">
        <f ca="1"/>
        <v>Bad</v>
      </c>
    </row>
    <row r="6115" spans="2:34" x14ac:dyDescent="0.2">
      <c r="B6115" s="2">
        <f ca="1"/>
        <v>0.90413000306173852</v>
      </c>
      <c r="O6115" s="2">
        <f ca="1"/>
        <v>-1.3628042109234799</v>
      </c>
      <c r="X6115" s="2">
        <f ca="1"/>
        <v>21.332461440509597</v>
      </c>
      <c r="AG6115" s="2">
        <f ca="1"/>
        <v>0.31274729581704119</v>
      </c>
      <c r="AH6115" s="2" t="str">
        <f ca="1"/>
        <v>OK</v>
      </c>
    </row>
    <row r="6116" spans="2:34" x14ac:dyDescent="0.2">
      <c r="B6116" s="2">
        <f ca="1"/>
        <v>0.12842029809653854</v>
      </c>
      <c r="O6116" s="2">
        <f ca="1"/>
        <v>2.3968611352729794</v>
      </c>
      <c r="X6116" s="2">
        <f ca="1"/>
        <v>24.170837367090677</v>
      </c>
      <c r="AG6116" s="2">
        <f ca="1"/>
        <v>0.72874341060919834</v>
      </c>
      <c r="AH6116" s="2" t="str">
        <f ca="1"/>
        <v>Bad</v>
      </c>
    </row>
    <row r="6117" spans="2:34" x14ac:dyDescent="0.2">
      <c r="B6117" s="2">
        <f ca="1"/>
        <v>0.99664442329149505</v>
      </c>
      <c r="O6117" s="2">
        <f ca="1"/>
        <v>-1.6840495930421546</v>
      </c>
      <c r="X6117" s="2">
        <f ca="1"/>
        <v>57.856975637849992</v>
      </c>
      <c r="AG6117" s="2">
        <f ca="1"/>
        <v>0.52913788509356685</v>
      </c>
      <c r="AH6117" s="2" t="str">
        <f ca="1"/>
        <v>Bad</v>
      </c>
    </row>
    <row r="6118" spans="2:34" x14ac:dyDescent="0.2">
      <c r="B6118" s="2">
        <f ca="1"/>
        <v>0.28058389542726903</v>
      </c>
      <c r="O6118" s="2">
        <f ca="1"/>
        <v>-0.46673457558859072</v>
      </c>
      <c r="X6118" s="2">
        <f ca="1"/>
        <v>52.009786239500137</v>
      </c>
      <c r="AG6118" s="2">
        <f ca="1"/>
        <v>0.27199524621193882</v>
      </c>
      <c r="AH6118" s="2" t="str">
        <f ca="1"/>
        <v>OK</v>
      </c>
    </row>
    <row r="6119" spans="2:34" x14ac:dyDescent="0.2">
      <c r="B6119" s="2">
        <f ca="1"/>
        <v>0.15668417213044172</v>
      </c>
      <c r="O6119" s="2">
        <f ca="1"/>
        <v>0.28008055843036356</v>
      </c>
      <c r="X6119" s="2">
        <f ca="1"/>
        <v>51.693646570141915</v>
      </c>
      <c r="AG6119" s="2">
        <f ca="1"/>
        <v>0.15524896224471951</v>
      </c>
      <c r="AH6119" s="2" t="str">
        <f ca="1"/>
        <v>OK</v>
      </c>
    </row>
    <row r="6120" spans="2:34" x14ac:dyDescent="0.2">
      <c r="B6120" s="2">
        <f ca="1"/>
        <v>2.5465031604757993E-2</v>
      </c>
      <c r="O6120" s="2">
        <f ca="1"/>
        <v>2.0282456901688559</v>
      </c>
      <c r="X6120" s="2">
        <f ca="1"/>
        <v>23.952859740758655</v>
      </c>
      <c r="AG6120" s="2">
        <f ca="1"/>
        <v>7.9248922519233878E-2</v>
      </c>
      <c r="AH6120" s="2" t="str">
        <f ca="1"/>
        <v>OK</v>
      </c>
    </row>
    <row r="6121" spans="2:34" x14ac:dyDescent="0.2">
      <c r="B6121" s="2">
        <f ca="1"/>
        <v>0.64552109790766243</v>
      </c>
      <c r="O6121" s="2">
        <f ca="1"/>
        <v>2.4187243758972787</v>
      </c>
      <c r="X6121" s="2">
        <f ca="1"/>
        <v>26.644634682411002</v>
      </c>
      <c r="AG6121" s="2">
        <f ca="1"/>
        <v>0.21169501402219182</v>
      </c>
      <c r="AH6121" s="2" t="str">
        <f ca="1"/>
        <v>OK</v>
      </c>
    </row>
    <row r="6122" spans="2:34" x14ac:dyDescent="0.2">
      <c r="B6122" s="2">
        <f ca="1"/>
        <v>0.27738506134963181</v>
      </c>
      <c r="O6122" s="2">
        <f ca="1"/>
        <v>-1.1868748688734896</v>
      </c>
      <c r="X6122" s="2">
        <f ca="1"/>
        <v>49.595962541477768</v>
      </c>
      <c r="AG6122" s="2">
        <f ca="1"/>
        <v>0.9057701183852831</v>
      </c>
      <c r="AH6122" s="2" t="str">
        <f ca="1"/>
        <v>Bad</v>
      </c>
    </row>
    <row r="6123" spans="2:34" x14ac:dyDescent="0.2">
      <c r="B6123" s="2">
        <f ca="1"/>
        <v>0.3821971641856432</v>
      </c>
      <c r="O6123" s="2">
        <f ca="1"/>
        <v>-1.9207975458256237</v>
      </c>
      <c r="X6123" s="2">
        <f ca="1"/>
        <v>64.065662805535567</v>
      </c>
      <c r="AG6123" s="2">
        <f ca="1"/>
        <v>0.23116324984462477</v>
      </c>
      <c r="AH6123" s="2" t="str">
        <f ca="1"/>
        <v>OK</v>
      </c>
    </row>
    <row r="6124" spans="2:34" x14ac:dyDescent="0.2">
      <c r="B6124" s="2">
        <f ca="1"/>
        <v>0.55781553553952956</v>
      </c>
      <c r="O6124" s="2">
        <f ca="1"/>
        <v>1.3119662479826448</v>
      </c>
      <c r="X6124" s="2">
        <f ca="1"/>
        <v>34.630429273181406</v>
      </c>
      <c r="AG6124" s="2">
        <f ca="1"/>
        <v>0.49280709678075496</v>
      </c>
      <c r="AH6124" s="2" t="str">
        <f ca="1"/>
        <v>Bad</v>
      </c>
    </row>
    <row r="6125" spans="2:34" x14ac:dyDescent="0.2">
      <c r="B6125" s="2">
        <f ca="1"/>
        <v>0.57816087176240627</v>
      </c>
      <c r="O6125" s="2">
        <f ca="1"/>
        <v>-0.97411244305379252</v>
      </c>
      <c r="X6125" s="2">
        <f ca="1"/>
        <v>38.223731982449038</v>
      </c>
      <c r="AG6125" s="2">
        <f ca="1"/>
        <v>4.6436064860943649E-2</v>
      </c>
      <c r="AH6125" s="2" t="str">
        <f ca="1"/>
        <v>Good</v>
      </c>
    </row>
    <row r="6126" spans="2:34" x14ac:dyDescent="0.2">
      <c r="B6126" s="2">
        <f ca="1"/>
        <v>0.7429032580253494</v>
      </c>
      <c r="O6126" s="2">
        <f ca="1"/>
        <v>-0.29904410206072379</v>
      </c>
      <c r="X6126" s="2">
        <f ca="1"/>
        <v>23.217517185320045</v>
      </c>
      <c r="AG6126" s="2">
        <f ca="1"/>
        <v>0.11137149244807354</v>
      </c>
      <c r="AH6126" s="2" t="str">
        <f ca="1"/>
        <v>OK</v>
      </c>
    </row>
    <row r="6127" spans="2:34" x14ac:dyDescent="0.2">
      <c r="B6127" s="2">
        <f ca="1"/>
        <v>0.38691377685965844</v>
      </c>
      <c r="O6127" s="2">
        <f ca="1"/>
        <v>2.8721944697814017</v>
      </c>
      <c r="X6127" s="2">
        <f ca="1"/>
        <v>39.443147030162272</v>
      </c>
      <c r="AG6127" s="2">
        <f ca="1"/>
        <v>3.1791220160730882E-2</v>
      </c>
      <c r="AH6127" s="2" t="str">
        <f ca="1"/>
        <v>Good</v>
      </c>
    </row>
    <row r="6128" spans="2:34" x14ac:dyDescent="0.2">
      <c r="B6128" s="2">
        <f ca="1"/>
        <v>0.10868619351369735</v>
      </c>
      <c r="O6128" s="2">
        <f ca="1"/>
        <v>1.2069287385174254</v>
      </c>
      <c r="X6128" s="2">
        <f ca="1"/>
        <v>66.895237975720931</v>
      </c>
      <c r="AG6128" s="2">
        <f ca="1"/>
        <v>0.44867585808556454</v>
      </c>
      <c r="AH6128" s="2" t="str">
        <f ca="1"/>
        <v>Bad</v>
      </c>
    </row>
    <row r="6129" spans="2:34" x14ac:dyDescent="0.2">
      <c r="B6129" s="2">
        <f ca="1"/>
        <v>0.79467394333693453</v>
      </c>
      <c r="O6129" s="2">
        <f ca="1"/>
        <v>0.24188158429859452</v>
      </c>
      <c r="X6129" s="2">
        <f ca="1"/>
        <v>41.681459569842772</v>
      </c>
      <c r="AG6129" s="2">
        <f ca="1"/>
        <v>0.18191489506097147</v>
      </c>
      <c r="AH6129" s="2" t="str">
        <f ca="1"/>
        <v>OK</v>
      </c>
    </row>
    <row r="6130" spans="2:34" x14ac:dyDescent="0.2">
      <c r="B6130" s="2">
        <f ca="1"/>
        <v>0.81491882900661317</v>
      </c>
      <c r="O6130" s="2">
        <f ca="1"/>
        <v>-0.74165985198977202</v>
      </c>
      <c r="X6130" s="2">
        <f ca="1"/>
        <v>53.989597831637838</v>
      </c>
      <c r="AG6130" s="2">
        <f ca="1"/>
        <v>0.34246640685139029</v>
      </c>
      <c r="AH6130" s="2" t="str">
        <f ca="1"/>
        <v>OK</v>
      </c>
    </row>
    <row r="6131" spans="2:34" x14ac:dyDescent="0.2">
      <c r="B6131" s="2">
        <f ca="1"/>
        <v>0.42788670646459992</v>
      </c>
      <c r="O6131" s="2">
        <f ca="1"/>
        <v>-0.78815462414781134</v>
      </c>
      <c r="X6131" s="2">
        <f ca="1"/>
        <v>81.466044501119995</v>
      </c>
      <c r="AG6131" s="2">
        <f ca="1"/>
        <v>0.2268530575984542</v>
      </c>
      <c r="AH6131" s="2" t="str">
        <f ca="1"/>
        <v>OK</v>
      </c>
    </row>
    <row r="6132" spans="2:34" x14ac:dyDescent="0.2">
      <c r="B6132" s="2">
        <f ca="1"/>
        <v>0.17155264950786431</v>
      </c>
      <c r="O6132" s="2">
        <f ca="1"/>
        <v>0.60087395189664172</v>
      </c>
      <c r="X6132" s="2">
        <f ca="1"/>
        <v>66.42311751803409</v>
      </c>
      <c r="AG6132" s="2">
        <f ca="1"/>
        <v>0.93580487261118805</v>
      </c>
      <c r="AH6132" s="2" t="str">
        <f ca="1"/>
        <v>Bad</v>
      </c>
    </row>
    <row r="6133" spans="2:34" x14ac:dyDescent="0.2">
      <c r="B6133" s="2">
        <f ca="1"/>
        <v>0.98739665754969574</v>
      </c>
      <c r="O6133" s="2">
        <f ca="1"/>
        <v>-0.28199497387463318</v>
      </c>
      <c r="X6133" s="2">
        <f ca="1"/>
        <v>21.136993956451814</v>
      </c>
      <c r="AG6133" s="2">
        <f ca="1"/>
        <v>2.7242110975276734E-2</v>
      </c>
      <c r="AH6133" s="2" t="str">
        <f ca="1"/>
        <v>Good</v>
      </c>
    </row>
    <row r="6134" spans="2:34" x14ac:dyDescent="0.2">
      <c r="B6134" s="2">
        <f ca="1"/>
        <v>9.5367969207932779E-2</v>
      </c>
      <c r="O6134" s="2">
        <f ca="1"/>
        <v>0.53107527460510795</v>
      </c>
      <c r="X6134" s="2">
        <f ca="1"/>
        <v>42.443123469157349</v>
      </c>
      <c r="AG6134" s="2">
        <f ca="1"/>
        <v>0.41366946493388768</v>
      </c>
      <c r="AH6134" s="2" t="str">
        <f ca="1"/>
        <v>Bad</v>
      </c>
    </row>
    <row r="6135" spans="2:34" x14ac:dyDescent="0.2">
      <c r="B6135" s="2">
        <f ca="1"/>
        <v>0.61447374389385012</v>
      </c>
      <c r="O6135" s="2">
        <f ca="1"/>
        <v>-0.74415591972530104</v>
      </c>
      <c r="X6135" s="2">
        <f ca="1"/>
        <v>58.783227413294881</v>
      </c>
      <c r="AG6135" s="2">
        <f ca="1"/>
        <v>0.75357143314554387</v>
      </c>
      <c r="AH6135" s="2" t="str">
        <f ca="1"/>
        <v>Bad</v>
      </c>
    </row>
    <row r="6136" spans="2:34" x14ac:dyDescent="0.2">
      <c r="B6136" s="2">
        <f ca="1"/>
        <v>0.76671425518601466</v>
      </c>
      <c r="O6136" s="2">
        <f ca="1"/>
        <v>-2.3216813865576196</v>
      </c>
      <c r="X6136" s="2">
        <f ca="1"/>
        <v>45.286163595148182</v>
      </c>
      <c r="AG6136" s="2">
        <f ca="1"/>
        <v>0.35205939183116142</v>
      </c>
      <c r="AH6136" s="2" t="str">
        <f ca="1"/>
        <v>OK</v>
      </c>
    </row>
    <row r="6137" spans="2:34" x14ac:dyDescent="0.2">
      <c r="B6137" s="2">
        <f ca="1"/>
        <v>0.73057838645703499</v>
      </c>
      <c r="O6137" s="2">
        <f ca="1"/>
        <v>0.20385969061031767</v>
      </c>
      <c r="X6137" s="2">
        <f ca="1"/>
        <v>40.262053757418641</v>
      </c>
      <c r="AG6137" s="2">
        <f ca="1"/>
        <v>0.94830146623965628</v>
      </c>
      <c r="AH6137" s="2" t="str">
        <f ca="1"/>
        <v>Bad</v>
      </c>
    </row>
    <row r="6138" spans="2:34" x14ac:dyDescent="0.2">
      <c r="B6138" s="2">
        <f ca="1"/>
        <v>0.50724138085376769</v>
      </c>
      <c r="O6138" s="2">
        <f ca="1"/>
        <v>-0.49000605534781844</v>
      </c>
      <c r="X6138" s="2">
        <f ca="1"/>
        <v>22.967629659154728</v>
      </c>
      <c r="AG6138" s="2">
        <f ca="1"/>
        <v>0.71637472533776325</v>
      </c>
      <c r="AH6138" s="2" t="str">
        <f ca="1"/>
        <v>Bad</v>
      </c>
    </row>
    <row r="6139" spans="2:34" x14ac:dyDescent="0.2">
      <c r="B6139" s="2">
        <f ca="1"/>
        <v>0.91911079152328679</v>
      </c>
      <c r="O6139" s="2">
        <f ca="1"/>
        <v>0.12594188790432745</v>
      </c>
      <c r="X6139" s="2">
        <f ca="1"/>
        <v>51.106751920738986</v>
      </c>
      <c r="AG6139" s="2">
        <f ca="1"/>
        <v>0.32788527637762277</v>
      </c>
      <c r="AH6139" s="2" t="str">
        <f ca="1"/>
        <v>OK</v>
      </c>
    </row>
    <row r="6140" spans="2:34" x14ac:dyDescent="0.2">
      <c r="B6140" s="2">
        <f ca="1"/>
        <v>0.68954078873185876</v>
      </c>
      <c r="O6140" s="2">
        <f ca="1"/>
        <v>-0.50265835742637455</v>
      </c>
      <c r="X6140" s="2">
        <f ca="1"/>
        <v>35.153033975313903</v>
      </c>
      <c r="AG6140" s="2">
        <f ca="1"/>
        <v>0.23719348940904883</v>
      </c>
      <c r="AH6140" s="2" t="str">
        <f ca="1"/>
        <v>OK</v>
      </c>
    </row>
    <row r="6141" spans="2:34" x14ac:dyDescent="0.2">
      <c r="B6141" s="2">
        <f ca="1"/>
        <v>0.70381544844528321</v>
      </c>
      <c r="O6141" s="2">
        <f ca="1"/>
        <v>-0.43899766481892066</v>
      </c>
      <c r="X6141" s="2">
        <f ca="1"/>
        <v>45.79071011516529</v>
      </c>
      <c r="AG6141" s="2">
        <f ca="1"/>
        <v>0.9447887870837508</v>
      </c>
      <c r="AH6141" s="2" t="str">
        <f ca="1"/>
        <v>Bad</v>
      </c>
    </row>
    <row r="6142" spans="2:34" x14ac:dyDescent="0.2">
      <c r="B6142" s="2">
        <f ca="1"/>
        <v>0.60174354816373499</v>
      </c>
      <c r="O6142" s="2">
        <f ca="1"/>
        <v>1.8373335500846601</v>
      </c>
      <c r="X6142" s="2">
        <f ca="1"/>
        <v>40.768789311134277</v>
      </c>
      <c r="AG6142" s="2">
        <f ca="1"/>
        <v>0.66505849708311371</v>
      </c>
      <c r="AH6142" s="2" t="str">
        <f ca="1"/>
        <v>Bad</v>
      </c>
    </row>
    <row r="6143" spans="2:34" x14ac:dyDescent="0.2">
      <c r="B6143" s="2">
        <f ca="1"/>
        <v>0.17908158216679348</v>
      </c>
      <c r="O6143" s="2">
        <f ca="1"/>
        <v>-0.20949434484017151</v>
      </c>
      <c r="X6143" s="2">
        <f ca="1"/>
        <v>46.24274258507667</v>
      </c>
      <c r="AG6143" s="2">
        <f ca="1"/>
        <v>9.0588390594006585E-2</v>
      </c>
      <c r="AH6143" s="2" t="str">
        <f ca="1"/>
        <v>OK</v>
      </c>
    </row>
    <row r="6144" spans="2:34" x14ac:dyDescent="0.2">
      <c r="B6144" s="2">
        <f ca="1"/>
        <v>0.4047459028213225</v>
      </c>
      <c r="O6144" s="2">
        <f ca="1"/>
        <v>-0.14572240199861872</v>
      </c>
      <c r="X6144" s="2">
        <f ca="1"/>
        <v>38.935204313584968</v>
      </c>
      <c r="AG6144" s="2">
        <f ca="1"/>
        <v>0.87988387534068591</v>
      </c>
      <c r="AH6144" s="2" t="str">
        <f ca="1"/>
        <v>Bad</v>
      </c>
    </row>
    <row r="6145" spans="2:34" x14ac:dyDescent="0.2">
      <c r="B6145" s="2">
        <f ca="1"/>
        <v>0.34384904028709795</v>
      </c>
      <c r="O6145" s="2">
        <f ca="1"/>
        <v>-0.64023062588071888</v>
      </c>
      <c r="X6145" s="2">
        <f ca="1"/>
        <v>36.589944927795386</v>
      </c>
      <c r="AG6145" s="2">
        <f ca="1"/>
        <v>4.0171623502582854E-3</v>
      </c>
      <c r="AH6145" s="2" t="str">
        <f ca="1"/>
        <v>Good</v>
      </c>
    </row>
    <row r="6146" spans="2:34" x14ac:dyDescent="0.2">
      <c r="B6146" s="2">
        <f ca="1"/>
        <v>0.25586823076910492</v>
      </c>
      <c r="O6146" s="2">
        <f ca="1"/>
        <v>0.66430800717944027</v>
      </c>
      <c r="X6146" s="2">
        <f ca="1"/>
        <v>22.871370859155693</v>
      </c>
      <c r="AG6146" s="2">
        <f ca="1"/>
        <v>0.89548834331523519</v>
      </c>
      <c r="AH6146" s="2" t="str">
        <f ca="1"/>
        <v>Bad</v>
      </c>
    </row>
    <row r="6147" spans="2:34" x14ac:dyDescent="0.2">
      <c r="B6147" s="2">
        <f ca="1"/>
        <v>0.93107618188601515</v>
      </c>
      <c r="O6147" s="2">
        <f ca="1"/>
        <v>0.94505460957343768</v>
      </c>
      <c r="X6147" s="2">
        <f ca="1"/>
        <v>58.323906436994861</v>
      </c>
      <c r="AG6147" s="2">
        <f ca="1"/>
        <v>0.80241507149168378</v>
      </c>
      <c r="AH6147" s="2" t="str">
        <f ca="1"/>
        <v>Bad</v>
      </c>
    </row>
    <row r="6148" spans="2:34" x14ac:dyDescent="0.2">
      <c r="B6148" s="2">
        <f ca="1"/>
        <v>0.58412805251706512</v>
      </c>
      <c r="O6148" s="2">
        <f ca="1"/>
        <v>-1.1565994706220242</v>
      </c>
      <c r="X6148" s="2">
        <f ca="1"/>
        <v>50.434203557082427</v>
      </c>
      <c r="AG6148" s="2">
        <f ca="1"/>
        <v>0.17160568008861077</v>
      </c>
      <c r="AH6148" s="2" t="str">
        <f ca="1"/>
        <v>OK</v>
      </c>
    </row>
    <row r="6149" spans="2:34" x14ac:dyDescent="0.2">
      <c r="B6149" s="2">
        <f ca="1"/>
        <v>0.81166050461050099</v>
      </c>
      <c r="O6149" s="2">
        <f ca="1"/>
        <v>-0.49894050229831799</v>
      </c>
      <c r="X6149" s="2">
        <f ca="1"/>
        <v>66.342101371826999</v>
      </c>
      <c r="AG6149" s="2">
        <f ca="1"/>
        <v>0.39109765545368558</v>
      </c>
      <c r="AH6149" s="2" t="str">
        <f ca="1"/>
        <v>OK</v>
      </c>
    </row>
    <row r="6150" spans="2:34" x14ac:dyDescent="0.2">
      <c r="B6150" s="2">
        <f ca="1"/>
        <v>0.46456264886896159</v>
      </c>
      <c r="O6150" s="2">
        <f ca="1"/>
        <v>-0.39504766497403587</v>
      </c>
      <c r="X6150" s="2">
        <f ca="1"/>
        <v>47.301711172197415</v>
      </c>
      <c r="AG6150" s="2">
        <f ca="1"/>
        <v>0.57032347185230248</v>
      </c>
      <c r="AH6150" s="2" t="str">
        <f ca="1"/>
        <v>Bad</v>
      </c>
    </row>
    <row r="6151" spans="2:34" x14ac:dyDescent="0.2">
      <c r="B6151" s="2">
        <f ca="1"/>
        <v>4.9991786625325441E-2</v>
      </c>
      <c r="O6151" s="2">
        <f ca="1"/>
        <v>-0.25788631879745583</v>
      </c>
      <c r="X6151" s="2">
        <f ca="1"/>
        <v>38.262102802503286</v>
      </c>
      <c r="AG6151" s="2">
        <f ca="1"/>
        <v>0.13028071572157196</v>
      </c>
      <c r="AH6151" s="2" t="str">
        <f ca="1"/>
        <v>OK</v>
      </c>
    </row>
    <row r="6152" spans="2:34" x14ac:dyDescent="0.2">
      <c r="B6152" s="2">
        <f ca="1"/>
        <v>0.84421508125772893</v>
      </c>
      <c r="O6152" s="2">
        <f ca="1"/>
        <v>1.3274291440827366</v>
      </c>
      <c r="X6152" s="2">
        <f ca="1"/>
        <v>36.287624750543756</v>
      </c>
      <c r="AG6152" s="2">
        <f ca="1"/>
        <v>0.58470887093545754</v>
      </c>
      <c r="AH6152" s="2" t="str">
        <f ca="1"/>
        <v>Bad</v>
      </c>
    </row>
    <row r="6153" spans="2:34" x14ac:dyDescent="0.2">
      <c r="B6153" s="2">
        <f ca="1"/>
        <v>0.14429331520190325</v>
      </c>
      <c r="O6153" s="2">
        <f ca="1"/>
        <v>-1.1639956553299744</v>
      </c>
      <c r="X6153" s="2">
        <f ca="1"/>
        <v>41.492617370450951</v>
      </c>
      <c r="AG6153" s="2">
        <f ca="1"/>
        <v>0.81514872581302522</v>
      </c>
      <c r="AH6153" s="2" t="str">
        <f ca="1"/>
        <v>Bad</v>
      </c>
    </row>
    <row r="6154" spans="2:34" x14ac:dyDescent="0.2">
      <c r="B6154" s="2">
        <f ca="1"/>
        <v>0.35852517715933097</v>
      </c>
      <c r="O6154" s="2">
        <f ca="1"/>
        <v>-0.6046461506037516</v>
      </c>
      <c r="X6154" s="2">
        <f ca="1"/>
        <v>45.628481081809355</v>
      </c>
      <c r="AG6154" s="2">
        <f ca="1"/>
        <v>0.33552542273835195</v>
      </c>
      <c r="AH6154" s="2" t="str">
        <f ca="1"/>
        <v>OK</v>
      </c>
    </row>
    <row r="6155" spans="2:34" x14ac:dyDescent="0.2">
      <c r="B6155" s="2">
        <f ca="1"/>
        <v>3.2943556533324481E-2</v>
      </c>
      <c r="O6155" s="2">
        <f ca="1"/>
        <v>7.7335103292197485E-3</v>
      </c>
      <c r="X6155" s="2">
        <f ca="1"/>
        <v>26.890091355025653</v>
      </c>
      <c r="AG6155" s="2">
        <f ca="1"/>
        <v>0.8504782482541815</v>
      </c>
      <c r="AH6155" s="2" t="str">
        <f ca="1"/>
        <v>Bad</v>
      </c>
    </row>
    <row r="6156" spans="2:34" x14ac:dyDescent="0.2">
      <c r="B6156" s="2">
        <f ca="1"/>
        <v>0.33735717009689403</v>
      </c>
      <c r="O6156" s="2">
        <f ca="1"/>
        <v>-3.0937394783694065</v>
      </c>
      <c r="X6156" s="2">
        <f ca="1"/>
        <v>50.260392199318332</v>
      </c>
      <c r="AG6156" s="2">
        <f ca="1"/>
        <v>0.92975171973152926</v>
      </c>
      <c r="AH6156" s="2" t="str">
        <f ca="1"/>
        <v>Bad</v>
      </c>
    </row>
    <row r="6157" spans="2:34" x14ac:dyDescent="0.2">
      <c r="B6157" s="2">
        <f ca="1"/>
        <v>0.37126576625081542</v>
      </c>
      <c r="O6157" s="2">
        <f ca="1"/>
        <v>-1.3493939063868816</v>
      </c>
      <c r="X6157" s="2">
        <f ca="1"/>
        <v>44.763667699020758</v>
      </c>
      <c r="AG6157" s="2">
        <f ca="1"/>
        <v>0.93615923172322613</v>
      </c>
      <c r="AH6157" s="2" t="str">
        <f ca="1"/>
        <v>Bad</v>
      </c>
    </row>
    <row r="6158" spans="2:34" x14ac:dyDescent="0.2">
      <c r="B6158" s="2">
        <f ca="1"/>
        <v>0.41145618286506269</v>
      </c>
      <c r="O6158" s="2">
        <f ca="1"/>
        <v>1.1590357701976957</v>
      </c>
      <c r="X6158" s="2">
        <f ca="1"/>
        <v>50.675622648587357</v>
      </c>
      <c r="AG6158" s="2">
        <f ca="1"/>
        <v>0.16827704199403115</v>
      </c>
      <c r="AH6158" s="2" t="str">
        <f ca="1"/>
        <v>OK</v>
      </c>
    </row>
    <row r="6159" spans="2:34" x14ac:dyDescent="0.2">
      <c r="B6159" s="2">
        <f ca="1"/>
        <v>0.31568005836815005</v>
      </c>
      <c r="O6159" s="2">
        <f ca="1"/>
        <v>-1.7970618898673676</v>
      </c>
      <c r="X6159" s="2">
        <f ca="1"/>
        <v>46.334833053520455</v>
      </c>
      <c r="AG6159" s="2">
        <f ca="1"/>
        <v>2.427668274055983E-2</v>
      </c>
      <c r="AH6159" s="2" t="str">
        <f ca="1"/>
        <v>Good</v>
      </c>
    </row>
    <row r="6160" spans="2:34" x14ac:dyDescent="0.2">
      <c r="B6160" s="2">
        <f ca="1"/>
        <v>0.98378932732004243</v>
      </c>
      <c r="O6160" s="2">
        <f ca="1"/>
        <v>-5.7911258786905083E-2</v>
      </c>
      <c r="X6160" s="2">
        <f ca="1"/>
        <v>35.813065500891902</v>
      </c>
      <c r="AG6160" s="2">
        <f ca="1"/>
        <v>0.38247544203641581</v>
      </c>
      <c r="AH6160" s="2" t="str">
        <f ca="1"/>
        <v>OK</v>
      </c>
    </row>
    <row r="6161" spans="2:34" x14ac:dyDescent="0.2">
      <c r="B6161" s="2">
        <f ca="1"/>
        <v>0.41377381061726659</v>
      </c>
      <c r="O6161" s="2">
        <f ca="1"/>
        <v>1.4699044234658638</v>
      </c>
      <c r="X6161" s="2">
        <f ca="1"/>
        <v>32.815036196606627</v>
      </c>
      <c r="AG6161" s="2">
        <f ca="1"/>
        <v>0.31587425100980648</v>
      </c>
      <c r="AH6161" s="2" t="str">
        <f ca="1"/>
        <v>OK</v>
      </c>
    </row>
    <row r="6162" spans="2:34" x14ac:dyDescent="0.2">
      <c r="B6162" s="2">
        <f ca="1"/>
        <v>0.41110003224875036</v>
      </c>
      <c r="O6162" s="2">
        <f ca="1"/>
        <v>-1.4996430986649438</v>
      </c>
      <c r="X6162" s="2">
        <f ca="1"/>
        <v>49.381209500900539</v>
      </c>
      <c r="AG6162" s="2">
        <f ca="1"/>
        <v>0.37358902265952221</v>
      </c>
      <c r="AH6162" s="2" t="str">
        <f ca="1"/>
        <v>OK</v>
      </c>
    </row>
    <row r="6163" spans="2:34" x14ac:dyDescent="0.2">
      <c r="B6163" s="2">
        <f ca="1"/>
        <v>0.27390963271284563</v>
      </c>
      <c r="O6163" s="2">
        <f ca="1"/>
        <v>0.4476385198665575</v>
      </c>
      <c r="X6163" s="2">
        <f ca="1"/>
        <v>54.801556461711776</v>
      </c>
      <c r="AG6163" s="2">
        <f ca="1"/>
        <v>0.750359698977072</v>
      </c>
      <c r="AH6163" s="2" t="str">
        <f ca="1"/>
        <v>Bad</v>
      </c>
    </row>
    <row r="6164" spans="2:34" x14ac:dyDescent="0.2">
      <c r="B6164" s="2">
        <f ca="1"/>
        <v>0.50067853609650181</v>
      </c>
      <c r="O6164" s="2">
        <f ca="1"/>
        <v>1.263319098359827</v>
      </c>
      <c r="X6164" s="2">
        <f ca="1"/>
        <v>39.497739838574297</v>
      </c>
      <c r="AG6164" s="2">
        <f ca="1"/>
        <v>0.82315631500036557</v>
      </c>
      <c r="AH6164" s="2" t="str">
        <f ca="1"/>
        <v>Bad</v>
      </c>
    </row>
    <row r="6165" spans="2:34" x14ac:dyDescent="0.2">
      <c r="B6165" s="2">
        <f ca="1"/>
        <v>0.57593942970379319</v>
      </c>
      <c r="O6165" s="2">
        <f ca="1"/>
        <v>0.41221442039426048</v>
      </c>
      <c r="X6165" s="2">
        <f ca="1"/>
        <v>56.919992991046477</v>
      </c>
      <c r="AG6165" s="2">
        <f ca="1"/>
        <v>0.92108409808588276</v>
      </c>
      <c r="AH6165" s="2" t="str">
        <f ca="1"/>
        <v>Bad</v>
      </c>
    </row>
    <row r="6166" spans="2:34" x14ac:dyDescent="0.2">
      <c r="B6166" s="2">
        <f ca="1"/>
        <v>0.71269517172869978</v>
      </c>
      <c r="O6166" s="2">
        <f ca="1"/>
        <v>1.3431113188497779</v>
      </c>
      <c r="X6166" s="2">
        <f ca="1"/>
        <v>48.110054608789589</v>
      </c>
      <c r="AG6166" s="2">
        <f ca="1"/>
        <v>0.64379783025293169</v>
      </c>
      <c r="AH6166" s="2" t="str">
        <f ca="1"/>
        <v>Bad</v>
      </c>
    </row>
    <row r="6167" spans="2:34" x14ac:dyDescent="0.2">
      <c r="B6167" s="2">
        <f ca="1"/>
        <v>0.96368071827023072</v>
      </c>
      <c r="O6167" s="2">
        <f ca="1"/>
        <v>-0.2380028330226554</v>
      </c>
      <c r="X6167" s="2">
        <f ca="1"/>
        <v>41.226196623941064</v>
      </c>
      <c r="AG6167" s="2">
        <f ca="1"/>
        <v>0.7011626900733583</v>
      </c>
      <c r="AH6167" s="2" t="str">
        <f ca="1"/>
        <v>Bad</v>
      </c>
    </row>
    <row r="6168" spans="2:34" x14ac:dyDescent="0.2">
      <c r="B6168" s="2">
        <f ca="1"/>
        <v>0.5330331285593144</v>
      </c>
      <c r="O6168" s="2">
        <f ca="1"/>
        <v>-6.7769196803073736E-2</v>
      </c>
      <c r="X6168" s="2">
        <f ca="1"/>
        <v>55.975342118922953</v>
      </c>
      <c r="AG6168" s="2">
        <f ca="1"/>
        <v>0.52859177870632368</v>
      </c>
      <c r="AH6168" s="2" t="str">
        <f ca="1"/>
        <v>Bad</v>
      </c>
    </row>
    <row r="6169" spans="2:34" x14ac:dyDescent="0.2">
      <c r="B6169" s="2">
        <f ca="1"/>
        <v>0.12536406386641286</v>
      </c>
      <c r="O6169" s="2">
        <f ca="1"/>
        <v>-1.0310658257782923</v>
      </c>
      <c r="X6169" s="2">
        <f ca="1"/>
        <v>36.108068273876228</v>
      </c>
      <c r="AG6169" s="2">
        <f ca="1"/>
        <v>0.5313315637276963</v>
      </c>
      <c r="AH6169" s="2" t="str">
        <f ca="1"/>
        <v>Bad</v>
      </c>
    </row>
    <row r="6170" spans="2:34" x14ac:dyDescent="0.2">
      <c r="B6170" s="2">
        <f ca="1"/>
        <v>0.49241374171733265</v>
      </c>
      <c r="O6170" s="2">
        <f ca="1"/>
        <v>1.2537144367609909</v>
      </c>
      <c r="X6170" s="2">
        <f ca="1"/>
        <v>36.077581590629052</v>
      </c>
      <c r="AG6170" s="2">
        <f ca="1"/>
        <v>0.34834291190050837</v>
      </c>
      <c r="AH6170" s="2" t="str">
        <f ca="1"/>
        <v>OK</v>
      </c>
    </row>
    <row r="6171" spans="2:34" x14ac:dyDescent="0.2">
      <c r="B6171" s="2">
        <f ca="1"/>
        <v>0.89626139171249486</v>
      </c>
      <c r="O6171" s="2">
        <f ca="1"/>
        <v>-0.60049314897691031</v>
      </c>
      <c r="X6171" s="2">
        <f ca="1"/>
        <v>67.519413620664025</v>
      </c>
      <c r="AG6171" s="2">
        <f ca="1"/>
        <v>0.41618029913710441</v>
      </c>
      <c r="AH6171" s="2" t="str">
        <f ca="1"/>
        <v>Bad</v>
      </c>
    </row>
    <row r="6172" spans="2:34" x14ac:dyDescent="0.2">
      <c r="B6172" s="2">
        <f ca="1"/>
        <v>0.64902760805266357</v>
      </c>
      <c r="O6172" s="2">
        <f ca="1"/>
        <v>1.0073245961398607</v>
      </c>
      <c r="X6172" s="2">
        <f ca="1"/>
        <v>34.705033143584195</v>
      </c>
      <c r="AG6172" s="2">
        <f ca="1"/>
        <v>1.0052360214005907E-2</v>
      </c>
      <c r="AH6172" s="2" t="str">
        <f ca="1"/>
        <v>Good</v>
      </c>
    </row>
    <row r="6173" spans="2:34" x14ac:dyDescent="0.2">
      <c r="B6173" s="2">
        <f ca="1"/>
        <v>0.77402962779016504</v>
      </c>
      <c r="O6173" s="2">
        <f ca="1"/>
        <v>0.19720752936788216</v>
      </c>
      <c r="X6173" s="2">
        <f ca="1"/>
        <v>33.048795677625662</v>
      </c>
      <c r="AG6173" s="2">
        <f ca="1"/>
        <v>0.39016828768630996</v>
      </c>
      <c r="AH6173" s="2" t="str">
        <f ca="1"/>
        <v>OK</v>
      </c>
    </row>
    <row r="6174" spans="2:34" x14ac:dyDescent="0.2">
      <c r="B6174" s="2">
        <f ca="1"/>
        <v>0.7836016843568101</v>
      </c>
      <c r="O6174" s="2">
        <f ca="1"/>
        <v>0.75244543779545348</v>
      </c>
      <c r="X6174" s="2">
        <f ca="1"/>
        <v>31.276576111871663</v>
      </c>
      <c r="AG6174" s="2">
        <f ca="1"/>
        <v>0.11267740690383565</v>
      </c>
      <c r="AH6174" s="2" t="str">
        <f ca="1"/>
        <v>OK</v>
      </c>
    </row>
    <row r="6175" spans="2:34" x14ac:dyDescent="0.2">
      <c r="B6175" s="2">
        <f ca="1"/>
        <v>0.11227988793228039</v>
      </c>
      <c r="O6175" s="2">
        <f ca="1"/>
        <v>0.37191994818332952</v>
      </c>
      <c r="X6175" s="2">
        <f ca="1"/>
        <v>54.243036704335346</v>
      </c>
      <c r="AG6175" s="2">
        <f ca="1"/>
        <v>0.15150347266992581</v>
      </c>
      <c r="AH6175" s="2" t="str">
        <f ca="1"/>
        <v>OK</v>
      </c>
    </row>
    <row r="6176" spans="2:34" x14ac:dyDescent="0.2">
      <c r="B6176" s="2">
        <f ca="1"/>
        <v>0.39553962148538524</v>
      </c>
      <c r="O6176" s="2">
        <f ca="1"/>
        <v>1.37719932692886</v>
      </c>
      <c r="X6176" s="2">
        <f ca="1"/>
        <v>67.074807018929022</v>
      </c>
      <c r="AG6176" s="2">
        <f ca="1"/>
        <v>0.27912958013570655</v>
      </c>
      <c r="AH6176" s="2" t="str">
        <f ca="1"/>
        <v>OK</v>
      </c>
    </row>
    <row r="6177" spans="2:34" x14ac:dyDescent="0.2">
      <c r="B6177" s="2">
        <f ca="1"/>
        <v>0.82317548673067198</v>
      </c>
      <c r="O6177" s="2">
        <f ca="1"/>
        <v>0.33121203006450367</v>
      </c>
      <c r="X6177" s="2">
        <f ca="1"/>
        <v>46.441394474943074</v>
      </c>
      <c r="AG6177" s="2">
        <f ca="1"/>
        <v>2.9175652664813256E-2</v>
      </c>
      <c r="AH6177" s="2" t="str">
        <f ca="1"/>
        <v>Good</v>
      </c>
    </row>
    <row r="6178" spans="2:34" x14ac:dyDescent="0.2">
      <c r="B6178" s="2">
        <f ca="1"/>
        <v>0.33354961609127765</v>
      </c>
      <c r="O6178" s="2">
        <f ca="1"/>
        <v>-1.8230356346610728</v>
      </c>
      <c r="X6178" s="2">
        <f ca="1"/>
        <v>64.226364762064662</v>
      </c>
      <c r="AG6178" s="2">
        <f ca="1"/>
        <v>7.2464486702869424E-2</v>
      </c>
      <c r="AH6178" s="2" t="str">
        <f ca="1"/>
        <v>OK</v>
      </c>
    </row>
    <row r="6179" spans="2:34" x14ac:dyDescent="0.2">
      <c r="B6179" s="2">
        <f ca="1"/>
        <v>0.90437822922867572</v>
      </c>
      <c r="O6179" s="2">
        <f ca="1"/>
        <v>0.80846060754599147</v>
      </c>
      <c r="X6179" s="2">
        <f ca="1"/>
        <v>56.880417332275542</v>
      </c>
      <c r="AG6179" s="2">
        <f ca="1"/>
        <v>0.68789304496109915</v>
      </c>
      <c r="AH6179" s="2" t="str">
        <f ca="1"/>
        <v>Bad</v>
      </c>
    </row>
    <row r="6180" spans="2:34" x14ac:dyDescent="0.2">
      <c r="B6180" s="2">
        <f ca="1"/>
        <v>0.21259380523719473</v>
      </c>
      <c r="O6180" s="2">
        <f ca="1"/>
        <v>0.79634570490472822</v>
      </c>
      <c r="X6180" s="2">
        <f ca="1"/>
        <v>44.265223661704276</v>
      </c>
      <c r="AG6180" s="2">
        <f ca="1"/>
        <v>0.12366837934202102</v>
      </c>
      <c r="AH6180" s="2" t="str">
        <f ca="1"/>
        <v>OK</v>
      </c>
    </row>
    <row r="6181" spans="2:34" x14ac:dyDescent="0.2">
      <c r="B6181" s="2">
        <f ca="1"/>
        <v>9.4316530623170802E-2</v>
      </c>
      <c r="O6181" s="2">
        <f ca="1"/>
        <v>-0.80981630633486879</v>
      </c>
      <c r="X6181" s="2">
        <f ca="1"/>
        <v>47.061621016157048</v>
      </c>
      <c r="AG6181" s="2">
        <f ca="1"/>
        <v>0.12631204742232605</v>
      </c>
      <c r="AH6181" s="2" t="str">
        <f ca="1"/>
        <v>OK</v>
      </c>
    </row>
    <row r="6182" spans="2:34" x14ac:dyDescent="0.2">
      <c r="B6182" s="2">
        <f ca="1"/>
        <v>1.339841067739167E-2</v>
      </c>
      <c r="O6182" s="2">
        <f ca="1"/>
        <v>0.11718384352846635</v>
      </c>
      <c r="X6182" s="2">
        <f ca="1"/>
        <v>53.352502943777125</v>
      </c>
      <c r="AG6182" s="2">
        <f ca="1"/>
        <v>4.2631334925642861E-2</v>
      </c>
      <c r="AH6182" s="2" t="str">
        <f ca="1"/>
        <v>Good</v>
      </c>
    </row>
    <row r="6183" spans="2:34" x14ac:dyDescent="0.2">
      <c r="B6183" s="2">
        <f ca="1"/>
        <v>0.10462067461897884</v>
      </c>
      <c r="O6183" s="2">
        <f ca="1"/>
        <v>-0.19517441719156856</v>
      </c>
      <c r="X6183" s="2">
        <f ca="1"/>
        <v>31.451448693489084</v>
      </c>
      <c r="AG6183" s="2">
        <f ca="1"/>
        <v>9.3940298754764173E-2</v>
      </c>
      <c r="AH6183" s="2" t="str">
        <f ca="1"/>
        <v>OK</v>
      </c>
    </row>
    <row r="6184" spans="2:34" x14ac:dyDescent="0.2">
      <c r="B6184" s="2">
        <f ca="1"/>
        <v>0.15950649090868407</v>
      </c>
      <c r="O6184" s="2">
        <f ca="1"/>
        <v>-0.11802408294802964</v>
      </c>
      <c r="X6184" s="2">
        <f ca="1"/>
        <v>37.523481663551109</v>
      </c>
      <c r="AG6184" s="2">
        <f ca="1"/>
        <v>0.58175032526065307</v>
      </c>
      <c r="AH6184" s="2" t="str">
        <f ca="1"/>
        <v>Bad</v>
      </c>
    </row>
    <row r="6185" spans="2:34" x14ac:dyDescent="0.2">
      <c r="B6185" s="2">
        <f ca="1"/>
        <v>0.83048399300114162</v>
      </c>
      <c r="O6185" s="2">
        <f ca="1"/>
        <v>-0.29122100916319521</v>
      </c>
      <c r="X6185" s="2">
        <f ca="1"/>
        <v>37.081153240209396</v>
      </c>
      <c r="AG6185" s="2">
        <f ca="1"/>
        <v>1.2181470067241573E-2</v>
      </c>
      <c r="AH6185" s="2" t="str">
        <f ca="1"/>
        <v>Good</v>
      </c>
    </row>
    <row r="6186" spans="2:34" x14ac:dyDescent="0.2">
      <c r="B6186" s="2">
        <f ca="1"/>
        <v>0.35627093347678884</v>
      </c>
      <c r="O6186" s="2">
        <f ca="1"/>
        <v>-1.3805572922616451</v>
      </c>
      <c r="X6186" s="2">
        <f ca="1"/>
        <v>42.271423039580313</v>
      </c>
      <c r="AG6186" s="2">
        <f ca="1"/>
        <v>0.43392464652277729</v>
      </c>
      <c r="AH6186" s="2" t="str">
        <f ca="1"/>
        <v>Bad</v>
      </c>
    </row>
    <row r="6187" spans="2:34" x14ac:dyDescent="0.2">
      <c r="B6187" s="2">
        <f ca="1"/>
        <v>0.61864876609444619</v>
      </c>
      <c r="O6187" s="2">
        <f ca="1"/>
        <v>0.75248897891622624</v>
      </c>
      <c r="X6187" s="2">
        <f ca="1"/>
        <v>40.602314124694338</v>
      </c>
      <c r="AG6187" s="2">
        <f ca="1"/>
        <v>0.13635798053056991</v>
      </c>
      <c r="AH6187" s="2" t="str">
        <f ca="1"/>
        <v>OK</v>
      </c>
    </row>
    <row r="6188" spans="2:34" x14ac:dyDescent="0.2">
      <c r="B6188" s="2">
        <f ca="1"/>
        <v>0.16841208038608801</v>
      </c>
      <c r="O6188" s="2">
        <f ca="1"/>
        <v>-0.30574180997267536</v>
      </c>
      <c r="X6188" s="2">
        <f ca="1"/>
        <v>39.275709186919244</v>
      </c>
      <c r="AG6188" s="2">
        <f ca="1"/>
        <v>0.56875106558548927</v>
      </c>
      <c r="AH6188" s="2" t="str">
        <f ca="1"/>
        <v>Bad</v>
      </c>
    </row>
    <row r="6189" spans="2:34" x14ac:dyDescent="0.2">
      <c r="B6189" s="2">
        <f ca="1"/>
        <v>0.97125238667777314</v>
      </c>
      <c r="O6189" s="2">
        <f ca="1"/>
        <v>1.1427912968108613</v>
      </c>
      <c r="X6189" s="2">
        <f ca="1"/>
        <v>57.312964062147998</v>
      </c>
      <c r="AG6189" s="2">
        <f ca="1"/>
        <v>7.9328288620660992E-2</v>
      </c>
      <c r="AH6189" s="2" t="str">
        <f ca="1"/>
        <v>OK</v>
      </c>
    </row>
    <row r="6190" spans="2:34" x14ac:dyDescent="0.2">
      <c r="B6190" s="2">
        <f ca="1"/>
        <v>0.64166360141008982</v>
      </c>
      <c r="O6190" s="2">
        <f ca="1"/>
        <v>-0.11538766093497127</v>
      </c>
      <c r="X6190" s="2">
        <f ca="1"/>
        <v>39.676710507480372</v>
      </c>
      <c r="AG6190" s="2">
        <f ca="1"/>
        <v>0.42398247116858756</v>
      </c>
      <c r="AH6190" s="2" t="str">
        <f ca="1"/>
        <v>Bad</v>
      </c>
    </row>
    <row r="6191" spans="2:34" x14ac:dyDescent="0.2">
      <c r="B6191" s="2">
        <f ca="1"/>
        <v>0.70379347364413136</v>
      </c>
      <c r="O6191" s="2">
        <f ca="1"/>
        <v>-0.2146525126196816</v>
      </c>
      <c r="X6191" s="2">
        <f ca="1"/>
        <v>44.203461811992483</v>
      </c>
      <c r="AG6191" s="2">
        <f ca="1"/>
        <v>4.7503730361284635E-3</v>
      </c>
      <c r="AH6191" s="2" t="str">
        <f ca="1"/>
        <v>Good</v>
      </c>
    </row>
    <row r="6192" spans="2:34" x14ac:dyDescent="0.2">
      <c r="B6192" s="2">
        <f ca="1"/>
        <v>0.66312987452933214</v>
      </c>
      <c r="O6192" s="2">
        <f ca="1"/>
        <v>0.35791374709991391</v>
      </c>
      <c r="X6192" s="2">
        <f ca="1"/>
        <v>43.005584823061326</v>
      </c>
      <c r="AG6192" s="2">
        <f ca="1"/>
        <v>0.53050852197540088</v>
      </c>
      <c r="AH6192" s="2" t="str">
        <f ca="1"/>
        <v>Bad</v>
      </c>
    </row>
    <row r="6193" spans="2:34" x14ac:dyDescent="0.2">
      <c r="B6193" s="2">
        <f ca="1"/>
        <v>0.78261905228152973</v>
      </c>
      <c r="O6193" s="2">
        <f ca="1"/>
        <v>1.0886205522750019</v>
      </c>
      <c r="X6193" s="2">
        <f ca="1"/>
        <v>61.17285107757867</v>
      </c>
      <c r="AG6193" s="2">
        <f ca="1"/>
        <v>0.46222408103815527</v>
      </c>
      <c r="AH6193" s="2" t="str">
        <f ca="1"/>
        <v>Bad</v>
      </c>
    </row>
    <row r="6194" spans="2:34" x14ac:dyDescent="0.2">
      <c r="B6194" s="2">
        <f ca="1"/>
        <v>1.6140728837423568E-2</v>
      </c>
      <c r="O6194" s="2">
        <f ca="1"/>
        <v>0.28802548902820169</v>
      </c>
      <c r="X6194" s="2">
        <f ca="1"/>
        <v>58.425334807411524</v>
      </c>
      <c r="AG6194" s="2">
        <f ca="1"/>
        <v>0.86213858604689197</v>
      </c>
      <c r="AH6194" s="2" t="str">
        <f ca="1"/>
        <v>Bad</v>
      </c>
    </row>
    <row r="6195" spans="2:34" x14ac:dyDescent="0.2">
      <c r="B6195" s="2">
        <f ca="1"/>
        <v>0.27032006913178619</v>
      </c>
      <c r="O6195" s="2">
        <f ca="1"/>
        <v>0.97223762239493483</v>
      </c>
      <c r="X6195" s="2">
        <f ca="1"/>
        <v>41.678954915202254</v>
      </c>
      <c r="AG6195" s="2">
        <f ca="1"/>
        <v>0.98707674152124625</v>
      </c>
      <c r="AH6195" s="2" t="str">
        <f ca="1"/>
        <v>Bad</v>
      </c>
    </row>
    <row r="6196" spans="2:34" x14ac:dyDescent="0.2">
      <c r="B6196" s="2">
        <f ca="1"/>
        <v>8.0306197874160379E-2</v>
      </c>
      <c r="O6196" s="2">
        <f ca="1"/>
        <v>-1.5578162834978475</v>
      </c>
      <c r="X6196" s="2">
        <f ca="1"/>
        <v>34.083036112181844</v>
      </c>
      <c r="AG6196" s="2">
        <f ca="1"/>
        <v>0.43932943184318507</v>
      </c>
      <c r="AH6196" s="2" t="str">
        <f ca="1"/>
        <v>Bad</v>
      </c>
    </row>
    <row r="6197" spans="2:34" x14ac:dyDescent="0.2">
      <c r="B6197" s="2">
        <f ca="1"/>
        <v>0.8277987644952387</v>
      </c>
      <c r="O6197" s="2">
        <f ca="1"/>
        <v>-0.40344451503710027</v>
      </c>
      <c r="X6197" s="2">
        <f ca="1"/>
        <v>73.62857819342463</v>
      </c>
      <c r="AG6197" s="2">
        <f ca="1"/>
        <v>0.26072688917076636</v>
      </c>
      <c r="AH6197" s="2" t="str">
        <f ca="1"/>
        <v>OK</v>
      </c>
    </row>
    <row r="6198" spans="2:34" x14ac:dyDescent="0.2">
      <c r="B6198" s="2">
        <f ca="1"/>
        <v>0.42504678225286674</v>
      </c>
      <c r="O6198" s="2">
        <f ca="1"/>
        <v>-1.1789923078830662</v>
      </c>
      <c r="X6198" s="2">
        <f ca="1"/>
        <v>31.175511545041172</v>
      </c>
      <c r="AG6198" s="2">
        <f ca="1"/>
        <v>0.6403362331312672</v>
      </c>
      <c r="AH6198" s="2" t="str">
        <f ca="1"/>
        <v>Bad</v>
      </c>
    </row>
    <row r="6199" spans="2:34" x14ac:dyDescent="0.2">
      <c r="B6199" s="2">
        <f ca="1"/>
        <v>0.9791173051453923</v>
      </c>
      <c r="O6199" s="2">
        <f ca="1"/>
        <v>0.77211738415647013</v>
      </c>
      <c r="X6199" s="2">
        <f ca="1"/>
        <v>57.72505056837592</v>
      </c>
      <c r="AG6199" s="2">
        <f ca="1"/>
        <v>0.56788011479373779</v>
      </c>
      <c r="AH6199" s="2" t="str">
        <f ca="1"/>
        <v>Bad</v>
      </c>
    </row>
    <row r="6200" spans="2:34" x14ac:dyDescent="0.2">
      <c r="B6200" s="2">
        <f ca="1"/>
        <v>0.68170979494062034</v>
      </c>
      <c r="O6200" s="2">
        <f ca="1"/>
        <v>-0.20791063635122956</v>
      </c>
      <c r="X6200" s="2">
        <f ca="1"/>
        <v>50.151988552932998</v>
      </c>
      <c r="AG6200" s="2">
        <f ca="1"/>
        <v>0.18433626757951482</v>
      </c>
      <c r="AH6200" s="2" t="str">
        <f ca="1"/>
        <v>OK</v>
      </c>
    </row>
    <row r="6201" spans="2:34" x14ac:dyDescent="0.2">
      <c r="B6201" s="2">
        <f ca="1"/>
        <v>0.57343126164507696</v>
      </c>
      <c r="O6201" s="2">
        <f ca="1"/>
        <v>-0.83431937179168014</v>
      </c>
      <c r="X6201" s="2">
        <f ca="1"/>
        <v>56.085730169537968</v>
      </c>
      <c r="AG6201" s="2">
        <f ca="1"/>
        <v>8.8203850499773084E-2</v>
      </c>
      <c r="AH6201" s="2" t="str">
        <f ca="1"/>
        <v>OK</v>
      </c>
    </row>
    <row r="6202" spans="2:34" x14ac:dyDescent="0.2">
      <c r="B6202" s="2">
        <f ca="1"/>
        <v>0.40785187615679219</v>
      </c>
      <c r="O6202" s="2">
        <f ca="1"/>
        <v>0.15857848583870338</v>
      </c>
      <c r="X6202" s="2">
        <f ca="1"/>
        <v>44.065532406342982</v>
      </c>
      <c r="AG6202" s="2">
        <f ca="1"/>
        <v>0.92482200367218526</v>
      </c>
      <c r="AH6202" s="2" t="str">
        <f ca="1"/>
        <v>Bad</v>
      </c>
    </row>
    <row r="6203" spans="2:34" x14ac:dyDescent="0.2">
      <c r="B6203" s="2">
        <f ca="1"/>
        <v>0.66062933024926918</v>
      </c>
      <c r="O6203" s="2">
        <f ca="1"/>
        <v>1.9164528024303178</v>
      </c>
      <c r="X6203" s="2">
        <f ca="1"/>
        <v>59.288378577355545</v>
      </c>
      <c r="AG6203" s="2">
        <f ca="1"/>
        <v>0.45009822132709831</v>
      </c>
      <c r="AH6203" s="2" t="str">
        <f ca="1"/>
        <v>Bad</v>
      </c>
    </row>
    <row r="6204" spans="2:34" x14ac:dyDescent="0.2">
      <c r="B6204" s="2">
        <f ca="1"/>
        <v>0.29053348743426755</v>
      </c>
      <c r="O6204" s="2">
        <f ca="1"/>
        <v>0.68278688948387023</v>
      </c>
      <c r="X6204" s="2">
        <f ca="1"/>
        <v>88.736092637140658</v>
      </c>
      <c r="AG6204" s="2">
        <f ca="1"/>
        <v>0.27191802333796034</v>
      </c>
      <c r="AH6204" s="2" t="str">
        <f ca="1"/>
        <v>OK</v>
      </c>
    </row>
    <row r="6205" spans="2:34" x14ac:dyDescent="0.2">
      <c r="B6205" s="2">
        <f ca="1"/>
        <v>0.52629956956053925</v>
      </c>
      <c r="O6205" s="2">
        <f ca="1"/>
        <v>0.80282415692356957</v>
      </c>
      <c r="X6205" s="2">
        <f ca="1"/>
        <v>35.972567644350335</v>
      </c>
      <c r="AG6205" s="2">
        <f ca="1"/>
        <v>0.91145114270510175</v>
      </c>
      <c r="AH6205" s="2" t="str">
        <f ca="1"/>
        <v>Bad</v>
      </c>
    </row>
    <row r="6206" spans="2:34" x14ac:dyDescent="0.2">
      <c r="B6206" s="2">
        <f ca="1"/>
        <v>0.72321519574312232</v>
      </c>
      <c r="O6206" s="2">
        <f ca="1"/>
        <v>-0.94121375394147044</v>
      </c>
      <c r="X6206" s="2">
        <f ca="1"/>
        <v>53.96664529561037</v>
      </c>
      <c r="AG6206" s="2">
        <f ca="1"/>
        <v>0.21632732295318413</v>
      </c>
      <c r="AH6206" s="2" t="str">
        <f ca="1"/>
        <v>OK</v>
      </c>
    </row>
    <row r="6207" spans="2:34" x14ac:dyDescent="0.2">
      <c r="B6207" s="2">
        <f ca="1"/>
        <v>0.32497341455048323</v>
      </c>
      <c r="O6207" s="2">
        <f ca="1"/>
        <v>-1.6618515138866544E-2</v>
      </c>
      <c r="X6207" s="2">
        <f ca="1"/>
        <v>41.36816370134575</v>
      </c>
      <c r="AG6207" s="2">
        <f ca="1"/>
        <v>0.5172643578590348</v>
      </c>
      <c r="AH6207" s="2" t="str">
        <f ca="1"/>
        <v>Bad</v>
      </c>
    </row>
    <row r="6208" spans="2:34" x14ac:dyDescent="0.2">
      <c r="B6208" s="2">
        <f ca="1"/>
        <v>0.27909066207257061</v>
      </c>
      <c r="O6208" s="2">
        <f ca="1"/>
        <v>-0.14718396182264412</v>
      </c>
      <c r="X6208" s="2">
        <f ca="1"/>
        <v>59.165632642720354</v>
      </c>
      <c r="AG6208" s="2">
        <f ca="1"/>
        <v>0.96623069457474475</v>
      </c>
      <c r="AH6208" s="2" t="str">
        <f ca="1"/>
        <v>Bad</v>
      </c>
    </row>
    <row r="6209" spans="2:34" x14ac:dyDescent="0.2">
      <c r="B6209" s="2">
        <f ca="1"/>
        <v>0.99489009178298526</v>
      </c>
      <c r="O6209" s="2">
        <f ca="1"/>
        <v>-0.1869943425328574</v>
      </c>
      <c r="X6209" s="2">
        <f ca="1"/>
        <v>35.835542963895769</v>
      </c>
      <c r="AG6209" s="2">
        <f ca="1"/>
        <v>0.93922729049441456</v>
      </c>
      <c r="AH6209" s="2" t="str">
        <f ca="1"/>
        <v>Bad</v>
      </c>
    </row>
    <row r="6210" spans="2:34" x14ac:dyDescent="0.2">
      <c r="B6210" s="2">
        <f ca="1"/>
        <v>0.16882337727862762</v>
      </c>
      <c r="O6210" s="2">
        <f ca="1"/>
        <v>1.1729610505231223</v>
      </c>
      <c r="X6210" s="2">
        <f ca="1"/>
        <v>75.828485753198891</v>
      </c>
      <c r="AG6210" s="2">
        <f ca="1"/>
        <v>0.39339796377851766</v>
      </c>
      <c r="AH6210" s="2" t="str">
        <f ca="1"/>
        <v>OK</v>
      </c>
    </row>
    <row r="6211" spans="2:34" x14ac:dyDescent="0.2">
      <c r="B6211" s="2">
        <f ca="1"/>
        <v>0.34937741750754081</v>
      </c>
      <c r="O6211" s="2">
        <f ca="1"/>
        <v>0.39214517850059388</v>
      </c>
      <c r="X6211" s="2">
        <f ca="1"/>
        <v>69.919946812745039</v>
      </c>
      <c r="AG6211" s="2">
        <f ca="1"/>
        <v>0.84560956824062061</v>
      </c>
      <c r="AH6211" s="2" t="str">
        <f ca="1"/>
        <v>Bad</v>
      </c>
    </row>
    <row r="6212" spans="2:34" x14ac:dyDescent="0.2">
      <c r="B6212" s="2">
        <f ca="1"/>
        <v>0.69935792126444274</v>
      </c>
      <c r="O6212" s="2">
        <f ca="1"/>
        <v>0.33955218517565</v>
      </c>
      <c r="X6212" s="2">
        <f ca="1"/>
        <v>34.518259855042359</v>
      </c>
      <c r="AG6212" s="2">
        <f ca="1"/>
        <v>0.20594579307044847</v>
      </c>
      <c r="AH6212" s="2" t="str">
        <f ca="1"/>
        <v>OK</v>
      </c>
    </row>
    <row r="6213" spans="2:34" x14ac:dyDescent="0.2">
      <c r="B6213" s="2">
        <f ca="1"/>
        <v>0.23934808108227479</v>
      </c>
      <c r="O6213" s="2">
        <f ca="1"/>
        <v>1.4114766182837792</v>
      </c>
      <c r="X6213" s="2">
        <f ca="1"/>
        <v>37.650877439924223</v>
      </c>
      <c r="AG6213" s="2">
        <f ca="1"/>
        <v>0.11955062894722035</v>
      </c>
      <c r="AH6213" s="2" t="str">
        <f ca="1"/>
        <v>OK</v>
      </c>
    </row>
    <row r="6214" spans="2:34" x14ac:dyDescent="0.2">
      <c r="B6214" s="2">
        <f ca="1"/>
        <v>0.74131110153363022</v>
      </c>
      <c r="O6214" s="2">
        <f ca="1"/>
        <v>0.13780866057809277</v>
      </c>
      <c r="X6214" s="2">
        <f ca="1"/>
        <v>32.222651673048979</v>
      </c>
      <c r="AG6214" s="2">
        <f ca="1"/>
        <v>0.91310983419810254</v>
      </c>
      <c r="AH6214" s="2" t="str">
        <f ca="1"/>
        <v>Bad</v>
      </c>
    </row>
    <row r="6215" spans="2:34" x14ac:dyDescent="0.2">
      <c r="B6215" s="2">
        <f ca="1"/>
        <v>0.97731128493207575</v>
      </c>
      <c r="O6215" s="2">
        <f ca="1"/>
        <v>-1.5309671188243952</v>
      </c>
      <c r="X6215" s="2">
        <f ca="1"/>
        <v>63.701362493396879</v>
      </c>
      <c r="AG6215" s="2">
        <f ca="1"/>
        <v>0.49947330143875068</v>
      </c>
      <c r="AH6215" s="2" t="str">
        <f ca="1"/>
        <v>Bad</v>
      </c>
    </row>
    <row r="6216" spans="2:34" x14ac:dyDescent="0.2">
      <c r="B6216" s="2">
        <f ca="1"/>
        <v>0.68823655513623505</v>
      </c>
      <c r="O6216" s="2">
        <f ca="1"/>
        <v>-1.2047834009481946</v>
      </c>
      <c r="X6216" s="2">
        <f ca="1"/>
        <v>49.632133779984116</v>
      </c>
      <c r="AG6216" s="2">
        <f ca="1"/>
        <v>0.55318713695993216</v>
      </c>
      <c r="AH6216" s="2" t="str">
        <f ca="1"/>
        <v>Bad</v>
      </c>
    </row>
    <row r="6217" spans="2:34" x14ac:dyDescent="0.2">
      <c r="B6217" s="2">
        <f ca="1"/>
        <v>3.9363762462968577E-2</v>
      </c>
      <c r="O6217" s="2">
        <f ca="1"/>
        <v>-0.7528620685876426</v>
      </c>
      <c r="X6217" s="2">
        <f ca="1"/>
        <v>25.492002730598728</v>
      </c>
      <c r="AG6217" s="2">
        <f ca="1"/>
        <v>0.32761811384856765</v>
      </c>
      <c r="AH6217" s="2" t="str">
        <f ca="1"/>
        <v>OK</v>
      </c>
    </row>
    <row r="6218" spans="2:34" x14ac:dyDescent="0.2">
      <c r="B6218" s="2">
        <f ca="1"/>
        <v>0.17167961496343698</v>
      </c>
      <c r="O6218" s="2">
        <f ca="1"/>
        <v>5.2337180914345235E-2</v>
      </c>
      <c r="X6218" s="2">
        <f ca="1"/>
        <v>39.436750406116509</v>
      </c>
      <c r="AG6218" s="2">
        <f ca="1"/>
        <v>0.57715293165531412</v>
      </c>
      <c r="AH6218" s="2" t="str">
        <f ca="1"/>
        <v>Bad</v>
      </c>
    </row>
    <row r="6219" spans="2:34" x14ac:dyDescent="0.2">
      <c r="B6219" s="2">
        <f ca="1"/>
        <v>0.1377057334435261</v>
      </c>
      <c r="O6219" s="2">
        <f ca="1"/>
        <v>-0.64417155390860514</v>
      </c>
      <c r="X6219" s="2">
        <f ca="1"/>
        <v>57.438700088985392</v>
      </c>
      <c r="AG6219" s="2">
        <f ca="1"/>
        <v>0.72170211972115172</v>
      </c>
      <c r="AH6219" s="2" t="str">
        <f ca="1"/>
        <v>Bad</v>
      </c>
    </row>
    <row r="6220" spans="2:34" x14ac:dyDescent="0.2">
      <c r="B6220" s="2">
        <f ca="1"/>
        <v>0.36044628682032664</v>
      </c>
      <c r="O6220" s="2">
        <f ca="1"/>
        <v>-1.5116446661235186</v>
      </c>
      <c r="X6220" s="2">
        <f ca="1"/>
        <v>86.433725566560966</v>
      </c>
      <c r="AG6220" s="2">
        <f ca="1"/>
        <v>0.78280481393760359</v>
      </c>
      <c r="AH6220" s="2" t="str">
        <f ca="1"/>
        <v>Bad</v>
      </c>
    </row>
    <row r="6221" spans="2:34" x14ac:dyDescent="0.2">
      <c r="B6221" s="2">
        <f ca="1"/>
        <v>0.54898284236877104</v>
      </c>
      <c r="O6221" s="2">
        <f ca="1"/>
        <v>0.64454916065045309</v>
      </c>
      <c r="X6221" s="2">
        <f ca="1"/>
        <v>52.46961340474995</v>
      </c>
      <c r="AG6221" s="2">
        <f ca="1"/>
        <v>0.57483383954530209</v>
      </c>
      <c r="AH6221" s="2" t="str">
        <f ca="1"/>
        <v>Bad</v>
      </c>
    </row>
    <row r="6222" spans="2:34" x14ac:dyDescent="0.2">
      <c r="B6222" s="2">
        <f ca="1"/>
        <v>0.74000905105752257</v>
      </c>
      <c r="O6222" s="2">
        <f ca="1"/>
        <v>-0.23629680022846394</v>
      </c>
      <c r="X6222" s="2">
        <f ca="1"/>
        <v>53.089401598991081</v>
      </c>
      <c r="AG6222" s="2">
        <f ca="1"/>
        <v>0.67254018315639286</v>
      </c>
      <c r="AH6222" s="2" t="str">
        <f ca="1"/>
        <v>Bad</v>
      </c>
    </row>
    <row r="6223" spans="2:34" x14ac:dyDescent="0.2">
      <c r="B6223" s="2">
        <f ca="1"/>
        <v>0.16330909984536701</v>
      </c>
      <c r="O6223" s="2">
        <f ca="1"/>
        <v>0.31786893726073773</v>
      </c>
      <c r="X6223" s="2">
        <f ca="1"/>
        <v>52.518664299334787</v>
      </c>
      <c r="AG6223" s="2">
        <f ca="1"/>
        <v>0.48212236543428966</v>
      </c>
      <c r="AH6223" s="2" t="str">
        <f ca="1"/>
        <v>Bad</v>
      </c>
    </row>
    <row r="6224" spans="2:34" x14ac:dyDescent="0.2">
      <c r="B6224" s="2">
        <f ca="1"/>
        <v>0.14191935258802602</v>
      </c>
      <c r="O6224" s="2">
        <f ca="1"/>
        <v>-0.3349148807488273</v>
      </c>
      <c r="X6224" s="2">
        <f ca="1"/>
        <v>30.301425214873206</v>
      </c>
      <c r="AG6224" s="2">
        <f ca="1"/>
        <v>0.82117324932118629</v>
      </c>
      <c r="AH6224" s="2" t="str">
        <f ca="1"/>
        <v>Bad</v>
      </c>
    </row>
    <row r="6225" spans="2:34" x14ac:dyDescent="0.2">
      <c r="B6225" s="2">
        <f ca="1"/>
        <v>0.58729343441125392</v>
      </c>
      <c r="O6225" s="2">
        <f ca="1"/>
        <v>-1.0247226974202934</v>
      </c>
      <c r="X6225" s="2">
        <f ca="1"/>
        <v>69.189606897420731</v>
      </c>
      <c r="AG6225" s="2">
        <f ca="1"/>
        <v>0.35744618198673717</v>
      </c>
      <c r="AH6225" s="2" t="str">
        <f ca="1"/>
        <v>OK</v>
      </c>
    </row>
    <row r="6226" spans="2:34" x14ac:dyDescent="0.2">
      <c r="B6226" s="2">
        <f ca="1"/>
        <v>0.45999668259884929</v>
      </c>
      <c r="O6226" s="2">
        <f ca="1"/>
        <v>-2.1530498778128129</v>
      </c>
      <c r="X6226" s="2">
        <f ca="1"/>
        <v>25.004117150881747</v>
      </c>
      <c r="AG6226" s="2">
        <f ca="1"/>
        <v>0.84406647244438093</v>
      </c>
      <c r="AH6226" s="2" t="str">
        <f ca="1"/>
        <v>Bad</v>
      </c>
    </row>
    <row r="6227" spans="2:34" x14ac:dyDescent="0.2">
      <c r="B6227" s="2">
        <f ca="1"/>
        <v>0.94570234391580899</v>
      </c>
      <c r="O6227" s="2">
        <f ca="1"/>
        <v>-0.82196419503065532</v>
      </c>
      <c r="X6227" s="2">
        <f ca="1"/>
        <v>48.635469302379811</v>
      </c>
      <c r="AG6227" s="2">
        <f ca="1"/>
        <v>0.43787024482250203</v>
      </c>
      <c r="AH6227" s="2" t="str">
        <f ca="1"/>
        <v>Bad</v>
      </c>
    </row>
    <row r="6228" spans="2:34" x14ac:dyDescent="0.2">
      <c r="B6228" s="2">
        <f ca="1"/>
        <v>0.79568458198977732</v>
      </c>
      <c r="O6228" s="2">
        <f ca="1"/>
        <v>0.73094692525745841</v>
      </c>
      <c r="X6228" s="2">
        <f ca="1"/>
        <v>64.62622043807697</v>
      </c>
      <c r="AG6228" s="2">
        <f ca="1"/>
        <v>0.90393181477410445</v>
      </c>
      <c r="AH6228" s="2" t="str">
        <f ca="1"/>
        <v>Bad</v>
      </c>
    </row>
    <row r="6229" spans="2:34" x14ac:dyDescent="0.2">
      <c r="B6229" s="2">
        <f ca="1"/>
        <v>0.63589946978375078</v>
      </c>
      <c r="O6229" s="2">
        <f ca="1"/>
        <v>0.91612188194823108</v>
      </c>
      <c r="X6229" s="2">
        <f ca="1"/>
        <v>56.922499226804135</v>
      </c>
      <c r="AG6229" s="2">
        <f ca="1"/>
        <v>0.98648712890009027</v>
      </c>
      <c r="AH6229" s="2" t="str">
        <f ca="1"/>
        <v>Bad</v>
      </c>
    </row>
    <row r="6230" spans="2:34" x14ac:dyDescent="0.2">
      <c r="B6230" s="2">
        <f ca="1"/>
        <v>5.4645795786101514E-2</v>
      </c>
      <c r="O6230" s="2">
        <f ca="1"/>
        <v>0.30103881351776746</v>
      </c>
      <c r="X6230" s="2">
        <f ca="1"/>
        <v>64.894468658589403</v>
      </c>
      <c r="AG6230" s="2">
        <f ca="1"/>
        <v>0.81262668346468714</v>
      </c>
      <c r="AH6230" s="2" t="str">
        <f ca="1"/>
        <v>Bad</v>
      </c>
    </row>
    <row r="6231" spans="2:34" x14ac:dyDescent="0.2">
      <c r="B6231" s="2">
        <f ca="1"/>
        <v>0.24172471143010044</v>
      </c>
      <c r="O6231" s="2">
        <f ca="1"/>
        <v>0.20805016109628235</v>
      </c>
      <c r="X6231" s="2">
        <f ca="1"/>
        <v>45.255084638657422</v>
      </c>
      <c r="AG6231" s="2">
        <f ca="1"/>
        <v>0.59454121384014136</v>
      </c>
      <c r="AH6231" s="2" t="str">
        <f ca="1"/>
        <v>Bad</v>
      </c>
    </row>
    <row r="6232" spans="2:34" x14ac:dyDescent="0.2">
      <c r="B6232" s="2">
        <f ca="1"/>
        <v>0.5740651069252507</v>
      </c>
      <c r="O6232" s="2">
        <f ca="1"/>
        <v>0.24683655801618468</v>
      </c>
      <c r="X6232" s="2">
        <f ca="1"/>
        <v>22.571866153620292</v>
      </c>
      <c r="AG6232" s="2">
        <f ca="1"/>
        <v>0.90801231318787501</v>
      </c>
      <c r="AH6232" s="2" t="str">
        <f ca="1"/>
        <v>Bad</v>
      </c>
    </row>
    <row r="6233" spans="2:34" x14ac:dyDescent="0.2">
      <c r="B6233" s="2">
        <f ca="1"/>
        <v>0.8146323751089497</v>
      </c>
      <c r="O6233" s="2">
        <f ca="1"/>
        <v>-0.20666695035826108</v>
      </c>
      <c r="X6233" s="2">
        <f ca="1"/>
        <v>47.114018423381822</v>
      </c>
      <c r="AG6233" s="2">
        <f ca="1"/>
        <v>0.31496147672737029</v>
      </c>
      <c r="AH6233" s="2" t="str">
        <f ca="1"/>
        <v>OK</v>
      </c>
    </row>
    <row r="6234" spans="2:34" x14ac:dyDescent="0.2">
      <c r="B6234" s="2">
        <f ca="1"/>
        <v>9.9502352579162734E-2</v>
      </c>
      <c r="O6234" s="2">
        <f ca="1"/>
        <v>1.9583212883250762</v>
      </c>
      <c r="X6234" s="2">
        <f ca="1"/>
        <v>45.154191941723454</v>
      </c>
      <c r="AG6234" s="2">
        <f ca="1"/>
        <v>0.77324973066383751</v>
      </c>
      <c r="AH6234" s="2" t="str">
        <f ca="1"/>
        <v>Bad</v>
      </c>
    </row>
    <row r="6235" spans="2:34" x14ac:dyDescent="0.2">
      <c r="B6235" s="2">
        <f ca="1"/>
        <v>0.28678146519559022</v>
      </c>
      <c r="O6235" s="2">
        <f ca="1"/>
        <v>4.9033968255908264E-2</v>
      </c>
      <c r="X6235" s="2">
        <f ca="1"/>
        <v>56.789265219774094</v>
      </c>
      <c r="AG6235" s="2">
        <f ca="1"/>
        <v>0.48737701769586073</v>
      </c>
      <c r="AH6235" s="2" t="str">
        <f ca="1"/>
        <v>Bad</v>
      </c>
    </row>
    <row r="6236" spans="2:34" x14ac:dyDescent="0.2">
      <c r="B6236" s="2">
        <f ca="1"/>
        <v>0.47591243154683327</v>
      </c>
      <c r="O6236" s="2">
        <f ca="1"/>
        <v>0.24442769499681741</v>
      </c>
      <c r="X6236" s="2">
        <f ca="1"/>
        <v>67.729824378957574</v>
      </c>
      <c r="AG6236" s="2">
        <f ca="1"/>
        <v>0.15693473475974673</v>
      </c>
      <c r="AH6236" s="2" t="str">
        <f ca="1"/>
        <v>OK</v>
      </c>
    </row>
    <row r="6237" spans="2:34" x14ac:dyDescent="0.2">
      <c r="B6237" s="2">
        <f ca="1"/>
        <v>0.53932807915415015</v>
      </c>
      <c r="O6237" s="2">
        <f ca="1"/>
        <v>0.62569461343940369</v>
      </c>
      <c r="X6237" s="2">
        <f ca="1"/>
        <v>47.30791326634418</v>
      </c>
      <c r="AG6237" s="2">
        <f ca="1"/>
        <v>0.21645441925182141</v>
      </c>
      <c r="AH6237" s="2" t="str">
        <f ca="1"/>
        <v>OK</v>
      </c>
    </row>
    <row r="6238" spans="2:34" x14ac:dyDescent="0.2">
      <c r="B6238" s="2">
        <f ca="1"/>
        <v>0.88950898764779129</v>
      </c>
      <c r="O6238" s="2">
        <f ca="1"/>
        <v>0.45911899439662468</v>
      </c>
      <c r="X6238" s="2">
        <f ca="1"/>
        <v>63.438182243246274</v>
      </c>
      <c r="AG6238" s="2">
        <f ca="1"/>
        <v>0.82825970280360406</v>
      </c>
      <c r="AH6238" s="2" t="str">
        <f ca="1"/>
        <v>Bad</v>
      </c>
    </row>
    <row r="6239" spans="2:34" x14ac:dyDescent="0.2">
      <c r="B6239" s="2">
        <f ca="1"/>
        <v>0.31973025209166717</v>
      </c>
      <c r="O6239" s="2">
        <f ca="1"/>
        <v>0.58106049951996108</v>
      </c>
      <c r="X6239" s="2">
        <f ca="1"/>
        <v>45.422472030559618</v>
      </c>
      <c r="AG6239" s="2">
        <f ca="1"/>
        <v>0.55808448638170183</v>
      </c>
      <c r="AH6239" s="2" t="str">
        <f ca="1"/>
        <v>Bad</v>
      </c>
    </row>
    <row r="6240" spans="2:34" x14ac:dyDescent="0.2">
      <c r="B6240" s="2">
        <f ca="1"/>
        <v>0.67775989150108495</v>
      </c>
      <c r="O6240" s="2">
        <f ca="1"/>
        <v>0.86082621336389931</v>
      </c>
      <c r="X6240" s="2">
        <f ca="1"/>
        <v>59.967414156313339</v>
      </c>
      <c r="AG6240" s="2">
        <f ca="1"/>
        <v>0.85516546523284664</v>
      </c>
      <c r="AH6240" s="2" t="str">
        <f ca="1"/>
        <v>Bad</v>
      </c>
    </row>
    <row r="6241" spans="2:34" x14ac:dyDescent="0.2">
      <c r="B6241" s="2">
        <f ca="1"/>
        <v>0.92493884417770511</v>
      </c>
      <c r="O6241" s="2">
        <f ca="1"/>
        <v>0.30083629996805789</v>
      </c>
      <c r="X6241" s="2">
        <f ca="1"/>
        <v>34.51929598025194</v>
      </c>
      <c r="AG6241" s="2">
        <f ca="1"/>
        <v>0.99260854915036911</v>
      </c>
      <c r="AH6241" s="2" t="str">
        <f ca="1"/>
        <v>Bad</v>
      </c>
    </row>
    <row r="6242" spans="2:34" x14ac:dyDescent="0.2">
      <c r="B6242" s="2">
        <f ca="1"/>
        <v>0.17573549135071498</v>
      </c>
      <c r="O6242" s="2">
        <f ca="1"/>
        <v>-0.56775690118928335</v>
      </c>
      <c r="X6242" s="2">
        <f ca="1"/>
        <v>36.721639443061072</v>
      </c>
      <c r="AG6242" s="2">
        <f ca="1"/>
        <v>0.31720871976575005</v>
      </c>
      <c r="AH6242" s="2" t="str">
        <f ca="1"/>
        <v>OK</v>
      </c>
    </row>
    <row r="6243" spans="2:34" x14ac:dyDescent="0.2">
      <c r="B6243" s="2">
        <f ca="1"/>
        <v>0.97700163911980509</v>
      </c>
      <c r="O6243" s="2">
        <f ca="1"/>
        <v>-0.6884500514126668</v>
      </c>
      <c r="X6243" s="2">
        <f ca="1"/>
        <v>56.442677838916488</v>
      </c>
      <c r="AG6243" s="2">
        <f ca="1"/>
        <v>0.59967009903327373</v>
      </c>
      <c r="AH6243" s="2" t="str">
        <f ca="1"/>
        <v>Bad</v>
      </c>
    </row>
    <row r="6244" spans="2:34" x14ac:dyDescent="0.2">
      <c r="B6244" s="2">
        <f ca="1"/>
        <v>0.95461197544899967</v>
      </c>
      <c r="O6244" s="2">
        <f ca="1"/>
        <v>0.37174492101978496</v>
      </c>
      <c r="X6244" s="2">
        <f ca="1"/>
        <v>28.332910724292262</v>
      </c>
      <c r="AG6244" s="2">
        <f ca="1"/>
        <v>0.29513143621605775</v>
      </c>
      <c r="AH6244" s="2" t="str">
        <f ca="1"/>
        <v>OK</v>
      </c>
    </row>
    <row r="6245" spans="2:34" x14ac:dyDescent="0.2">
      <c r="B6245" s="2">
        <f ca="1"/>
        <v>0.19500192986851528</v>
      </c>
      <c r="O6245" s="2">
        <f ca="1"/>
        <v>-0.86045094198086358</v>
      </c>
      <c r="X6245" s="2">
        <f ca="1"/>
        <v>30.907337511907773</v>
      </c>
      <c r="AG6245" s="2">
        <f ca="1"/>
        <v>0.86215008630673462</v>
      </c>
      <c r="AH6245" s="2" t="str">
        <f ca="1"/>
        <v>Bad</v>
      </c>
    </row>
    <row r="6246" spans="2:34" x14ac:dyDescent="0.2">
      <c r="B6246" s="2">
        <f ca="1"/>
        <v>0.68815212757402144</v>
      </c>
      <c r="O6246" s="2">
        <f ca="1"/>
        <v>0.26886642928527993</v>
      </c>
      <c r="X6246" s="2">
        <f ca="1"/>
        <v>65.195635795655264</v>
      </c>
      <c r="AG6246" s="2">
        <f ca="1"/>
        <v>0.40941836130153586</v>
      </c>
      <c r="AH6246" s="2" t="str">
        <f ca="1"/>
        <v>Bad</v>
      </c>
    </row>
    <row r="6247" spans="2:34" x14ac:dyDescent="0.2">
      <c r="B6247" s="2">
        <f ca="1"/>
        <v>0.18266598011185997</v>
      </c>
      <c r="O6247" s="2">
        <f ca="1"/>
        <v>0.4053965910786837</v>
      </c>
      <c r="X6247" s="2">
        <f ca="1"/>
        <v>65.713547360545149</v>
      </c>
      <c r="AG6247" s="2">
        <f ca="1"/>
        <v>0.36185585137348752</v>
      </c>
      <c r="AH6247" s="2" t="str">
        <f ca="1"/>
        <v>OK</v>
      </c>
    </row>
    <row r="6248" spans="2:34" x14ac:dyDescent="0.2">
      <c r="B6248" s="2">
        <f ca="1"/>
        <v>2.1087261879406682E-2</v>
      </c>
      <c r="O6248" s="2">
        <f ca="1"/>
        <v>8.4974478063591166E-2</v>
      </c>
      <c r="X6248" s="2">
        <f ca="1"/>
        <v>32.11361146945405</v>
      </c>
      <c r="AG6248" s="2">
        <f ca="1"/>
        <v>0.98976176786135883</v>
      </c>
      <c r="AH6248" s="2" t="str">
        <f ca="1"/>
        <v>Bad</v>
      </c>
    </row>
    <row r="6249" spans="2:34" x14ac:dyDescent="0.2">
      <c r="B6249" s="2">
        <f ca="1"/>
        <v>0.19569902671620865</v>
      </c>
      <c r="O6249" s="2">
        <f ca="1"/>
        <v>-0.48861552045869916</v>
      </c>
      <c r="X6249" s="2">
        <f ca="1"/>
        <v>23.874431980108337</v>
      </c>
      <c r="AG6249" s="2">
        <f ca="1"/>
        <v>0.74732793346462434</v>
      </c>
      <c r="AH6249" s="2" t="str">
        <f ca="1"/>
        <v>Bad</v>
      </c>
    </row>
    <row r="6250" spans="2:34" x14ac:dyDescent="0.2">
      <c r="B6250" s="2">
        <f ca="1"/>
        <v>0.68614975705998416</v>
      </c>
      <c r="O6250" s="2">
        <f ca="1"/>
        <v>0.87701780790845996</v>
      </c>
      <c r="X6250" s="2">
        <f ca="1"/>
        <v>71.870867824027499</v>
      </c>
      <c r="AG6250" s="2">
        <f ca="1"/>
        <v>0.56216893549288871</v>
      </c>
      <c r="AH6250" s="2" t="str">
        <f ca="1"/>
        <v>Bad</v>
      </c>
    </row>
    <row r="6251" spans="2:34" x14ac:dyDescent="0.2">
      <c r="B6251" s="2">
        <f ca="1"/>
        <v>0.83575004989663904</v>
      </c>
      <c r="O6251" s="2">
        <f ca="1"/>
        <v>-0.6577539698428585</v>
      </c>
      <c r="X6251" s="2">
        <f ca="1"/>
        <v>43.891843755335898</v>
      </c>
      <c r="AG6251" s="2">
        <f ca="1"/>
        <v>0.83118085656560936</v>
      </c>
      <c r="AH6251" s="2" t="str">
        <f ca="1"/>
        <v>Bad</v>
      </c>
    </row>
    <row r="6252" spans="2:34" x14ac:dyDescent="0.2">
      <c r="B6252" s="2">
        <f ca="1"/>
        <v>0.15072034210200291</v>
      </c>
      <c r="O6252" s="2">
        <f ca="1"/>
        <v>-0.95204337194351762</v>
      </c>
      <c r="X6252" s="2">
        <f ca="1"/>
        <v>34.639498240391163</v>
      </c>
      <c r="AG6252" s="2">
        <f ca="1"/>
        <v>0.51788725621640674</v>
      </c>
      <c r="AH6252" s="2" t="str">
        <f ca="1"/>
        <v>Bad</v>
      </c>
    </row>
    <row r="6253" spans="2:34" x14ac:dyDescent="0.2">
      <c r="B6253" s="2">
        <f ca="1"/>
        <v>0.99915002982116863</v>
      </c>
      <c r="O6253" s="2">
        <f ca="1"/>
        <v>1.0496809654717616</v>
      </c>
      <c r="X6253" s="2">
        <f ca="1"/>
        <v>36.243800293218968</v>
      </c>
      <c r="AG6253" s="2">
        <f ca="1"/>
        <v>0.1544951893910671</v>
      </c>
      <c r="AH6253" s="2" t="str">
        <f ca="1"/>
        <v>OK</v>
      </c>
    </row>
    <row r="6254" spans="2:34" x14ac:dyDescent="0.2">
      <c r="B6254" s="2">
        <f ca="1"/>
        <v>0.2862916366048045</v>
      </c>
      <c r="O6254" s="2">
        <f ca="1"/>
        <v>0.41646137045387199</v>
      </c>
      <c r="X6254" s="2">
        <f ca="1"/>
        <v>34.030009056379235</v>
      </c>
      <c r="AG6254" s="2">
        <f ca="1"/>
        <v>0.24083991427085927</v>
      </c>
      <c r="AH6254" s="2" t="str">
        <f ca="1"/>
        <v>OK</v>
      </c>
    </row>
    <row r="6255" spans="2:34" x14ac:dyDescent="0.2">
      <c r="B6255" s="2">
        <f ca="1"/>
        <v>0.94516331630032835</v>
      </c>
      <c r="O6255" s="2">
        <f ca="1"/>
        <v>0.98774654383675153</v>
      </c>
      <c r="X6255" s="2">
        <f ca="1"/>
        <v>44.139817129115251</v>
      </c>
      <c r="AG6255" s="2">
        <f ca="1"/>
        <v>0.72678241797083887</v>
      </c>
      <c r="AH6255" s="2" t="str">
        <f ca="1"/>
        <v>Bad</v>
      </c>
    </row>
    <row r="6256" spans="2:34" x14ac:dyDescent="0.2">
      <c r="B6256" s="2">
        <f ca="1"/>
        <v>0.62109883282207434</v>
      </c>
      <c r="O6256" s="2">
        <f ca="1"/>
        <v>-0.76527289963745337</v>
      </c>
      <c r="X6256" s="2">
        <f ca="1"/>
        <v>40.027403564283802</v>
      </c>
      <c r="AG6256" s="2">
        <f ca="1"/>
        <v>0.95786843090685059</v>
      </c>
      <c r="AH6256" s="2" t="str">
        <f ca="1"/>
        <v>Bad</v>
      </c>
    </row>
    <row r="6257" spans="2:34" x14ac:dyDescent="0.2">
      <c r="B6257" s="2">
        <f ca="1"/>
        <v>0.35940684122111355</v>
      </c>
      <c r="O6257" s="2">
        <f ca="1"/>
        <v>0.3595109631756509</v>
      </c>
      <c r="X6257" s="2">
        <f ca="1"/>
        <v>49.908575571597339</v>
      </c>
      <c r="AG6257" s="2">
        <f ca="1"/>
        <v>0.66727365388165105</v>
      </c>
      <c r="AH6257" s="2" t="str">
        <f ca="1"/>
        <v>Bad</v>
      </c>
    </row>
    <row r="6258" spans="2:34" x14ac:dyDescent="0.2">
      <c r="B6258" s="2">
        <f ca="1"/>
        <v>0.78359347141538183</v>
      </c>
      <c r="O6258" s="2">
        <f ca="1"/>
        <v>5.1243030217426886E-3</v>
      </c>
      <c r="X6258" s="2">
        <f ca="1"/>
        <v>67.877213331745352</v>
      </c>
      <c r="AG6258" s="2">
        <f ca="1"/>
        <v>0.94392171343128606</v>
      </c>
      <c r="AH6258" s="2" t="str">
        <f ca="1"/>
        <v>Bad</v>
      </c>
    </row>
    <row r="6259" spans="2:34" x14ac:dyDescent="0.2">
      <c r="B6259" s="2">
        <f ca="1"/>
        <v>0.85914156699572097</v>
      </c>
      <c r="O6259" s="2">
        <f ca="1"/>
        <v>0.29535449598718932</v>
      </c>
      <c r="X6259" s="2">
        <f ca="1"/>
        <v>47.629679085369901</v>
      </c>
      <c r="AG6259" s="2">
        <f ca="1"/>
        <v>0.1652403624126193</v>
      </c>
      <c r="AH6259" s="2" t="str">
        <f ca="1"/>
        <v>OK</v>
      </c>
    </row>
    <row r="6260" spans="2:34" x14ac:dyDescent="0.2">
      <c r="B6260" s="2">
        <f ca="1"/>
        <v>9.9242848588372956E-2</v>
      </c>
      <c r="O6260" s="2">
        <f ca="1"/>
        <v>-1.1941145367896462</v>
      </c>
      <c r="X6260" s="2">
        <f ca="1"/>
        <v>69.734382388709179</v>
      </c>
      <c r="AG6260" s="2">
        <f ca="1"/>
        <v>0.66566803936108143</v>
      </c>
      <c r="AH6260" s="2" t="str">
        <f ca="1"/>
        <v>Bad</v>
      </c>
    </row>
    <row r="6261" spans="2:34" x14ac:dyDescent="0.2">
      <c r="B6261" s="2">
        <f ca="1"/>
        <v>0.90354581565952219</v>
      </c>
      <c r="O6261" s="2">
        <f ca="1"/>
        <v>0.40308334891679604</v>
      </c>
      <c r="X6261" s="2">
        <f ca="1"/>
        <v>44.835241479054062</v>
      </c>
      <c r="AG6261" s="2">
        <f ca="1"/>
        <v>0.97623179387673398</v>
      </c>
      <c r="AH6261" s="2" t="str">
        <f ca="1"/>
        <v>Bad</v>
      </c>
    </row>
    <row r="6262" spans="2:34" x14ac:dyDescent="0.2">
      <c r="B6262" s="2">
        <f ca="1"/>
        <v>0.8227622473721885</v>
      </c>
      <c r="O6262" s="2">
        <f ca="1"/>
        <v>0.12285728141524052</v>
      </c>
      <c r="X6262" s="2">
        <f ca="1"/>
        <v>48.674800668038962</v>
      </c>
      <c r="AG6262" s="2">
        <f ca="1"/>
        <v>0.8231842885347771</v>
      </c>
      <c r="AH6262" s="2" t="str">
        <f ca="1"/>
        <v>Bad</v>
      </c>
    </row>
    <row r="6263" spans="2:34" x14ac:dyDescent="0.2">
      <c r="B6263" s="2">
        <f ca="1"/>
        <v>1.431236604562125E-3</v>
      </c>
      <c r="O6263" s="2">
        <f ca="1"/>
        <v>-1.3430498916304736</v>
      </c>
      <c r="X6263" s="2">
        <f ca="1"/>
        <v>38.212461232013837</v>
      </c>
      <c r="AG6263" s="2">
        <f ca="1"/>
        <v>0.53809799315082496</v>
      </c>
      <c r="AH6263" s="2" t="str">
        <f ca="1"/>
        <v>Bad</v>
      </c>
    </row>
    <row r="6264" spans="2:34" x14ac:dyDescent="0.2">
      <c r="B6264" s="2">
        <f ca="1"/>
        <v>0.16095732082213909</v>
      </c>
      <c r="O6264" s="2">
        <f ca="1"/>
        <v>0.32769037561833014</v>
      </c>
      <c r="X6264" s="2">
        <f ca="1"/>
        <v>56.733454888259615</v>
      </c>
      <c r="AG6264" s="2">
        <f ca="1"/>
        <v>0.18203788924749142</v>
      </c>
      <c r="AH6264" s="2" t="str">
        <f ca="1"/>
        <v>OK</v>
      </c>
    </row>
    <row r="6265" spans="2:34" x14ac:dyDescent="0.2">
      <c r="B6265" s="2">
        <f ca="1"/>
        <v>0.40832820639058731</v>
      </c>
      <c r="O6265" s="2">
        <f ca="1"/>
        <v>-0.92327284892592343</v>
      </c>
      <c r="X6265" s="2">
        <f ca="1"/>
        <v>27.034672196006809</v>
      </c>
      <c r="AG6265" s="2">
        <f ca="1"/>
        <v>0.43870869260914569</v>
      </c>
      <c r="AH6265" s="2" t="str">
        <f ca="1"/>
        <v>Bad</v>
      </c>
    </row>
    <row r="6266" spans="2:34" x14ac:dyDescent="0.2">
      <c r="B6266" s="2">
        <f ca="1"/>
        <v>0.90381438883725873</v>
      </c>
      <c r="O6266" s="2">
        <f ca="1"/>
        <v>0.22366117532532168</v>
      </c>
      <c r="X6266" s="2">
        <f ca="1"/>
        <v>30.852905773270276</v>
      </c>
      <c r="AG6266" s="2">
        <f ca="1"/>
        <v>0.16491421486686697</v>
      </c>
      <c r="AH6266" s="2" t="str">
        <f ca="1"/>
        <v>OK</v>
      </c>
    </row>
    <row r="6267" spans="2:34" x14ac:dyDescent="0.2">
      <c r="B6267" s="2">
        <f ca="1"/>
        <v>0.98179172171942564</v>
      </c>
      <c r="O6267" s="2">
        <f ca="1"/>
        <v>2.2705193167859719</v>
      </c>
      <c r="X6267" s="2">
        <f ca="1"/>
        <v>49.727318421848111</v>
      </c>
      <c r="AG6267" s="2">
        <f ca="1"/>
        <v>0.23098993526909806</v>
      </c>
      <c r="AH6267" s="2" t="str">
        <f ca="1"/>
        <v>OK</v>
      </c>
    </row>
    <row r="6268" spans="2:34" x14ac:dyDescent="0.2">
      <c r="B6268" s="2">
        <f ca="1"/>
        <v>0.57092400435946655</v>
      </c>
      <c r="O6268" s="2">
        <f ca="1"/>
        <v>2.0239455002112874</v>
      </c>
      <c r="X6268" s="2">
        <f ca="1"/>
        <v>25.791882406496256</v>
      </c>
      <c r="AG6268" s="2">
        <f ca="1"/>
        <v>8.8058867266732621E-2</v>
      </c>
      <c r="AH6268" s="2" t="str">
        <f ca="1"/>
        <v>OK</v>
      </c>
    </row>
    <row r="6269" spans="2:34" x14ac:dyDescent="0.2">
      <c r="B6269" s="2">
        <f ca="1"/>
        <v>0.22040343701270038</v>
      </c>
      <c r="O6269" s="2">
        <f ca="1"/>
        <v>0.54617081332577377</v>
      </c>
      <c r="X6269" s="2">
        <f ca="1"/>
        <v>65.192448548364069</v>
      </c>
      <c r="AG6269" s="2">
        <f ca="1"/>
        <v>0.82434224553371394</v>
      </c>
      <c r="AH6269" s="2" t="str">
        <f ca="1"/>
        <v>Bad</v>
      </c>
    </row>
    <row r="6270" spans="2:34" x14ac:dyDescent="0.2">
      <c r="B6270" s="2">
        <f ca="1"/>
        <v>0.54205692694328578</v>
      </c>
      <c r="O6270" s="2">
        <f ca="1"/>
        <v>-0.40450218239652941</v>
      </c>
      <c r="X6270" s="2">
        <f ca="1"/>
        <v>73.946070424185706</v>
      </c>
      <c r="AG6270" s="2">
        <f ca="1"/>
        <v>6.2682211980180869E-2</v>
      </c>
      <c r="AH6270" s="2" t="str">
        <f ca="1"/>
        <v>OK</v>
      </c>
    </row>
    <row r="6271" spans="2:34" x14ac:dyDescent="0.2">
      <c r="B6271" s="2">
        <f ca="1"/>
        <v>0.34458315978884446</v>
      </c>
      <c r="O6271" s="2">
        <f ca="1"/>
        <v>0.77283981122527301</v>
      </c>
      <c r="X6271" s="2">
        <f ca="1"/>
        <v>41.134991280579776</v>
      </c>
      <c r="AG6271" s="2">
        <f ca="1"/>
        <v>0.65208231259436533</v>
      </c>
      <c r="AH6271" s="2" t="str">
        <f ca="1"/>
        <v>Bad</v>
      </c>
    </row>
    <row r="6272" spans="2:34" x14ac:dyDescent="0.2">
      <c r="B6272" s="2">
        <f ca="1"/>
        <v>0.81797075609663339</v>
      </c>
      <c r="O6272" s="2">
        <f ca="1"/>
        <v>-1.1894688623934027</v>
      </c>
      <c r="X6272" s="2">
        <f ca="1"/>
        <v>42.799709060436406</v>
      </c>
      <c r="AG6272" s="2">
        <f ca="1"/>
        <v>0.33543257942614702</v>
      </c>
      <c r="AH6272" s="2" t="str">
        <f ca="1"/>
        <v>OK</v>
      </c>
    </row>
    <row r="6273" spans="2:34" x14ac:dyDescent="0.2">
      <c r="B6273" s="2">
        <f ca="1"/>
        <v>0.85322139564110366</v>
      </c>
      <c r="O6273" s="2">
        <f ca="1"/>
        <v>0.53272546220455386</v>
      </c>
      <c r="X6273" s="2">
        <f ca="1"/>
        <v>58.946491760372965</v>
      </c>
      <c r="AG6273" s="2">
        <f ca="1"/>
        <v>0.6375670563595579</v>
      </c>
      <c r="AH6273" s="2" t="str">
        <f ca="1"/>
        <v>Bad</v>
      </c>
    </row>
    <row r="6274" spans="2:34" x14ac:dyDescent="0.2">
      <c r="B6274" s="2">
        <f ca="1"/>
        <v>0.26442654993272208</v>
      </c>
      <c r="O6274" s="2">
        <f ca="1"/>
        <v>1.3342913921711588</v>
      </c>
      <c r="X6274" s="2">
        <f ca="1"/>
        <v>35.928737070389772</v>
      </c>
      <c r="AG6274" s="2">
        <f ca="1"/>
        <v>0.33377298154941326</v>
      </c>
      <c r="AH6274" s="2" t="str">
        <f ca="1"/>
        <v>OK</v>
      </c>
    </row>
    <row r="6275" spans="2:34" x14ac:dyDescent="0.2">
      <c r="B6275" s="2">
        <f ca="1"/>
        <v>1.5217300356739516E-2</v>
      </c>
      <c r="O6275" s="2">
        <f ca="1"/>
        <v>1.9732907072275194E-2</v>
      </c>
      <c r="X6275" s="2">
        <f ca="1"/>
        <v>85.079324829392945</v>
      </c>
      <c r="AG6275" s="2">
        <f ca="1"/>
        <v>0.97819911750575317</v>
      </c>
      <c r="AH6275" s="2" t="str">
        <f ca="1"/>
        <v>Bad</v>
      </c>
    </row>
    <row r="6276" spans="2:34" x14ac:dyDescent="0.2">
      <c r="B6276" s="2">
        <f ca="1"/>
        <v>0.95073196949302052</v>
      </c>
      <c r="O6276" s="2">
        <f ca="1"/>
        <v>-0.50550188380833472</v>
      </c>
      <c r="X6276" s="2">
        <f ca="1"/>
        <v>37.211774099460733</v>
      </c>
      <c r="AG6276" s="2">
        <f ca="1"/>
        <v>0.50085420990429652</v>
      </c>
      <c r="AH6276" s="2" t="str">
        <f ca="1"/>
        <v>Bad</v>
      </c>
    </row>
    <row r="6277" spans="2:34" x14ac:dyDescent="0.2">
      <c r="B6277" s="2">
        <f ca="1"/>
        <v>0.21231981327118543</v>
      </c>
      <c r="O6277" s="2">
        <f ca="1"/>
        <v>-0.57190586041739011</v>
      </c>
      <c r="X6277" s="2">
        <f ca="1"/>
        <v>38.770971509314201</v>
      </c>
      <c r="AG6277" s="2">
        <f ca="1"/>
        <v>0.77351710412812857</v>
      </c>
      <c r="AH6277" s="2" t="str">
        <f ca="1"/>
        <v>Bad</v>
      </c>
    </row>
    <row r="6278" spans="2:34" x14ac:dyDescent="0.2">
      <c r="B6278" s="2">
        <f ca="1"/>
        <v>0.82529066720242561</v>
      </c>
      <c r="O6278" s="2">
        <f ca="1"/>
        <v>-1.2984783948442229</v>
      </c>
      <c r="X6278" s="2">
        <f ca="1"/>
        <v>33.211754222549942</v>
      </c>
      <c r="AG6278" s="2">
        <f ca="1"/>
        <v>0.10057048824546944</v>
      </c>
      <c r="AH6278" s="2" t="str">
        <f ca="1"/>
        <v>OK</v>
      </c>
    </row>
    <row r="6279" spans="2:34" x14ac:dyDescent="0.2">
      <c r="B6279" s="2">
        <f ca="1"/>
        <v>0.82783845176613391</v>
      </c>
      <c r="O6279" s="2">
        <f ca="1"/>
        <v>0.16915632003219286</v>
      </c>
      <c r="X6279" s="2">
        <f ca="1"/>
        <v>53.788967339753889</v>
      </c>
      <c r="AG6279" s="2">
        <f ca="1"/>
        <v>0.28198672743074815</v>
      </c>
      <c r="AH6279" s="2" t="str">
        <f ca="1"/>
        <v>OK</v>
      </c>
    </row>
    <row r="6280" spans="2:34" x14ac:dyDescent="0.2">
      <c r="B6280" s="2">
        <f ca="1"/>
        <v>0.18216481895489811</v>
      </c>
      <c r="O6280" s="2">
        <f ca="1"/>
        <v>-1.160343075275966</v>
      </c>
      <c r="X6280" s="2">
        <f ca="1"/>
        <v>76.473997616200805</v>
      </c>
      <c r="AG6280" s="2">
        <f ca="1"/>
        <v>1.1203896867541863E-2</v>
      </c>
      <c r="AH6280" s="2" t="str">
        <f ca="1"/>
        <v>Good</v>
      </c>
    </row>
    <row r="6281" spans="2:34" x14ac:dyDescent="0.2">
      <c r="B6281" s="2">
        <f ca="1"/>
        <v>7.8363954966356175E-2</v>
      </c>
      <c r="O6281" s="2">
        <f ca="1"/>
        <v>-0.31757262469990905</v>
      </c>
      <c r="X6281" s="2">
        <f ca="1"/>
        <v>46.711342575976396</v>
      </c>
      <c r="AG6281" s="2">
        <f ca="1"/>
        <v>3.4883193298169024E-2</v>
      </c>
      <c r="AH6281" s="2" t="str">
        <f ca="1"/>
        <v>Good</v>
      </c>
    </row>
    <row r="6282" spans="2:34" x14ac:dyDescent="0.2">
      <c r="B6282" s="2">
        <f ca="1"/>
        <v>0.9366971844787475</v>
      </c>
      <c r="O6282" s="2">
        <f ca="1"/>
        <v>-1.517427991389396</v>
      </c>
      <c r="X6282" s="2">
        <f ca="1"/>
        <v>67.478178773606558</v>
      </c>
      <c r="AG6282" s="2">
        <f ca="1"/>
        <v>2.7463013388544955E-2</v>
      </c>
      <c r="AH6282" s="2" t="str">
        <f ca="1"/>
        <v>Good</v>
      </c>
    </row>
    <row r="6283" spans="2:34" x14ac:dyDescent="0.2">
      <c r="B6283" s="2">
        <f ca="1"/>
        <v>0.27068244954979903</v>
      </c>
      <c r="O6283" s="2">
        <f ca="1"/>
        <v>-1.1209940976054855</v>
      </c>
      <c r="X6283" s="2">
        <f ca="1"/>
        <v>50.890092660402203</v>
      </c>
      <c r="AG6283" s="2">
        <f ca="1"/>
        <v>0.15756460643370795</v>
      </c>
      <c r="AH6283" s="2" t="str">
        <f ca="1"/>
        <v>OK</v>
      </c>
    </row>
    <row r="6284" spans="2:34" x14ac:dyDescent="0.2">
      <c r="B6284" s="2">
        <f ca="1"/>
        <v>0.2030380324619292</v>
      </c>
      <c r="O6284" s="2">
        <f ca="1"/>
        <v>0.58437513132242258</v>
      </c>
      <c r="X6284" s="2">
        <f ca="1"/>
        <v>51.221762651024875</v>
      </c>
      <c r="AG6284" s="2">
        <f ca="1"/>
        <v>0.39995486194841257</v>
      </c>
      <c r="AH6284" s="2" t="str">
        <f ca="1"/>
        <v>OK</v>
      </c>
    </row>
    <row r="6285" spans="2:34" x14ac:dyDescent="0.2">
      <c r="B6285" s="2">
        <f ca="1"/>
        <v>0.7417755952138676</v>
      </c>
      <c r="O6285" s="2">
        <f ca="1"/>
        <v>-1.1336179660475363</v>
      </c>
      <c r="X6285" s="2">
        <f ca="1"/>
        <v>51.546235627675955</v>
      </c>
      <c r="AG6285" s="2">
        <f ca="1"/>
        <v>0.91683888214878184</v>
      </c>
      <c r="AH6285" s="2" t="str">
        <f ca="1"/>
        <v>Bad</v>
      </c>
    </row>
    <row r="6286" spans="2:34" x14ac:dyDescent="0.2">
      <c r="B6286" s="2">
        <f ca="1"/>
        <v>0.65692991360251085</v>
      </c>
      <c r="O6286" s="2">
        <f ca="1"/>
        <v>1.0643565737099934</v>
      </c>
      <c r="X6286" s="2">
        <f ca="1"/>
        <v>69.319553745068845</v>
      </c>
      <c r="AG6286" s="2">
        <f ca="1"/>
        <v>0.25682383692991118</v>
      </c>
      <c r="AH6286" s="2" t="str">
        <f ca="1"/>
        <v>OK</v>
      </c>
    </row>
    <row r="6287" spans="2:34" x14ac:dyDescent="0.2">
      <c r="B6287" s="2">
        <f ca="1"/>
        <v>0.95133358056438078</v>
      </c>
      <c r="O6287" s="2">
        <f ca="1"/>
        <v>-0.91049892638109065</v>
      </c>
      <c r="X6287" s="2">
        <f ca="1"/>
        <v>42.993903116123306</v>
      </c>
      <c r="AG6287" s="2">
        <f ca="1"/>
        <v>0.95916081405130815</v>
      </c>
      <c r="AH6287" s="2" t="str">
        <f ca="1"/>
        <v>Bad</v>
      </c>
    </row>
    <row r="6288" spans="2:34" x14ac:dyDescent="0.2">
      <c r="B6288" s="2">
        <f ca="1"/>
        <v>0.10702587567075827</v>
      </c>
      <c r="O6288" s="2">
        <f ca="1"/>
        <v>1.241285204020917</v>
      </c>
      <c r="X6288" s="2">
        <f ca="1"/>
        <v>78.716452927746332</v>
      </c>
      <c r="AG6288" s="2">
        <f ca="1"/>
        <v>0.73591706408645963</v>
      </c>
      <c r="AH6288" s="2" t="str">
        <f ca="1"/>
        <v>Bad</v>
      </c>
    </row>
    <row r="6289" spans="2:34" x14ac:dyDescent="0.2">
      <c r="B6289" s="2">
        <f ca="1"/>
        <v>5.0737389382535136E-2</v>
      </c>
      <c r="O6289" s="2">
        <f ca="1"/>
        <v>-0.14090332795578051</v>
      </c>
      <c r="X6289" s="2">
        <f ca="1"/>
        <v>61.780326341810785</v>
      </c>
      <c r="AG6289" s="2">
        <f ca="1"/>
        <v>0.27483526564503324</v>
      </c>
      <c r="AH6289" s="2" t="str">
        <f ca="1"/>
        <v>OK</v>
      </c>
    </row>
    <row r="6290" spans="2:34" x14ac:dyDescent="0.2">
      <c r="B6290" s="2">
        <f ca="1"/>
        <v>0.53954245865864836</v>
      </c>
      <c r="O6290" s="2">
        <f ca="1"/>
        <v>1.3412206941097664</v>
      </c>
      <c r="X6290" s="2">
        <f ca="1"/>
        <v>82.899702921961108</v>
      </c>
      <c r="AG6290" s="2">
        <f ca="1"/>
        <v>0.5977127243687741</v>
      </c>
      <c r="AH6290" s="2" t="str">
        <f ca="1"/>
        <v>Bad</v>
      </c>
    </row>
    <row r="6291" spans="2:34" x14ac:dyDescent="0.2">
      <c r="B6291" s="2">
        <f ca="1"/>
        <v>0.21363549195115272</v>
      </c>
      <c r="O6291" s="2">
        <f ca="1"/>
        <v>-0.17561017871842804</v>
      </c>
      <c r="X6291" s="2">
        <f ca="1"/>
        <v>85.526032662871799</v>
      </c>
      <c r="AG6291" s="2">
        <f ca="1"/>
        <v>0.84944734087281448</v>
      </c>
      <c r="AH6291" s="2" t="str">
        <f ca="1"/>
        <v>Bad</v>
      </c>
    </row>
    <row r="6292" spans="2:34" x14ac:dyDescent="0.2">
      <c r="B6292" s="2">
        <f ca="1"/>
        <v>0.73052373160399675</v>
      </c>
      <c r="O6292" s="2">
        <f ca="1"/>
        <v>1.0336683912575624</v>
      </c>
      <c r="X6292" s="2">
        <f ca="1"/>
        <v>62.695623930221146</v>
      </c>
      <c r="AG6292" s="2">
        <f ca="1"/>
        <v>0.41075597695998978</v>
      </c>
      <c r="AH6292" s="2" t="str">
        <f ca="1"/>
        <v>Bad</v>
      </c>
    </row>
    <row r="6293" spans="2:34" x14ac:dyDescent="0.2">
      <c r="B6293" s="2">
        <f ca="1"/>
        <v>0.22821395327772498</v>
      </c>
      <c r="O6293" s="2">
        <f ca="1"/>
        <v>-0.68908350966325371</v>
      </c>
      <c r="X6293" s="2">
        <f ca="1"/>
        <v>23.391064468161385</v>
      </c>
      <c r="AG6293" s="2">
        <f ca="1"/>
        <v>0.31377117919970909</v>
      </c>
      <c r="AH6293" s="2" t="str">
        <f ca="1"/>
        <v>OK</v>
      </c>
    </row>
    <row r="6294" spans="2:34" x14ac:dyDescent="0.2">
      <c r="B6294" s="2">
        <f ca="1"/>
        <v>0.80878902864299573</v>
      </c>
      <c r="O6294" s="2">
        <f ca="1"/>
        <v>0.13650782575897683</v>
      </c>
      <c r="X6294" s="2">
        <f ca="1"/>
        <v>76.836491973037369</v>
      </c>
      <c r="AG6294" s="2">
        <f ca="1"/>
        <v>6.825852678785127E-2</v>
      </c>
      <c r="AH6294" s="2" t="str">
        <f ca="1"/>
        <v>OK</v>
      </c>
    </row>
    <row r="6295" spans="2:34" x14ac:dyDescent="0.2">
      <c r="B6295" s="2">
        <f ca="1"/>
        <v>0.4433259464455046</v>
      </c>
      <c r="O6295" s="2">
        <f ca="1"/>
        <v>-0.22351891939919646</v>
      </c>
      <c r="X6295" s="2">
        <f ca="1"/>
        <v>52.382703882216639</v>
      </c>
      <c r="AG6295" s="2">
        <f ca="1"/>
        <v>0.16159086957647095</v>
      </c>
      <c r="AH6295" s="2" t="str">
        <f ca="1"/>
        <v>OK</v>
      </c>
    </row>
    <row r="6296" spans="2:34" x14ac:dyDescent="0.2">
      <c r="B6296" s="2">
        <f ca="1"/>
        <v>0.62628863780609412</v>
      </c>
      <c r="O6296" s="2">
        <f ca="1"/>
        <v>-0.84253560471557376</v>
      </c>
      <c r="X6296" s="2">
        <f ca="1"/>
        <v>68.446571013313061</v>
      </c>
      <c r="AG6296" s="2">
        <f ca="1"/>
        <v>0.8140099236432059</v>
      </c>
      <c r="AH6296" s="2" t="str">
        <f ca="1"/>
        <v>Bad</v>
      </c>
    </row>
    <row r="6297" spans="2:34" x14ac:dyDescent="0.2">
      <c r="B6297" s="2">
        <f ca="1"/>
        <v>0.40364043862432442</v>
      </c>
      <c r="O6297" s="2">
        <f ca="1"/>
        <v>0.71600089202641037</v>
      </c>
      <c r="X6297" s="2">
        <f ca="1"/>
        <v>36.796116186323403</v>
      </c>
      <c r="AG6297" s="2">
        <f ca="1"/>
        <v>2.2435668851443991E-2</v>
      </c>
      <c r="AH6297" s="2" t="str">
        <f ca="1"/>
        <v>Good</v>
      </c>
    </row>
    <row r="6298" spans="2:34" x14ac:dyDescent="0.2">
      <c r="B6298" s="2">
        <f ca="1"/>
        <v>0.16696606721061968</v>
      </c>
      <c r="O6298" s="2">
        <f ca="1"/>
        <v>1.2434867506729028</v>
      </c>
      <c r="X6298" s="2">
        <f ca="1"/>
        <v>39.13440475921216</v>
      </c>
      <c r="AG6298" s="2">
        <f ca="1"/>
        <v>0.99794965069924491</v>
      </c>
      <c r="AH6298" s="2" t="str">
        <f ca="1"/>
        <v>Bad</v>
      </c>
    </row>
    <row r="6299" spans="2:34" x14ac:dyDescent="0.2">
      <c r="B6299" s="2">
        <f ca="1"/>
        <v>0.26463691652677435</v>
      </c>
      <c r="O6299" s="2">
        <f ca="1"/>
        <v>-0.6376555439134598</v>
      </c>
      <c r="X6299" s="2">
        <f ca="1"/>
        <v>57.636094536824196</v>
      </c>
      <c r="AG6299" s="2">
        <f ca="1"/>
        <v>0.65173191635423722</v>
      </c>
      <c r="AH6299" s="2" t="str">
        <f ca="1"/>
        <v>Bad</v>
      </c>
    </row>
    <row r="6300" spans="2:34" x14ac:dyDescent="0.2">
      <c r="B6300" s="2">
        <f ca="1"/>
        <v>0.66084903938634332</v>
      </c>
      <c r="O6300" s="2">
        <f ca="1"/>
        <v>0.5058397385889255</v>
      </c>
      <c r="X6300" s="2">
        <f ca="1"/>
        <v>49.123651181677978</v>
      </c>
      <c r="AG6300" s="2">
        <f ca="1"/>
        <v>7.5231611860586467E-2</v>
      </c>
      <c r="AH6300" s="2" t="str">
        <f ca="1"/>
        <v>OK</v>
      </c>
    </row>
    <row r="6301" spans="2:34" x14ac:dyDescent="0.2">
      <c r="B6301" s="2">
        <f ca="1"/>
        <v>0.9841263577510142</v>
      </c>
      <c r="O6301" s="2">
        <f ca="1"/>
        <v>-0.50670962097573902</v>
      </c>
      <c r="X6301" s="2">
        <f ca="1"/>
        <v>70.657394809055916</v>
      </c>
      <c r="AG6301" s="2">
        <f ca="1"/>
        <v>5.2331347739658085E-3</v>
      </c>
      <c r="AH6301" s="2" t="str">
        <f ca="1"/>
        <v>Good</v>
      </c>
    </row>
    <row r="6302" spans="2:34" x14ac:dyDescent="0.2">
      <c r="B6302" s="2">
        <f ca="1"/>
        <v>0.20929157670648157</v>
      </c>
      <c r="O6302" s="2">
        <f ca="1"/>
        <v>-0.1272774310547525</v>
      </c>
      <c r="X6302" s="2">
        <f ca="1"/>
        <v>48.23631686539602</v>
      </c>
      <c r="AG6302" s="2">
        <f ca="1"/>
        <v>0.19574794453669875</v>
      </c>
      <c r="AH6302" s="2" t="str">
        <f ca="1"/>
        <v>OK</v>
      </c>
    </row>
    <row r="6303" spans="2:34" x14ac:dyDescent="0.2">
      <c r="B6303" s="2">
        <f ca="1"/>
        <v>0.33948423928432181</v>
      </c>
      <c r="O6303" s="2">
        <f ca="1"/>
        <v>0.79177276423038034</v>
      </c>
      <c r="X6303" s="2">
        <f ca="1"/>
        <v>29.047334056387175</v>
      </c>
      <c r="AG6303" s="2">
        <f ca="1"/>
        <v>7.4657388216893938E-2</v>
      </c>
      <c r="AH6303" s="2" t="str">
        <f ca="1"/>
        <v>OK</v>
      </c>
    </row>
    <row r="6304" spans="2:34" x14ac:dyDescent="0.2">
      <c r="B6304" s="2">
        <f ca="1"/>
        <v>0.38912526913328249</v>
      </c>
      <c r="O6304" s="2">
        <f ca="1"/>
        <v>9.8445534883253888E-2</v>
      </c>
      <c r="X6304" s="2">
        <f ca="1"/>
        <v>46.577372981984695</v>
      </c>
      <c r="AG6304" s="2">
        <f ca="1"/>
        <v>0.56859328116274255</v>
      </c>
      <c r="AH6304" s="2" t="str">
        <f ca="1"/>
        <v>Bad</v>
      </c>
    </row>
    <row r="6305" spans="2:34" x14ac:dyDescent="0.2">
      <c r="B6305" s="2">
        <f ca="1"/>
        <v>0.70040492377499985</v>
      </c>
      <c r="O6305" s="2">
        <f ca="1"/>
        <v>-0.87155141149973425</v>
      </c>
      <c r="X6305" s="2">
        <f ca="1"/>
        <v>59.673804060907443</v>
      </c>
      <c r="AG6305" s="2">
        <f ca="1"/>
        <v>0.79612155918055905</v>
      </c>
      <c r="AH6305" s="2" t="str">
        <f ca="1"/>
        <v>Bad</v>
      </c>
    </row>
    <row r="6306" spans="2:34" x14ac:dyDescent="0.2">
      <c r="B6306" s="2">
        <f ca="1"/>
        <v>0.30162187736931001</v>
      </c>
      <c r="O6306" s="2">
        <f ca="1"/>
        <v>8.3678704238863741E-2</v>
      </c>
      <c r="X6306" s="2">
        <f ca="1"/>
        <v>47.262560691170691</v>
      </c>
      <c r="AG6306" s="2">
        <f ca="1"/>
        <v>0.64962800365696149</v>
      </c>
      <c r="AH6306" s="2" t="str">
        <f ca="1"/>
        <v>Bad</v>
      </c>
    </row>
    <row r="6307" spans="2:34" x14ac:dyDescent="0.2">
      <c r="B6307" s="2">
        <f ca="1"/>
        <v>0.22664775997507247</v>
      </c>
      <c r="O6307" s="2">
        <f ca="1"/>
        <v>1.1757607260351297</v>
      </c>
      <c r="X6307" s="2">
        <f ca="1"/>
        <v>47.227177121732417</v>
      </c>
      <c r="AG6307" s="2">
        <f ca="1"/>
        <v>0.1671039162083825</v>
      </c>
      <c r="AH6307" s="2" t="str">
        <f ca="1"/>
        <v>OK</v>
      </c>
    </row>
    <row r="6308" spans="2:34" x14ac:dyDescent="0.2">
      <c r="B6308" s="2">
        <f ca="1"/>
        <v>0.92330074724611477</v>
      </c>
      <c r="O6308" s="2">
        <f ca="1"/>
        <v>-0.8568071010736773</v>
      </c>
      <c r="X6308" s="2">
        <f ca="1"/>
        <v>34.698900004706772</v>
      </c>
      <c r="AG6308" s="2">
        <f ca="1"/>
        <v>0.44122986236248796</v>
      </c>
      <c r="AH6308" s="2" t="str">
        <f ca="1"/>
        <v>Bad</v>
      </c>
    </row>
    <row r="6309" spans="2:34" x14ac:dyDescent="0.2">
      <c r="B6309" s="2">
        <f ca="1"/>
        <v>0.17806845400370452</v>
      </c>
      <c r="O6309" s="2">
        <f ca="1"/>
        <v>-0.47332724605378879</v>
      </c>
      <c r="X6309" s="2">
        <f ca="1"/>
        <v>55.517186428488223</v>
      </c>
      <c r="AG6309" s="2">
        <f ca="1"/>
        <v>0.94053804374984806</v>
      </c>
      <c r="AH6309" s="2" t="str">
        <f ca="1"/>
        <v>Bad</v>
      </c>
    </row>
    <row r="6310" spans="2:34" x14ac:dyDescent="0.2">
      <c r="B6310" s="2">
        <f ca="1"/>
        <v>0.97741568563504488</v>
      </c>
      <c r="O6310" s="2">
        <f ca="1"/>
        <v>-1.4204339967050899</v>
      </c>
      <c r="X6310" s="2">
        <f ca="1"/>
        <v>39.107582610205405</v>
      </c>
      <c r="AG6310" s="2">
        <f ca="1"/>
        <v>0.76647576424259922</v>
      </c>
      <c r="AH6310" s="2" t="str">
        <f ca="1"/>
        <v>Bad</v>
      </c>
    </row>
    <row r="6311" spans="2:34" x14ac:dyDescent="0.2">
      <c r="B6311" s="2">
        <f ca="1"/>
        <v>0.26509561639405788</v>
      </c>
      <c r="O6311" s="2">
        <f ca="1"/>
        <v>-1.955339041485314</v>
      </c>
      <c r="X6311" s="2">
        <f ca="1"/>
        <v>59.205523184459359</v>
      </c>
      <c r="AG6311" s="2">
        <f ca="1"/>
        <v>0.73298567475027121</v>
      </c>
      <c r="AH6311" s="2" t="str">
        <f ca="1"/>
        <v>Bad</v>
      </c>
    </row>
    <row r="6312" spans="2:34" x14ac:dyDescent="0.2">
      <c r="B6312" s="2">
        <f ca="1"/>
        <v>4.9061988234085696E-2</v>
      </c>
      <c r="O6312" s="2">
        <f ca="1"/>
        <v>-0.81351201786071925</v>
      </c>
      <c r="X6312" s="2">
        <f ca="1"/>
        <v>96.808638830179746</v>
      </c>
      <c r="AG6312" s="2">
        <f ca="1"/>
        <v>0.23228726641580622</v>
      </c>
      <c r="AH6312" s="2" t="str">
        <f ca="1"/>
        <v>OK</v>
      </c>
    </row>
    <row r="6313" spans="2:34" x14ac:dyDescent="0.2">
      <c r="B6313" s="2">
        <f ca="1"/>
        <v>0.52013778793557774</v>
      </c>
      <c r="O6313" s="2">
        <f ca="1"/>
        <v>0.44751806942167149</v>
      </c>
      <c r="X6313" s="2">
        <f ca="1"/>
        <v>74.244072641642987</v>
      </c>
      <c r="AG6313" s="2">
        <f ca="1"/>
        <v>0.7315382181705774</v>
      </c>
      <c r="AH6313" s="2" t="str">
        <f ca="1"/>
        <v>Bad</v>
      </c>
    </row>
    <row r="6314" spans="2:34" x14ac:dyDescent="0.2">
      <c r="B6314" s="2">
        <f ca="1"/>
        <v>0.98334190792543974</v>
      </c>
      <c r="O6314" s="2">
        <f ca="1"/>
        <v>-1.2693752287109059</v>
      </c>
      <c r="X6314" s="2">
        <f ca="1"/>
        <v>66.80562722065568</v>
      </c>
      <c r="AG6314" s="2">
        <f ca="1"/>
        <v>0.93012518422954837</v>
      </c>
      <c r="AH6314" s="2" t="str">
        <f ca="1"/>
        <v>Bad</v>
      </c>
    </row>
    <row r="6315" spans="2:34" x14ac:dyDescent="0.2">
      <c r="B6315" s="2">
        <f ca="1"/>
        <v>0.50238280777758915</v>
      </c>
      <c r="O6315" s="2">
        <f ca="1"/>
        <v>0.53440228708611404</v>
      </c>
      <c r="X6315" s="2">
        <f ca="1"/>
        <v>50.74391543703932</v>
      </c>
      <c r="AG6315" s="2">
        <f ca="1"/>
        <v>0.57222116400763867</v>
      </c>
      <c r="AH6315" s="2" t="str">
        <f ca="1"/>
        <v>Bad</v>
      </c>
    </row>
    <row r="6316" spans="2:34" x14ac:dyDescent="0.2">
      <c r="B6316" s="2">
        <f ca="1"/>
        <v>0.8667903680536857</v>
      </c>
      <c r="O6316" s="2">
        <f ca="1"/>
        <v>0.48180440207426756</v>
      </c>
      <c r="X6316" s="2">
        <f ca="1"/>
        <v>30.758021449674906</v>
      </c>
      <c r="AG6316" s="2">
        <f ca="1"/>
        <v>0.13946030706232304</v>
      </c>
      <c r="AH6316" s="2" t="str">
        <f ca="1"/>
        <v>OK</v>
      </c>
    </row>
    <row r="6317" spans="2:34" x14ac:dyDescent="0.2">
      <c r="B6317" s="2">
        <f ca="1"/>
        <v>0.38375093881590328</v>
      </c>
      <c r="O6317" s="2">
        <f ca="1"/>
        <v>8.6174643330928863E-2</v>
      </c>
      <c r="X6317" s="2">
        <f ca="1"/>
        <v>48.308979459898296</v>
      </c>
      <c r="AG6317" s="2">
        <f ca="1"/>
        <v>0.53014393828703277</v>
      </c>
      <c r="AH6317" s="2" t="str">
        <f ca="1"/>
        <v>Bad</v>
      </c>
    </row>
    <row r="6318" spans="2:34" x14ac:dyDescent="0.2">
      <c r="B6318" s="2">
        <f ca="1"/>
        <v>0.90657223733927572</v>
      </c>
      <c r="O6318" s="2">
        <f ca="1"/>
        <v>0.93255646453222385</v>
      </c>
      <c r="X6318" s="2">
        <f ca="1"/>
        <v>45.583136713119373</v>
      </c>
      <c r="AG6318" s="2">
        <f ca="1"/>
        <v>0.99490378122518042</v>
      </c>
      <c r="AH6318" s="2" t="str">
        <f ca="1"/>
        <v>Bad</v>
      </c>
    </row>
    <row r="6319" spans="2:34" x14ac:dyDescent="0.2">
      <c r="B6319" s="2">
        <f ca="1"/>
        <v>0.70512106785328665</v>
      </c>
      <c r="O6319" s="2">
        <f ca="1"/>
        <v>0.7547571193146333</v>
      </c>
      <c r="X6319" s="2">
        <f ca="1"/>
        <v>19.47027367223615</v>
      </c>
      <c r="AG6319" s="2">
        <f ca="1"/>
        <v>0.32773669704927322</v>
      </c>
      <c r="AH6319" s="2" t="str">
        <f ca="1"/>
        <v>OK</v>
      </c>
    </row>
    <row r="6320" spans="2:34" x14ac:dyDescent="0.2">
      <c r="B6320" s="2">
        <f ca="1"/>
        <v>0.26952238132162121</v>
      </c>
      <c r="O6320" s="2">
        <f ca="1"/>
        <v>0.14459478158226921</v>
      </c>
      <c r="X6320" s="2">
        <f ca="1"/>
        <v>61.508063706506839</v>
      </c>
      <c r="AG6320" s="2">
        <f ca="1"/>
        <v>0.13494198889796905</v>
      </c>
      <c r="AH6320" s="2" t="str">
        <f ca="1"/>
        <v>OK</v>
      </c>
    </row>
    <row r="6321" spans="2:34" x14ac:dyDescent="0.2">
      <c r="B6321" s="2">
        <f ca="1"/>
        <v>0.76908035913226769</v>
      </c>
      <c r="O6321" s="2">
        <f ca="1"/>
        <v>0.61040159900519897</v>
      </c>
      <c r="X6321" s="2">
        <f ca="1"/>
        <v>32.170802918161272</v>
      </c>
      <c r="AG6321" s="2">
        <f ca="1"/>
        <v>0.55217520056887781</v>
      </c>
      <c r="AH6321" s="2" t="str">
        <f ca="1"/>
        <v>Bad</v>
      </c>
    </row>
    <row r="6322" spans="2:34" x14ac:dyDescent="0.2">
      <c r="B6322" s="2">
        <f ca="1"/>
        <v>0.65591749806923927</v>
      </c>
      <c r="O6322" s="2">
        <f ca="1"/>
        <v>-1.4289878154972355</v>
      </c>
      <c r="X6322" s="2">
        <f ca="1"/>
        <v>49.598139203248522</v>
      </c>
      <c r="AG6322" s="2">
        <f ca="1"/>
        <v>0.87500189178701437</v>
      </c>
      <c r="AH6322" s="2" t="str">
        <f ca="1"/>
        <v>Bad</v>
      </c>
    </row>
    <row r="6323" spans="2:34" x14ac:dyDescent="0.2">
      <c r="B6323" s="2">
        <f ca="1"/>
        <v>8.9660020779862348E-2</v>
      </c>
      <c r="O6323" s="2">
        <f ca="1"/>
        <v>0.52738494122627655</v>
      </c>
      <c r="X6323" s="2">
        <f ca="1"/>
        <v>35.287865818059664</v>
      </c>
      <c r="AG6323" s="2">
        <f ca="1"/>
        <v>0.55047135351585186</v>
      </c>
      <c r="AH6323" s="2" t="str">
        <f ca="1"/>
        <v>Bad</v>
      </c>
    </row>
    <row r="6324" spans="2:34" x14ac:dyDescent="0.2">
      <c r="B6324" s="2">
        <f ca="1"/>
        <v>0.93192244628632825</v>
      </c>
      <c r="O6324" s="2">
        <f ca="1"/>
        <v>0.24597767967123257</v>
      </c>
      <c r="X6324" s="2">
        <f ca="1"/>
        <v>59.952158806812633</v>
      </c>
      <c r="AG6324" s="2">
        <f ca="1"/>
        <v>0.11867415067065412</v>
      </c>
      <c r="AH6324" s="2" t="str">
        <f ca="1"/>
        <v>OK</v>
      </c>
    </row>
    <row r="6325" spans="2:34" x14ac:dyDescent="0.2">
      <c r="B6325" s="2">
        <f ca="1"/>
        <v>0.9564082036879451</v>
      </c>
      <c r="O6325" s="2">
        <f ca="1"/>
        <v>-0.19613846154656239</v>
      </c>
      <c r="X6325" s="2">
        <f ca="1"/>
        <v>43.752268868313863</v>
      </c>
      <c r="AG6325" s="2">
        <f ca="1"/>
        <v>0.21534800501162943</v>
      </c>
      <c r="AH6325" s="2" t="str">
        <f ca="1"/>
        <v>OK</v>
      </c>
    </row>
    <row r="6326" spans="2:34" x14ac:dyDescent="0.2">
      <c r="B6326" s="2">
        <f ca="1"/>
        <v>0.78716234576893673</v>
      </c>
      <c r="O6326" s="2">
        <f ca="1"/>
        <v>1.300031356023261</v>
      </c>
      <c r="X6326" s="2">
        <f ca="1"/>
        <v>51.828770088912641</v>
      </c>
      <c r="AG6326" s="2">
        <f ca="1"/>
        <v>0.80481422127980573</v>
      </c>
      <c r="AH6326" s="2" t="str">
        <f ca="1"/>
        <v>Bad</v>
      </c>
    </row>
    <row r="6327" spans="2:34" x14ac:dyDescent="0.2">
      <c r="B6327" s="2">
        <f ca="1"/>
        <v>0.49072324206334561</v>
      </c>
      <c r="O6327" s="2">
        <f ca="1"/>
        <v>0.58812194794331096</v>
      </c>
      <c r="X6327" s="2">
        <f ca="1"/>
        <v>33.805049357574283</v>
      </c>
      <c r="AG6327" s="2">
        <f ca="1"/>
        <v>3.0677080805339152E-3</v>
      </c>
      <c r="AH6327" s="2" t="str">
        <f ca="1"/>
        <v>Good</v>
      </c>
    </row>
    <row r="6328" spans="2:34" x14ac:dyDescent="0.2">
      <c r="B6328" s="2">
        <f ca="1"/>
        <v>0.28404215148534173</v>
      </c>
      <c r="O6328" s="2">
        <f ca="1"/>
        <v>3.3589395121289907</v>
      </c>
      <c r="X6328" s="2">
        <f ca="1"/>
        <v>67.244042801047968</v>
      </c>
      <c r="AG6328" s="2">
        <f ca="1"/>
        <v>0.5744850186230066</v>
      </c>
      <c r="AH6328" s="2" t="str">
        <f ca="1"/>
        <v>Bad</v>
      </c>
    </row>
    <row r="6329" spans="2:34" x14ac:dyDescent="0.2">
      <c r="B6329" s="2">
        <f ca="1"/>
        <v>0.57518823302409494</v>
      </c>
      <c r="O6329" s="2">
        <f ca="1"/>
        <v>-1.2547426478578916</v>
      </c>
      <c r="X6329" s="2">
        <f ca="1"/>
        <v>52.041777781032941</v>
      </c>
      <c r="AG6329" s="2">
        <f ca="1"/>
        <v>6.7067201760240058E-2</v>
      </c>
      <c r="AH6329" s="2" t="str">
        <f ca="1"/>
        <v>OK</v>
      </c>
    </row>
    <row r="6330" spans="2:34" x14ac:dyDescent="0.2">
      <c r="B6330" s="2">
        <f ca="1"/>
        <v>0.19028936929282958</v>
      </c>
      <c r="O6330" s="2">
        <f ca="1"/>
        <v>2.1710658707042678</v>
      </c>
      <c r="X6330" s="2">
        <f ca="1"/>
        <v>58.673192962450749</v>
      </c>
      <c r="AG6330" s="2">
        <f ca="1"/>
        <v>0.71755257327610167</v>
      </c>
      <c r="AH6330" s="2" t="str">
        <f ca="1"/>
        <v>Bad</v>
      </c>
    </row>
    <row r="6331" spans="2:34" x14ac:dyDescent="0.2">
      <c r="B6331" s="2">
        <f ca="1"/>
        <v>0.89400387686908633</v>
      </c>
      <c r="O6331" s="2">
        <f ca="1"/>
        <v>0.42596130567941604</v>
      </c>
      <c r="X6331" s="2">
        <f ca="1"/>
        <v>74.021289346985824</v>
      </c>
      <c r="AG6331" s="2">
        <f ca="1"/>
        <v>0.54005142113799254</v>
      </c>
      <c r="AH6331" s="2" t="str">
        <f ca="1"/>
        <v>Bad</v>
      </c>
    </row>
    <row r="6332" spans="2:34" x14ac:dyDescent="0.2">
      <c r="B6332" s="2">
        <f ca="1"/>
        <v>0.60399754691398577</v>
      </c>
      <c r="O6332" s="2">
        <f ca="1"/>
        <v>-0.53928243475896886</v>
      </c>
      <c r="X6332" s="2">
        <f ca="1"/>
        <v>19.59702618872408</v>
      </c>
      <c r="AG6332" s="2">
        <f ca="1"/>
        <v>0.53106605506839566</v>
      </c>
      <c r="AH6332" s="2" t="str">
        <f ca="1"/>
        <v>Bad</v>
      </c>
    </row>
    <row r="6333" spans="2:34" x14ac:dyDescent="0.2">
      <c r="B6333" s="2">
        <f ca="1"/>
        <v>0.59670346646735362</v>
      </c>
      <c r="O6333" s="2">
        <f ca="1"/>
        <v>0.38715648807020014</v>
      </c>
      <c r="X6333" s="2">
        <f ca="1"/>
        <v>56.647258377967887</v>
      </c>
      <c r="AG6333" s="2">
        <f ca="1"/>
        <v>0.86236746572171596</v>
      </c>
      <c r="AH6333" s="2" t="str">
        <f ca="1"/>
        <v>Bad</v>
      </c>
    </row>
    <row r="6334" spans="2:34" x14ac:dyDescent="0.2">
      <c r="B6334" s="2">
        <f ca="1"/>
        <v>0.79021805404295309</v>
      </c>
      <c r="O6334" s="2">
        <f ca="1"/>
        <v>1.5128469589105067</v>
      </c>
      <c r="X6334" s="2">
        <f ca="1"/>
        <v>37.284277932934714</v>
      </c>
      <c r="AG6334" s="2">
        <f ca="1"/>
        <v>0.80626235832705362</v>
      </c>
      <c r="AH6334" s="2" t="str">
        <f ca="1"/>
        <v>Bad</v>
      </c>
    </row>
    <row r="6335" spans="2:34" x14ac:dyDescent="0.2">
      <c r="B6335" s="2">
        <f ca="1"/>
        <v>0.7093061613999172</v>
      </c>
      <c r="O6335" s="2">
        <f ca="1"/>
        <v>0.307616454347936</v>
      </c>
      <c r="X6335" s="2">
        <f ca="1"/>
        <v>90.149475634574486</v>
      </c>
      <c r="AG6335" s="2">
        <f ca="1"/>
        <v>0.1562240662733918</v>
      </c>
      <c r="AH6335" s="2" t="str">
        <f ca="1"/>
        <v>OK</v>
      </c>
    </row>
    <row r="6336" spans="2:34" x14ac:dyDescent="0.2">
      <c r="B6336" s="2">
        <f ca="1"/>
        <v>7.7194955981683133E-3</v>
      </c>
      <c r="O6336" s="2">
        <f ca="1"/>
        <v>-0.39484979702228162</v>
      </c>
      <c r="X6336" s="2">
        <f ca="1"/>
        <v>50.308396565451552</v>
      </c>
      <c r="AG6336" s="2">
        <f ca="1"/>
        <v>0.40161792222201664</v>
      </c>
      <c r="AH6336" s="2" t="str">
        <f ca="1"/>
        <v>Bad</v>
      </c>
    </row>
    <row r="6337" spans="2:34" x14ac:dyDescent="0.2">
      <c r="B6337" s="2">
        <f ca="1"/>
        <v>0.56764952289395643</v>
      </c>
      <c r="O6337" s="2">
        <f ca="1"/>
        <v>1.3430495629186658</v>
      </c>
      <c r="X6337" s="2">
        <f ca="1"/>
        <v>47.274516726336302</v>
      </c>
      <c r="AG6337" s="2">
        <f ca="1"/>
        <v>0.88052158822854709</v>
      </c>
      <c r="AH6337" s="2" t="str">
        <f ca="1"/>
        <v>Bad</v>
      </c>
    </row>
    <row r="6338" spans="2:34" x14ac:dyDescent="0.2">
      <c r="B6338" s="2">
        <f ca="1"/>
        <v>0.577125901370664</v>
      </c>
      <c r="O6338" s="2">
        <f ca="1"/>
        <v>-1.6380933704761176</v>
      </c>
      <c r="X6338" s="2">
        <f ca="1"/>
        <v>35.496170177729638</v>
      </c>
      <c r="AG6338" s="2">
        <f ca="1"/>
        <v>0.13253184073106161</v>
      </c>
      <c r="AH6338" s="2" t="str">
        <f ca="1"/>
        <v>OK</v>
      </c>
    </row>
    <row r="6339" spans="2:34" x14ac:dyDescent="0.2">
      <c r="B6339" s="2">
        <f ca="1"/>
        <v>0.37129054882768031</v>
      </c>
      <c r="O6339" s="2">
        <f ca="1"/>
        <v>-0.17035475263750463</v>
      </c>
      <c r="X6339" s="2">
        <f ca="1"/>
        <v>34.487420041201389</v>
      </c>
      <c r="AG6339" s="2">
        <f ca="1"/>
        <v>0.92144314122342696</v>
      </c>
      <c r="AH6339" s="2" t="str">
        <f ca="1"/>
        <v>Bad</v>
      </c>
    </row>
    <row r="6340" spans="2:34" x14ac:dyDescent="0.2">
      <c r="B6340" s="2">
        <f ca="1"/>
        <v>0.71775192326130699</v>
      </c>
      <c r="O6340" s="2">
        <f ca="1"/>
        <v>-1.1171185922270421</v>
      </c>
      <c r="X6340" s="2">
        <f ca="1"/>
        <v>38.720313885097745</v>
      </c>
      <c r="AG6340" s="2">
        <f ca="1"/>
        <v>0.23232871288037704</v>
      </c>
      <c r="AH6340" s="2" t="str">
        <f ca="1"/>
        <v>OK</v>
      </c>
    </row>
    <row r="6341" spans="2:34" x14ac:dyDescent="0.2">
      <c r="B6341" s="2">
        <f ca="1"/>
        <v>0.39165908193376198</v>
      </c>
      <c r="O6341" s="2">
        <f ca="1"/>
        <v>-0.44951530303914106</v>
      </c>
      <c r="X6341" s="2">
        <f ca="1"/>
        <v>25.40512433998655</v>
      </c>
      <c r="AG6341" s="2">
        <f ca="1"/>
        <v>0.91339760747958043</v>
      </c>
      <c r="AH6341" s="2" t="str">
        <f ca="1"/>
        <v>Bad</v>
      </c>
    </row>
    <row r="6342" spans="2:34" x14ac:dyDescent="0.2">
      <c r="B6342" s="2">
        <f ca="1"/>
        <v>0.88934938695932853</v>
      </c>
      <c r="O6342" s="2">
        <f ca="1"/>
        <v>-0.90946262560232838</v>
      </c>
      <c r="X6342" s="2">
        <f ca="1"/>
        <v>54.517198052912946</v>
      </c>
      <c r="AG6342" s="2">
        <f ca="1"/>
        <v>8.5656464533587773E-3</v>
      </c>
      <c r="AH6342" s="2" t="str">
        <f ca="1"/>
        <v>Good</v>
      </c>
    </row>
    <row r="6343" spans="2:34" x14ac:dyDescent="0.2">
      <c r="B6343" s="2">
        <f ca="1"/>
        <v>0.94583177480330249</v>
      </c>
      <c r="O6343" s="2">
        <f ca="1"/>
        <v>1.2091498637538041</v>
      </c>
      <c r="X6343" s="2">
        <f ca="1"/>
        <v>35.666692344641682</v>
      </c>
      <c r="AG6343" s="2">
        <f ca="1"/>
        <v>0.21693477525159177</v>
      </c>
      <c r="AH6343" s="2" t="str">
        <f ca="1"/>
        <v>OK</v>
      </c>
    </row>
    <row r="6344" spans="2:34" x14ac:dyDescent="0.2">
      <c r="B6344" s="2">
        <f ca="1"/>
        <v>0.56741803945519909</v>
      </c>
      <c r="O6344" s="2">
        <f ca="1"/>
        <v>0.34660298503972181</v>
      </c>
      <c r="X6344" s="2">
        <f ca="1"/>
        <v>75.041242771034277</v>
      </c>
      <c r="AG6344" s="2">
        <f ca="1"/>
        <v>0.17787711369941062</v>
      </c>
      <c r="AH6344" s="2" t="str">
        <f ca="1"/>
        <v>OK</v>
      </c>
    </row>
    <row r="6345" spans="2:34" x14ac:dyDescent="0.2">
      <c r="B6345" s="2">
        <f ca="1"/>
        <v>0.99228623819887285</v>
      </c>
      <c r="O6345" s="2">
        <f ca="1"/>
        <v>5.7619147952447512E-2</v>
      </c>
      <c r="X6345" s="2">
        <f ca="1"/>
        <v>87.629448368130596</v>
      </c>
      <c r="AG6345" s="2">
        <f ca="1"/>
        <v>0.72291106004185068</v>
      </c>
      <c r="AH6345" s="2" t="str">
        <f ca="1"/>
        <v>Bad</v>
      </c>
    </row>
    <row r="6346" spans="2:34" x14ac:dyDescent="0.2">
      <c r="B6346" s="2">
        <f ca="1"/>
        <v>0.82233240228783089</v>
      </c>
      <c r="O6346" s="2">
        <f ca="1"/>
        <v>-0.47789113340889028</v>
      </c>
      <c r="X6346" s="2">
        <f ca="1"/>
        <v>54.598890033587722</v>
      </c>
      <c r="AG6346" s="2">
        <f ca="1"/>
        <v>0.36229867167729513</v>
      </c>
      <c r="AH6346" s="2" t="str">
        <f ca="1"/>
        <v>OK</v>
      </c>
    </row>
    <row r="6347" spans="2:34" x14ac:dyDescent="0.2">
      <c r="B6347" s="2">
        <f ca="1"/>
        <v>0.97442116335337414</v>
      </c>
      <c r="O6347" s="2">
        <f ca="1"/>
        <v>-5.5598173811451362E-3</v>
      </c>
      <c r="X6347" s="2">
        <f ca="1"/>
        <v>58.552955009556456</v>
      </c>
      <c r="AG6347" s="2">
        <f ca="1"/>
        <v>0.35529889329316111</v>
      </c>
      <c r="AH6347" s="2" t="str">
        <f ca="1"/>
        <v>OK</v>
      </c>
    </row>
    <row r="6348" spans="2:34" x14ac:dyDescent="0.2">
      <c r="B6348" s="2">
        <f ca="1"/>
        <v>7.4716234082257138E-3</v>
      </c>
      <c r="O6348" s="2">
        <f ca="1"/>
        <v>0.51219030283074174</v>
      </c>
      <c r="X6348" s="2">
        <f ca="1"/>
        <v>39.912290667585438</v>
      </c>
      <c r="AG6348" s="2">
        <f ca="1"/>
        <v>0.16244133118686177</v>
      </c>
      <c r="AH6348" s="2" t="str">
        <f ca="1"/>
        <v>OK</v>
      </c>
    </row>
    <row r="6349" spans="2:34" x14ac:dyDescent="0.2">
      <c r="B6349" s="2">
        <f ca="1"/>
        <v>0.81422908306484909</v>
      </c>
      <c r="O6349" s="2">
        <f ca="1"/>
        <v>-1.3089054639555318</v>
      </c>
      <c r="X6349" s="2">
        <f ca="1"/>
        <v>65.755923772935375</v>
      </c>
      <c r="AG6349" s="2">
        <f ca="1"/>
        <v>0.94503247282318048</v>
      </c>
      <c r="AH6349" s="2" t="str">
        <f ca="1"/>
        <v>Bad</v>
      </c>
    </row>
    <row r="6350" spans="2:34" x14ac:dyDescent="0.2">
      <c r="B6350" s="2">
        <f ca="1"/>
        <v>0.3784828152430304</v>
      </c>
      <c r="O6350" s="2">
        <f ca="1"/>
        <v>-1.9486826948571854</v>
      </c>
      <c r="X6350" s="2">
        <f ca="1"/>
        <v>45.2061658274636</v>
      </c>
      <c r="AG6350" s="2">
        <f ca="1"/>
        <v>0.14621842984570299</v>
      </c>
      <c r="AH6350" s="2" t="str">
        <f ca="1"/>
        <v>OK</v>
      </c>
    </row>
    <row r="6351" spans="2:34" x14ac:dyDescent="0.2">
      <c r="B6351" s="2">
        <f ca="1"/>
        <v>0.17518519534025634</v>
      </c>
      <c r="O6351" s="2">
        <f ca="1"/>
        <v>1.1933557993924793</v>
      </c>
      <c r="X6351" s="2">
        <f ca="1"/>
        <v>59.643979956723705</v>
      </c>
      <c r="AG6351" s="2">
        <f ca="1"/>
        <v>3.6705665074584504E-2</v>
      </c>
      <c r="AH6351" s="2" t="str">
        <f ca="1"/>
        <v>Good</v>
      </c>
    </row>
    <row r="6352" spans="2:34" x14ac:dyDescent="0.2">
      <c r="B6352" s="2">
        <f ca="1"/>
        <v>0.4462066003211782</v>
      </c>
      <c r="O6352" s="2">
        <f ca="1"/>
        <v>-0.32817964307045866</v>
      </c>
      <c r="X6352" s="2">
        <f ca="1"/>
        <v>43.402669547355529</v>
      </c>
      <c r="AG6352" s="2">
        <f ca="1"/>
        <v>0.14073674707241146</v>
      </c>
      <c r="AH6352" s="2" t="str">
        <f ca="1"/>
        <v>OK</v>
      </c>
    </row>
    <row r="6353" spans="2:34" x14ac:dyDescent="0.2">
      <c r="B6353" s="2">
        <f ca="1"/>
        <v>0.27320325340404472</v>
      </c>
      <c r="O6353" s="2">
        <f ca="1"/>
        <v>-0.74325461434714268</v>
      </c>
      <c r="X6353" s="2">
        <f ca="1"/>
        <v>39.891442594916569</v>
      </c>
      <c r="AG6353" s="2">
        <f ca="1"/>
        <v>0.64303478442444617</v>
      </c>
      <c r="AH6353" s="2" t="str">
        <f ca="1"/>
        <v>Bad</v>
      </c>
    </row>
    <row r="6354" spans="2:34" x14ac:dyDescent="0.2">
      <c r="B6354" s="2">
        <f ca="1"/>
        <v>0.81861928902761916</v>
      </c>
      <c r="O6354" s="2">
        <f ca="1"/>
        <v>-1.2769616544123739</v>
      </c>
      <c r="X6354" s="2">
        <f ca="1"/>
        <v>34.836636943903919</v>
      </c>
      <c r="AG6354" s="2">
        <f ca="1"/>
        <v>0.96008818019110054</v>
      </c>
      <c r="AH6354" s="2" t="str">
        <f ca="1"/>
        <v>Bad</v>
      </c>
    </row>
    <row r="6355" spans="2:34" x14ac:dyDescent="0.2">
      <c r="B6355" s="2">
        <f ca="1"/>
        <v>0.20607832784920976</v>
      </c>
      <c r="O6355" s="2">
        <f ca="1"/>
        <v>0.40772063609084164</v>
      </c>
      <c r="X6355" s="2">
        <f ca="1"/>
        <v>59.977176612090808</v>
      </c>
      <c r="AG6355" s="2">
        <f ca="1"/>
        <v>4.4598702155111969E-2</v>
      </c>
      <c r="AH6355" s="2" t="str">
        <f ca="1"/>
        <v>Good</v>
      </c>
    </row>
    <row r="6356" spans="2:34" x14ac:dyDescent="0.2">
      <c r="B6356" s="2">
        <f ca="1"/>
        <v>0.75521336818043894</v>
      </c>
      <c r="O6356" s="2">
        <f ca="1"/>
        <v>0.8940917048163104</v>
      </c>
      <c r="X6356" s="2">
        <f ca="1"/>
        <v>49.745906975580979</v>
      </c>
      <c r="AG6356" s="2">
        <f ca="1"/>
        <v>0.14338537809572283</v>
      </c>
      <c r="AH6356" s="2" t="str">
        <f ca="1"/>
        <v>OK</v>
      </c>
    </row>
    <row r="6357" spans="2:34" x14ac:dyDescent="0.2">
      <c r="B6357" s="2">
        <f ca="1"/>
        <v>0.90689433610774106</v>
      </c>
      <c r="O6357" s="2">
        <f ca="1"/>
        <v>-0.66176925223758176</v>
      </c>
      <c r="X6357" s="2">
        <f ca="1"/>
        <v>32.653598963645479</v>
      </c>
      <c r="AG6357" s="2">
        <f ca="1"/>
        <v>0.19341715712362384</v>
      </c>
      <c r="AH6357" s="2" t="str">
        <f ca="1"/>
        <v>OK</v>
      </c>
    </row>
    <row r="6358" spans="2:34" x14ac:dyDescent="0.2">
      <c r="B6358" s="2">
        <f ca="1"/>
        <v>0.654494243473972</v>
      </c>
      <c r="O6358" s="2">
        <f ca="1"/>
        <v>0.58424488934314966</v>
      </c>
      <c r="X6358" s="2">
        <f ca="1"/>
        <v>55.927931787424569</v>
      </c>
      <c r="AG6358" s="2">
        <f ca="1"/>
        <v>0.97753495094140552</v>
      </c>
      <c r="AH6358" s="2" t="str">
        <f ca="1"/>
        <v>Bad</v>
      </c>
    </row>
    <row r="6359" spans="2:34" x14ac:dyDescent="0.2">
      <c r="B6359" s="2">
        <f ca="1"/>
        <v>0.90968786341135477</v>
      </c>
      <c r="O6359" s="2">
        <f ca="1"/>
        <v>-1.1292571022336499</v>
      </c>
      <c r="X6359" s="2">
        <f ca="1"/>
        <v>21.792571375321547</v>
      </c>
      <c r="AG6359" s="2">
        <f ca="1"/>
        <v>0.18185952658608295</v>
      </c>
      <c r="AH6359" s="2" t="str">
        <f ca="1"/>
        <v>OK</v>
      </c>
    </row>
    <row r="6360" spans="2:34" x14ac:dyDescent="0.2">
      <c r="B6360" s="2">
        <f ca="1"/>
        <v>0.10653434747345303</v>
      </c>
      <c r="O6360" s="2">
        <f ca="1"/>
        <v>6.1850013216948614E-2</v>
      </c>
      <c r="X6360" s="2">
        <f ca="1"/>
        <v>50.77368073171094</v>
      </c>
      <c r="AG6360" s="2">
        <f ca="1"/>
        <v>0.22351693522322158</v>
      </c>
      <c r="AH6360" s="2" t="str">
        <f ca="1"/>
        <v>OK</v>
      </c>
    </row>
    <row r="6361" spans="2:34" x14ac:dyDescent="0.2">
      <c r="B6361" s="2">
        <f ca="1"/>
        <v>0.26945353717628295</v>
      </c>
      <c r="O6361" s="2">
        <f ca="1"/>
        <v>1.2591263867676139</v>
      </c>
      <c r="X6361" s="2">
        <f ca="1"/>
        <v>41.174317895820842</v>
      </c>
      <c r="AG6361" s="2">
        <f ca="1"/>
        <v>0.51734406080392836</v>
      </c>
      <c r="AH6361" s="2" t="str">
        <f ca="1"/>
        <v>Bad</v>
      </c>
    </row>
    <row r="6362" spans="2:34" x14ac:dyDescent="0.2">
      <c r="B6362" s="2">
        <f ca="1"/>
        <v>0.17050330697926408</v>
      </c>
      <c r="O6362" s="2">
        <f ca="1"/>
        <v>1.7897175793300129</v>
      </c>
      <c r="X6362" s="2">
        <f ca="1"/>
        <v>57.983637027346916</v>
      </c>
      <c r="AG6362" s="2">
        <f ca="1"/>
        <v>0.29406405029999183</v>
      </c>
      <c r="AH6362" s="2" t="str">
        <f ca="1"/>
        <v>OK</v>
      </c>
    </row>
    <row r="6363" spans="2:34" x14ac:dyDescent="0.2">
      <c r="B6363" s="2">
        <f ca="1"/>
        <v>0.69193166240814175</v>
      </c>
      <c r="O6363" s="2">
        <f ca="1"/>
        <v>1.5376426780831045</v>
      </c>
      <c r="X6363" s="2">
        <f ca="1"/>
        <v>56.771071528018282</v>
      </c>
      <c r="AG6363" s="2">
        <f ca="1"/>
        <v>0.40878258112320598</v>
      </c>
      <c r="AH6363" s="2" t="str">
        <f ca="1"/>
        <v>Bad</v>
      </c>
    </row>
    <row r="6364" spans="2:34" x14ac:dyDescent="0.2">
      <c r="B6364" s="2">
        <f ca="1"/>
        <v>4.717046762606536E-2</v>
      </c>
      <c r="O6364" s="2">
        <f ca="1"/>
        <v>1.4696142005021156</v>
      </c>
      <c r="X6364" s="2">
        <f ca="1"/>
        <v>48.159355359827543</v>
      </c>
      <c r="AG6364" s="2">
        <f ca="1"/>
        <v>0.77344743975937269</v>
      </c>
      <c r="AH6364" s="2" t="str">
        <f ca="1"/>
        <v>Bad</v>
      </c>
    </row>
    <row r="6365" spans="2:34" x14ac:dyDescent="0.2">
      <c r="B6365" s="2">
        <f ca="1"/>
        <v>0.56230539061663309</v>
      </c>
      <c r="O6365" s="2">
        <f ca="1"/>
        <v>0.47679710141765153</v>
      </c>
      <c r="X6365" s="2">
        <f ca="1"/>
        <v>26.398265939218469</v>
      </c>
      <c r="AG6365" s="2">
        <f ca="1"/>
        <v>0.59188851011091792</v>
      </c>
      <c r="AH6365" s="2" t="str">
        <f ca="1"/>
        <v>Bad</v>
      </c>
    </row>
    <row r="6366" spans="2:34" x14ac:dyDescent="0.2">
      <c r="B6366" s="2">
        <f ca="1"/>
        <v>0.35208751509093328</v>
      </c>
      <c r="O6366" s="2">
        <f ca="1"/>
        <v>-0.50280859357314811</v>
      </c>
      <c r="X6366" s="2">
        <f ca="1"/>
        <v>29.841637772115167</v>
      </c>
      <c r="AG6366" s="2">
        <f ca="1"/>
        <v>0.39147442089935436</v>
      </c>
      <c r="AH6366" s="2" t="str">
        <f ca="1"/>
        <v>OK</v>
      </c>
    </row>
    <row r="6367" spans="2:34" x14ac:dyDescent="0.2">
      <c r="B6367" s="2">
        <f ca="1"/>
        <v>0.82064523561424108</v>
      </c>
      <c r="O6367" s="2">
        <f ca="1"/>
        <v>-0.17270460251753827</v>
      </c>
      <c r="X6367" s="2">
        <f ca="1"/>
        <v>48.655267355937227</v>
      </c>
      <c r="AG6367" s="2">
        <f ca="1"/>
        <v>0.41504239818360933</v>
      </c>
      <c r="AH6367" s="2" t="str">
        <f ca="1"/>
        <v>Bad</v>
      </c>
    </row>
    <row r="6368" spans="2:34" x14ac:dyDescent="0.2">
      <c r="B6368" s="2">
        <f ca="1"/>
        <v>0.54901776775735467</v>
      </c>
      <c r="O6368" s="2">
        <f ca="1"/>
        <v>0.36104710352818464</v>
      </c>
      <c r="X6368" s="2">
        <f ca="1"/>
        <v>46.133714755148475</v>
      </c>
      <c r="AG6368" s="2">
        <f ca="1"/>
        <v>0.77123001040188655</v>
      </c>
      <c r="AH6368" s="2" t="str">
        <f ca="1"/>
        <v>Bad</v>
      </c>
    </row>
    <row r="6369" spans="2:34" x14ac:dyDescent="0.2">
      <c r="B6369" s="2">
        <f ca="1"/>
        <v>0.57421107974613483</v>
      </c>
      <c r="O6369" s="2">
        <f ca="1"/>
        <v>-1.1158217309710083</v>
      </c>
      <c r="X6369" s="2">
        <f ca="1"/>
        <v>41.173002289168927</v>
      </c>
      <c r="AG6369" s="2">
        <f ca="1"/>
        <v>0.47993942109074816</v>
      </c>
      <c r="AH6369" s="2" t="str">
        <f ca="1"/>
        <v>Bad</v>
      </c>
    </row>
    <row r="6370" spans="2:34" x14ac:dyDescent="0.2">
      <c r="B6370" s="2">
        <f ca="1"/>
        <v>0.79650328990871655</v>
      </c>
      <c r="O6370" s="2">
        <f ca="1"/>
        <v>-0.72180600145426888</v>
      </c>
      <c r="X6370" s="2">
        <f ca="1"/>
        <v>54.395978397079439</v>
      </c>
      <c r="AG6370" s="2">
        <f ca="1"/>
        <v>0.98103349095333736</v>
      </c>
      <c r="AH6370" s="2" t="str">
        <f ca="1"/>
        <v>Bad</v>
      </c>
    </row>
    <row r="6371" spans="2:34" x14ac:dyDescent="0.2">
      <c r="B6371" s="2">
        <f ca="1"/>
        <v>0.61586720598266664</v>
      </c>
      <c r="O6371" s="2">
        <f ca="1"/>
        <v>0.11819410812761839</v>
      </c>
      <c r="X6371" s="2">
        <f ca="1"/>
        <v>45.891194077293562</v>
      </c>
      <c r="AG6371" s="2">
        <f ca="1"/>
        <v>0.18786431350069921</v>
      </c>
      <c r="AH6371" s="2" t="str">
        <f ca="1"/>
        <v>OK</v>
      </c>
    </row>
    <row r="6372" spans="2:34" x14ac:dyDescent="0.2">
      <c r="B6372" s="2">
        <f ca="1"/>
        <v>0.55088541860757045</v>
      </c>
      <c r="O6372" s="2">
        <f ca="1"/>
        <v>-5.6106867122304789E-2</v>
      </c>
      <c r="X6372" s="2">
        <f ca="1"/>
        <v>38.785825096896673</v>
      </c>
      <c r="AG6372" s="2">
        <f ca="1"/>
        <v>0.67145251985243126</v>
      </c>
      <c r="AH6372" s="2" t="str">
        <f ca="1"/>
        <v>Bad</v>
      </c>
    </row>
    <row r="6373" spans="2:34" x14ac:dyDescent="0.2">
      <c r="B6373" s="2">
        <f ca="1"/>
        <v>5.3670165669241321E-2</v>
      </c>
      <c r="O6373" s="2">
        <f ca="1"/>
        <v>0.2284297045616373</v>
      </c>
      <c r="X6373" s="2">
        <f ca="1"/>
        <v>52.052113407519514</v>
      </c>
      <c r="AG6373" s="2">
        <f ca="1"/>
        <v>8.5457419256456113E-3</v>
      </c>
      <c r="AH6373" s="2" t="str">
        <f ca="1"/>
        <v>Good</v>
      </c>
    </row>
    <row r="6374" spans="2:34" x14ac:dyDescent="0.2">
      <c r="B6374" s="2">
        <f ca="1"/>
        <v>0.52659948844778537</v>
      </c>
      <c r="O6374" s="2">
        <f ca="1"/>
        <v>1.1070052776952124</v>
      </c>
      <c r="X6374" s="2">
        <f ca="1"/>
        <v>72.186895069505297</v>
      </c>
      <c r="AG6374" s="2">
        <f ca="1"/>
        <v>0.66447928680846213</v>
      </c>
      <c r="AH6374" s="2" t="str">
        <f ca="1"/>
        <v>Bad</v>
      </c>
    </row>
    <row r="6375" spans="2:34" x14ac:dyDescent="0.2">
      <c r="B6375" s="2">
        <f ca="1"/>
        <v>0.1415934812640276</v>
      </c>
      <c r="O6375" s="2">
        <f ca="1"/>
        <v>0.23454295199204003</v>
      </c>
      <c r="X6375" s="2">
        <f ca="1"/>
        <v>31.851665499211521</v>
      </c>
      <c r="AG6375" s="2">
        <f ca="1"/>
        <v>0.38634284404877195</v>
      </c>
      <c r="AH6375" s="2" t="str">
        <f ca="1"/>
        <v>OK</v>
      </c>
    </row>
    <row r="6376" spans="2:34" x14ac:dyDescent="0.2">
      <c r="B6376" s="2">
        <f ca="1"/>
        <v>0.31458400354261129</v>
      </c>
      <c r="O6376" s="2">
        <f ca="1"/>
        <v>-2.0076109208957549</v>
      </c>
      <c r="X6376" s="2">
        <f ca="1"/>
        <v>46.167911004777707</v>
      </c>
      <c r="AG6376" s="2">
        <f ca="1"/>
        <v>8.3661522331687221E-2</v>
      </c>
      <c r="AH6376" s="2" t="str">
        <f ca="1"/>
        <v>OK</v>
      </c>
    </row>
    <row r="6377" spans="2:34" x14ac:dyDescent="0.2">
      <c r="B6377" s="2">
        <f ca="1"/>
        <v>0.31725945676142442</v>
      </c>
      <c r="O6377" s="2">
        <f ca="1"/>
        <v>0.62477919974957141</v>
      </c>
      <c r="X6377" s="2">
        <f ca="1"/>
        <v>55.786970969736331</v>
      </c>
      <c r="AG6377" s="2">
        <f ca="1"/>
        <v>8.7573552197692806E-3</v>
      </c>
      <c r="AH6377" s="2" t="str">
        <f ca="1"/>
        <v>Good</v>
      </c>
    </row>
    <row r="6378" spans="2:34" x14ac:dyDescent="0.2">
      <c r="B6378" s="2">
        <f ca="1"/>
        <v>0.41242554331534231</v>
      </c>
      <c r="O6378" s="2">
        <f ca="1"/>
        <v>0.44780525395388321</v>
      </c>
      <c r="X6378" s="2">
        <f ca="1"/>
        <v>38.90747679123443</v>
      </c>
      <c r="AG6378" s="2">
        <f ca="1"/>
        <v>0.28816478431821646</v>
      </c>
      <c r="AH6378" s="2" t="str">
        <f ca="1"/>
        <v>OK</v>
      </c>
    </row>
    <row r="6379" spans="2:34" x14ac:dyDescent="0.2">
      <c r="B6379" s="2">
        <f ca="1"/>
        <v>0.64994435059784839</v>
      </c>
      <c r="O6379" s="2">
        <f ca="1"/>
        <v>2.1123963213547712</v>
      </c>
      <c r="X6379" s="2">
        <f ca="1"/>
        <v>73.037008788815058</v>
      </c>
      <c r="AG6379" s="2">
        <f ca="1"/>
        <v>0.11122681055652017</v>
      </c>
      <c r="AH6379" s="2" t="str">
        <f ca="1"/>
        <v>OK</v>
      </c>
    </row>
    <row r="6380" spans="2:34" x14ac:dyDescent="0.2">
      <c r="B6380" s="2">
        <f ca="1"/>
        <v>0.50498402013052379</v>
      </c>
      <c r="O6380" s="2">
        <f ca="1"/>
        <v>1.3747160412132959</v>
      </c>
      <c r="X6380" s="2">
        <f ca="1"/>
        <v>37.77798234816666</v>
      </c>
      <c r="AG6380" s="2">
        <f ca="1"/>
        <v>0.6645457500262788</v>
      </c>
      <c r="AH6380" s="2" t="str">
        <f ca="1"/>
        <v>Bad</v>
      </c>
    </row>
    <row r="6381" spans="2:34" x14ac:dyDescent="0.2">
      <c r="B6381" s="2">
        <f ca="1"/>
        <v>0.15885491243401928</v>
      </c>
      <c r="O6381" s="2">
        <f ca="1"/>
        <v>-1.3431035985314563</v>
      </c>
      <c r="X6381" s="2">
        <f ca="1"/>
        <v>42.15406889456272</v>
      </c>
      <c r="AG6381" s="2">
        <f ca="1"/>
        <v>0.69875989586297127</v>
      </c>
      <c r="AH6381" s="2" t="str">
        <f ca="1"/>
        <v>Bad</v>
      </c>
    </row>
    <row r="6382" spans="2:34" x14ac:dyDescent="0.2">
      <c r="B6382" s="2">
        <f ca="1"/>
        <v>0.59681020229589721</v>
      </c>
      <c r="O6382" s="2">
        <f ca="1"/>
        <v>-2.3627755892634781</v>
      </c>
      <c r="X6382" s="2">
        <f ca="1"/>
        <v>46.961669453100029</v>
      </c>
      <c r="AG6382" s="2">
        <f ca="1"/>
        <v>7.5341568629462063E-2</v>
      </c>
      <c r="AH6382" s="2" t="str">
        <f ca="1"/>
        <v>OK</v>
      </c>
    </row>
    <row r="6383" spans="2:34" x14ac:dyDescent="0.2">
      <c r="B6383" s="2">
        <f ca="1"/>
        <v>0.44201200325126244</v>
      </c>
      <c r="O6383" s="2">
        <f ca="1"/>
        <v>1.0472613903109049</v>
      </c>
      <c r="X6383" s="2">
        <f ca="1"/>
        <v>61.893226666538496</v>
      </c>
      <c r="AG6383" s="2">
        <f ca="1"/>
        <v>0.56157691933010123</v>
      </c>
      <c r="AH6383" s="2" t="str">
        <f ca="1"/>
        <v>Bad</v>
      </c>
    </row>
    <row r="6384" spans="2:34" x14ac:dyDescent="0.2">
      <c r="B6384" s="2">
        <f ca="1"/>
        <v>0.36294164612102353</v>
      </c>
      <c r="O6384" s="2">
        <f ca="1"/>
        <v>0.18903576610280839</v>
      </c>
      <c r="X6384" s="2">
        <f ca="1"/>
        <v>55.178535220242402</v>
      </c>
      <c r="AG6384" s="2">
        <f ca="1"/>
        <v>7.7489226883689311E-2</v>
      </c>
      <c r="AH6384" s="2" t="str">
        <f ca="1"/>
        <v>OK</v>
      </c>
    </row>
    <row r="6385" spans="2:34" x14ac:dyDescent="0.2">
      <c r="B6385" s="2">
        <f ca="1"/>
        <v>0.17471677337140967</v>
      </c>
      <c r="O6385" s="2">
        <f ca="1"/>
        <v>-0.66627342618414021</v>
      </c>
      <c r="X6385" s="2">
        <f ca="1"/>
        <v>71.044652325164549</v>
      </c>
      <c r="AG6385" s="2">
        <f ca="1"/>
        <v>0.80056853516847015</v>
      </c>
      <c r="AH6385" s="2" t="str">
        <f ca="1"/>
        <v>Bad</v>
      </c>
    </row>
    <row r="6386" spans="2:34" x14ac:dyDescent="0.2">
      <c r="B6386" s="2">
        <f ca="1"/>
        <v>0.82360002827181322</v>
      </c>
      <c r="O6386" s="2">
        <f ca="1"/>
        <v>0.2026475466826175</v>
      </c>
      <c r="X6386" s="2">
        <f ca="1"/>
        <v>56.943415120281529</v>
      </c>
      <c r="AG6386" s="2">
        <f ca="1"/>
        <v>0.69199418857604011</v>
      </c>
      <c r="AH6386" s="2" t="str">
        <f ca="1"/>
        <v>Bad</v>
      </c>
    </row>
    <row r="6387" spans="2:34" x14ac:dyDescent="0.2">
      <c r="B6387" s="2">
        <f ca="1"/>
        <v>8.7515757138998396E-2</v>
      </c>
      <c r="O6387" s="2">
        <f ca="1"/>
        <v>-0.57317676398295148</v>
      </c>
      <c r="X6387" s="2">
        <f ca="1"/>
        <v>56.75431885299119</v>
      </c>
      <c r="AG6387" s="2">
        <f ca="1"/>
        <v>0.31113690628612223</v>
      </c>
      <c r="AH6387" s="2" t="str">
        <f ca="1"/>
        <v>OK</v>
      </c>
    </row>
    <row r="6388" spans="2:34" x14ac:dyDescent="0.2">
      <c r="B6388" s="2">
        <f ca="1"/>
        <v>0.63172599904120674</v>
      </c>
      <c r="O6388" s="2">
        <f ca="1"/>
        <v>3.261212060931163E-2</v>
      </c>
      <c r="X6388" s="2">
        <f ca="1"/>
        <v>36.825782300795872</v>
      </c>
      <c r="AG6388" s="2">
        <f ca="1"/>
        <v>0.29052963085155437</v>
      </c>
      <c r="AH6388" s="2" t="str">
        <f ca="1"/>
        <v>OK</v>
      </c>
    </row>
    <row r="6389" spans="2:34" x14ac:dyDescent="0.2">
      <c r="B6389" s="2">
        <f ca="1"/>
        <v>0.22249292081943195</v>
      </c>
      <c r="O6389" s="2">
        <f ca="1"/>
        <v>-1.9076329280425721</v>
      </c>
      <c r="X6389" s="2">
        <f ca="1"/>
        <v>56.02966976425617</v>
      </c>
      <c r="AG6389" s="2">
        <f ca="1"/>
        <v>0.51359228114956768</v>
      </c>
      <c r="AH6389" s="2" t="str">
        <f ca="1"/>
        <v>Bad</v>
      </c>
    </row>
    <row r="6390" spans="2:34" x14ac:dyDescent="0.2">
      <c r="B6390" s="2">
        <f ca="1"/>
        <v>0.94489216350061178</v>
      </c>
      <c r="O6390" s="2">
        <f ca="1"/>
        <v>2.1419650717854779</v>
      </c>
      <c r="X6390" s="2">
        <f ca="1"/>
        <v>48.462292984575797</v>
      </c>
      <c r="AG6390" s="2">
        <f ca="1"/>
        <v>1.0470585740058658E-2</v>
      </c>
      <c r="AH6390" s="2" t="str">
        <f ca="1"/>
        <v>Good</v>
      </c>
    </row>
    <row r="6391" spans="2:34" x14ac:dyDescent="0.2">
      <c r="B6391" s="2">
        <f ca="1"/>
        <v>0.45899534913885631</v>
      </c>
      <c r="O6391" s="2">
        <f ca="1"/>
        <v>0.86543381416536935</v>
      </c>
      <c r="X6391" s="2">
        <f ca="1"/>
        <v>71.630165034268856</v>
      </c>
      <c r="AG6391" s="2">
        <f ca="1"/>
        <v>0.72285933009853465</v>
      </c>
      <c r="AH6391" s="2" t="str">
        <f ca="1"/>
        <v>Bad</v>
      </c>
    </row>
    <row r="6392" spans="2:34" x14ac:dyDescent="0.2">
      <c r="B6392" s="2">
        <f ca="1"/>
        <v>0.18209020962781519</v>
      </c>
      <c r="O6392" s="2">
        <f ca="1"/>
        <v>-1.2671382188669937</v>
      </c>
      <c r="X6392" s="2">
        <f ca="1"/>
        <v>50.471374298806133</v>
      </c>
      <c r="AG6392" s="2">
        <f ca="1"/>
        <v>0.8120809864574936</v>
      </c>
      <c r="AH6392" s="2" t="str">
        <f ca="1"/>
        <v>Bad</v>
      </c>
    </row>
    <row r="6393" spans="2:34" x14ac:dyDescent="0.2">
      <c r="B6393" s="2">
        <f ca="1"/>
        <v>0.78822700827081382</v>
      </c>
      <c r="O6393" s="2">
        <f ca="1"/>
        <v>0.40245419377912184</v>
      </c>
      <c r="X6393" s="2">
        <f ca="1"/>
        <v>78.433040663486679</v>
      </c>
      <c r="AG6393" s="2">
        <f ca="1"/>
        <v>0.8077325788260159</v>
      </c>
      <c r="AH6393" s="2" t="str">
        <f ca="1"/>
        <v>Bad</v>
      </c>
    </row>
    <row r="6394" spans="2:34" x14ac:dyDescent="0.2">
      <c r="B6394" s="2">
        <f ca="1"/>
        <v>0.38122966048374152</v>
      </c>
      <c r="O6394" s="2">
        <f ca="1"/>
        <v>-1.1448107025785104</v>
      </c>
      <c r="X6394" s="2">
        <f ca="1"/>
        <v>52.466064626844798</v>
      </c>
      <c r="AG6394" s="2">
        <f ca="1"/>
        <v>0.39311437201221078</v>
      </c>
      <c r="AH6394" s="2" t="str">
        <f ca="1"/>
        <v>OK</v>
      </c>
    </row>
    <row r="6395" spans="2:34" x14ac:dyDescent="0.2">
      <c r="B6395" s="2">
        <f ca="1"/>
        <v>2.9521949762933986E-3</v>
      </c>
      <c r="O6395" s="2">
        <f ca="1"/>
        <v>-0.19913283402134313</v>
      </c>
      <c r="X6395" s="2">
        <f ca="1"/>
        <v>67.401231850887939</v>
      </c>
      <c r="AG6395" s="2">
        <f ca="1"/>
        <v>0.46819269035620881</v>
      </c>
      <c r="AH6395" s="2" t="str">
        <f ca="1"/>
        <v>Bad</v>
      </c>
    </row>
    <row r="6396" spans="2:34" x14ac:dyDescent="0.2">
      <c r="B6396" s="2">
        <f ca="1"/>
        <v>4.3081626196594947E-4</v>
      </c>
      <c r="O6396" s="2">
        <f ca="1"/>
        <v>1.9529307969416934</v>
      </c>
      <c r="X6396" s="2">
        <f ca="1"/>
        <v>31.962662334752025</v>
      </c>
      <c r="AG6396" s="2">
        <f ca="1"/>
        <v>0.87414567024768108</v>
      </c>
      <c r="AH6396" s="2" t="str">
        <f ca="1"/>
        <v>Bad</v>
      </c>
    </row>
    <row r="6397" spans="2:34" x14ac:dyDescent="0.2">
      <c r="B6397" s="2">
        <f ca="1"/>
        <v>0.51814167036313541</v>
      </c>
      <c r="O6397" s="2">
        <f ca="1"/>
        <v>0.59588395100958624</v>
      </c>
      <c r="X6397" s="2">
        <f ca="1"/>
        <v>42.776320481728057</v>
      </c>
      <c r="AG6397" s="2">
        <f ca="1"/>
        <v>0.20383441020055382</v>
      </c>
      <c r="AH6397" s="2" t="str">
        <f ca="1"/>
        <v>OK</v>
      </c>
    </row>
    <row r="6398" spans="2:34" x14ac:dyDescent="0.2">
      <c r="B6398" s="2">
        <f ca="1"/>
        <v>0.75515903547079066</v>
      </c>
      <c r="O6398" s="2">
        <f ca="1"/>
        <v>-0.41268705033013769</v>
      </c>
      <c r="X6398" s="2">
        <f ca="1"/>
        <v>42.995495214656486</v>
      </c>
      <c r="AG6398" s="2">
        <f ca="1"/>
        <v>0.43536108261124551</v>
      </c>
      <c r="AH6398" s="2" t="str">
        <f ca="1"/>
        <v>Bad</v>
      </c>
    </row>
    <row r="6399" spans="2:34" x14ac:dyDescent="0.2">
      <c r="B6399" s="2">
        <f ca="1"/>
        <v>0.56719629963767582</v>
      </c>
      <c r="O6399" s="2">
        <f ca="1"/>
        <v>0.12399531679158088</v>
      </c>
      <c r="X6399" s="2">
        <f ca="1"/>
        <v>74.176005811210374</v>
      </c>
      <c r="AG6399" s="2">
        <f ca="1"/>
        <v>0.12448983424103566</v>
      </c>
      <c r="AH6399" s="2" t="str">
        <f ca="1"/>
        <v>OK</v>
      </c>
    </row>
    <row r="6400" spans="2:34" x14ac:dyDescent="0.2">
      <c r="B6400" s="2">
        <f ca="1"/>
        <v>0.18217781050489101</v>
      </c>
      <c r="O6400" s="2">
        <f ca="1"/>
        <v>-1.2874808094865797</v>
      </c>
      <c r="X6400" s="2">
        <f ca="1"/>
        <v>51.327391788831811</v>
      </c>
      <c r="AG6400" s="2">
        <f ca="1"/>
        <v>0.32053466273247455</v>
      </c>
      <c r="AH6400" s="2" t="str">
        <f ca="1"/>
        <v>OK</v>
      </c>
    </row>
    <row r="6401" spans="2:34" x14ac:dyDescent="0.2">
      <c r="B6401" s="2">
        <f ca="1"/>
        <v>0.7325379382105135</v>
      </c>
      <c r="O6401" s="2">
        <f ca="1"/>
        <v>-0.41642891643159041</v>
      </c>
      <c r="X6401" s="2">
        <f ca="1"/>
        <v>49.755154001461833</v>
      </c>
      <c r="AG6401" s="2">
        <f ca="1"/>
        <v>0.73155519425166582</v>
      </c>
      <c r="AH6401" s="2" t="str">
        <f ca="1"/>
        <v>Bad</v>
      </c>
    </row>
    <row r="6402" spans="2:34" x14ac:dyDescent="0.2">
      <c r="B6402" s="2">
        <f ca="1"/>
        <v>0.33359131851701029</v>
      </c>
      <c r="O6402" s="2">
        <f ca="1"/>
        <v>-0.47979881421139764</v>
      </c>
      <c r="X6402" s="2">
        <f ca="1"/>
        <v>37.003801880570379</v>
      </c>
      <c r="AG6402" s="2">
        <f ca="1"/>
        <v>0.75122721244842561</v>
      </c>
      <c r="AH6402" s="2" t="str">
        <f ca="1"/>
        <v>Bad</v>
      </c>
    </row>
    <row r="6403" spans="2:34" x14ac:dyDescent="0.2">
      <c r="B6403" s="2">
        <f ca="1"/>
        <v>0.47867996660116718</v>
      </c>
      <c r="O6403" s="2">
        <f ca="1"/>
        <v>0.32972008730816854</v>
      </c>
      <c r="X6403" s="2">
        <f ca="1"/>
        <v>60.778096988174902</v>
      </c>
      <c r="AG6403" s="2">
        <f ca="1"/>
        <v>0.53246078192962765</v>
      </c>
      <c r="AH6403" s="2" t="str">
        <f ca="1"/>
        <v>Bad</v>
      </c>
    </row>
    <row r="6404" spans="2:34" x14ac:dyDescent="0.2">
      <c r="B6404" s="2">
        <f ca="1"/>
        <v>0.81819628586938253</v>
      </c>
      <c r="O6404" s="2">
        <f ca="1"/>
        <v>0.46879607004423079</v>
      </c>
      <c r="X6404" s="2">
        <f ca="1"/>
        <v>51.467376740029849</v>
      </c>
      <c r="AG6404" s="2">
        <f ca="1"/>
        <v>0.31378432479111007</v>
      </c>
      <c r="AH6404" s="2" t="str">
        <f ca="1"/>
        <v>OK</v>
      </c>
    </row>
    <row r="6405" spans="2:34" x14ac:dyDescent="0.2">
      <c r="B6405" s="2">
        <f ca="1"/>
        <v>3.9234530579893123E-2</v>
      </c>
      <c r="O6405" s="2">
        <f ca="1"/>
        <v>0.25678490606459858</v>
      </c>
      <c r="X6405" s="2">
        <f ca="1"/>
        <v>28.432727969035948</v>
      </c>
      <c r="AG6405" s="2">
        <f ca="1"/>
        <v>0.75042070470739719</v>
      </c>
      <c r="AH6405" s="2" t="str">
        <f ca="1"/>
        <v>Bad</v>
      </c>
    </row>
    <row r="6406" spans="2:34" x14ac:dyDescent="0.2">
      <c r="B6406" s="2">
        <f ca="1"/>
        <v>0.10595196494733039</v>
      </c>
      <c r="O6406" s="2">
        <f ca="1"/>
        <v>-0.19487800699828023</v>
      </c>
      <c r="X6406" s="2">
        <f ca="1"/>
        <v>45.161068254417813</v>
      </c>
      <c r="AG6406" s="2">
        <f ca="1"/>
        <v>0.67188561898832111</v>
      </c>
      <c r="AH6406" s="2" t="str">
        <f ca="1"/>
        <v>Bad</v>
      </c>
    </row>
    <row r="6407" spans="2:34" x14ac:dyDescent="0.2">
      <c r="B6407" s="2">
        <f ca="1"/>
        <v>0.5824543513092364</v>
      </c>
      <c r="O6407" s="2">
        <f ca="1"/>
        <v>1.2272737938011584</v>
      </c>
      <c r="X6407" s="2">
        <f ca="1"/>
        <v>43.812333682128219</v>
      </c>
      <c r="AG6407" s="2">
        <f ca="1"/>
        <v>0.34095301689703827</v>
      </c>
      <c r="AH6407" s="2" t="str">
        <f ca="1"/>
        <v>OK</v>
      </c>
    </row>
    <row r="6408" spans="2:34" x14ac:dyDescent="0.2">
      <c r="B6408" s="2">
        <f ca="1"/>
        <v>0.79009413930375683</v>
      </c>
      <c r="O6408" s="2">
        <f ca="1"/>
        <v>-0.19037498206695103</v>
      </c>
      <c r="X6408" s="2">
        <f ca="1"/>
        <v>84.188121121513589</v>
      </c>
      <c r="AG6408" s="2">
        <f ca="1"/>
        <v>0.64570498213766947</v>
      </c>
      <c r="AH6408" s="2" t="str">
        <f ca="1"/>
        <v>Bad</v>
      </c>
    </row>
    <row r="6409" spans="2:34" x14ac:dyDescent="0.2">
      <c r="B6409" s="2">
        <f ca="1"/>
        <v>5.5022008001435863E-2</v>
      </c>
      <c r="O6409" s="2">
        <f ca="1"/>
        <v>1.0245920664310066</v>
      </c>
      <c r="X6409" s="2">
        <f ca="1"/>
        <v>47.782049645164655</v>
      </c>
      <c r="AG6409" s="2">
        <f ca="1"/>
        <v>0.8680949810144496</v>
      </c>
      <c r="AH6409" s="2" t="str">
        <f ca="1"/>
        <v>Bad</v>
      </c>
    </row>
    <row r="6410" spans="2:34" x14ac:dyDescent="0.2">
      <c r="B6410" s="2">
        <f ca="1"/>
        <v>0.45508419080370222</v>
      </c>
      <c r="O6410" s="2">
        <f ca="1"/>
        <v>-0.29468744954572357</v>
      </c>
      <c r="X6410" s="2">
        <f ca="1"/>
        <v>30.297715964242137</v>
      </c>
      <c r="AG6410" s="2">
        <f ca="1"/>
        <v>0.37384398452299727</v>
      </c>
      <c r="AH6410" s="2" t="str">
        <f ca="1"/>
        <v>OK</v>
      </c>
    </row>
    <row r="6411" spans="2:34" x14ac:dyDescent="0.2">
      <c r="B6411" s="2">
        <f ca="1"/>
        <v>0.44677445824153827</v>
      </c>
      <c r="O6411" s="2">
        <f ca="1"/>
        <v>0.20082415397729803</v>
      </c>
      <c r="X6411" s="2">
        <f ca="1"/>
        <v>65.087691023838318</v>
      </c>
      <c r="AG6411" s="2">
        <f ca="1"/>
        <v>0.40726226699014378</v>
      </c>
      <c r="AH6411" s="2" t="str">
        <f ca="1"/>
        <v>Bad</v>
      </c>
    </row>
    <row r="6412" spans="2:34" x14ac:dyDescent="0.2">
      <c r="B6412" s="2">
        <f ca="1"/>
        <v>0.41208327912970244</v>
      </c>
      <c r="O6412" s="2">
        <f ca="1"/>
        <v>0.38090450131144965</v>
      </c>
      <c r="X6412" s="2">
        <f ca="1"/>
        <v>46.541883124262185</v>
      </c>
      <c r="AG6412" s="2">
        <f ca="1"/>
        <v>0.19673742108274306</v>
      </c>
      <c r="AH6412" s="2" t="str">
        <f ca="1"/>
        <v>OK</v>
      </c>
    </row>
    <row r="6413" spans="2:34" x14ac:dyDescent="0.2">
      <c r="B6413" s="2">
        <f ca="1"/>
        <v>0.36761390951347006</v>
      </c>
      <c r="O6413" s="2">
        <f ca="1"/>
        <v>0.70041342755040892</v>
      </c>
      <c r="X6413" s="2">
        <f ca="1"/>
        <v>46.496029527544593</v>
      </c>
      <c r="AG6413" s="2">
        <f ca="1"/>
        <v>4.4635174609881867E-2</v>
      </c>
      <c r="AH6413" s="2" t="str">
        <f ca="1"/>
        <v>Good</v>
      </c>
    </row>
    <row r="6414" spans="2:34" x14ac:dyDescent="0.2">
      <c r="B6414" s="2">
        <f ca="1"/>
        <v>0.14791109332801722</v>
      </c>
      <c r="O6414" s="2">
        <f ca="1"/>
        <v>-2.4368772547962481E-2</v>
      </c>
      <c r="X6414" s="2">
        <f ca="1"/>
        <v>27.836036461533979</v>
      </c>
      <c r="AG6414" s="2">
        <f ca="1"/>
        <v>0.41729292993565803</v>
      </c>
      <c r="AH6414" s="2" t="str">
        <f ca="1"/>
        <v>Bad</v>
      </c>
    </row>
    <row r="6415" spans="2:34" x14ac:dyDescent="0.2">
      <c r="B6415" s="2">
        <f ca="1"/>
        <v>0.43181415586823824</v>
      </c>
      <c r="O6415" s="2">
        <f ca="1"/>
        <v>-0.43484758374333593</v>
      </c>
      <c r="X6415" s="2">
        <f ca="1"/>
        <v>48.839912329441184</v>
      </c>
      <c r="AG6415" s="2">
        <f ca="1"/>
        <v>0.11559541758725289</v>
      </c>
      <c r="AH6415" s="2" t="str">
        <f ca="1"/>
        <v>OK</v>
      </c>
    </row>
    <row r="6416" spans="2:34" x14ac:dyDescent="0.2">
      <c r="B6416" s="2">
        <f ca="1"/>
        <v>0.36457992199373734</v>
      </c>
      <c r="O6416" s="2">
        <f ca="1"/>
        <v>0.11644688610209489</v>
      </c>
      <c r="X6416" s="2">
        <f ca="1"/>
        <v>49.546397268237499</v>
      </c>
      <c r="AG6416" s="2">
        <f ca="1"/>
        <v>0.72444311046625853</v>
      </c>
      <c r="AH6416" s="2" t="str">
        <f ca="1"/>
        <v>Bad</v>
      </c>
    </row>
    <row r="6417" spans="2:34" x14ac:dyDescent="0.2">
      <c r="B6417" s="2">
        <f ca="1"/>
        <v>0.84630778825755404</v>
      </c>
      <c r="O6417" s="2">
        <f ca="1"/>
        <v>0.44236380695963107</v>
      </c>
      <c r="X6417" s="2">
        <f ca="1"/>
        <v>26.983678787245431</v>
      </c>
      <c r="AG6417" s="2">
        <f ca="1"/>
        <v>0.38509669124205193</v>
      </c>
      <c r="AH6417" s="2" t="str">
        <f ca="1"/>
        <v>OK</v>
      </c>
    </row>
    <row r="6418" spans="2:34" x14ac:dyDescent="0.2">
      <c r="B6418" s="2">
        <f ca="1"/>
        <v>0.55449749168184392</v>
      </c>
      <c r="O6418" s="2">
        <f ca="1"/>
        <v>-1.3150054450685005</v>
      </c>
      <c r="X6418" s="2">
        <f ca="1"/>
        <v>48.853185704140138</v>
      </c>
      <c r="AG6418" s="2">
        <f ca="1"/>
        <v>0.76029673326428182</v>
      </c>
      <c r="AH6418" s="2" t="str">
        <f ca="1"/>
        <v>Bad</v>
      </c>
    </row>
    <row r="6419" spans="2:34" x14ac:dyDescent="0.2">
      <c r="B6419" s="2">
        <f ca="1"/>
        <v>0.90315998829239175</v>
      </c>
      <c r="O6419" s="2">
        <f ca="1"/>
        <v>-0.65820260668923281</v>
      </c>
      <c r="X6419" s="2">
        <f ca="1"/>
        <v>39.329147214594414</v>
      </c>
      <c r="AG6419" s="2">
        <f ca="1"/>
        <v>0.81077785529087243</v>
      </c>
      <c r="AH6419" s="2" t="str">
        <f ca="1"/>
        <v>Bad</v>
      </c>
    </row>
    <row r="6420" spans="2:34" x14ac:dyDescent="0.2">
      <c r="B6420" s="2">
        <f ca="1"/>
        <v>7.953588936228484E-2</v>
      </c>
      <c r="O6420" s="2">
        <f ca="1"/>
        <v>0.77948120102455642</v>
      </c>
      <c r="X6420" s="2">
        <f ca="1"/>
        <v>76.894777629149601</v>
      </c>
      <c r="AG6420" s="2">
        <f ca="1"/>
        <v>0.48824574732790493</v>
      </c>
      <c r="AH6420" s="2" t="str">
        <f ca="1"/>
        <v>Bad</v>
      </c>
    </row>
    <row r="6421" spans="2:34" x14ac:dyDescent="0.2">
      <c r="B6421" s="2">
        <f ca="1"/>
        <v>0.17154828689206658</v>
      </c>
      <c r="O6421" s="2">
        <f ca="1"/>
        <v>-0.83007558172832629</v>
      </c>
      <c r="X6421" s="2">
        <f ca="1"/>
        <v>41.418175291858439</v>
      </c>
      <c r="AG6421" s="2">
        <f ca="1"/>
        <v>0.24473186699710014</v>
      </c>
      <c r="AH6421" s="2" t="str">
        <f ca="1"/>
        <v>OK</v>
      </c>
    </row>
    <row r="6422" spans="2:34" x14ac:dyDescent="0.2">
      <c r="B6422" s="2">
        <f ca="1"/>
        <v>0.81588933179282419</v>
      </c>
      <c r="O6422" s="2">
        <f ca="1"/>
        <v>0.17606811388406024</v>
      </c>
      <c r="X6422" s="2">
        <f ca="1"/>
        <v>28.334188284559811</v>
      </c>
      <c r="AG6422" s="2">
        <f ca="1"/>
        <v>0.40403289846197854</v>
      </c>
      <c r="AH6422" s="2" t="str">
        <f ca="1"/>
        <v>Bad</v>
      </c>
    </row>
    <row r="6423" spans="2:34" x14ac:dyDescent="0.2">
      <c r="B6423" s="2">
        <f ca="1"/>
        <v>0.19373429336994819</v>
      </c>
      <c r="O6423" s="2">
        <f ca="1"/>
        <v>0.70051537423481947</v>
      </c>
      <c r="X6423" s="2">
        <f ca="1"/>
        <v>43.95275113346414</v>
      </c>
      <c r="AG6423" s="2">
        <f ca="1"/>
        <v>5.8967834559051635E-3</v>
      </c>
      <c r="AH6423" s="2" t="str">
        <f ca="1"/>
        <v>Good</v>
      </c>
    </row>
    <row r="6424" spans="2:34" x14ac:dyDescent="0.2">
      <c r="B6424" s="2">
        <f ca="1"/>
        <v>0.41187659984535507</v>
      </c>
      <c r="O6424" s="2">
        <f ca="1"/>
        <v>-0.35246447992711655</v>
      </c>
      <c r="X6424" s="2">
        <f ca="1"/>
        <v>94.480251242279792</v>
      </c>
      <c r="AG6424" s="2">
        <f ca="1"/>
        <v>0.97551290749319275</v>
      </c>
      <c r="AH6424" s="2" t="str">
        <f ca="1"/>
        <v>Bad</v>
      </c>
    </row>
    <row r="6425" spans="2:34" x14ac:dyDescent="0.2">
      <c r="B6425" s="2">
        <f ca="1"/>
        <v>0.35345038731866163</v>
      </c>
      <c r="O6425" s="2">
        <f ca="1"/>
        <v>-1.0204203532287235</v>
      </c>
      <c r="X6425" s="2">
        <f ca="1"/>
        <v>63.78152281518674</v>
      </c>
      <c r="AG6425" s="2">
        <f ca="1"/>
        <v>0.94251838561616963</v>
      </c>
      <c r="AH6425" s="2" t="str">
        <f ca="1"/>
        <v>Bad</v>
      </c>
    </row>
    <row r="6426" spans="2:34" x14ac:dyDescent="0.2">
      <c r="B6426" s="2">
        <f ca="1"/>
        <v>0.50515310416443504</v>
      </c>
      <c r="O6426" s="2">
        <f ca="1"/>
        <v>0.555537536329339</v>
      </c>
      <c r="X6426" s="2">
        <f ca="1"/>
        <v>27.180468936675993</v>
      </c>
      <c r="AG6426" s="2">
        <f ca="1"/>
        <v>0.66210647275749346</v>
      </c>
      <c r="AH6426" s="2" t="str">
        <f ca="1"/>
        <v>Bad</v>
      </c>
    </row>
    <row r="6427" spans="2:34" x14ac:dyDescent="0.2">
      <c r="B6427" s="2">
        <f ca="1"/>
        <v>0.18243315667788162</v>
      </c>
      <c r="O6427" s="2">
        <f ca="1"/>
        <v>1.3662449195446666</v>
      </c>
      <c r="X6427" s="2">
        <f ca="1"/>
        <v>35.299990987631467</v>
      </c>
      <c r="AG6427" s="2">
        <f ca="1"/>
        <v>0.40077173794593035</v>
      </c>
      <c r="AH6427" s="2" t="str">
        <f ca="1"/>
        <v>Bad</v>
      </c>
    </row>
    <row r="6428" spans="2:34" x14ac:dyDescent="0.2">
      <c r="B6428" s="2">
        <f ca="1"/>
        <v>0.27601063853324947</v>
      </c>
      <c r="O6428" s="2">
        <f ca="1"/>
        <v>0.30911733855105777</v>
      </c>
      <c r="X6428" s="2">
        <f ca="1"/>
        <v>50.787544155888241</v>
      </c>
      <c r="AG6428" s="2">
        <f ca="1"/>
        <v>0.16500047681978902</v>
      </c>
      <c r="AH6428" s="2" t="str">
        <f ca="1"/>
        <v>OK</v>
      </c>
    </row>
    <row r="6429" spans="2:34" x14ac:dyDescent="0.2">
      <c r="B6429" s="2">
        <f ca="1"/>
        <v>0.29753475333044532</v>
      </c>
      <c r="O6429" s="2">
        <f ca="1"/>
        <v>-0.22765576281480118</v>
      </c>
      <c r="X6429" s="2">
        <f ca="1"/>
        <v>56.73188871924993</v>
      </c>
      <c r="AG6429" s="2">
        <f ca="1"/>
        <v>0.67893586219356505</v>
      </c>
      <c r="AH6429" s="2" t="str">
        <f ca="1"/>
        <v>Bad</v>
      </c>
    </row>
    <row r="6430" spans="2:34" x14ac:dyDescent="0.2">
      <c r="B6430" s="2">
        <f ca="1"/>
        <v>0.728740881615207</v>
      </c>
      <c r="O6430" s="2">
        <f ca="1"/>
        <v>-0.42588963068681868</v>
      </c>
      <c r="X6430" s="2">
        <f ca="1"/>
        <v>58.716682384645566</v>
      </c>
      <c r="AG6430" s="2">
        <f ca="1"/>
        <v>0.17115555006238203</v>
      </c>
      <c r="AH6430" s="2" t="str">
        <f ca="1"/>
        <v>OK</v>
      </c>
    </row>
    <row r="6431" spans="2:34" x14ac:dyDescent="0.2">
      <c r="B6431" s="2">
        <f ca="1"/>
        <v>0.37203625407055907</v>
      </c>
      <c r="O6431" s="2">
        <f ca="1"/>
        <v>0.79165941325517175</v>
      </c>
      <c r="X6431" s="2">
        <f ca="1"/>
        <v>61.007493572384291</v>
      </c>
      <c r="AG6431" s="2">
        <f ca="1"/>
        <v>0.31152582207046176</v>
      </c>
      <c r="AH6431" s="2" t="str">
        <f ca="1"/>
        <v>OK</v>
      </c>
    </row>
    <row r="6432" spans="2:34" x14ac:dyDescent="0.2">
      <c r="B6432" s="2">
        <f ca="1"/>
        <v>0.90431265080052747</v>
      </c>
      <c r="O6432" s="2">
        <f ca="1"/>
        <v>0.109243553024458</v>
      </c>
      <c r="X6432" s="2">
        <f ca="1"/>
        <v>74.407955632030166</v>
      </c>
      <c r="AG6432" s="2">
        <f ca="1"/>
        <v>0.63272620722004436</v>
      </c>
      <c r="AH6432" s="2" t="str">
        <f ca="1"/>
        <v>Bad</v>
      </c>
    </row>
    <row r="6433" spans="2:34" x14ac:dyDescent="0.2">
      <c r="B6433" s="2">
        <f ca="1"/>
        <v>0.63999987531724178</v>
      </c>
      <c r="O6433" s="2">
        <f ca="1"/>
        <v>4.2445006856228554E-2</v>
      </c>
      <c r="X6433" s="2">
        <f ca="1"/>
        <v>32.345265289052925</v>
      </c>
      <c r="AG6433" s="2">
        <f ca="1"/>
        <v>0.37543732415911935</v>
      </c>
      <c r="AH6433" s="2" t="str">
        <f ca="1"/>
        <v>OK</v>
      </c>
    </row>
    <row r="6434" spans="2:34" x14ac:dyDescent="0.2">
      <c r="B6434" s="2">
        <f ca="1"/>
        <v>0.39289193224227748</v>
      </c>
      <c r="O6434" s="2">
        <f ca="1"/>
        <v>-0.63325169891664645</v>
      </c>
      <c r="X6434" s="2">
        <f ca="1"/>
        <v>56.3755750135849</v>
      </c>
      <c r="AG6434" s="2">
        <f ca="1"/>
        <v>0.50924254067972496</v>
      </c>
      <c r="AH6434" s="2" t="str">
        <f ca="1"/>
        <v>Bad</v>
      </c>
    </row>
    <row r="6435" spans="2:34" x14ac:dyDescent="0.2">
      <c r="B6435" s="2">
        <f ca="1"/>
        <v>0.9849858122972468</v>
      </c>
      <c r="O6435" s="2">
        <f ca="1"/>
        <v>-0.2725599999777864</v>
      </c>
      <c r="X6435" s="2">
        <f ca="1"/>
        <v>39.656311787575419</v>
      </c>
      <c r="AG6435" s="2">
        <f ca="1"/>
        <v>3.3850634809226232E-2</v>
      </c>
      <c r="AH6435" s="2" t="str">
        <f ca="1"/>
        <v>Good</v>
      </c>
    </row>
    <row r="6436" spans="2:34" x14ac:dyDescent="0.2">
      <c r="B6436" s="2">
        <f ca="1"/>
        <v>0.28443569489149501</v>
      </c>
      <c r="O6436" s="2">
        <f ca="1"/>
        <v>0.12248956236909847</v>
      </c>
      <c r="X6436" s="2">
        <f ca="1"/>
        <v>52.388938850618771</v>
      </c>
      <c r="AG6436" s="2">
        <f ca="1"/>
        <v>0.86153464918621325</v>
      </c>
      <c r="AH6436" s="2" t="str">
        <f ca="1"/>
        <v>Bad</v>
      </c>
    </row>
    <row r="6437" spans="2:34" x14ac:dyDescent="0.2">
      <c r="B6437" s="2">
        <f ca="1"/>
        <v>0.65267566881925609</v>
      </c>
      <c r="O6437" s="2">
        <f ca="1"/>
        <v>1.1945297733215272</v>
      </c>
      <c r="X6437" s="2">
        <f ca="1"/>
        <v>50.522018064830469</v>
      </c>
      <c r="AG6437" s="2">
        <f ca="1"/>
        <v>0.57221716525914634</v>
      </c>
      <c r="AH6437" s="2" t="str">
        <f ca="1"/>
        <v>Bad</v>
      </c>
    </row>
    <row r="6438" spans="2:34" x14ac:dyDescent="0.2">
      <c r="B6438" s="2">
        <f ca="1"/>
        <v>0.66354101431310797</v>
      </c>
      <c r="O6438" s="2">
        <f ca="1"/>
        <v>0.1263483975768748</v>
      </c>
      <c r="X6438" s="2">
        <f ca="1"/>
        <v>52.229757804667678</v>
      </c>
      <c r="AG6438" s="2">
        <f ca="1"/>
        <v>0.14141637541705987</v>
      </c>
      <c r="AH6438" s="2" t="str">
        <f ca="1"/>
        <v>OK</v>
      </c>
    </row>
    <row r="6439" spans="2:34" x14ac:dyDescent="0.2">
      <c r="B6439" s="2">
        <f ca="1"/>
        <v>0.36110052917125945</v>
      </c>
      <c r="O6439" s="2">
        <f ca="1"/>
        <v>1.2391586455935766</v>
      </c>
      <c r="X6439" s="2">
        <f ca="1"/>
        <v>33.375879937941775</v>
      </c>
      <c r="AG6439" s="2">
        <f ca="1"/>
        <v>0.80958885639479505</v>
      </c>
      <c r="AH6439" s="2" t="str">
        <f ca="1"/>
        <v>Bad</v>
      </c>
    </row>
    <row r="6440" spans="2:34" x14ac:dyDescent="0.2">
      <c r="B6440" s="2">
        <f ca="1"/>
        <v>0.626356363741297</v>
      </c>
      <c r="O6440" s="2">
        <f ca="1"/>
        <v>-0.21287523035776851</v>
      </c>
      <c r="X6440" s="2">
        <f ca="1"/>
        <v>29.453133857171778</v>
      </c>
      <c r="AG6440" s="2">
        <f ca="1"/>
        <v>0.71800310742281326</v>
      </c>
      <c r="AH6440" s="2" t="str">
        <f ca="1"/>
        <v>Bad</v>
      </c>
    </row>
    <row r="6441" spans="2:34" x14ac:dyDescent="0.2">
      <c r="B6441" s="2">
        <f ca="1"/>
        <v>0.47229128719708346</v>
      </c>
      <c r="O6441" s="2">
        <f ca="1"/>
        <v>-0.27647926604235074</v>
      </c>
      <c r="X6441" s="2">
        <f ca="1"/>
        <v>61.05002349777606</v>
      </c>
      <c r="AG6441" s="2">
        <f ca="1"/>
        <v>0.74841488708734349</v>
      </c>
      <c r="AH6441" s="2" t="str">
        <f ca="1"/>
        <v>Bad</v>
      </c>
    </row>
    <row r="6442" spans="2:34" x14ac:dyDescent="0.2">
      <c r="B6442" s="2">
        <f ca="1"/>
        <v>0.80469986914207947</v>
      </c>
      <c r="O6442" s="2">
        <f ca="1"/>
        <v>-0.92636317893837294</v>
      </c>
      <c r="X6442" s="2">
        <f ca="1"/>
        <v>77.084567687118465</v>
      </c>
      <c r="AG6442" s="2">
        <f ca="1"/>
        <v>5.581332875263989E-2</v>
      </c>
      <c r="AH6442" s="2" t="str">
        <f ca="1"/>
        <v>OK</v>
      </c>
    </row>
    <row r="6443" spans="2:34" x14ac:dyDescent="0.2">
      <c r="B6443" s="2">
        <f ca="1"/>
        <v>0.18794726363237535</v>
      </c>
      <c r="O6443" s="2">
        <f ca="1"/>
        <v>-0.23451450460424664</v>
      </c>
      <c r="X6443" s="2">
        <f ca="1"/>
        <v>34.871756849407397</v>
      </c>
      <c r="AG6443" s="2">
        <f ca="1"/>
        <v>0.16102085644630115</v>
      </c>
      <c r="AH6443" s="2" t="str">
        <f ca="1"/>
        <v>OK</v>
      </c>
    </row>
    <row r="6444" spans="2:34" x14ac:dyDescent="0.2">
      <c r="B6444" s="2">
        <f ca="1"/>
        <v>0.67085412954310786</v>
      </c>
      <c r="O6444" s="2">
        <f ca="1"/>
        <v>-0.91067209823448103</v>
      </c>
      <c r="X6444" s="2">
        <f ca="1"/>
        <v>53.030419157027346</v>
      </c>
      <c r="AG6444" s="2">
        <f ca="1"/>
        <v>0.90363821380836939</v>
      </c>
      <c r="AH6444" s="2" t="str">
        <f ca="1"/>
        <v>Bad</v>
      </c>
    </row>
    <row r="6445" spans="2:34" x14ac:dyDescent="0.2">
      <c r="B6445" s="2">
        <f ca="1"/>
        <v>0.52727476522166183</v>
      </c>
      <c r="O6445" s="2">
        <f ca="1"/>
        <v>-0.46089978167366674</v>
      </c>
      <c r="X6445" s="2">
        <f ca="1"/>
        <v>52.297958096344857</v>
      </c>
      <c r="AG6445" s="2">
        <f ca="1"/>
        <v>0.3679074183385489</v>
      </c>
      <c r="AH6445" s="2" t="str">
        <f ca="1"/>
        <v>OK</v>
      </c>
    </row>
    <row r="6446" spans="2:34" x14ac:dyDescent="0.2">
      <c r="B6446" s="2">
        <f ca="1"/>
        <v>0.15169036408738967</v>
      </c>
      <c r="O6446" s="2">
        <f ca="1"/>
        <v>-6.6665746789547689E-2</v>
      </c>
      <c r="X6446" s="2">
        <f ca="1"/>
        <v>50.027059247482114</v>
      </c>
      <c r="AG6446" s="2">
        <f ca="1"/>
        <v>4.1921890879689672E-2</v>
      </c>
      <c r="AH6446" s="2" t="str">
        <f ca="1"/>
        <v>Good</v>
      </c>
    </row>
    <row r="6447" spans="2:34" x14ac:dyDescent="0.2">
      <c r="B6447" s="2">
        <f ca="1"/>
        <v>0.36445324325469475</v>
      </c>
      <c r="O6447" s="2">
        <f ca="1"/>
        <v>0.5938978165206279</v>
      </c>
      <c r="X6447" s="2">
        <f ca="1"/>
        <v>59.482735839702201</v>
      </c>
      <c r="AG6447" s="2">
        <f ca="1"/>
        <v>0.47953414848823517</v>
      </c>
      <c r="AH6447" s="2" t="str">
        <f ca="1"/>
        <v>Bad</v>
      </c>
    </row>
    <row r="6448" spans="2:34" x14ac:dyDescent="0.2">
      <c r="B6448" s="2">
        <f ca="1"/>
        <v>0.9491606076875887</v>
      </c>
      <c r="O6448" s="2">
        <f ca="1"/>
        <v>1.5889690830761696</v>
      </c>
      <c r="X6448" s="2">
        <f ca="1"/>
        <v>38.722538571428068</v>
      </c>
      <c r="AG6448" s="2">
        <f ca="1"/>
        <v>0.88845144134754528</v>
      </c>
      <c r="AH6448" s="2" t="str">
        <f ca="1"/>
        <v>Bad</v>
      </c>
    </row>
    <row r="6449" spans="2:34" x14ac:dyDescent="0.2">
      <c r="B6449" s="2">
        <f ca="1"/>
        <v>0.37275295811939535</v>
      </c>
      <c r="O6449" s="2">
        <f ca="1"/>
        <v>-0.68408578163430656</v>
      </c>
      <c r="X6449" s="2">
        <f ca="1"/>
        <v>51.267394082342378</v>
      </c>
      <c r="AG6449" s="2">
        <f ca="1"/>
        <v>0.893861981604686</v>
      </c>
      <c r="AH6449" s="2" t="str">
        <f ca="1"/>
        <v>Bad</v>
      </c>
    </row>
    <row r="6450" spans="2:34" x14ac:dyDescent="0.2">
      <c r="B6450" s="2">
        <f ca="1"/>
        <v>0.50689897219465463</v>
      </c>
      <c r="O6450" s="2">
        <f ca="1"/>
        <v>-0.83345160674564289</v>
      </c>
      <c r="X6450" s="2">
        <f ca="1"/>
        <v>49.399050556593295</v>
      </c>
      <c r="AG6450" s="2">
        <f ca="1"/>
        <v>0.71944531658582389</v>
      </c>
      <c r="AH6450" s="2" t="str">
        <f ca="1"/>
        <v>Bad</v>
      </c>
    </row>
    <row r="6451" spans="2:34" x14ac:dyDescent="0.2">
      <c r="B6451" s="2">
        <f ca="1"/>
        <v>0.71747365842370425</v>
      </c>
      <c r="O6451" s="2">
        <f ca="1"/>
        <v>-0.12070962435191405</v>
      </c>
      <c r="X6451" s="2">
        <f ca="1"/>
        <v>59.258529299660438</v>
      </c>
      <c r="AG6451" s="2">
        <f ca="1"/>
        <v>0.32122205578692342</v>
      </c>
      <c r="AH6451" s="2" t="str">
        <f ca="1"/>
        <v>OK</v>
      </c>
    </row>
    <row r="6452" spans="2:34" x14ac:dyDescent="0.2">
      <c r="B6452" s="2">
        <f ca="1"/>
        <v>0.59250945878128958</v>
      </c>
      <c r="O6452" s="2">
        <f ca="1"/>
        <v>0.48481829615067396</v>
      </c>
      <c r="X6452" s="2">
        <f ca="1"/>
        <v>63.90445685183537</v>
      </c>
      <c r="AG6452" s="2">
        <f ca="1"/>
        <v>0.39843580210928442</v>
      </c>
      <c r="AH6452" s="2" t="str">
        <f ca="1"/>
        <v>OK</v>
      </c>
    </row>
    <row r="6453" spans="2:34" x14ac:dyDescent="0.2">
      <c r="B6453" s="2">
        <f ca="1"/>
        <v>0.53965101907884816</v>
      </c>
      <c r="O6453" s="2">
        <f ca="1"/>
        <v>0.79452595252175906</v>
      </c>
      <c r="X6453" s="2">
        <f ca="1"/>
        <v>37.832372119024804</v>
      </c>
      <c r="AG6453" s="2">
        <f ca="1"/>
        <v>1.8845614793149501E-2</v>
      </c>
      <c r="AH6453" s="2" t="str">
        <f ca="1"/>
        <v>Good</v>
      </c>
    </row>
    <row r="6454" spans="2:34" x14ac:dyDescent="0.2">
      <c r="B6454" s="2">
        <f ca="1"/>
        <v>5.3601287108294704E-2</v>
      </c>
      <c r="O6454" s="2">
        <f ca="1"/>
        <v>-1.3153758622034477</v>
      </c>
      <c r="X6454" s="2">
        <f ca="1"/>
        <v>73.512320310022787</v>
      </c>
      <c r="AG6454" s="2">
        <f ca="1"/>
        <v>7.5438652250187532E-2</v>
      </c>
      <c r="AH6454" s="2" t="str">
        <f ca="1"/>
        <v>OK</v>
      </c>
    </row>
    <row r="6455" spans="2:34" x14ac:dyDescent="0.2">
      <c r="B6455" s="2">
        <f ca="1"/>
        <v>0.87840702341956867</v>
      </c>
      <c r="O6455" s="2">
        <f ca="1"/>
        <v>0.62858187669893961</v>
      </c>
      <c r="X6455" s="2">
        <f ca="1"/>
        <v>55.204770260131397</v>
      </c>
      <c r="AG6455" s="2">
        <f ca="1"/>
        <v>0.23833553857930134</v>
      </c>
      <c r="AH6455" s="2" t="str">
        <f ca="1"/>
        <v>OK</v>
      </c>
    </row>
    <row r="6456" spans="2:34" x14ac:dyDescent="0.2">
      <c r="B6456" s="2">
        <f ca="1"/>
        <v>0.97038803572155441</v>
      </c>
      <c r="O6456" s="2">
        <f ca="1"/>
        <v>0.80957992044189853</v>
      </c>
      <c r="X6456" s="2">
        <f ca="1"/>
        <v>86.927803628952688</v>
      </c>
      <c r="AG6456" s="2">
        <f ca="1"/>
        <v>0.67822075631455436</v>
      </c>
      <c r="AH6456" s="2" t="str">
        <f ca="1"/>
        <v>Bad</v>
      </c>
    </row>
    <row r="6457" spans="2:34" x14ac:dyDescent="0.2">
      <c r="B6457" s="2">
        <f ca="1"/>
        <v>0.57973331243675297</v>
      </c>
      <c r="O6457" s="2">
        <f ca="1"/>
        <v>1.001867518251025</v>
      </c>
      <c r="X6457" s="2">
        <f ca="1"/>
        <v>33.000657370102658</v>
      </c>
      <c r="AG6457" s="2">
        <f ca="1"/>
        <v>0.46990925385612559</v>
      </c>
      <c r="AH6457" s="2" t="str">
        <f ca="1"/>
        <v>Bad</v>
      </c>
    </row>
    <row r="6458" spans="2:34" x14ac:dyDescent="0.2">
      <c r="B6458" s="2">
        <f ca="1"/>
        <v>0.35085402207286887</v>
      </c>
      <c r="O6458" s="2">
        <f ca="1"/>
        <v>-2.3307543321195094</v>
      </c>
      <c r="X6458" s="2">
        <f ca="1"/>
        <v>46.266001902411674</v>
      </c>
      <c r="AG6458" s="2">
        <f ca="1"/>
        <v>0.54066286696878851</v>
      </c>
      <c r="AH6458" s="2" t="str">
        <f ca="1"/>
        <v>Bad</v>
      </c>
    </row>
    <row r="6459" spans="2:34" x14ac:dyDescent="0.2">
      <c r="B6459" s="2">
        <f ca="1"/>
        <v>0.46828050458543813</v>
      </c>
      <c r="O6459" s="2">
        <f ca="1"/>
        <v>-1.7338222570835129</v>
      </c>
      <c r="X6459" s="2">
        <f ca="1"/>
        <v>46.837553839137527</v>
      </c>
      <c r="AG6459" s="2">
        <f ca="1"/>
        <v>0.82117241834122745</v>
      </c>
      <c r="AH6459" s="2" t="str">
        <f ca="1"/>
        <v>Bad</v>
      </c>
    </row>
    <row r="6460" spans="2:34" x14ac:dyDescent="0.2">
      <c r="B6460" s="2">
        <f ca="1"/>
        <v>0.74838956401711809</v>
      </c>
      <c r="O6460" s="2">
        <f ca="1"/>
        <v>0.34543316116346651</v>
      </c>
      <c r="X6460" s="2">
        <f ca="1"/>
        <v>52.067086545255037</v>
      </c>
      <c r="AG6460" s="2">
        <f ca="1"/>
        <v>0.37543216698581827</v>
      </c>
      <c r="AH6460" s="2" t="str">
        <f ca="1"/>
        <v>OK</v>
      </c>
    </row>
    <row r="6461" spans="2:34" x14ac:dyDescent="0.2">
      <c r="B6461" s="2">
        <f ca="1"/>
        <v>0.16810355916550557</v>
      </c>
      <c r="O6461" s="2">
        <f ca="1"/>
        <v>-0.58767564292237573</v>
      </c>
      <c r="X6461" s="2">
        <f ca="1"/>
        <v>53.073091497682299</v>
      </c>
      <c r="AG6461" s="2">
        <f ca="1"/>
        <v>0.91408108598280791</v>
      </c>
      <c r="AH6461" s="2" t="str">
        <f ca="1"/>
        <v>Bad</v>
      </c>
    </row>
    <row r="6462" spans="2:34" x14ac:dyDescent="0.2">
      <c r="B6462" s="2">
        <f ca="1"/>
        <v>0.75557752019501789</v>
      </c>
      <c r="O6462" s="2">
        <f ca="1"/>
        <v>-0.91456032654652986</v>
      </c>
      <c r="X6462" s="2">
        <f ca="1"/>
        <v>80.643048822088303</v>
      </c>
      <c r="AG6462" s="2">
        <f ca="1"/>
        <v>0.67566117333404163</v>
      </c>
      <c r="AH6462" s="2" t="str">
        <f ca="1"/>
        <v>Bad</v>
      </c>
    </row>
    <row r="6463" spans="2:34" x14ac:dyDescent="0.2">
      <c r="B6463" s="2">
        <f ca="1"/>
        <v>0.39402775625172937</v>
      </c>
      <c r="O6463" s="2">
        <f ca="1"/>
        <v>1.5833662632077332</v>
      </c>
      <c r="X6463" s="2">
        <f ca="1"/>
        <v>81.929017320034973</v>
      </c>
      <c r="AG6463" s="2">
        <f ca="1"/>
        <v>0.36433465816368527</v>
      </c>
      <c r="AH6463" s="2" t="str">
        <f ca="1"/>
        <v>OK</v>
      </c>
    </row>
    <row r="6464" spans="2:34" x14ac:dyDescent="0.2">
      <c r="B6464" s="2">
        <f ca="1"/>
        <v>0.90028005858738225</v>
      </c>
      <c r="O6464" s="2">
        <f ca="1"/>
        <v>-0.40680093458772948</v>
      </c>
      <c r="X6464" s="2">
        <f ca="1"/>
        <v>35.4664167897308</v>
      </c>
      <c r="AG6464" s="2">
        <f ca="1"/>
        <v>0.16169095846402803</v>
      </c>
      <c r="AH6464" s="2" t="str">
        <f ca="1"/>
        <v>OK</v>
      </c>
    </row>
    <row r="6465" spans="2:34" x14ac:dyDescent="0.2">
      <c r="B6465" s="2">
        <f ca="1"/>
        <v>0.11350803858734571</v>
      </c>
      <c r="O6465" s="2">
        <f ca="1"/>
        <v>-0.30314113254259151</v>
      </c>
      <c r="X6465" s="2">
        <f ca="1"/>
        <v>38.179911274323572</v>
      </c>
      <c r="AG6465" s="2">
        <f ca="1"/>
        <v>0.36212046943684095</v>
      </c>
      <c r="AH6465" s="2" t="str">
        <f ca="1"/>
        <v>OK</v>
      </c>
    </row>
    <row r="6466" spans="2:34" x14ac:dyDescent="0.2">
      <c r="B6466" s="2">
        <f ca="1"/>
        <v>0.49238910087479804</v>
      </c>
      <c r="O6466" s="2">
        <f ca="1"/>
        <v>-0.19910229217550021</v>
      </c>
      <c r="X6466" s="2">
        <f ca="1"/>
        <v>55.340910553645628</v>
      </c>
      <c r="AG6466" s="2">
        <f ca="1"/>
        <v>0.76926744429148775</v>
      </c>
      <c r="AH6466" s="2" t="str">
        <f ca="1"/>
        <v>Bad</v>
      </c>
    </row>
    <row r="6467" spans="2:34" x14ac:dyDescent="0.2">
      <c r="B6467" s="2">
        <f ca="1"/>
        <v>0.93800861644962952</v>
      </c>
      <c r="O6467" s="2">
        <f ca="1"/>
        <v>3.3065653121831247E-2</v>
      </c>
      <c r="X6467" s="2">
        <f ca="1"/>
        <v>56.249369574158123</v>
      </c>
      <c r="AG6467" s="2">
        <f ca="1"/>
        <v>0.91170824863452493</v>
      </c>
      <c r="AH6467" s="2" t="str">
        <f ca="1"/>
        <v>Bad</v>
      </c>
    </row>
    <row r="6468" spans="2:34" x14ac:dyDescent="0.2">
      <c r="B6468" s="2">
        <f ca="1"/>
        <v>0.56187150569000588</v>
      </c>
      <c r="O6468" s="2">
        <f ca="1"/>
        <v>0.55591082885554888</v>
      </c>
      <c r="X6468" s="2">
        <f ca="1"/>
        <v>74.073128989321873</v>
      </c>
      <c r="AG6468" s="2">
        <f ca="1"/>
        <v>0.63752384664373207</v>
      </c>
      <c r="AH6468" s="2" t="str">
        <f ca="1"/>
        <v>Bad</v>
      </c>
    </row>
    <row r="6469" spans="2:34" x14ac:dyDescent="0.2">
      <c r="B6469" s="2">
        <f ca="1"/>
        <v>0.72735159166372876</v>
      </c>
      <c r="O6469" s="2">
        <f ca="1"/>
        <v>-0.66074791290429657</v>
      </c>
      <c r="X6469" s="2">
        <f ca="1"/>
        <v>52.036410866994004</v>
      </c>
      <c r="AG6469" s="2">
        <f ca="1"/>
        <v>0.62803188785461983</v>
      </c>
      <c r="AH6469" s="2" t="str">
        <f ca="1"/>
        <v>Bad</v>
      </c>
    </row>
    <row r="6470" spans="2:34" x14ac:dyDescent="0.2">
      <c r="B6470" s="2">
        <f ca="1"/>
        <v>0.98436016382465552</v>
      </c>
      <c r="O6470" s="2">
        <f ca="1"/>
        <v>-0.55023391357216633</v>
      </c>
      <c r="X6470" s="2">
        <f ca="1"/>
        <v>45.524252825950143</v>
      </c>
      <c r="AG6470" s="2">
        <f ca="1"/>
        <v>0.72491790311971682</v>
      </c>
      <c r="AH6470" s="2" t="str">
        <f ca="1"/>
        <v>Bad</v>
      </c>
    </row>
    <row r="6471" spans="2:34" x14ac:dyDescent="0.2">
      <c r="B6471" s="2">
        <f ca="1"/>
        <v>0.93115882591533095</v>
      </c>
      <c r="O6471" s="2">
        <f ca="1"/>
        <v>0.94505114149696123</v>
      </c>
      <c r="X6471" s="2">
        <f ca="1"/>
        <v>32.312439816435699</v>
      </c>
      <c r="AG6471" s="2">
        <f ca="1"/>
        <v>0.76995167682004784</v>
      </c>
      <c r="AH6471" s="2" t="str">
        <f ca="1"/>
        <v>Bad</v>
      </c>
    </row>
    <row r="6472" spans="2:34" x14ac:dyDescent="0.2">
      <c r="B6472" s="2">
        <f ca="1"/>
        <v>0.54656240287424929</v>
      </c>
      <c r="O6472" s="2">
        <f ca="1"/>
        <v>2.7566816498312854E-2</v>
      </c>
      <c r="X6472" s="2">
        <f ca="1"/>
        <v>53.420737135475811</v>
      </c>
      <c r="AG6472" s="2">
        <f ca="1"/>
        <v>5.1002961406994229E-2</v>
      </c>
      <c r="AH6472" s="2" t="str">
        <f ca="1"/>
        <v>OK</v>
      </c>
    </row>
    <row r="6473" spans="2:34" x14ac:dyDescent="0.2">
      <c r="B6473" s="2">
        <f ca="1"/>
        <v>0.72274953267411957</v>
      </c>
      <c r="O6473" s="2">
        <f ca="1"/>
        <v>0.23859204031401293</v>
      </c>
      <c r="X6473" s="2">
        <f ca="1"/>
        <v>39.897325462056983</v>
      </c>
      <c r="AG6473" s="2">
        <f ca="1"/>
        <v>0.93987589661802429</v>
      </c>
      <c r="AH6473" s="2" t="str">
        <f ca="1"/>
        <v>Bad</v>
      </c>
    </row>
    <row r="6474" spans="2:34" x14ac:dyDescent="0.2">
      <c r="B6474" s="2">
        <f ca="1"/>
        <v>6.3168341280074314E-2</v>
      </c>
      <c r="O6474" s="2">
        <f ca="1"/>
        <v>-0.63692837279223702</v>
      </c>
      <c r="X6474" s="2">
        <f ca="1"/>
        <v>32.712750159158588</v>
      </c>
      <c r="AG6474" s="2">
        <f ca="1"/>
        <v>0.40929368492520934</v>
      </c>
      <c r="AH6474" s="2" t="str">
        <f ca="1"/>
        <v>Bad</v>
      </c>
    </row>
    <row r="6475" spans="2:34" x14ac:dyDescent="0.2">
      <c r="B6475" s="2">
        <f ca="1"/>
        <v>0.48955408507042675</v>
      </c>
      <c r="O6475" s="2">
        <f ca="1"/>
        <v>0.15301127229776412</v>
      </c>
      <c r="X6475" s="2">
        <f ca="1"/>
        <v>54.746121832712021</v>
      </c>
      <c r="AG6475" s="2">
        <f ca="1"/>
        <v>0.96385265399409081</v>
      </c>
      <c r="AH6475" s="2" t="str">
        <f ca="1"/>
        <v>Bad</v>
      </c>
    </row>
    <row r="6476" spans="2:34" x14ac:dyDescent="0.2">
      <c r="B6476" s="2">
        <f ca="1"/>
        <v>0.31398840116570992</v>
      </c>
      <c r="O6476" s="2">
        <f ca="1"/>
        <v>-0.477518791510115</v>
      </c>
      <c r="X6476" s="2">
        <f ca="1"/>
        <v>26.946615253197614</v>
      </c>
      <c r="AG6476" s="2">
        <f ca="1"/>
        <v>0.90202086856188313</v>
      </c>
      <c r="AH6476" s="2" t="str">
        <f ca="1"/>
        <v>Bad</v>
      </c>
    </row>
    <row r="6477" spans="2:34" x14ac:dyDescent="0.2">
      <c r="B6477" s="2">
        <f ca="1"/>
        <v>0.9662281695824142</v>
      </c>
      <c r="O6477" s="2">
        <f ca="1"/>
        <v>-0.8400159073117619</v>
      </c>
      <c r="X6477" s="2">
        <f ca="1"/>
        <v>46.96573667868519</v>
      </c>
      <c r="AG6477" s="2">
        <f ca="1"/>
        <v>0.68643303928150257</v>
      </c>
      <c r="AH6477" s="2" t="str">
        <f ca="1"/>
        <v>Bad</v>
      </c>
    </row>
    <row r="6478" spans="2:34" x14ac:dyDescent="0.2">
      <c r="B6478" s="2">
        <f ca="1"/>
        <v>0.12737352858837481</v>
      </c>
      <c r="O6478" s="2">
        <f ca="1"/>
        <v>2.3737258630101077</v>
      </c>
      <c r="X6478" s="2">
        <f ca="1"/>
        <v>24.180612142564438</v>
      </c>
      <c r="AG6478" s="2">
        <f ca="1"/>
        <v>0.28204318357355551</v>
      </c>
      <c r="AH6478" s="2" t="str">
        <f ca="1"/>
        <v>OK</v>
      </c>
    </row>
    <row r="6479" spans="2:34" x14ac:dyDescent="0.2">
      <c r="B6479" s="2">
        <f ca="1"/>
        <v>0.80171862834837926</v>
      </c>
      <c r="O6479" s="2">
        <f ca="1"/>
        <v>1.0464066811610673</v>
      </c>
      <c r="X6479" s="2">
        <f ca="1"/>
        <v>60.942758227668193</v>
      </c>
      <c r="AG6479" s="2">
        <f ca="1"/>
        <v>0.89000342932611232</v>
      </c>
      <c r="AH6479" s="2" t="str">
        <f ca="1"/>
        <v>Bad</v>
      </c>
    </row>
    <row r="6480" spans="2:34" x14ac:dyDescent="0.2">
      <c r="B6480" s="2">
        <f ca="1"/>
        <v>0.84333286030615495</v>
      </c>
      <c r="O6480" s="2">
        <f ca="1"/>
        <v>-0.67798635339769497</v>
      </c>
      <c r="X6480" s="2">
        <f ca="1"/>
        <v>89.072225886278545</v>
      </c>
      <c r="AG6480" s="2">
        <f ca="1"/>
        <v>0.84681888924843274</v>
      </c>
      <c r="AH6480" s="2" t="str">
        <f ca="1"/>
        <v>Bad</v>
      </c>
    </row>
    <row r="6481" spans="2:34" x14ac:dyDescent="0.2">
      <c r="B6481" s="2">
        <f ca="1"/>
        <v>0.57342487835642109</v>
      </c>
      <c r="O6481" s="2">
        <f ca="1"/>
        <v>-1.0409752403028374</v>
      </c>
      <c r="X6481" s="2">
        <f ca="1"/>
        <v>55.991795199243811</v>
      </c>
      <c r="AG6481" s="2">
        <f ca="1"/>
        <v>0.79821380421000532</v>
      </c>
      <c r="AH6481" s="2" t="str">
        <f ca="1"/>
        <v>Bad</v>
      </c>
    </row>
    <row r="6482" spans="2:34" x14ac:dyDescent="0.2">
      <c r="B6482" s="2">
        <f ca="1"/>
        <v>0.78926800874503233</v>
      </c>
      <c r="O6482" s="2">
        <f ca="1"/>
        <v>-0.73735451068817914</v>
      </c>
      <c r="X6482" s="2">
        <f ca="1"/>
        <v>34.749092186624978</v>
      </c>
      <c r="AG6482" s="2">
        <f ca="1"/>
        <v>3.8449282865212542E-2</v>
      </c>
      <c r="AH6482" s="2" t="str">
        <f ca="1"/>
        <v>Good</v>
      </c>
    </row>
    <row r="6483" spans="2:34" x14ac:dyDescent="0.2">
      <c r="B6483" s="2">
        <f ca="1"/>
        <v>0.26489010740501273</v>
      </c>
      <c r="O6483" s="2">
        <f ca="1"/>
        <v>0.70439946204126258</v>
      </c>
      <c r="X6483" s="2">
        <f ca="1"/>
        <v>75.482060317444393</v>
      </c>
      <c r="AG6483" s="2">
        <f ca="1"/>
        <v>0.92695795614408261</v>
      </c>
      <c r="AH6483" s="2" t="str">
        <f ca="1"/>
        <v>Bad</v>
      </c>
    </row>
    <row r="6484" spans="2:34" x14ac:dyDescent="0.2">
      <c r="B6484" s="2">
        <f ca="1"/>
        <v>0.77718908397977993</v>
      </c>
      <c r="O6484" s="2">
        <f ca="1"/>
        <v>0.37857515003206582</v>
      </c>
      <c r="X6484" s="2">
        <f ca="1"/>
        <v>38.800559574775065</v>
      </c>
      <c r="AG6484" s="2">
        <f ca="1"/>
        <v>0.10047764157524042</v>
      </c>
      <c r="AH6484" s="2" t="str">
        <f ca="1"/>
        <v>OK</v>
      </c>
    </row>
    <row r="6485" spans="2:34" x14ac:dyDescent="0.2">
      <c r="B6485" s="2">
        <f ca="1"/>
        <v>0.31792236311481403</v>
      </c>
      <c r="O6485" s="2">
        <f ca="1"/>
        <v>-0.39525073819157236</v>
      </c>
      <c r="X6485" s="2">
        <f ca="1"/>
        <v>64.737583207537341</v>
      </c>
      <c r="AG6485" s="2">
        <f ca="1"/>
        <v>0.78088583111104604</v>
      </c>
      <c r="AH6485" s="2" t="str">
        <f ca="1"/>
        <v>Bad</v>
      </c>
    </row>
    <row r="6486" spans="2:34" x14ac:dyDescent="0.2">
      <c r="B6486" s="2">
        <f ca="1"/>
        <v>1.1579043092837971E-2</v>
      </c>
      <c r="O6486" s="2">
        <f ca="1"/>
        <v>-0.55114897773050187</v>
      </c>
      <c r="X6486" s="2">
        <f ca="1"/>
        <v>30.670684575452825</v>
      </c>
      <c r="AG6486" s="2">
        <f ca="1"/>
        <v>0.30606134216637138</v>
      </c>
      <c r="AH6486" s="2" t="str">
        <f ca="1"/>
        <v>OK</v>
      </c>
    </row>
    <row r="6487" spans="2:34" x14ac:dyDescent="0.2">
      <c r="B6487" s="2">
        <f ca="1"/>
        <v>0.73981142309263959</v>
      </c>
      <c r="O6487" s="2">
        <f ca="1"/>
        <v>0.4323037855929554</v>
      </c>
      <c r="X6487" s="2">
        <f ca="1"/>
        <v>39.817535288219389</v>
      </c>
      <c r="AG6487" s="2">
        <f ca="1"/>
        <v>3.6046155857949902E-2</v>
      </c>
      <c r="AH6487" s="2" t="str">
        <f ca="1"/>
        <v>Good</v>
      </c>
    </row>
    <row r="6488" spans="2:34" x14ac:dyDescent="0.2">
      <c r="B6488" s="2">
        <f ca="1"/>
        <v>0.63973120484286272</v>
      </c>
      <c r="O6488" s="2">
        <f ca="1"/>
        <v>-0.43121690063935325</v>
      </c>
      <c r="X6488" s="2">
        <f ca="1"/>
        <v>64.94501449350561</v>
      </c>
      <c r="AG6488" s="2">
        <f ca="1"/>
        <v>0.74538211529262499</v>
      </c>
      <c r="AH6488" s="2" t="str">
        <f ca="1"/>
        <v>Bad</v>
      </c>
    </row>
    <row r="6489" spans="2:34" x14ac:dyDescent="0.2">
      <c r="B6489" s="2">
        <f ca="1"/>
        <v>0.79533915097075036</v>
      </c>
      <c r="O6489" s="2">
        <f ca="1"/>
        <v>0.80685971422250724</v>
      </c>
      <c r="X6489" s="2">
        <f ca="1"/>
        <v>57.850047217633517</v>
      </c>
      <c r="AG6489" s="2">
        <f ca="1"/>
        <v>8.1497293028405027E-2</v>
      </c>
      <c r="AH6489" s="2" t="str">
        <f ca="1"/>
        <v>OK</v>
      </c>
    </row>
    <row r="6490" spans="2:34" x14ac:dyDescent="0.2">
      <c r="B6490" s="2">
        <f ca="1"/>
        <v>0.76779910674667051</v>
      </c>
      <c r="O6490" s="2">
        <f ca="1"/>
        <v>0.47535953937711578</v>
      </c>
      <c r="X6490" s="2">
        <f ca="1"/>
        <v>32.901619362740803</v>
      </c>
      <c r="AG6490" s="2">
        <f ca="1"/>
        <v>0.70217526554460541</v>
      </c>
      <c r="AH6490" s="2" t="str">
        <f ca="1"/>
        <v>Bad</v>
      </c>
    </row>
    <row r="6491" spans="2:34" x14ac:dyDescent="0.2">
      <c r="B6491" s="2">
        <f ca="1"/>
        <v>0.24227226436760252</v>
      </c>
      <c r="O6491" s="2">
        <f ca="1"/>
        <v>-1.2518485225608273</v>
      </c>
      <c r="X6491" s="2">
        <f ca="1"/>
        <v>59.407633536863742</v>
      </c>
      <c r="AG6491" s="2">
        <f ca="1"/>
        <v>0.52255273314110062</v>
      </c>
      <c r="AH6491" s="2" t="str">
        <f ca="1"/>
        <v>Bad</v>
      </c>
    </row>
    <row r="6492" spans="2:34" x14ac:dyDescent="0.2">
      <c r="B6492" s="2">
        <f ca="1"/>
        <v>0.26510594752221728</v>
      </c>
      <c r="O6492" s="2">
        <f ca="1"/>
        <v>-0.68935225547418222</v>
      </c>
      <c r="X6492" s="2">
        <f ca="1"/>
        <v>47.870859939276954</v>
      </c>
      <c r="AG6492" s="2">
        <f ca="1"/>
        <v>0.64644738466613938</v>
      </c>
      <c r="AH6492" s="2" t="str">
        <f ca="1"/>
        <v>Bad</v>
      </c>
    </row>
    <row r="6493" spans="2:34" x14ac:dyDescent="0.2">
      <c r="B6493" s="2">
        <f ca="1"/>
        <v>0.81486737234814322</v>
      </c>
      <c r="O6493" s="2">
        <f ca="1"/>
        <v>-1.2416204006522515</v>
      </c>
      <c r="X6493" s="2">
        <f ca="1"/>
        <v>57.805218179898034</v>
      </c>
      <c r="AG6493" s="2">
        <f ca="1"/>
        <v>0.11611426103031874</v>
      </c>
      <c r="AH6493" s="2" t="str">
        <f ca="1"/>
        <v>OK</v>
      </c>
    </row>
    <row r="6494" spans="2:34" x14ac:dyDescent="0.2">
      <c r="B6494" s="2">
        <f ca="1"/>
        <v>0.25722394593146136</v>
      </c>
      <c r="O6494" s="2">
        <f ca="1"/>
        <v>0.46414421724997795</v>
      </c>
      <c r="X6494" s="2">
        <f ca="1"/>
        <v>72.342247406079977</v>
      </c>
      <c r="AG6494" s="2">
        <f ca="1"/>
        <v>0.73503200192469387</v>
      </c>
      <c r="AH6494" s="2" t="str">
        <f ca="1"/>
        <v>Bad</v>
      </c>
    </row>
    <row r="6495" spans="2:34" x14ac:dyDescent="0.2">
      <c r="B6495" s="2">
        <f ca="1"/>
        <v>0.25822041590124845</v>
      </c>
      <c r="O6495" s="2">
        <f ca="1"/>
        <v>-0.3732397392299403</v>
      </c>
      <c r="X6495" s="2">
        <f ca="1"/>
        <v>47.441622416090858</v>
      </c>
      <c r="AG6495" s="2">
        <f ca="1"/>
        <v>0.26850781468392437</v>
      </c>
      <c r="AH6495" s="2" t="str">
        <f ca="1"/>
        <v>OK</v>
      </c>
    </row>
    <row r="6496" spans="2:34" x14ac:dyDescent="0.2">
      <c r="B6496" s="2">
        <f ca="1"/>
        <v>0.61263097839938641</v>
      </c>
      <c r="O6496" s="2">
        <f ca="1"/>
        <v>1.3398015143610928</v>
      </c>
      <c r="X6496" s="2">
        <f ca="1"/>
        <v>66.729316344403571</v>
      </c>
      <c r="AG6496" s="2">
        <f ca="1"/>
        <v>0.42040780652514997</v>
      </c>
      <c r="AH6496" s="2" t="str">
        <f ca="1"/>
        <v>Bad</v>
      </c>
    </row>
    <row r="6497" spans="2:34" x14ac:dyDescent="0.2">
      <c r="B6497" s="2">
        <f ca="1"/>
        <v>0.53538488727195799</v>
      </c>
      <c r="O6497" s="2">
        <f ca="1"/>
        <v>1.1273831508902989</v>
      </c>
      <c r="X6497" s="2">
        <f ca="1"/>
        <v>52.031214228860669</v>
      </c>
      <c r="AG6497" s="2">
        <f ca="1"/>
        <v>0.98869089022378209</v>
      </c>
      <c r="AH6497" s="2" t="str">
        <f ca="1"/>
        <v>Bad</v>
      </c>
    </row>
    <row r="6498" spans="2:34" x14ac:dyDescent="0.2">
      <c r="B6498" s="2">
        <f ca="1"/>
        <v>4.3541009783586437E-2</v>
      </c>
      <c r="O6498" s="2">
        <f ca="1"/>
        <v>0.74919522327244392</v>
      </c>
      <c r="X6498" s="2">
        <f ca="1"/>
        <v>36.834749163217879</v>
      </c>
      <c r="AG6498" s="2">
        <f ca="1"/>
        <v>0.99178406306275879</v>
      </c>
      <c r="AH6498" s="2" t="str">
        <f ca="1"/>
        <v>Bad</v>
      </c>
    </row>
    <row r="6499" spans="2:34" x14ac:dyDescent="0.2">
      <c r="B6499" s="2">
        <f ca="1"/>
        <v>0.90956082508624836</v>
      </c>
      <c r="O6499" s="2">
        <f ca="1"/>
        <v>-9.7949225433568321E-2</v>
      </c>
      <c r="X6499" s="2">
        <f ca="1"/>
        <v>40.755792132329546</v>
      </c>
      <c r="AG6499" s="2">
        <f ca="1"/>
        <v>0.39821486604265122</v>
      </c>
      <c r="AH6499" s="2" t="str">
        <f ca="1"/>
        <v>OK</v>
      </c>
    </row>
    <row r="6500" spans="2:34" x14ac:dyDescent="0.2">
      <c r="B6500" s="2">
        <f ca="1"/>
        <v>0.99244917653509535</v>
      </c>
      <c r="O6500" s="2">
        <f ca="1"/>
        <v>-1.5348030223154212</v>
      </c>
      <c r="X6500" s="2">
        <f ca="1"/>
        <v>40.949125080106469</v>
      </c>
      <c r="AG6500" s="2">
        <f ca="1"/>
        <v>0.5613351309237038</v>
      </c>
      <c r="AH6500" s="2" t="str">
        <f ca="1"/>
        <v>Bad</v>
      </c>
    </row>
    <row r="6501" spans="2:34" x14ac:dyDescent="0.2">
      <c r="B6501" s="2">
        <f ca="1"/>
        <v>0.20838670345278132</v>
      </c>
      <c r="O6501" s="2">
        <f ca="1"/>
        <v>-8.2151743085366311E-2</v>
      </c>
      <c r="X6501" s="2">
        <f ca="1"/>
        <v>33.569392897788866</v>
      </c>
      <c r="AG6501" s="2">
        <f ca="1"/>
        <v>0.46217665441740929</v>
      </c>
      <c r="AH6501" s="2" t="str">
        <f ca="1"/>
        <v>Bad</v>
      </c>
    </row>
    <row r="6502" spans="2:34" x14ac:dyDescent="0.2">
      <c r="B6502" s="2">
        <f ca="1"/>
        <v>0.50673920565091612</v>
      </c>
      <c r="O6502" s="2">
        <f ca="1"/>
        <v>-1.4658011076028676</v>
      </c>
      <c r="X6502" s="2">
        <f ca="1"/>
        <v>19.026560953877599</v>
      </c>
      <c r="AG6502" s="2">
        <f ca="1"/>
        <v>5.3288280124924148E-2</v>
      </c>
      <c r="AH6502" s="2" t="str">
        <f ca="1"/>
        <v>OK</v>
      </c>
    </row>
    <row r="6503" spans="2:34" x14ac:dyDescent="0.2">
      <c r="B6503" s="2">
        <f ca="1"/>
        <v>0.42176066088947461</v>
      </c>
      <c r="O6503" s="2">
        <f ca="1"/>
        <v>1.1651166316165322</v>
      </c>
      <c r="X6503" s="2">
        <f ca="1"/>
        <v>66.059592606083712</v>
      </c>
      <c r="AG6503" s="2">
        <f ca="1"/>
        <v>0.7725311811256752</v>
      </c>
      <c r="AH6503" s="2" t="str">
        <f ca="1"/>
        <v>Bad</v>
      </c>
    </row>
    <row r="6504" spans="2:34" x14ac:dyDescent="0.2">
      <c r="B6504" s="2">
        <f ca="1"/>
        <v>0.98586575973316437</v>
      </c>
      <c r="O6504" s="2">
        <f ca="1"/>
        <v>0.74359684016805627</v>
      </c>
      <c r="X6504" s="2">
        <f ca="1"/>
        <v>21.450305010005714</v>
      </c>
      <c r="AG6504" s="2">
        <f ca="1"/>
        <v>0.42684607680069697</v>
      </c>
      <c r="AH6504" s="2" t="str">
        <f ca="1"/>
        <v>Bad</v>
      </c>
    </row>
    <row r="6505" spans="2:34" x14ac:dyDescent="0.2">
      <c r="B6505" s="2">
        <f ca="1"/>
        <v>0.44220691333329687</v>
      </c>
      <c r="O6505" s="2">
        <f ca="1"/>
        <v>2.1288551729510341</v>
      </c>
      <c r="X6505" s="2">
        <f ca="1"/>
        <v>23.607071565222157</v>
      </c>
      <c r="AG6505" s="2">
        <f ca="1"/>
        <v>0.71825101078466158</v>
      </c>
      <c r="AH6505" s="2" t="str">
        <f ca="1"/>
        <v>Bad</v>
      </c>
    </row>
    <row r="6506" spans="2:34" x14ac:dyDescent="0.2">
      <c r="B6506" s="2">
        <f ca="1"/>
        <v>0.38651386260580689</v>
      </c>
      <c r="O6506" s="2">
        <f ca="1"/>
        <v>1.1744334946633299</v>
      </c>
      <c r="X6506" s="2">
        <f ca="1"/>
        <v>60.601015812393221</v>
      </c>
      <c r="AG6506" s="2">
        <f ca="1"/>
        <v>0.43224207474476994</v>
      </c>
      <c r="AH6506" s="2" t="str">
        <f ca="1"/>
        <v>Bad</v>
      </c>
    </row>
    <row r="6507" spans="2:34" x14ac:dyDescent="0.2">
      <c r="B6507" s="2">
        <f ca="1"/>
        <v>0.74340434997966121</v>
      </c>
      <c r="O6507" s="2">
        <f ca="1"/>
        <v>0.57869111674346652</v>
      </c>
      <c r="X6507" s="2">
        <f ca="1"/>
        <v>68.125424988776444</v>
      </c>
      <c r="AG6507" s="2">
        <f ca="1"/>
        <v>0.94789581080660801</v>
      </c>
      <c r="AH6507" s="2" t="str">
        <f ca="1"/>
        <v>Bad</v>
      </c>
    </row>
    <row r="6508" spans="2:34" x14ac:dyDescent="0.2">
      <c r="B6508" s="2">
        <f ca="1"/>
        <v>0.99984714327016699</v>
      </c>
      <c r="O6508" s="2">
        <f ca="1"/>
        <v>2.1200724960514972</v>
      </c>
      <c r="X6508" s="2">
        <f ca="1"/>
        <v>58.596141539103108</v>
      </c>
      <c r="AG6508" s="2">
        <f ca="1"/>
        <v>0.59243801369608029</v>
      </c>
      <c r="AH6508" s="2" t="str">
        <f ca="1"/>
        <v>Bad</v>
      </c>
    </row>
    <row r="6509" spans="2:34" x14ac:dyDescent="0.2">
      <c r="B6509" s="2">
        <f ca="1"/>
        <v>0.85770013290322256</v>
      </c>
      <c r="O6509" s="2">
        <f ca="1"/>
        <v>7.3840262630926329E-2</v>
      </c>
      <c r="X6509" s="2">
        <f ca="1"/>
        <v>64.609765485879592</v>
      </c>
      <c r="AG6509" s="2">
        <f ca="1"/>
        <v>0.28427973738692436</v>
      </c>
      <c r="AH6509" s="2" t="str">
        <f ca="1"/>
        <v>OK</v>
      </c>
    </row>
    <row r="6510" spans="2:34" x14ac:dyDescent="0.2">
      <c r="B6510" s="2">
        <f ca="1"/>
        <v>5.2695083948597343E-3</v>
      </c>
      <c r="O6510" s="2">
        <f ca="1"/>
        <v>2.1420388609394554E-2</v>
      </c>
      <c r="X6510" s="2">
        <f ca="1"/>
        <v>40.606198610737991</v>
      </c>
      <c r="AG6510" s="2">
        <f ca="1"/>
        <v>0.15560499851884346</v>
      </c>
      <c r="AH6510" s="2" t="str">
        <f ca="1"/>
        <v>OK</v>
      </c>
    </row>
    <row r="6511" spans="2:34" x14ac:dyDescent="0.2">
      <c r="B6511" s="2">
        <f ca="1"/>
        <v>0.20734302402236882</v>
      </c>
      <c r="O6511" s="2">
        <f ca="1"/>
        <v>0.48927340795982743</v>
      </c>
      <c r="X6511" s="2">
        <f ca="1"/>
        <v>54.956710492128551</v>
      </c>
      <c r="AG6511" s="2">
        <f ca="1"/>
        <v>5.770757900910084E-3</v>
      </c>
      <c r="AH6511" s="2" t="str">
        <f ca="1"/>
        <v>Good</v>
      </c>
    </row>
    <row r="6512" spans="2:34" x14ac:dyDescent="0.2">
      <c r="B6512" s="2">
        <f ca="1"/>
        <v>0.40655414900678588</v>
      </c>
      <c r="O6512" s="2">
        <f ca="1"/>
        <v>-2.1393104246805912</v>
      </c>
      <c r="X6512" s="2">
        <f ca="1"/>
        <v>54.643389849753007</v>
      </c>
      <c r="AG6512" s="2">
        <f ca="1"/>
        <v>0.77954773743287231</v>
      </c>
      <c r="AH6512" s="2" t="str">
        <f ca="1"/>
        <v>Bad</v>
      </c>
    </row>
    <row r="6513" spans="2:34" x14ac:dyDescent="0.2">
      <c r="B6513" s="2">
        <f ca="1"/>
        <v>0.20867171450683863</v>
      </c>
      <c r="O6513" s="2">
        <f ca="1"/>
        <v>0.81698992599118836</v>
      </c>
      <c r="X6513" s="2">
        <f ca="1"/>
        <v>60.774319715651615</v>
      </c>
      <c r="AG6513" s="2">
        <f ca="1"/>
        <v>0.34879657920908747</v>
      </c>
      <c r="AH6513" s="2" t="str">
        <f ca="1"/>
        <v>OK</v>
      </c>
    </row>
    <row r="6514" spans="2:34" x14ac:dyDescent="0.2">
      <c r="B6514" s="2">
        <f ca="1"/>
        <v>0.15161992186843087</v>
      </c>
      <c r="O6514" s="2">
        <f ca="1"/>
        <v>-3.5715123971832539E-2</v>
      </c>
      <c r="X6514" s="2">
        <f ca="1"/>
        <v>44.26317337769909</v>
      </c>
      <c r="AG6514" s="2">
        <f ca="1"/>
        <v>0.83156750618308561</v>
      </c>
      <c r="AH6514" s="2" t="str">
        <f ca="1"/>
        <v>Bad</v>
      </c>
    </row>
    <row r="6515" spans="2:34" x14ac:dyDescent="0.2">
      <c r="B6515" s="2">
        <f ca="1"/>
        <v>0.41267508723123303</v>
      </c>
      <c r="O6515" s="2">
        <f ca="1"/>
        <v>-0.17765033719181847</v>
      </c>
      <c r="X6515" s="2">
        <f ca="1"/>
        <v>53.839810858941036</v>
      </c>
      <c r="AG6515" s="2">
        <f ca="1"/>
        <v>0.94390747253489815</v>
      </c>
      <c r="AH6515" s="2" t="str">
        <f ca="1"/>
        <v>Bad</v>
      </c>
    </row>
    <row r="6516" spans="2:34" x14ac:dyDescent="0.2">
      <c r="B6516" s="2">
        <f ca="1"/>
        <v>0.30669279592463705</v>
      </c>
      <c r="O6516" s="2">
        <f ca="1"/>
        <v>0.77426948583897937</v>
      </c>
      <c r="X6516" s="2">
        <f ca="1"/>
        <v>43.971677217903164</v>
      </c>
      <c r="AG6516" s="2">
        <f ca="1"/>
        <v>0.22366108988363353</v>
      </c>
      <c r="AH6516" s="2" t="str">
        <f ca="1"/>
        <v>OK</v>
      </c>
    </row>
    <row r="6517" spans="2:34" x14ac:dyDescent="0.2">
      <c r="B6517" s="2">
        <f ca="1"/>
        <v>0.53571581643762567</v>
      </c>
      <c r="O6517" s="2">
        <f ca="1"/>
        <v>-0.44627476153675483</v>
      </c>
      <c r="X6517" s="2">
        <f ca="1"/>
        <v>39.746823512035611</v>
      </c>
      <c r="AG6517" s="2">
        <f ca="1"/>
        <v>0.25722734180901496</v>
      </c>
      <c r="AH6517" s="2" t="str">
        <f ca="1"/>
        <v>OK</v>
      </c>
    </row>
    <row r="6518" spans="2:34" x14ac:dyDescent="0.2">
      <c r="B6518" s="2">
        <f ca="1"/>
        <v>0.83940223237329303</v>
      </c>
      <c r="O6518" s="2">
        <f ca="1"/>
        <v>0.395376107372792</v>
      </c>
      <c r="X6518" s="2">
        <f ca="1"/>
        <v>37.74570709261171</v>
      </c>
      <c r="AG6518" s="2">
        <f ca="1"/>
        <v>0.20371092807068214</v>
      </c>
      <c r="AH6518" s="2" t="str">
        <f ca="1"/>
        <v>OK</v>
      </c>
    </row>
    <row r="6519" spans="2:34" x14ac:dyDescent="0.2">
      <c r="B6519" s="2">
        <f ca="1"/>
        <v>0.5905845196460815</v>
      </c>
      <c r="O6519" s="2">
        <f ca="1"/>
        <v>-4.6268598028851669E-3</v>
      </c>
      <c r="X6519" s="2">
        <f ca="1"/>
        <v>51.337382814784448</v>
      </c>
      <c r="AG6519" s="2">
        <f ca="1"/>
        <v>0.73880956145524301</v>
      </c>
      <c r="AH6519" s="2" t="str">
        <f ca="1"/>
        <v>Bad</v>
      </c>
    </row>
    <row r="6520" spans="2:34" x14ac:dyDescent="0.2">
      <c r="B6520" s="2">
        <f ca="1"/>
        <v>0.41607250737260104</v>
      </c>
      <c r="O6520" s="2">
        <f ca="1"/>
        <v>1.470247390627984</v>
      </c>
      <c r="X6520" s="2">
        <f ca="1"/>
        <v>50.276422917974443</v>
      </c>
      <c r="AG6520" s="2">
        <f ca="1"/>
        <v>0.43690772266687761</v>
      </c>
      <c r="AH6520" s="2" t="str">
        <f ca="1"/>
        <v>Bad</v>
      </c>
    </row>
    <row r="6521" spans="2:34" x14ac:dyDescent="0.2">
      <c r="B6521" s="2">
        <f ca="1"/>
        <v>0.92887407973115943</v>
      </c>
      <c r="O6521" s="2">
        <f ca="1"/>
        <v>-0.28547392783124759</v>
      </c>
      <c r="X6521" s="2">
        <f ca="1"/>
        <v>72.882476110787195</v>
      </c>
      <c r="AG6521" s="2">
        <f ca="1"/>
        <v>8.8058191597177871E-2</v>
      </c>
      <c r="AH6521" s="2" t="str">
        <f ca="1"/>
        <v>OK</v>
      </c>
    </row>
    <row r="6522" spans="2:34" x14ac:dyDescent="0.2">
      <c r="B6522" s="2">
        <f ca="1"/>
        <v>9.5402827246380939E-2</v>
      </c>
      <c r="O6522" s="2">
        <f ca="1"/>
        <v>-0.52235289259545115</v>
      </c>
      <c r="X6522" s="2">
        <f ca="1"/>
        <v>74.317307059489821</v>
      </c>
      <c r="AG6522" s="2">
        <f ca="1"/>
        <v>0.52320006876056513</v>
      </c>
      <c r="AH6522" s="2" t="str">
        <f ca="1"/>
        <v>Bad</v>
      </c>
    </row>
    <row r="6523" spans="2:34" x14ac:dyDescent="0.2">
      <c r="B6523" s="2">
        <f ca="1"/>
        <v>0.73101491842994704</v>
      </c>
      <c r="O6523" s="2">
        <f ca="1"/>
        <v>-1.2661259435846828</v>
      </c>
      <c r="X6523" s="2">
        <f ca="1"/>
        <v>63.633257137602712</v>
      </c>
      <c r="AG6523" s="2">
        <f ca="1"/>
        <v>0.84386179681343121</v>
      </c>
      <c r="AH6523" s="2" t="str">
        <f ca="1"/>
        <v>Bad</v>
      </c>
    </row>
    <row r="6524" spans="2:34" x14ac:dyDescent="0.2">
      <c r="B6524" s="2">
        <f ca="1"/>
        <v>0.60552214737055454</v>
      </c>
      <c r="O6524" s="2">
        <f ca="1"/>
        <v>0.66490184359579496</v>
      </c>
      <c r="X6524" s="2">
        <f ca="1"/>
        <v>41.506922663433627</v>
      </c>
      <c r="AG6524" s="2">
        <f ca="1"/>
        <v>0.17072286387480906</v>
      </c>
      <c r="AH6524" s="2" t="str">
        <f ca="1"/>
        <v>OK</v>
      </c>
    </row>
    <row r="6525" spans="2:34" x14ac:dyDescent="0.2">
      <c r="B6525" s="2">
        <f ca="1"/>
        <v>0.93734697428183056</v>
      </c>
      <c r="O6525" s="2">
        <f ca="1"/>
        <v>1.5347056020424943</v>
      </c>
      <c r="X6525" s="2">
        <f ca="1"/>
        <v>32.820583092986972</v>
      </c>
      <c r="AG6525" s="2">
        <f ca="1"/>
        <v>0.94881890230921884</v>
      </c>
      <c r="AH6525" s="2" t="str">
        <f ca="1"/>
        <v>Bad</v>
      </c>
    </row>
    <row r="6526" spans="2:34" x14ac:dyDescent="0.2">
      <c r="B6526" s="2">
        <f ca="1"/>
        <v>0.88825784644540762</v>
      </c>
      <c r="O6526" s="2">
        <f ca="1"/>
        <v>0.53885746559613812</v>
      </c>
      <c r="X6526" s="2">
        <f ca="1"/>
        <v>47.673266969501697</v>
      </c>
      <c r="AG6526" s="2">
        <f ca="1"/>
        <v>0.57455873874695884</v>
      </c>
      <c r="AH6526" s="2" t="str">
        <f ca="1"/>
        <v>Bad</v>
      </c>
    </row>
    <row r="6527" spans="2:34" x14ac:dyDescent="0.2">
      <c r="B6527" s="2">
        <f ca="1"/>
        <v>0.39210305534467049</v>
      </c>
      <c r="O6527" s="2">
        <f ca="1"/>
        <v>1.2679642301340364</v>
      </c>
      <c r="X6527" s="2">
        <f ca="1"/>
        <v>38.254729390229357</v>
      </c>
      <c r="AG6527" s="2">
        <f ca="1"/>
        <v>0.67179991562198338</v>
      </c>
      <c r="AH6527" s="2" t="str">
        <f ca="1"/>
        <v>Bad</v>
      </c>
    </row>
    <row r="6528" spans="2:34" x14ac:dyDescent="0.2">
      <c r="B6528" s="2">
        <f ca="1"/>
        <v>0.35375331092007056</v>
      </c>
      <c r="O6528" s="2">
        <f ca="1"/>
        <v>0.65053967901161336</v>
      </c>
      <c r="X6528" s="2">
        <f ca="1"/>
        <v>49.318096543985078</v>
      </c>
      <c r="AG6528" s="2">
        <f ca="1"/>
        <v>9.8020178815152237E-2</v>
      </c>
      <c r="AH6528" s="2" t="str">
        <f ca="1"/>
        <v>OK</v>
      </c>
    </row>
    <row r="6529" spans="2:34" x14ac:dyDescent="0.2">
      <c r="B6529" s="2">
        <f ca="1"/>
        <v>0.17756647277408621</v>
      </c>
      <c r="O6529" s="2">
        <f ca="1"/>
        <v>-0.78771416974202246</v>
      </c>
      <c r="X6529" s="2">
        <f ca="1"/>
        <v>43.587425734093522</v>
      </c>
      <c r="AG6529" s="2">
        <f ca="1"/>
        <v>0.58434825895723552</v>
      </c>
      <c r="AH6529" s="2" t="str">
        <f ca="1"/>
        <v>Bad</v>
      </c>
    </row>
    <row r="6530" spans="2:34" x14ac:dyDescent="0.2">
      <c r="B6530" s="2">
        <f ca="1"/>
        <v>0.90134069827977981</v>
      </c>
      <c r="O6530" s="2">
        <f ca="1"/>
        <v>6.3524657104077925E-2</v>
      </c>
      <c r="X6530" s="2">
        <f ca="1"/>
        <v>65.195586338720815</v>
      </c>
      <c r="AG6530" s="2">
        <f ca="1"/>
        <v>0.87237233939770276</v>
      </c>
      <c r="AH6530" s="2" t="str">
        <f ca="1"/>
        <v>Bad</v>
      </c>
    </row>
    <row r="6531" spans="2:34" x14ac:dyDescent="0.2">
      <c r="B6531" s="2">
        <f ca="1"/>
        <v>0.18763631681617765</v>
      </c>
      <c r="O6531" s="2">
        <f ca="1"/>
        <v>-0.58714860017439963</v>
      </c>
      <c r="X6531" s="2">
        <f ca="1"/>
        <v>53.535220223792813</v>
      </c>
      <c r="AG6531" s="2">
        <f ca="1"/>
        <v>0.65314578545870838</v>
      </c>
      <c r="AH6531" s="2" t="str">
        <f ca="1"/>
        <v>Bad</v>
      </c>
    </row>
    <row r="6532" spans="2:34" x14ac:dyDescent="0.2">
      <c r="B6532" s="2">
        <f ca="1"/>
        <v>0.9812393814861966</v>
      </c>
      <c r="O6532" s="2">
        <f ca="1"/>
        <v>-9.0373377606362187E-2</v>
      </c>
      <c r="X6532" s="2">
        <f ca="1"/>
        <v>41.05796198213244</v>
      </c>
      <c r="AG6532" s="2">
        <f ca="1"/>
        <v>0.92266381674815867</v>
      </c>
      <c r="AH6532" s="2" t="str">
        <f ca="1"/>
        <v>Bad</v>
      </c>
    </row>
    <row r="6533" spans="2:34" x14ac:dyDescent="0.2">
      <c r="B6533" s="2">
        <f ca="1"/>
        <v>3.4421421776579919E-2</v>
      </c>
      <c r="O6533" s="2">
        <f ca="1"/>
        <v>-1.1492769993585985</v>
      </c>
      <c r="X6533" s="2">
        <f ca="1"/>
        <v>31.491280001069228</v>
      </c>
      <c r="AG6533" s="2">
        <f ca="1"/>
        <v>0.41556939411196936</v>
      </c>
      <c r="AH6533" s="2" t="str">
        <f ca="1"/>
        <v>Bad</v>
      </c>
    </row>
    <row r="6534" spans="2:34" x14ac:dyDescent="0.2">
      <c r="B6534" s="2">
        <f ca="1"/>
        <v>0.83569127335176563</v>
      </c>
      <c r="O6534" s="2">
        <f ca="1"/>
        <v>-0.96395214605269008</v>
      </c>
      <c r="X6534" s="2">
        <f ca="1"/>
        <v>44.176876980719051</v>
      </c>
      <c r="AG6534" s="2">
        <f ca="1"/>
        <v>0.3405372130289559</v>
      </c>
      <c r="AH6534" s="2" t="str">
        <f ca="1"/>
        <v>OK</v>
      </c>
    </row>
    <row r="6535" spans="2:34" x14ac:dyDescent="0.2">
      <c r="B6535" s="2">
        <f ca="1"/>
        <v>0.21472762312869742</v>
      </c>
      <c r="O6535" s="2">
        <f ca="1"/>
        <v>0.25326065782751278</v>
      </c>
      <c r="X6535" s="2">
        <f ca="1"/>
        <v>32.012796167596505</v>
      </c>
      <c r="AG6535" s="2">
        <f ca="1"/>
        <v>0.44190696269370311</v>
      </c>
      <c r="AH6535" s="2" t="str">
        <f ca="1"/>
        <v>Bad</v>
      </c>
    </row>
    <row r="6536" spans="2:34" x14ac:dyDescent="0.2">
      <c r="B6536" s="2">
        <f ca="1"/>
        <v>0.73665534469463378</v>
      </c>
      <c r="O6536" s="2">
        <f ca="1"/>
        <v>-1.1427526756544579</v>
      </c>
      <c r="X6536" s="2">
        <f ca="1"/>
        <v>43.678189959079305</v>
      </c>
      <c r="AG6536" s="2">
        <f ca="1"/>
        <v>0.77050559327509016</v>
      </c>
      <c r="AH6536" s="2" t="str">
        <f ca="1"/>
        <v>Bad</v>
      </c>
    </row>
    <row r="6537" spans="2:34" x14ac:dyDescent="0.2">
      <c r="B6537" s="2">
        <f ca="1"/>
        <v>8.274894260166743E-2</v>
      </c>
      <c r="O6537" s="2">
        <f ca="1"/>
        <v>-1.5600468908505931</v>
      </c>
      <c r="X6537" s="2">
        <f ca="1"/>
        <v>46.013320307691153</v>
      </c>
      <c r="AG6537" s="2">
        <f ca="1"/>
        <v>0.62034777767674432</v>
      </c>
      <c r="AH6537" s="2" t="str">
        <f ca="1"/>
        <v>Bad</v>
      </c>
    </row>
    <row r="6538" spans="2:34" x14ac:dyDescent="0.2">
      <c r="B6538" s="2">
        <f ca="1"/>
        <v>0.35253433026037562</v>
      </c>
      <c r="O6538" s="2">
        <f ca="1"/>
        <v>1.0810467209032071</v>
      </c>
      <c r="X6538" s="2">
        <f ca="1"/>
        <v>39.291598629358482</v>
      </c>
      <c r="AG6538" s="2">
        <f ca="1"/>
        <v>0.61256782987732739</v>
      </c>
      <c r="AH6538" s="2" t="str">
        <f ca="1"/>
        <v>Bad</v>
      </c>
    </row>
    <row r="6539" spans="2:34" x14ac:dyDescent="0.2">
      <c r="B6539" s="2">
        <f ca="1"/>
        <v>0.14604842162718801</v>
      </c>
      <c r="O6539" s="2">
        <f ca="1"/>
        <v>-0.80766655461856529</v>
      </c>
      <c r="X6539" s="2">
        <f ca="1"/>
        <v>33.460060974214478</v>
      </c>
      <c r="AG6539" s="2">
        <f ca="1"/>
        <v>7.5739351731472393E-2</v>
      </c>
      <c r="AH6539" s="2" t="str">
        <f ca="1"/>
        <v>OK</v>
      </c>
    </row>
    <row r="6540" spans="2:34" x14ac:dyDescent="0.2">
      <c r="B6540" s="2">
        <f ca="1"/>
        <v>0.68239283739361389</v>
      </c>
      <c r="O6540" s="2">
        <f ca="1"/>
        <v>-0.64696354554709168</v>
      </c>
      <c r="X6540" s="2">
        <f ca="1"/>
        <v>56.881237095337411</v>
      </c>
      <c r="AG6540" s="2">
        <f ca="1"/>
        <v>0.5887425776880959</v>
      </c>
      <c r="AH6540" s="2" t="str">
        <f ca="1"/>
        <v>Bad</v>
      </c>
    </row>
    <row r="6541" spans="2:34" x14ac:dyDescent="0.2">
      <c r="B6541" s="2">
        <f ca="1"/>
        <v>0.44866015852909324</v>
      </c>
      <c r="O6541" s="2">
        <f ca="1"/>
        <v>-0.38015217457240202</v>
      </c>
      <c r="X6541" s="2">
        <f ca="1"/>
        <v>69.280058434964673</v>
      </c>
      <c r="AG6541" s="2">
        <f ca="1"/>
        <v>0.82908250459277499</v>
      </c>
      <c r="AH6541" s="2" t="str">
        <f ca="1"/>
        <v>Bad</v>
      </c>
    </row>
    <row r="6542" spans="2:34" x14ac:dyDescent="0.2">
      <c r="B6542" s="2">
        <f ca="1"/>
        <v>0.99349965415742525</v>
      </c>
      <c r="O6542" s="2">
        <f ca="1"/>
        <v>-1.7917160359619846</v>
      </c>
      <c r="X6542" s="2">
        <f ca="1"/>
        <v>47.54661930202721</v>
      </c>
      <c r="AG6542" s="2">
        <f ca="1"/>
        <v>0.61149613844552042</v>
      </c>
      <c r="AH6542" s="2" t="str">
        <f ca="1"/>
        <v>Bad</v>
      </c>
    </row>
    <row r="6543" spans="2:34" x14ac:dyDescent="0.2">
      <c r="B6543" s="2">
        <f ca="1"/>
        <v>0.19166422066786049</v>
      </c>
      <c r="O6543" s="2">
        <f ca="1"/>
        <v>-0.99333159401176419</v>
      </c>
      <c r="X6543" s="2">
        <f ca="1"/>
        <v>36.4565262832093</v>
      </c>
      <c r="AG6543" s="2">
        <f ca="1"/>
        <v>0.38962507860486673</v>
      </c>
      <c r="AH6543" s="2" t="str">
        <f ca="1"/>
        <v>OK</v>
      </c>
    </row>
    <row r="6544" spans="2:34" x14ac:dyDescent="0.2">
      <c r="B6544" s="2">
        <f ca="1"/>
        <v>0.21868460526553757</v>
      </c>
      <c r="O6544" s="2">
        <f ca="1"/>
        <v>-0.53984589106639536</v>
      </c>
      <c r="X6544" s="2">
        <f ca="1"/>
        <v>35.605895287004358</v>
      </c>
      <c r="AG6544" s="2">
        <f ca="1"/>
        <v>0.71401273613136573</v>
      </c>
      <c r="AH6544" s="2" t="str">
        <f ca="1"/>
        <v>Bad</v>
      </c>
    </row>
    <row r="6545" spans="2:34" x14ac:dyDescent="0.2">
      <c r="B6545" s="2">
        <f ca="1"/>
        <v>0.3462386072164847</v>
      </c>
      <c r="O6545" s="2">
        <f ca="1"/>
        <v>-0.79128219629707097</v>
      </c>
      <c r="X6545" s="2">
        <f ca="1"/>
        <v>40.073303854908822</v>
      </c>
      <c r="AG6545" s="2">
        <f ca="1"/>
        <v>0.60268038494168019</v>
      </c>
      <c r="AH6545" s="2" t="str">
        <f ca="1"/>
        <v>Bad</v>
      </c>
    </row>
    <row r="6546" spans="2:34" x14ac:dyDescent="0.2">
      <c r="B6546" s="2">
        <f ca="1"/>
        <v>0.47548481804236253</v>
      </c>
      <c r="O6546" s="2">
        <f ca="1"/>
        <v>-0.92029286957820844</v>
      </c>
      <c r="X6546" s="2">
        <f ca="1"/>
        <v>42.966677562761497</v>
      </c>
      <c r="AG6546" s="2">
        <f ca="1"/>
        <v>0.90498292626662291</v>
      </c>
      <c r="AH6546" s="2" t="str">
        <f ca="1"/>
        <v>Bad</v>
      </c>
    </row>
    <row r="6547" spans="2:34" x14ac:dyDescent="0.2">
      <c r="B6547" s="2">
        <f ca="1"/>
        <v>0.27083152355636186</v>
      </c>
      <c r="O6547" s="2">
        <f ca="1"/>
        <v>-1.3060321576211653</v>
      </c>
      <c r="X6547" s="2">
        <f ca="1"/>
        <v>34.72753877479326</v>
      </c>
      <c r="AG6547" s="2">
        <f ca="1"/>
        <v>3.8836728738158133E-2</v>
      </c>
      <c r="AH6547" s="2" t="str">
        <f ca="1"/>
        <v>Good</v>
      </c>
    </row>
    <row r="6548" spans="2:34" x14ac:dyDescent="0.2">
      <c r="B6548" s="2">
        <f ca="1"/>
        <v>0.58632937814969854</v>
      </c>
      <c r="O6548" s="2">
        <f ca="1"/>
        <v>1.5118551778802731</v>
      </c>
      <c r="X6548" s="2">
        <f ca="1"/>
        <v>103.77718967136802</v>
      </c>
      <c r="AG6548" s="2">
        <f ca="1"/>
        <v>0.22395086717933221</v>
      </c>
      <c r="AH6548" s="2" t="str">
        <f ca="1"/>
        <v>OK</v>
      </c>
    </row>
    <row r="6549" spans="2:34" x14ac:dyDescent="0.2">
      <c r="B6549" s="2">
        <f ca="1"/>
        <v>0.63917369275957281</v>
      </c>
      <c r="O6549" s="2">
        <f ca="1"/>
        <v>-1.1701992726356392</v>
      </c>
      <c r="X6549" s="2">
        <f ca="1"/>
        <v>72.766337642467832</v>
      </c>
      <c r="AG6549" s="2">
        <f ca="1"/>
        <v>0.62203470909992853</v>
      </c>
      <c r="AH6549" s="2" t="str">
        <f ca="1"/>
        <v>Bad</v>
      </c>
    </row>
    <row r="6550" spans="2:34" x14ac:dyDescent="0.2">
      <c r="B6550" s="2">
        <f ca="1"/>
        <v>0.64614171619357808</v>
      </c>
      <c r="O6550" s="2">
        <f ca="1"/>
        <v>-0.78099672471644033</v>
      </c>
      <c r="X6550" s="2">
        <f ca="1"/>
        <v>40.109987648643383</v>
      </c>
      <c r="AG6550" s="2">
        <f ca="1"/>
        <v>0.16536643854566924</v>
      </c>
      <c r="AH6550" s="2" t="str">
        <f ca="1"/>
        <v>OK</v>
      </c>
    </row>
    <row r="6551" spans="2:34" x14ac:dyDescent="0.2">
      <c r="B6551" s="2">
        <f ca="1"/>
        <v>0.61436568517400003</v>
      </c>
      <c r="O6551" s="2">
        <f ca="1"/>
        <v>-0.11745520929770006</v>
      </c>
      <c r="X6551" s="2">
        <f ca="1"/>
        <v>55.030118444008423</v>
      </c>
      <c r="AG6551" s="2">
        <f ca="1"/>
        <v>0.89565006455099194</v>
      </c>
      <c r="AH6551" s="2" t="str">
        <f ca="1"/>
        <v>Bad</v>
      </c>
    </row>
    <row r="6552" spans="2:34" x14ac:dyDescent="0.2">
      <c r="B6552" s="2">
        <f ca="1"/>
        <v>0.99772983151775585</v>
      </c>
      <c r="O6552" s="2">
        <f ca="1"/>
        <v>-3.5039197814185935E-2</v>
      </c>
      <c r="X6552" s="2">
        <f ca="1"/>
        <v>68.870783825901583</v>
      </c>
      <c r="AG6552" s="2">
        <f ca="1"/>
        <v>0.10933000749746347</v>
      </c>
      <c r="AH6552" s="2" t="str">
        <f ca="1"/>
        <v>OK</v>
      </c>
    </row>
    <row r="6553" spans="2:34" x14ac:dyDescent="0.2">
      <c r="B6553" s="2">
        <f ca="1"/>
        <v>0.87466454581932918</v>
      </c>
      <c r="O6553" s="2">
        <f ca="1"/>
        <v>0.98409613571224908</v>
      </c>
      <c r="X6553" s="2">
        <f ca="1"/>
        <v>45.830736931549872</v>
      </c>
      <c r="AG6553" s="2">
        <f ca="1"/>
        <v>0.31184387412635273</v>
      </c>
      <c r="AH6553" s="2" t="str">
        <f ca="1"/>
        <v>OK</v>
      </c>
    </row>
    <row r="6554" spans="2:34" x14ac:dyDescent="0.2">
      <c r="B6554" s="2">
        <f ca="1"/>
        <v>0.32959524246101868</v>
      </c>
      <c r="O6554" s="2">
        <f ca="1"/>
        <v>-1.6712065002286602</v>
      </c>
      <c r="X6554" s="2">
        <f ca="1"/>
        <v>85.830801621149945</v>
      </c>
      <c r="AG6554" s="2">
        <f ca="1"/>
        <v>0.15668514618528051</v>
      </c>
      <c r="AH6554" s="2" t="str">
        <f ca="1"/>
        <v>OK</v>
      </c>
    </row>
    <row r="6555" spans="2:34" x14ac:dyDescent="0.2">
      <c r="B6555" s="2">
        <f ca="1"/>
        <v>0.88845734824945799</v>
      </c>
      <c r="O6555" s="2">
        <f ca="1"/>
        <v>-0.20937921629747255</v>
      </c>
      <c r="X6555" s="2">
        <f ca="1"/>
        <v>41.147562970436653</v>
      </c>
      <c r="AG6555" s="2">
        <f ca="1"/>
        <v>0.70148807014944392</v>
      </c>
      <c r="AH6555" s="2" t="str">
        <f ca="1"/>
        <v>Bad</v>
      </c>
    </row>
    <row r="6556" spans="2:34" x14ac:dyDescent="0.2">
      <c r="B6556" s="2">
        <f ca="1"/>
        <v>7.9467821175911002E-2</v>
      </c>
      <c r="O6556" s="2">
        <f ca="1"/>
        <v>-0.63168676513976474</v>
      </c>
      <c r="X6556" s="2">
        <f ca="1"/>
        <v>56.970842023359879</v>
      </c>
      <c r="AG6556" s="2">
        <f ca="1"/>
        <v>0.22853975152607209</v>
      </c>
      <c r="AH6556" s="2" t="str">
        <f ca="1"/>
        <v>OK</v>
      </c>
    </row>
    <row r="6557" spans="2:34" x14ac:dyDescent="0.2">
      <c r="B6557" s="2">
        <f ca="1"/>
        <v>0.947657904535949</v>
      </c>
      <c r="O6557" s="2">
        <f ca="1"/>
        <v>0.31434571840554221</v>
      </c>
      <c r="X6557" s="2">
        <f ca="1"/>
        <v>17.917849771834838</v>
      </c>
      <c r="AG6557" s="2">
        <f ca="1"/>
        <v>0.77986499198992298</v>
      </c>
      <c r="AH6557" s="2" t="str">
        <f ca="1"/>
        <v>Bad</v>
      </c>
    </row>
    <row r="6558" spans="2:34" x14ac:dyDescent="0.2">
      <c r="B6558" s="2">
        <f ca="1"/>
        <v>0.76077401170890657</v>
      </c>
      <c r="O6558" s="2">
        <f ca="1"/>
        <v>0.19089148719947102</v>
      </c>
      <c r="X6558" s="2">
        <f ca="1"/>
        <v>67.661197938123294</v>
      </c>
      <c r="AG6558" s="2">
        <f ca="1"/>
        <v>0.69958509501145993</v>
      </c>
      <c r="AH6558" s="2" t="str">
        <f ca="1"/>
        <v>Bad</v>
      </c>
    </row>
    <row r="6559" spans="2:34" x14ac:dyDescent="0.2">
      <c r="B6559" s="2">
        <f ca="1"/>
        <v>0.29163876827608437</v>
      </c>
      <c r="O6559" s="2">
        <f ca="1"/>
        <v>-0.22059346843040703</v>
      </c>
      <c r="X6559" s="2">
        <f ca="1"/>
        <v>21.991405493771282</v>
      </c>
      <c r="AG6559" s="2">
        <f ca="1"/>
        <v>0.65343918361600295</v>
      </c>
      <c r="AH6559" s="2" t="str">
        <f ca="1"/>
        <v>Bad</v>
      </c>
    </row>
    <row r="6560" spans="2:34" x14ac:dyDescent="0.2">
      <c r="B6560" s="2">
        <f ca="1"/>
        <v>0.89345593175231675</v>
      </c>
      <c r="O6560" s="2">
        <f ca="1"/>
        <v>0.15174107754061997</v>
      </c>
      <c r="X6560" s="2">
        <f ca="1"/>
        <v>60.652533148035417</v>
      </c>
      <c r="AG6560" s="2">
        <f ca="1"/>
        <v>0.23771823942366566</v>
      </c>
      <c r="AH6560" s="2" t="str">
        <f ca="1"/>
        <v>OK</v>
      </c>
    </row>
    <row r="6561" spans="2:34" x14ac:dyDescent="0.2">
      <c r="B6561" s="2">
        <f ca="1"/>
        <v>0.2667180013883772</v>
      </c>
      <c r="O6561" s="2">
        <f ca="1"/>
        <v>1.0592022875774989</v>
      </c>
      <c r="X6561" s="2">
        <f ca="1"/>
        <v>75.562476888617255</v>
      </c>
      <c r="AG6561" s="2">
        <f ca="1"/>
        <v>0.33317105743743336</v>
      </c>
      <c r="AH6561" s="2" t="str">
        <f ca="1"/>
        <v>OK</v>
      </c>
    </row>
    <row r="6562" spans="2:34" x14ac:dyDescent="0.2">
      <c r="B6562" s="2">
        <f ca="1"/>
        <v>0.50311443706185655</v>
      </c>
      <c r="O6562" s="2">
        <f ca="1"/>
        <v>1.9805504427558915</v>
      </c>
      <c r="X6562" s="2">
        <f ca="1"/>
        <v>78.609651261860009</v>
      </c>
      <c r="AG6562" s="2">
        <f ca="1"/>
        <v>0.75539979218043185</v>
      </c>
      <c r="AH6562" s="2" t="str">
        <f ca="1"/>
        <v>Bad</v>
      </c>
    </row>
    <row r="6563" spans="2:34" x14ac:dyDescent="0.2">
      <c r="B6563" s="2">
        <f ca="1"/>
        <v>0.95472891485356759</v>
      </c>
      <c r="O6563" s="2">
        <f ca="1"/>
        <v>-0.8289005706232766</v>
      </c>
      <c r="X6563" s="2">
        <f ca="1"/>
        <v>51.271080489332192</v>
      </c>
      <c r="AG6563" s="2">
        <f ca="1"/>
        <v>0.52818471017901825</v>
      </c>
      <c r="AH6563" s="2" t="str">
        <f ca="1"/>
        <v>Bad</v>
      </c>
    </row>
    <row r="6564" spans="2:34" x14ac:dyDescent="0.2">
      <c r="B6564" s="2">
        <f ca="1"/>
        <v>0.32835530350400033</v>
      </c>
      <c r="O6564" s="2">
        <f ca="1"/>
        <v>0.72789548730924492</v>
      </c>
      <c r="X6564" s="2">
        <f ca="1"/>
        <v>44.479158117657661</v>
      </c>
      <c r="AG6564" s="2">
        <f ca="1"/>
        <v>0.62300515232848475</v>
      </c>
      <c r="AH6564" s="2" t="str">
        <f ca="1"/>
        <v>Bad</v>
      </c>
    </row>
    <row r="6565" spans="2:34" x14ac:dyDescent="0.2">
      <c r="B6565" s="2">
        <f ca="1"/>
        <v>0.30856073352446289</v>
      </c>
      <c r="O6565" s="2">
        <f ca="1"/>
        <v>2.1667339747251213</v>
      </c>
      <c r="X6565" s="2">
        <f ca="1"/>
        <v>46.897920485743455</v>
      </c>
      <c r="AG6565" s="2">
        <f ca="1"/>
        <v>2.5995653212414815E-2</v>
      </c>
      <c r="AH6565" s="2" t="str">
        <f ca="1"/>
        <v>Good</v>
      </c>
    </row>
    <row r="6566" spans="2:34" x14ac:dyDescent="0.2">
      <c r="B6566" s="2">
        <f ca="1"/>
        <v>0.54890557484205416</v>
      </c>
      <c r="O6566" s="2">
        <f ca="1"/>
        <v>-5.4034563579780162E-2</v>
      </c>
      <c r="X6566" s="2">
        <f ca="1"/>
        <v>61.670952028572586</v>
      </c>
      <c r="AG6566" s="2">
        <f ca="1"/>
        <v>0.1884499486973723</v>
      </c>
      <c r="AH6566" s="2" t="str">
        <f ca="1"/>
        <v>OK</v>
      </c>
    </row>
    <row r="6567" spans="2:34" x14ac:dyDescent="0.2">
      <c r="B6567" s="2">
        <f ca="1"/>
        <v>0.23546207634378402</v>
      </c>
      <c r="O6567" s="2">
        <f ca="1"/>
        <v>1.4998888547961249</v>
      </c>
      <c r="X6567" s="2">
        <f ca="1"/>
        <v>49.361104191886369</v>
      </c>
      <c r="AG6567" s="2">
        <f ca="1"/>
        <v>0.77123734312970038</v>
      </c>
      <c r="AH6567" s="2" t="str">
        <f ca="1"/>
        <v>Bad</v>
      </c>
    </row>
    <row r="6568" spans="2:34" x14ac:dyDescent="0.2">
      <c r="B6568" s="2">
        <f ca="1"/>
        <v>0.32131303731656913</v>
      </c>
      <c r="O6568" s="2">
        <f ca="1"/>
        <v>1.1668226069130481</v>
      </c>
      <c r="X6568" s="2">
        <f ca="1"/>
        <v>28.956137582991897</v>
      </c>
      <c r="AG6568" s="2">
        <f ca="1"/>
        <v>0.47941787255790702</v>
      </c>
      <c r="AH6568" s="2" t="str">
        <f ca="1"/>
        <v>Bad</v>
      </c>
    </row>
    <row r="6569" spans="2:34" x14ac:dyDescent="0.2">
      <c r="B6569" s="2">
        <f ca="1"/>
        <v>0.63274260330179399</v>
      </c>
      <c r="O6569" s="2">
        <f ca="1"/>
        <v>-0.45231285446819619</v>
      </c>
      <c r="X6569" s="2">
        <f ca="1"/>
        <v>63.271354083546896</v>
      </c>
      <c r="AG6569" s="2">
        <f ca="1"/>
        <v>0.98478540487002664</v>
      </c>
      <c r="AH6569" s="2" t="str">
        <f ca="1"/>
        <v>Bad</v>
      </c>
    </row>
    <row r="6570" spans="2:34" x14ac:dyDescent="0.2">
      <c r="B6570" s="2">
        <f ca="1"/>
        <v>1.9943372419348515E-2</v>
      </c>
      <c r="O6570" s="2">
        <f ca="1"/>
        <v>-0.26346640786100145</v>
      </c>
      <c r="X6570" s="2">
        <f ca="1"/>
        <v>46.565071934279615</v>
      </c>
      <c r="AG6570" s="2">
        <f ca="1"/>
        <v>6.8280022654912731E-2</v>
      </c>
      <c r="AH6570" s="2" t="str">
        <f ca="1"/>
        <v>OK</v>
      </c>
    </row>
    <row r="6571" spans="2:34" x14ac:dyDescent="0.2">
      <c r="B6571" s="2">
        <f ca="1"/>
        <v>1.1731896890778248E-2</v>
      </c>
      <c r="O6571" s="2">
        <f ca="1"/>
        <v>-1.2942062524262752</v>
      </c>
      <c r="X6571" s="2">
        <f ca="1"/>
        <v>59.947429898494249</v>
      </c>
      <c r="AG6571" s="2">
        <f ca="1"/>
        <v>0.18953316577462198</v>
      </c>
      <c r="AH6571" s="2" t="str">
        <f ca="1"/>
        <v>OK</v>
      </c>
    </row>
    <row r="6572" spans="2:34" x14ac:dyDescent="0.2">
      <c r="B6572" s="2">
        <f ca="1"/>
        <v>0.84249338579315958</v>
      </c>
      <c r="O6572" s="2">
        <f ca="1"/>
        <v>4.6387170535308324E-2</v>
      </c>
      <c r="X6572" s="2">
        <f ca="1"/>
        <v>57.959566657330882</v>
      </c>
      <c r="AG6572" s="2">
        <f ca="1"/>
        <v>0.48954049424333057</v>
      </c>
      <c r="AH6572" s="2" t="str">
        <f ca="1"/>
        <v>Bad</v>
      </c>
    </row>
    <row r="6573" spans="2:34" x14ac:dyDescent="0.2">
      <c r="B6573" s="2">
        <f ca="1"/>
        <v>0.13793385401109348</v>
      </c>
      <c r="O6573" s="2">
        <f ca="1"/>
        <v>-0.60852923221366206</v>
      </c>
      <c r="X6573" s="2">
        <f ca="1"/>
        <v>22.765275166372959</v>
      </c>
      <c r="AG6573" s="2">
        <f ca="1"/>
        <v>9.6023928592025243E-2</v>
      </c>
      <c r="AH6573" s="2" t="str">
        <f ca="1"/>
        <v>OK</v>
      </c>
    </row>
    <row r="6574" spans="2:34" x14ac:dyDescent="0.2">
      <c r="B6574" s="2">
        <f ca="1"/>
        <v>0.89470027163521393</v>
      </c>
      <c r="O6574" s="2">
        <f ca="1"/>
        <v>-1.7305450358706047</v>
      </c>
      <c r="X6574" s="2">
        <f ca="1"/>
        <v>57.236537278768616</v>
      </c>
      <c r="AG6574" s="2">
        <f ca="1"/>
        <v>0.52895985299720505</v>
      </c>
      <c r="AH6574" s="2" t="str">
        <f ca="1"/>
        <v>Bad</v>
      </c>
    </row>
    <row r="6575" spans="2:34" x14ac:dyDescent="0.2">
      <c r="B6575" s="2">
        <f ca="1"/>
        <v>0.815021315503901</v>
      </c>
      <c r="O6575" s="2">
        <f ca="1"/>
        <v>-0.38590313148532202</v>
      </c>
      <c r="X6575" s="2">
        <f ca="1"/>
        <v>41.540786346335075</v>
      </c>
      <c r="AG6575" s="2">
        <f ca="1"/>
        <v>9.5806509514262173E-2</v>
      </c>
      <c r="AH6575" s="2" t="str">
        <f ca="1"/>
        <v>OK</v>
      </c>
    </row>
    <row r="6576" spans="2:34" x14ac:dyDescent="0.2">
      <c r="B6576" s="2">
        <f ca="1"/>
        <v>0.53379530019595589</v>
      </c>
      <c r="O6576" s="2">
        <f ca="1"/>
        <v>0.99519079936161203</v>
      </c>
      <c r="X6576" s="2">
        <f ca="1"/>
        <v>29.614758446844391</v>
      </c>
      <c r="AG6576" s="2">
        <f ca="1"/>
        <v>0.71336882451080097</v>
      </c>
      <c r="AH6576" s="2" t="str">
        <f ca="1"/>
        <v>Bad</v>
      </c>
    </row>
    <row r="6577" spans="2:34" x14ac:dyDescent="0.2">
      <c r="B6577" s="2">
        <f ca="1"/>
        <v>0.54691871509003076</v>
      </c>
      <c r="O6577" s="2">
        <f ca="1"/>
        <v>1.0171021571793397</v>
      </c>
      <c r="X6577" s="2">
        <f ca="1"/>
        <v>33.657187848975084</v>
      </c>
      <c r="AG6577" s="2">
        <f ca="1"/>
        <v>0.36810980530534931</v>
      </c>
      <c r="AH6577" s="2" t="str">
        <f ca="1"/>
        <v>OK</v>
      </c>
    </row>
    <row r="6578" spans="2:34" x14ac:dyDescent="0.2">
      <c r="B6578" s="2">
        <f ca="1"/>
        <v>0.79753439805677639</v>
      </c>
      <c r="O6578" s="2">
        <f ca="1"/>
        <v>-7.341066315486848E-2</v>
      </c>
      <c r="X6578" s="2">
        <f ca="1"/>
        <v>52.678768128531921</v>
      </c>
      <c r="AG6578" s="2">
        <f ca="1"/>
        <v>0.7489561525025703</v>
      </c>
      <c r="AH6578" s="2" t="str">
        <f ca="1"/>
        <v>Bad</v>
      </c>
    </row>
    <row r="6579" spans="2:34" x14ac:dyDescent="0.2">
      <c r="B6579" s="2">
        <f ca="1"/>
        <v>0.79803159789419387</v>
      </c>
      <c r="O6579" s="2">
        <f ca="1"/>
        <v>0.59432932163318031</v>
      </c>
      <c r="X6579" s="2">
        <f ca="1"/>
        <v>38.979064087000019</v>
      </c>
      <c r="AG6579" s="2">
        <f ca="1"/>
        <v>0.40352481419255604</v>
      </c>
      <c r="AH6579" s="2" t="str">
        <f ca="1"/>
        <v>Bad</v>
      </c>
    </row>
    <row r="6580" spans="2:34" x14ac:dyDescent="0.2">
      <c r="B6580" s="2">
        <f ca="1"/>
        <v>4.5653605044543522E-2</v>
      </c>
      <c r="O6580" s="2">
        <f ca="1"/>
        <v>0.65036532347205533</v>
      </c>
      <c r="X6580" s="2">
        <f ca="1"/>
        <v>56.956704689980803</v>
      </c>
      <c r="AG6580" s="2">
        <f ca="1"/>
        <v>0.45351818297987467</v>
      </c>
      <c r="AH6580" s="2" t="str">
        <f ca="1"/>
        <v>Bad</v>
      </c>
    </row>
    <row r="6581" spans="2:34" x14ac:dyDescent="0.2">
      <c r="B6581" s="2">
        <f ca="1"/>
        <v>3.3795748623601574E-2</v>
      </c>
      <c r="O6581" s="2">
        <f ca="1"/>
        <v>0.22675015684891778</v>
      </c>
      <c r="X6581" s="2">
        <f ca="1"/>
        <v>48.770043557469648</v>
      </c>
      <c r="AG6581" s="2">
        <f ca="1"/>
        <v>4.8470095434760108E-2</v>
      </c>
      <c r="AH6581" s="2" t="str">
        <f ca="1"/>
        <v>Good</v>
      </c>
    </row>
    <row r="6582" spans="2:34" x14ac:dyDescent="0.2">
      <c r="B6582" s="2">
        <f ca="1"/>
        <v>0.70548379105711279</v>
      </c>
      <c r="O6582" s="2">
        <f ca="1"/>
        <v>-0.146416556168109</v>
      </c>
      <c r="X6582" s="2">
        <f ca="1"/>
        <v>47.802425053280153</v>
      </c>
      <c r="AG6582" s="2">
        <f ca="1"/>
        <v>0.98716448628828801</v>
      </c>
      <c r="AH6582" s="2" t="str">
        <f ca="1"/>
        <v>Bad</v>
      </c>
    </row>
    <row r="6583" spans="2:34" x14ac:dyDescent="0.2">
      <c r="B6583" s="2">
        <f ca="1"/>
        <v>0.97545383947937303</v>
      </c>
      <c r="O6583" s="2">
        <f ca="1"/>
        <v>0.43468379711703192</v>
      </c>
      <c r="X6583" s="2">
        <f ca="1"/>
        <v>46.881708056538905</v>
      </c>
      <c r="AG6583" s="2">
        <f ca="1"/>
        <v>0.61031452983466794</v>
      </c>
      <c r="AH6583" s="2" t="str">
        <f ca="1"/>
        <v>Bad</v>
      </c>
    </row>
    <row r="6584" spans="2:34" x14ac:dyDescent="0.2">
      <c r="B6584" s="2">
        <f ca="1"/>
        <v>0.93863019048206975</v>
      </c>
      <c r="O6584" s="2">
        <f ca="1"/>
        <v>-0.24125171659110678</v>
      </c>
      <c r="X6584" s="2">
        <f ca="1"/>
        <v>41.698106330588793</v>
      </c>
      <c r="AG6584" s="2">
        <f ca="1"/>
        <v>0.47108513979468314</v>
      </c>
      <c r="AH6584" s="2" t="str">
        <f ca="1"/>
        <v>Bad</v>
      </c>
    </row>
    <row r="6585" spans="2:34" x14ac:dyDescent="0.2">
      <c r="B6585" s="2">
        <f ca="1"/>
        <v>0.36141454368816506</v>
      </c>
      <c r="O6585" s="2">
        <f ca="1"/>
        <v>0.14509672515642003</v>
      </c>
      <c r="X6585" s="2">
        <f ca="1"/>
        <v>39.722348950176382</v>
      </c>
      <c r="AG6585" s="2">
        <f ca="1"/>
        <v>0.56579047739419419</v>
      </c>
      <c r="AH6585" s="2" t="str">
        <f ca="1"/>
        <v>Bad</v>
      </c>
    </row>
    <row r="6586" spans="2:34" x14ac:dyDescent="0.2">
      <c r="B6586" s="2">
        <f ca="1"/>
        <v>9.5692147369725422E-2</v>
      </c>
      <c r="O6586" s="2">
        <f ca="1"/>
        <v>-0.83195425177426641</v>
      </c>
      <c r="X6586" s="2">
        <f ca="1"/>
        <v>64.640434718832708</v>
      </c>
      <c r="AG6586" s="2">
        <f ca="1"/>
        <v>0.79326117639723126</v>
      </c>
      <c r="AH6586" s="2" t="str">
        <f ca="1"/>
        <v>Bad</v>
      </c>
    </row>
    <row r="6587" spans="2:34" x14ac:dyDescent="0.2">
      <c r="B6587" s="2">
        <f ca="1"/>
        <v>0.66075724054535212</v>
      </c>
      <c r="O6587" s="2">
        <f ca="1"/>
        <v>0.87280648335130306</v>
      </c>
      <c r="X6587" s="2">
        <f ca="1"/>
        <v>62.866816920334578</v>
      </c>
      <c r="AG6587" s="2">
        <f ca="1"/>
        <v>0.89229235660563599</v>
      </c>
      <c r="AH6587" s="2" t="str">
        <f ca="1"/>
        <v>Bad</v>
      </c>
    </row>
    <row r="6588" spans="2:34" x14ac:dyDescent="0.2">
      <c r="B6588" s="2">
        <f ca="1"/>
        <v>0.68845967952131826</v>
      </c>
      <c r="O6588" s="2">
        <f ca="1"/>
        <v>0.78273098445158762</v>
      </c>
      <c r="X6588" s="2">
        <f ca="1"/>
        <v>65.153935712552538</v>
      </c>
      <c r="AG6588" s="2">
        <f ca="1"/>
        <v>4.4697328254806434E-2</v>
      </c>
      <c r="AH6588" s="2" t="str">
        <f ca="1"/>
        <v>Good</v>
      </c>
    </row>
    <row r="6589" spans="2:34" x14ac:dyDescent="0.2">
      <c r="B6589" s="2">
        <f ca="1"/>
        <v>0.799379144310574</v>
      </c>
      <c r="O6589" s="2">
        <f ca="1"/>
        <v>1.230898118491301</v>
      </c>
      <c r="X6589" s="2">
        <f ca="1"/>
        <v>87.651294009061644</v>
      </c>
      <c r="AG6589" s="2">
        <f ca="1"/>
        <v>0.53991822787886345</v>
      </c>
      <c r="AH6589" s="2" t="str">
        <f ca="1"/>
        <v>Bad</v>
      </c>
    </row>
    <row r="6590" spans="2:34" x14ac:dyDescent="0.2">
      <c r="B6590" s="2">
        <f ca="1"/>
        <v>0.58644137528146212</v>
      </c>
      <c r="O6590" s="2">
        <f ca="1"/>
        <v>0.2217671127665323</v>
      </c>
      <c r="X6590" s="2">
        <f ca="1"/>
        <v>46.434592498029772</v>
      </c>
      <c r="AG6590" s="2">
        <f ca="1"/>
        <v>0.79902995488018447</v>
      </c>
      <c r="AH6590" s="2" t="str">
        <f ca="1"/>
        <v>Bad</v>
      </c>
    </row>
    <row r="6591" spans="2:34" x14ac:dyDescent="0.2">
      <c r="B6591" s="2">
        <f ca="1"/>
        <v>0.62586787324487925</v>
      </c>
      <c r="O6591" s="2">
        <f ca="1"/>
        <v>1.3356107502720185</v>
      </c>
      <c r="X6591" s="2">
        <f ca="1"/>
        <v>65.357892681727833</v>
      </c>
      <c r="AG6591" s="2">
        <f ca="1"/>
        <v>0.36353096598201562</v>
      </c>
      <c r="AH6591" s="2" t="str">
        <f ca="1"/>
        <v>OK</v>
      </c>
    </row>
    <row r="6592" spans="2:34" x14ac:dyDescent="0.2">
      <c r="B6592" s="2">
        <f ca="1"/>
        <v>6.5354950906939324E-2</v>
      </c>
      <c r="O6592" s="2">
        <f ca="1"/>
        <v>-1.6815210455817469</v>
      </c>
      <c r="X6592" s="2">
        <f ca="1"/>
        <v>36.837121124811837</v>
      </c>
      <c r="AG6592" s="2">
        <f ca="1"/>
        <v>0.1889575289640133</v>
      </c>
      <c r="AH6592" s="2" t="str">
        <f ca="1"/>
        <v>OK</v>
      </c>
    </row>
    <row r="6593" spans="2:34" x14ac:dyDescent="0.2">
      <c r="B6593" s="2">
        <f ca="1"/>
        <v>8.1954551748111282E-2</v>
      </c>
      <c r="O6593" s="2">
        <f ca="1"/>
        <v>-0.65657309030254485</v>
      </c>
      <c r="X6593" s="2">
        <f ca="1"/>
        <v>34.642808079705546</v>
      </c>
      <c r="AG6593" s="2">
        <f ca="1"/>
        <v>0.89638856643464737</v>
      </c>
      <c r="AH6593" s="2" t="str">
        <f ca="1"/>
        <v>Bad</v>
      </c>
    </row>
    <row r="6594" spans="2:34" x14ac:dyDescent="0.2">
      <c r="B6594" s="2">
        <f ca="1"/>
        <v>0.31471132564083493</v>
      </c>
      <c r="O6594" s="2">
        <f ca="1"/>
        <v>0.3177843975891807</v>
      </c>
      <c r="X6594" s="2">
        <f ca="1"/>
        <v>49.181623038219236</v>
      </c>
      <c r="AG6594" s="2">
        <f ca="1"/>
        <v>0.45563265657498442</v>
      </c>
      <c r="AH6594" s="2" t="str">
        <f ca="1"/>
        <v>Bad</v>
      </c>
    </row>
    <row r="6595" spans="2:34" x14ac:dyDescent="0.2">
      <c r="B6595" s="2">
        <f ca="1"/>
        <v>0.43636837690985408</v>
      </c>
      <c r="O6595" s="2">
        <f ca="1"/>
        <v>0.33392413341831362</v>
      </c>
      <c r="X6595" s="2">
        <f ca="1"/>
        <v>38.096676394730672</v>
      </c>
      <c r="AG6595" s="2">
        <f ca="1"/>
        <v>0.52837362588550385</v>
      </c>
      <c r="AH6595" s="2" t="str">
        <f ca="1"/>
        <v>Bad</v>
      </c>
    </row>
    <row r="6596" spans="2:34" x14ac:dyDescent="0.2">
      <c r="B6596" s="2">
        <f ca="1"/>
        <v>0.55508715794939589</v>
      </c>
      <c r="O6596" s="2">
        <f ca="1"/>
        <v>2.7592269968709822</v>
      </c>
      <c r="X6596" s="2">
        <f ca="1"/>
        <v>49.452858896182917</v>
      </c>
      <c r="AG6596" s="2">
        <f ca="1"/>
        <v>0.5346895806617169</v>
      </c>
      <c r="AH6596" s="2" t="str">
        <f ca="1"/>
        <v>Bad</v>
      </c>
    </row>
    <row r="6597" spans="2:34" x14ac:dyDescent="0.2">
      <c r="B6597" s="2">
        <f ca="1"/>
        <v>0.57281076622112614</v>
      </c>
      <c r="O6597" s="2">
        <f ca="1"/>
        <v>7.6968648810772852E-3</v>
      </c>
      <c r="X6597" s="2">
        <f ca="1"/>
        <v>29.348080532727376</v>
      </c>
      <c r="AG6597" s="2">
        <f ca="1"/>
        <v>0.55961118093865103</v>
      </c>
      <c r="AH6597" s="2" t="str">
        <f ca="1"/>
        <v>Bad</v>
      </c>
    </row>
    <row r="6598" spans="2:34" x14ac:dyDescent="0.2">
      <c r="B6598" s="2">
        <f ca="1"/>
        <v>0.69322853589685307</v>
      </c>
      <c r="O6598" s="2">
        <f ca="1"/>
        <v>-0.21271036259115603</v>
      </c>
      <c r="X6598" s="2">
        <f ca="1"/>
        <v>54.585901984578598</v>
      </c>
      <c r="AG6598" s="2">
        <f ca="1"/>
        <v>0.68218215594841292</v>
      </c>
      <c r="AH6598" s="2" t="str">
        <f ca="1"/>
        <v>Bad</v>
      </c>
    </row>
    <row r="6599" spans="2:34" x14ac:dyDescent="0.2">
      <c r="B6599" s="2">
        <f ca="1"/>
        <v>0.18257541786872311</v>
      </c>
      <c r="O6599" s="2">
        <f ca="1"/>
        <v>-1.0968544145502233</v>
      </c>
      <c r="X6599" s="2">
        <f ca="1"/>
        <v>73.371937922544376</v>
      </c>
      <c r="AG6599" s="2">
        <f ca="1"/>
        <v>0.25722948413020896</v>
      </c>
      <c r="AH6599" s="2" t="str">
        <f ca="1"/>
        <v>OK</v>
      </c>
    </row>
    <row r="6600" spans="2:34" x14ac:dyDescent="0.2">
      <c r="B6600" s="2">
        <f ca="1"/>
        <v>0.17801415354975902</v>
      </c>
      <c r="O6600" s="2">
        <f ca="1"/>
        <v>0.41446645128093218</v>
      </c>
      <c r="X6600" s="2">
        <f ca="1"/>
        <v>34.981682278671698</v>
      </c>
      <c r="AG6600" s="2">
        <f ca="1"/>
        <v>0.97208440161254672</v>
      </c>
      <c r="AH6600" s="2" t="str">
        <f ca="1"/>
        <v>Bad</v>
      </c>
    </row>
    <row r="6601" spans="2:34" x14ac:dyDescent="0.2">
      <c r="B6601" s="2">
        <f ca="1"/>
        <v>0.86611943652448442</v>
      </c>
      <c r="O6601" s="2">
        <f ca="1"/>
        <v>-1.9244174890687724</v>
      </c>
      <c r="X6601" s="2">
        <f ca="1"/>
        <v>40.253811507824864</v>
      </c>
      <c r="AG6601" s="2">
        <f ca="1"/>
        <v>0.90259975205696397</v>
      </c>
      <c r="AH6601" s="2" t="str">
        <f ca="1"/>
        <v>Bad</v>
      </c>
    </row>
    <row r="6602" spans="2:34" x14ac:dyDescent="0.2">
      <c r="B6602" s="2">
        <f ca="1"/>
        <v>0.38305677695869655</v>
      </c>
      <c r="O6602" s="2">
        <f ca="1"/>
        <v>-1.6910033599134922</v>
      </c>
      <c r="X6602" s="2">
        <f ca="1"/>
        <v>68.433515087680917</v>
      </c>
      <c r="AG6602" s="2">
        <f ca="1"/>
        <v>0.13408824572103328</v>
      </c>
      <c r="AH6602" s="2" t="str">
        <f ca="1"/>
        <v>OK</v>
      </c>
    </row>
    <row r="6603" spans="2:34" x14ac:dyDescent="0.2">
      <c r="B6603" s="2">
        <f ca="1"/>
        <v>0.75414949170978884</v>
      </c>
      <c r="O6603" s="2">
        <f ca="1"/>
        <v>1.077184523550085</v>
      </c>
      <c r="X6603" s="2">
        <f ca="1"/>
        <v>37.987743071148458</v>
      </c>
      <c r="AG6603" s="2">
        <f ca="1"/>
        <v>0.87767951535464839</v>
      </c>
      <c r="AH6603" s="2" t="str">
        <f ca="1"/>
        <v>Bad</v>
      </c>
    </row>
    <row r="6604" spans="2:34" x14ac:dyDescent="0.2">
      <c r="B6604" s="2">
        <f ca="1"/>
        <v>0.72939180878941801</v>
      </c>
      <c r="O6604" s="2">
        <f ca="1"/>
        <v>-0.2146572769388741</v>
      </c>
      <c r="X6604" s="2">
        <f ca="1"/>
        <v>33.062121141185258</v>
      </c>
      <c r="AG6604" s="2">
        <f ca="1"/>
        <v>0.74178252761184793</v>
      </c>
      <c r="AH6604" s="2" t="str">
        <f ca="1"/>
        <v>Bad</v>
      </c>
    </row>
    <row r="6605" spans="2:34" x14ac:dyDescent="0.2">
      <c r="B6605" s="2">
        <f ca="1"/>
        <v>0.7802560386574493</v>
      </c>
      <c r="O6605" s="2">
        <f ca="1"/>
        <v>-1.2770251219845383</v>
      </c>
      <c r="X6605" s="2">
        <f ca="1"/>
        <v>104.47174794259269</v>
      </c>
      <c r="AG6605" s="2">
        <f ca="1"/>
        <v>0.3795240496753145</v>
      </c>
      <c r="AH6605" s="2" t="str">
        <f ca="1"/>
        <v>OK</v>
      </c>
    </row>
    <row r="6606" spans="2:34" x14ac:dyDescent="0.2">
      <c r="B6606" s="2">
        <f ca="1"/>
        <v>0.83976468689604689</v>
      </c>
      <c r="O6606" s="2">
        <f ca="1"/>
        <v>0.29192343580641261</v>
      </c>
      <c r="X6606" s="2">
        <f ca="1"/>
        <v>24.508278279640365</v>
      </c>
      <c r="AG6606" s="2">
        <f ca="1"/>
        <v>0.59380960607154099</v>
      </c>
      <c r="AH6606" s="2" t="str">
        <f ca="1"/>
        <v>Bad</v>
      </c>
    </row>
    <row r="6607" spans="2:34" x14ac:dyDescent="0.2">
      <c r="B6607" s="2">
        <f ca="1"/>
        <v>0.11166777280577822</v>
      </c>
      <c r="O6607" s="2">
        <f ca="1"/>
        <v>0.51666424683543721</v>
      </c>
      <c r="X6607" s="2">
        <f ca="1"/>
        <v>49.823015994479043</v>
      </c>
      <c r="AG6607" s="2">
        <f ca="1"/>
        <v>0.85724592851089931</v>
      </c>
      <c r="AH6607" s="2" t="str">
        <f ca="1"/>
        <v>Bad</v>
      </c>
    </row>
    <row r="6608" spans="2:34" x14ac:dyDescent="0.2">
      <c r="B6608" s="2">
        <f ca="1"/>
        <v>0.12695503384887941</v>
      </c>
      <c r="O6608" s="2">
        <f ca="1"/>
        <v>-1.2327119182736028</v>
      </c>
      <c r="X6608" s="2">
        <f ca="1"/>
        <v>107.32194903616211</v>
      </c>
      <c r="AG6608" s="2">
        <f ca="1"/>
        <v>0.88837659283724135</v>
      </c>
      <c r="AH6608" s="2" t="str">
        <f ca="1"/>
        <v>Bad</v>
      </c>
    </row>
    <row r="6609" spans="2:34" x14ac:dyDescent="0.2">
      <c r="B6609" s="2">
        <f ca="1"/>
        <v>0.14518090057144484</v>
      </c>
      <c r="O6609" s="2">
        <f ca="1"/>
        <v>-0.2202396760762092</v>
      </c>
      <c r="X6609" s="2">
        <f ca="1"/>
        <v>47.994705428233921</v>
      </c>
      <c r="AG6609" s="2">
        <f ca="1"/>
        <v>8.9014594087352128E-2</v>
      </c>
      <c r="AH6609" s="2" t="str">
        <f ca="1"/>
        <v>OK</v>
      </c>
    </row>
    <row r="6610" spans="2:34" x14ac:dyDescent="0.2">
      <c r="B6610" s="2">
        <f ca="1"/>
        <v>0.41820543959918699</v>
      </c>
      <c r="O6610" s="2">
        <f ca="1"/>
        <v>-9.4797678310791528E-2</v>
      </c>
      <c r="X6610" s="2">
        <f ca="1"/>
        <v>37.686413679359767</v>
      </c>
      <c r="AG6610" s="2">
        <f ca="1"/>
        <v>0.27517716237529166</v>
      </c>
      <c r="AH6610" s="2" t="str">
        <f ca="1"/>
        <v>OK</v>
      </c>
    </row>
    <row r="6611" spans="2:34" x14ac:dyDescent="0.2">
      <c r="B6611" s="2">
        <f ca="1"/>
        <v>7.3530579723284362E-2</v>
      </c>
      <c r="O6611" s="2">
        <f ca="1"/>
        <v>0.21057128238474354</v>
      </c>
      <c r="X6611" s="2">
        <f ca="1"/>
        <v>68.011927668316346</v>
      </c>
      <c r="AG6611" s="2">
        <f ca="1"/>
        <v>2.8941561381379044E-2</v>
      </c>
      <c r="AH6611" s="2" t="str">
        <f ca="1"/>
        <v>Good</v>
      </c>
    </row>
    <row r="6612" spans="2:34" x14ac:dyDescent="0.2">
      <c r="B6612" s="2">
        <f ca="1"/>
        <v>0.87890967832232114</v>
      </c>
      <c r="O6612" s="2">
        <f ca="1"/>
        <v>1.6580303689019564</v>
      </c>
      <c r="X6612" s="2">
        <f ca="1"/>
        <v>34.726281455732398</v>
      </c>
      <c r="AG6612" s="2">
        <f ca="1"/>
        <v>0.47097631011962893</v>
      </c>
      <c r="AH6612" s="2" t="str">
        <f ca="1"/>
        <v>Bad</v>
      </c>
    </row>
    <row r="6613" spans="2:34" x14ac:dyDescent="0.2">
      <c r="B6613" s="2">
        <f ca="1"/>
        <v>0.55006041451883747</v>
      </c>
      <c r="O6613" s="2">
        <f ca="1"/>
        <v>0.27547052261309896</v>
      </c>
      <c r="X6613" s="2">
        <f ca="1"/>
        <v>48.948978901217131</v>
      </c>
      <c r="AG6613" s="2">
        <f ca="1"/>
        <v>0.33986337489628671</v>
      </c>
      <c r="AH6613" s="2" t="str">
        <f ca="1"/>
        <v>OK</v>
      </c>
    </row>
    <row r="6614" spans="2:34" x14ac:dyDescent="0.2">
      <c r="B6614" s="2">
        <f ca="1"/>
        <v>0.7664943340151591</v>
      </c>
      <c r="O6614" s="2">
        <f ca="1"/>
        <v>0.37636158184377139</v>
      </c>
      <c r="X6614" s="2">
        <f ca="1"/>
        <v>29.929708520688571</v>
      </c>
      <c r="AG6614" s="2">
        <f ca="1"/>
        <v>0.17750996036554723</v>
      </c>
      <c r="AH6614" s="2" t="str">
        <f ca="1"/>
        <v>OK</v>
      </c>
    </row>
    <row r="6615" spans="2:34" x14ac:dyDescent="0.2">
      <c r="B6615" s="2">
        <f ca="1"/>
        <v>0.79953442933378782</v>
      </c>
      <c r="O6615" s="2">
        <f ca="1"/>
        <v>1.1077087021557912</v>
      </c>
      <c r="X6615" s="2">
        <f ca="1"/>
        <v>33.843297358563397</v>
      </c>
      <c r="AG6615" s="2">
        <f ca="1"/>
        <v>0.93449460690398545</v>
      </c>
      <c r="AH6615" s="2" t="str">
        <f ca="1"/>
        <v>Bad</v>
      </c>
    </row>
    <row r="6616" spans="2:34" x14ac:dyDescent="0.2">
      <c r="B6616" s="2">
        <f ca="1"/>
        <v>0.53280171109644781</v>
      </c>
      <c r="O6616" s="2">
        <f ca="1"/>
        <v>-1.2042076694658113</v>
      </c>
      <c r="X6616" s="2">
        <f ca="1"/>
        <v>38.179734141470036</v>
      </c>
      <c r="AG6616" s="2">
        <f ca="1"/>
        <v>0.61618254009679574</v>
      </c>
      <c r="AH6616" s="2" t="str">
        <f ca="1"/>
        <v>Bad</v>
      </c>
    </row>
    <row r="6617" spans="2:34" x14ac:dyDescent="0.2">
      <c r="B6617" s="2">
        <f ca="1"/>
        <v>0.56509205517213013</v>
      </c>
      <c r="O6617" s="2">
        <f ca="1"/>
        <v>-1.7393571095601228</v>
      </c>
      <c r="X6617" s="2">
        <f ca="1"/>
        <v>55.973488934477011</v>
      </c>
      <c r="AG6617" s="2">
        <f ca="1"/>
        <v>0.20634150882329405</v>
      </c>
      <c r="AH6617" s="2" t="str">
        <f ca="1"/>
        <v>OK</v>
      </c>
    </row>
    <row r="6618" spans="2:34" x14ac:dyDescent="0.2">
      <c r="B6618" s="2">
        <f ca="1"/>
        <v>0.13886308711315154</v>
      </c>
      <c r="O6618" s="2">
        <f ca="1"/>
        <v>0.33420418350210707</v>
      </c>
      <c r="X6618" s="2">
        <f ca="1"/>
        <v>44.511576968109409</v>
      </c>
      <c r="AG6618" s="2">
        <f ca="1"/>
        <v>0.90726273118509804</v>
      </c>
      <c r="AH6618" s="2" t="str">
        <f ca="1"/>
        <v>Bad</v>
      </c>
    </row>
    <row r="6619" spans="2:34" x14ac:dyDescent="0.2">
      <c r="B6619" s="2">
        <f ca="1"/>
        <v>3.720389153682091E-2</v>
      </c>
      <c r="O6619" s="2">
        <f ca="1"/>
        <v>0.1721757477608766</v>
      </c>
      <c r="X6619" s="2">
        <f ca="1"/>
        <v>25.413055500626605</v>
      </c>
      <c r="AG6619" s="2">
        <f ca="1"/>
        <v>0.34803808636284161</v>
      </c>
      <c r="AH6619" s="2" t="str">
        <f ca="1"/>
        <v>OK</v>
      </c>
    </row>
    <row r="6620" spans="2:34" x14ac:dyDescent="0.2">
      <c r="B6620" s="2">
        <f ca="1"/>
        <v>0.26685855180385953</v>
      </c>
      <c r="O6620" s="2">
        <f ca="1"/>
        <v>-0.40044398513004303</v>
      </c>
      <c r="X6620" s="2">
        <f ca="1"/>
        <v>30.703024255157572</v>
      </c>
      <c r="AG6620" s="2">
        <f ca="1"/>
        <v>0.38073533038932328</v>
      </c>
      <c r="AH6620" s="2" t="str">
        <f ca="1"/>
        <v>OK</v>
      </c>
    </row>
    <row r="6621" spans="2:34" x14ac:dyDescent="0.2">
      <c r="B6621" s="2">
        <f ca="1"/>
        <v>0.4659878507209152</v>
      </c>
      <c r="O6621" s="2">
        <f ca="1"/>
        <v>-0.11889684576586716</v>
      </c>
      <c r="X6621" s="2">
        <f ca="1"/>
        <v>37.754499650079481</v>
      </c>
      <c r="AG6621" s="2">
        <f ca="1"/>
        <v>0.10382260001787014</v>
      </c>
      <c r="AH6621" s="2" t="str">
        <f ca="1"/>
        <v>OK</v>
      </c>
    </row>
    <row r="6622" spans="2:34" x14ac:dyDescent="0.2">
      <c r="B6622" s="2">
        <f ca="1"/>
        <v>0.338320948617572</v>
      </c>
      <c r="O6622" s="2">
        <f ca="1"/>
        <v>-9.8029599876516566E-3</v>
      </c>
      <c r="X6622" s="2">
        <f ca="1"/>
        <v>50.420661061604179</v>
      </c>
      <c r="AG6622" s="2">
        <f ca="1"/>
        <v>0.46364883382860977</v>
      </c>
      <c r="AH6622" s="2" t="str">
        <f ca="1"/>
        <v>Bad</v>
      </c>
    </row>
    <row r="6623" spans="2:34" x14ac:dyDescent="0.2">
      <c r="B6623" s="2">
        <f ca="1"/>
        <v>0.79848249852360742</v>
      </c>
      <c r="O6623" s="2">
        <f ca="1"/>
        <v>1.4041202811857549</v>
      </c>
      <c r="X6623" s="2">
        <f ca="1"/>
        <v>45.87576664030793</v>
      </c>
      <c r="AG6623" s="2">
        <f ca="1"/>
        <v>0.52532862325746832</v>
      </c>
      <c r="AH6623" s="2" t="str">
        <f ca="1"/>
        <v>Bad</v>
      </c>
    </row>
    <row r="6624" spans="2:34" x14ac:dyDescent="0.2">
      <c r="B6624" s="2">
        <f ca="1"/>
        <v>0.49753781771266992</v>
      </c>
      <c r="O6624" s="2">
        <f ca="1"/>
        <v>1.2941514994017012</v>
      </c>
      <c r="X6624" s="2">
        <f ca="1"/>
        <v>46.597547428406337</v>
      </c>
      <c r="AG6624" s="2">
        <f ca="1"/>
        <v>0.72228100012878671</v>
      </c>
      <c r="AH6624" s="2" t="str">
        <f ca="1"/>
        <v>Bad</v>
      </c>
    </row>
    <row r="6625" spans="2:34" x14ac:dyDescent="0.2">
      <c r="B6625" s="2">
        <f ca="1"/>
        <v>0.589450481338055</v>
      </c>
      <c r="O6625" s="2">
        <f ca="1"/>
        <v>2.3755677619989726E-2</v>
      </c>
      <c r="X6625" s="2">
        <f ca="1"/>
        <v>46.249664335729662</v>
      </c>
      <c r="AG6625" s="2">
        <f ca="1"/>
        <v>0.96400923699350094</v>
      </c>
      <c r="AH6625" s="2" t="str">
        <f ca="1"/>
        <v>Bad</v>
      </c>
    </row>
    <row r="6626" spans="2:34" x14ac:dyDescent="0.2">
      <c r="B6626" s="2">
        <f ca="1"/>
        <v>0.33113518088056848</v>
      </c>
      <c r="O6626" s="2">
        <f ca="1"/>
        <v>-1.7960749321067897</v>
      </c>
      <c r="X6626" s="2">
        <f ca="1"/>
        <v>40.744899248167798</v>
      </c>
      <c r="AG6626" s="2">
        <f ca="1"/>
        <v>0.47296007702844767</v>
      </c>
      <c r="AH6626" s="2" t="str">
        <f ca="1"/>
        <v>Bad</v>
      </c>
    </row>
    <row r="6627" spans="2:34" x14ac:dyDescent="0.2">
      <c r="B6627" s="2">
        <f ca="1"/>
        <v>0.91766231474760063</v>
      </c>
      <c r="O6627" s="2">
        <f ca="1"/>
        <v>-0.49014919149371011</v>
      </c>
      <c r="X6627" s="2">
        <f ca="1"/>
        <v>39.02385414932786</v>
      </c>
      <c r="AG6627" s="2">
        <f ca="1"/>
        <v>0.33858242801708238</v>
      </c>
      <c r="AH6627" s="2" t="str">
        <f ca="1"/>
        <v>OK</v>
      </c>
    </row>
    <row r="6628" spans="2:34" x14ac:dyDescent="0.2">
      <c r="B6628" s="2">
        <f ca="1"/>
        <v>0.12879286343881269</v>
      </c>
      <c r="O6628" s="2">
        <f ca="1"/>
        <v>-0.11103646707374913</v>
      </c>
      <c r="X6628" s="2">
        <f ca="1"/>
        <v>30.468910992175729</v>
      </c>
      <c r="AG6628" s="2">
        <f ca="1"/>
        <v>0.64650834022760351</v>
      </c>
      <c r="AH6628" s="2" t="str">
        <f ca="1"/>
        <v>Bad</v>
      </c>
    </row>
    <row r="6629" spans="2:34" x14ac:dyDescent="0.2">
      <c r="B6629" s="2">
        <f ca="1"/>
        <v>0.70231130574739198</v>
      </c>
      <c r="O6629" s="2">
        <f ca="1"/>
        <v>-0.87599599674664796</v>
      </c>
      <c r="X6629" s="2">
        <f ca="1"/>
        <v>63.368349913226666</v>
      </c>
      <c r="AG6629" s="2">
        <f ca="1"/>
        <v>7.3877375672634749E-2</v>
      </c>
      <c r="AH6629" s="2" t="str">
        <f ca="1"/>
        <v>OK</v>
      </c>
    </row>
    <row r="6630" spans="2:34" x14ac:dyDescent="0.2">
      <c r="B6630" s="2">
        <f ca="1"/>
        <v>0.58564701304833822</v>
      </c>
      <c r="O6630" s="2">
        <f ca="1"/>
        <v>2.3191394492164332</v>
      </c>
      <c r="X6630" s="2">
        <f ca="1"/>
        <v>56.252885269862325</v>
      </c>
      <c r="AG6630" s="2">
        <f ca="1"/>
        <v>0.97335873356279468</v>
      </c>
      <c r="AH6630" s="2" t="str">
        <f ca="1"/>
        <v>Bad</v>
      </c>
    </row>
    <row r="6631" spans="2:34" x14ac:dyDescent="0.2">
      <c r="B6631" s="2">
        <f ca="1"/>
        <v>9.2220360404634771E-2</v>
      </c>
      <c r="O6631" s="2">
        <f ca="1"/>
        <v>0.75682545116867761</v>
      </c>
      <c r="X6631" s="2">
        <f ca="1"/>
        <v>33.454653163903828</v>
      </c>
      <c r="AG6631" s="2">
        <f ca="1"/>
        <v>0.96146373471054369</v>
      </c>
      <c r="AH6631" s="2" t="str">
        <f ca="1"/>
        <v>Bad</v>
      </c>
    </row>
    <row r="6632" spans="2:34" x14ac:dyDescent="0.2">
      <c r="B6632" s="2">
        <f ca="1"/>
        <v>0.7808222333937056</v>
      </c>
      <c r="O6632" s="2">
        <f ca="1"/>
        <v>-0.89657601424808187</v>
      </c>
      <c r="X6632" s="2">
        <f ca="1"/>
        <v>42.568156046542498</v>
      </c>
      <c r="AG6632" s="2">
        <f ca="1"/>
        <v>0.48829349054420601</v>
      </c>
      <c r="AH6632" s="2" t="str">
        <f ca="1"/>
        <v>Bad</v>
      </c>
    </row>
    <row r="6633" spans="2:34" x14ac:dyDescent="0.2">
      <c r="B6633" s="2">
        <f ca="1"/>
        <v>0.26119743303392462</v>
      </c>
      <c r="O6633" s="2">
        <f ca="1"/>
        <v>1.7854383720788773</v>
      </c>
      <c r="X6633" s="2">
        <f ca="1"/>
        <v>66.172768237515101</v>
      </c>
      <c r="AG6633" s="2">
        <f ca="1"/>
        <v>0.83619757905858627</v>
      </c>
      <c r="AH6633" s="2" t="str">
        <f ca="1"/>
        <v>Bad</v>
      </c>
    </row>
    <row r="6634" spans="2:34" x14ac:dyDescent="0.2">
      <c r="B6634" s="2">
        <f ca="1"/>
        <v>0.59866084377370976</v>
      </c>
      <c r="O6634" s="2">
        <f ca="1"/>
        <v>1.4954859242086511</v>
      </c>
      <c r="X6634" s="2">
        <f ca="1"/>
        <v>46.975839098492031</v>
      </c>
      <c r="AG6634" s="2">
        <f ca="1"/>
        <v>0.34018669103984012</v>
      </c>
      <c r="AH6634" s="2" t="str">
        <f ca="1"/>
        <v>OK</v>
      </c>
    </row>
    <row r="6635" spans="2:34" x14ac:dyDescent="0.2">
      <c r="B6635" s="2">
        <f ca="1"/>
        <v>0.62022560036763474</v>
      </c>
      <c r="O6635" s="2">
        <f ca="1"/>
        <v>0.69810175712305</v>
      </c>
      <c r="X6635" s="2">
        <f ca="1"/>
        <v>23.078804032810648</v>
      </c>
      <c r="AG6635" s="2">
        <f ca="1"/>
        <v>0.64215200842509113</v>
      </c>
      <c r="AH6635" s="2" t="str">
        <f ca="1"/>
        <v>Bad</v>
      </c>
    </row>
    <row r="6636" spans="2:34" x14ac:dyDescent="0.2">
      <c r="B6636" s="2">
        <f ca="1"/>
        <v>0.82660634866188087</v>
      </c>
      <c r="O6636" s="2">
        <f ca="1"/>
        <v>0.8861294469504557</v>
      </c>
      <c r="X6636" s="2">
        <f ca="1"/>
        <v>28.301867195739096</v>
      </c>
      <c r="AG6636" s="2">
        <f ca="1"/>
        <v>0.46602304693981433</v>
      </c>
      <c r="AH6636" s="2" t="str">
        <f ca="1"/>
        <v>Bad</v>
      </c>
    </row>
    <row r="6637" spans="2:34" x14ac:dyDescent="0.2">
      <c r="B6637" s="2">
        <f ca="1"/>
        <v>0.66659579439289951</v>
      </c>
      <c r="O6637" s="2">
        <f ca="1"/>
        <v>-0.33729418672838607</v>
      </c>
      <c r="X6637" s="2">
        <f ca="1"/>
        <v>56.801931450992527</v>
      </c>
      <c r="AG6637" s="2">
        <f ca="1"/>
        <v>0.28815618413928812</v>
      </c>
      <c r="AH6637" s="2" t="str">
        <f ca="1"/>
        <v>OK</v>
      </c>
    </row>
    <row r="6638" spans="2:34" x14ac:dyDescent="0.2">
      <c r="B6638" s="2">
        <f ca="1"/>
        <v>0.25132186078140362</v>
      </c>
      <c r="O6638" s="2">
        <f ca="1"/>
        <v>-0.11333551047586447</v>
      </c>
      <c r="X6638" s="2">
        <f ca="1"/>
        <v>53.358886782189785</v>
      </c>
      <c r="AG6638" s="2">
        <f ca="1"/>
        <v>0.8144601031615577</v>
      </c>
      <c r="AH6638" s="2" t="str">
        <f ca="1"/>
        <v>Bad</v>
      </c>
    </row>
    <row r="6639" spans="2:34" x14ac:dyDescent="0.2">
      <c r="B6639" s="2">
        <f ca="1"/>
        <v>0.99989586008356679</v>
      </c>
      <c r="O6639" s="2">
        <f ca="1"/>
        <v>4.5531852239548191E-2</v>
      </c>
      <c r="X6639" s="2">
        <f ca="1"/>
        <v>65.736671058254942</v>
      </c>
      <c r="AG6639" s="2">
        <f ca="1"/>
        <v>0.76615953202433773</v>
      </c>
      <c r="AH6639" s="2" t="str">
        <f ca="1"/>
        <v>Bad</v>
      </c>
    </row>
    <row r="6640" spans="2:34" x14ac:dyDescent="0.2">
      <c r="B6640" s="2">
        <f ca="1"/>
        <v>0.11576969848064111</v>
      </c>
      <c r="O6640" s="2">
        <f ca="1"/>
        <v>-0.50423777153871441</v>
      </c>
      <c r="X6640" s="2">
        <f ca="1"/>
        <v>57.884355790116295</v>
      </c>
      <c r="AG6640" s="2">
        <f ca="1"/>
        <v>0.10943380432235217</v>
      </c>
      <c r="AH6640" s="2" t="str">
        <f ca="1"/>
        <v>OK</v>
      </c>
    </row>
    <row r="6641" spans="2:34" x14ac:dyDescent="0.2">
      <c r="B6641" s="2">
        <f ca="1"/>
        <v>1.5661926045548613E-2</v>
      </c>
      <c r="O6641" s="2">
        <f ca="1"/>
        <v>0.44834722314191838</v>
      </c>
      <c r="X6641" s="2">
        <f ca="1"/>
        <v>51.217798444088672</v>
      </c>
      <c r="AG6641" s="2">
        <f ca="1"/>
        <v>0.48039180586642516</v>
      </c>
      <c r="AH6641" s="2" t="str">
        <f ca="1"/>
        <v>Bad</v>
      </c>
    </row>
    <row r="6642" spans="2:34" x14ac:dyDescent="0.2">
      <c r="B6642" s="2">
        <f ca="1"/>
        <v>0.98764015579868936</v>
      </c>
      <c r="O6642" s="2">
        <f ca="1"/>
        <v>-3.2799673266361074E-3</v>
      </c>
      <c r="X6642" s="2">
        <f ca="1"/>
        <v>31.019204562611648</v>
      </c>
      <c r="AG6642" s="2">
        <f ca="1"/>
        <v>0.98706742859727359</v>
      </c>
      <c r="AH6642" s="2" t="str">
        <f ca="1"/>
        <v>Bad</v>
      </c>
    </row>
    <row r="6643" spans="2:34" x14ac:dyDescent="0.2">
      <c r="B6643" s="2">
        <f ca="1"/>
        <v>0.72145456850725775</v>
      </c>
      <c r="O6643" s="2">
        <f ca="1"/>
        <v>-0.44230569895522848</v>
      </c>
      <c r="X6643" s="2">
        <f ca="1"/>
        <v>40.489048096675276</v>
      </c>
      <c r="AG6643" s="2">
        <f ca="1"/>
        <v>0.75566086395216137</v>
      </c>
      <c r="AH6643" s="2" t="str">
        <f ca="1"/>
        <v>Bad</v>
      </c>
    </row>
    <row r="6644" spans="2:34" x14ac:dyDescent="0.2">
      <c r="B6644" s="2">
        <f ca="1"/>
        <v>0.97256728666544667</v>
      </c>
      <c r="O6644" s="2">
        <f ca="1"/>
        <v>1.8930055445232719</v>
      </c>
      <c r="X6644" s="2">
        <f ca="1"/>
        <v>43.221084604550043</v>
      </c>
      <c r="AG6644" s="2">
        <f ca="1"/>
        <v>6.6485281818998487E-2</v>
      </c>
      <c r="AH6644" s="2" t="str">
        <f ca="1"/>
        <v>OK</v>
      </c>
    </row>
    <row r="6645" spans="2:34" x14ac:dyDescent="0.2">
      <c r="B6645" s="2">
        <f ca="1"/>
        <v>0.42128223346339211</v>
      </c>
      <c r="O6645" s="2">
        <f ca="1"/>
        <v>0.92292581379514083</v>
      </c>
      <c r="X6645" s="2">
        <f ca="1"/>
        <v>42.883702941625515</v>
      </c>
      <c r="AG6645" s="2">
        <f ca="1"/>
        <v>0.15984749971114698</v>
      </c>
      <c r="AH6645" s="2" t="str">
        <f ca="1"/>
        <v>OK</v>
      </c>
    </row>
    <row r="6646" spans="2:34" x14ac:dyDescent="0.2">
      <c r="B6646" s="2">
        <f ca="1"/>
        <v>0.13461221844905347</v>
      </c>
      <c r="O6646" s="2">
        <f ca="1"/>
        <v>0.6083820501637639</v>
      </c>
      <c r="X6646" s="2">
        <f ca="1"/>
        <v>33.201533982981609</v>
      </c>
      <c r="AG6646" s="2">
        <f ca="1"/>
        <v>0.40643940631240194</v>
      </c>
      <c r="AH6646" s="2" t="str">
        <f ca="1"/>
        <v>Bad</v>
      </c>
    </row>
    <row r="6647" spans="2:34" x14ac:dyDescent="0.2">
      <c r="B6647" s="2">
        <f ca="1"/>
        <v>0.21685541839161249</v>
      </c>
      <c r="O6647" s="2">
        <f ca="1"/>
        <v>0.47848678481402845</v>
      </c>
      <c r="X6647" s="2">
        <f ca="1"/>
        <v>27.199135376920363</v>
      </c>
      <c r="AG6647" s="2">
        <f ca="1"/>
        <v>0.47857931917559982</v>
      </c>
      <c r="AH6647" s="2" t="str">
        <f ca="1"/>
        <v>Bad</v>
      </c>
    </row>
    <row r="6648" spans="2:34" x14ac:dyDescent="0.2">
      <c r="B6648" s="2">
        <f ca="1"/>
        <v>0.34971458365750463</v>
      </c>
      <c r="O6648" s="2">
        <f ca="1"/>
        <v>1.8190883696411604</v>
      </c>
      <c r="X6648" s="2">
        <f ca="1"/>
        <v>40.720681721275689</v>
      </c>
      <c r="AG6648" s="2">
        <f ca="1"/>
        <v>0.28278564459181266</v>
      </c>
      <c r="AH6648" s="2" t="str">
        <f ca="1"/>
        <v>OK</v>
      </c>
    </row>
    <row r="6649" spans="2:34" x14ac:dyDescent="0.2">
      <c r="B6649" s="2">
        <f ca="1"/>
        <v>0.25699566337944391</v>
      </c>
      <c r="O6649" s="2">
        <f ca="1"/>
        <v>-1.1328813884264559</v>
      </c>
      <c r="X6649" s="2">
        <f ca="1"/>
        <v>62.132479808423831</v>
      </c>
      <c r="AG6649" s="2">
        <f ca="1"/>
        <v>0.31676212203531096</v>
      </c>
      <c r="AH6649" s="2" t="str">
        <f ca="1"/>
        <v>OK</v>
      </c>
    </row>
    <row r="6650" spans="2:34" x14ac:dyDescent="0.2">
      <c r="B6650" s="2">
        <f ca="1"/>
        <v>0.22771262615510302</v>
      </c>
      <c r="O6650" s="2">
        <f ca="1"/>
        <v>-1.550491555532477</v>
      </c>
      <c r="X6650" s="2">
        <f ca="1"/>
        <v>72.565738127644934</v>
      </c>
      <c r="AG6650" s="2">
        <f ca="1"/>
        <v>0.97078858262210321</v>
      </c>
      <c r="AH6650" s="2" t="str">
        <f ca="1"/>
        <v>Bad</v>
      </c>
    </row>
    <row r="6651" spans="2:34" x14ac:dyDescent="0.2">
      <c r="B6651" s="2">
        <f ca="1"/>
        <v>0.20692410773018444</v>
      </c>
      <c r="O6651" s="2">
        <f ca="1"/>
        <v>0.64603406759078852</v>
      </c>
      <c r="X6651" s="2">
        <f ca="1"/>
        <v>32.68693114894279</v>
      </c>
      <c r="AG6651" s="2">
        <f ca="1"/>
        <v>0.52603235698442563</v>
      </c>
      <c r="AH6651" s="2" t="str">
        <f ca="1"/>
        <v>Bad</v>
      </c>
    </row>
    <row r="6652" spans="2:34" x14ac:dyDescent="0.2">
      <c r="B6652" s="2">
        <f ca="1"/>
        <v>0.71810221770906635</v>
      </c>
      <c r="O6652" s="2">
        <f ca="1"/>
        <v>0.76989925157780181</v>
      </c>
      <c r="X6652" s="2">
        <f ca="1"/>
        <v>43.315989885861498</v>
      </c>
      <c r="AG6652" s="2">
        <f ca="1"/>
        <v>0.33952917264443472</v>
      </c>
      <c r="AH6652" s="2" t="str">
        <f ca="1"/>
        <v>OK</v>
      </c>
    </row>
    <row r="6653" spans="2:34" x14ac:dyDescent="0.2">
      <c r="B6653" s="2">
        <f ca="1"/>
        <v>0.95708186099845882</v>
      </c>
      <c r="O6653" s="2">
        <f ca="1"/>
        <v>-0.43171445356559979</v>
      </c>
      <c r="X6653" s="2">
        <f ca="1"/>
        <v>52.145385060512943</v>
      </c>
      <c r="AG6653" s="2">
        <f ca="1"/>
        <v>0.87284421671135504</v>
      </c>
      <c r="AH6653" s="2" t="str">
        <f ca="1"/>
        <v>Bad</v>
      </c>
    </row>
    <row r="6654" spans="2:34" x14ac:dyDescent="0.2">
      <c r="B6654" s="2">
        <f ca="1"/>
        <v>0.36100343145189084</v>
      </c>
      <c r="O6654" s="2">
        <f ca="1"/>
        <v>0.47294176891640122</v>
      </c>
      <c r="X6654" s="2">
        <f ca="1"/>
        <v>51.126174599526159</v>
      </c>
      <c r="AG6654" s="2">
        <f ca="1"/>
        <v>0.54455957151166179</v>
      </c>
      <c r="AH6654" s="2" t="str">
        <f ca="1"/>
        <v>Bad</v>
      </c>
    </row>
    <row r="6655" spans="2:34" x14ac:dyDescent="0.2">
      <c r="B6655" s="2">
        <f ca="1"/>
        <v>8.3022729261727379E-2</v>
      </c>
      <c r="O6655" s="2">
        <f ca="1"/>
        <v>1.4058047474634061</v>
      </c>
      <c r="X6655" s="2">
        <f ca="1"/>
        <v>41.415495836721227</v>
      </c>
      <c r="AG6655" s="2">
        <f ca="1"/>
        <v>0.83714207802599394</v>
      </c>
      <c r="AH6655" s="2" t="str">
        <f ca="1"/>
        <v>Bad</v>
      </c>
    </row>
    <row r="6656" spans="2:34" x14ac:dyDescent="0.2">
      <c r="B6656" s="2">
        <f ca="1"/>
        <v>0.8118201237653293</v>
      </c>
      <c r="O6656" s="2">
        <f ca="1"/>
        <v>0.40087483231612886</v>
      </c>
      <c r="X6656" s="2">
        <f ca="1"/>
        <v>53.139547549277566</v>
      </c>
      <c r="AG6656" s="2">
        <f ca="1"/>
        <v>0.91882477633622628</v>
      </c>
      <c r="AH6656" s="2" t="str">
        <f ca="1"/>
        <v>Bad</v>
      </c>
    </row>
    <row r="6657" spans="2:34" x14ac:dyDescent="0.2">
      <c r="B6657" s="2">
        <f ca="1"/>
        <v>0.88300664414660135</v>
      </c>
      <c r="O6657" s="2">
        <f ca="1"/>
        <v>0.67642630636934331</v>
      </c>
      <c r="X6657" s="2">
        <f ca="1"/>
        <v>47.125010947774364</v>
      </c>
      <c r="AG6657" s="2">
        <f ca="1"/>
        <v>0.41774308211168498</v>
      </c>
      <c r="AH6657" s="2" t="str">
        <f ca="1"/>
        <v>Bad</v>
      </c>
    </row>
    <row r="6658" spans="2:34" x14ac:dyDescent="0.2">
      <c r="B6658" s="2">
        <f ca="1"/>
        <v>0.17569251037614819</v>
      </c>
      <c r="O6658" s="2">
        <f ca="1"/>
        <v>1.2743145019244662</v>
      </c>
      <c r="X6658" s="2">
        <f ca="1"/>
        <v>59.241719418326717</v>
      </c>
      <c r="AG6658" s="2">
        <f ca="1"/>
        <v>0.90809835513409554</v>
      </c>
      <c r="AH6658" s="2" t="str">
        <f ca="1"/>
        <v>Bad</v>
      </c>
    </row>
    <row r="6659" spans="2:34" x14ac:dyDescent="0.2">
      <c r="B6659" s="2">
        <f ca="1"/>
        <v>0.19065866402841891</v>
      </c>
      <c r="O6659" s="2">
        <f ca="1"/>
        <v>0.34180784071057874</v>
      </c>
      <c r="X6659" s="2">
        <f ca="1"/>
        <v>42.63042059391924</v>
      </c>
      <c r="AG6659" s="2">
        <f ca="1"/>
        <v>0.83291572834022998</v>
      </c>
      <c r="AH6659" s="2" t="str">
        <f ca="1"/>
        <v>Bad</v>
      </c>
    </row>
    <row r="6660" spans="2:34" x14ac:dyDescent="0.2">
      <c r="B6660" s="2">
        <f ca="1"/>
        <v>0.15919620974468662</v>
      </c>
      <c r="O6660" s="2">
        <f ca="1"/>
        <v>0.76570032535995292</v>
      </c>
      <c r="X6660" s="2">
        <f ca="1"/>
        <v>71.034336820463693</v>
      </c>
      <c r="AG6660" s="2">
        <f ca="1"/>
        <v>0.91402122749508563</v>
      </c>
      <c r="AH6660" s="2" t="str">
        <f ca="1"/>
        <v>Bad</v>
      </c>
    </row>
    <row r="6661" spans="2:34" x14ac:dyDescent="0.2">
      <c r="B6661" s="2">
        <f ca="1"/>
        <v>7.6931105466792715E-2</v>
      </c>
      <c r="O6661" s="2">
        <f ca="1"/>
        <v>0.13006113647994441</v>
      </c>
      <c r="X6661" s="2">
        <f ca="1"/>
        <v>57.649586907569827</v>
      </c>
      <c r="AG6661" s="2">
        <f ca="1"/>
        <v>0.89390690122849614</v>
      </c>
      <c r="AH6661" s="2" t="str">
        <f ca="1"/>
        <v>Bad</v>
      </c>
    </row>
    <row r="6662" spans="2:34" x14ac:dyDescent="0.2">
      <c r="B6662" s="2">
        <f ca="1"/>
        <v>0.18068728623394259</v>
      </c>
      <c r="O6662" s="2">
        <f ca="1"/>
        <v>-0.58694064776729804</v>
      </c>
      <c r="X6662" s="2">
        <f ca="1"/>
        <v>49.229946012140253</v>
      </c>
      <c r="AG6662" s="2">
        <f ca="1"/>
        <v>0.51047677528385993</v>
      </c>
      <c r="AH6662" s="2" t="str">
        <f ca="1"/>
        <v>Bad</v>
      </c>
    </row>
    <row r="6663" spans="2:34" x14ac:dyDescent="0.2">
      <c r="B6663" s="2">
        <f ca="1"/>
        <v>0.26330829183555449</v>
      </c>
      <c r="O6663" s="2">
        <f ca="1"/>
        <v>-0.6332606198508306</v>
      </c>
      <c r="X6663" s="2">
        <f ca="1"/>
        <v>40.228598398188716</v>
      </c>
      <c r="AG6663" s="2">
        <f ca="1"/>
        <v>0.95462549018313947</v>
      </c>
      <c r="AH6663" s="2" t="str">
        <f ca="1"/>
        <v>Bad</v>
      </c>
    </row>
    <row r="6664" spans="2:34" x14ac:dyDescent="0.2">
      <c r="B6664" s="2">
        <f ca="1"/>
        <v>0.33353281546593272</v>
      </c>
      <c r="O6664" s="2">
        <f ca="1"/>
        <v>-8.7615124851801771E-2</v>
      </c>
      <c r="X6664" s="2">
        <f ca="1"/>
        <v>37.478118412569565</v>
      </c>
      <c r="AG6664" s="2">
        <f ca="1"/>
        <v>0.86810208808599088</v>
      </c>
      <c r="AH6664" s="2" t="str">
        <f ca="1"/>
        <v>Bad</v>
      </c>
    </row>
    <row r="6665" spans="2:34" x14ac:dyDescent="0.2">
      <c r="B6665" s="2">
        <f ca="1"/>
        <v>0.21178057828842123</v>
      </c>
      <c r="O6665" s="2">
        <f ca="1"/>
        <v>-2.6268761077178352E-2</v>
      </c>
      <c r="X6665" s="2">
        <f ca="1"/>
        <v>58.801434605051135</v>
      </c>
      <c r="AG6665" s="2">
        <f ca="1"/>
        <v>0.24469575464777571</v>
      </c>
      <c r="AH6665" s="2" t="str">
        <f ca="1"/>
        <v>OK</v>
      </c>
    </row>
    <row r="6666" spans="2:34" x14ac:dyDescent="0.2">
      <c r="B6666" s="2">
        <f ca="1"/>
        <v>0.70371957816793507</v>
      </c>
      <c r="O6666" s="2">
        <f ca="1"/>
        <v>-1.3807470091369822</v>
      </c>
      <c r="X6666" s="2">
        <f ca="1"/>
        <v>47.526396578953516</v>
      </c>
      <c r="AG6666" s="2">
        <f ca="1"/>
        <v>0.49373181080533701</v>
      </c>
      <c r="AH6666" s="2" t="str">
        <f ca="1"/>
        <v>Bad</v>
      </c>
    </row>
    <row r="6667" spans="2:34" x14ac:dyDescent="0.2">
      <c r="B6667" s="2">
        <f ca="1"/>
        <v>0.71693215896297713</v>
      </c>
      <c r="O6667" s="2">
        <f ca="1"/>
        <v>-1.7385002802351746</v>
      </c>
      <c r="X6667" s="2">
        <f ca="1"/>
        <v>61.994688266814336</v>
      </c>
      <c r="AG6667" s="2">
        <f ca="1"/>
        <v>0.97724105882401591</v>
      </c>
      <c r="AH6667" s="2" t="str">
        <f ca="1"/>
        <v>Bad</v>
      </c>
    </row>
    <row r="6668" spans="2:34" x14ac:dyDescent="0.2">
      <c r="B6668" s="2">
        <f ca="1"/>
        <v>0.31064481049912307</v>
      </c>
      <c r="O6668" s="2">
        <f ca="1"/>
        <v>-0.14057255663293231</v>
      </c>
      <c r="X6668" s="2">
        <f ca="1"/>
        <v>30.120873475500431</v>
      </c>
      <c r="AG6668" s="2">
        <f ca="1"/>
        <v>0.30119396376616514</v>
      </c>
      <c r="AH6668" s="2" t="str">
        <f ca="1"/>
        <v>OK</v>
      </c>
    </row>
    <row r="6669" spans="2:34" x14ac:dyDescent="0.2">
      <c r="B6669" s="2">
        <f ca="1"/>
        <v>0.17053719385033106</v>
      </c>
      <c r="O6669" s="2">
        <f ca="1"/>
        <v>0.34594495313171203</v>
      </c>
      <c r="X6669" s="2">
        <f ca="1"/>
        <v>31.88621675151591</v>
      </c>
      <c r="AG6669" s="2">
        <f ca="1"/>
        <v>4.8534716910380027E-2</v>
      </c>
      <c r="AH6669" s="2" t="str">
        <f ca="1"/>
        <v>Good</v>
      </c>
    </row>
    <row r="6670" spans="2:34" x14ac:dyDescent="0.2">
      <c r="B6670" s="2">
        <f ca="1"/>
        <v>0.30954657764120985</v>
      </c>
      <c r="O6670" s="2">
        <f ca="1"/>
        <v>-1.0817264760141159</v>
      </c>
      <c r="X6670" s="2">
        <f ca="1"/>
        <v>25.486512607944832</v>
      </c>
      <c r="AG6670" s="2">
        <f ca="1"/>
        <v>0.12851347466269702</v>
      </c>
      <c r="AH6670" s="2" t="str">
        <f ca="1"/>
        <v>OK</v>
      </c>
    </row>
    <row r="6671" spans="2:34" x14ac:dyDescent="0.2">
      <c r="B6671" s="2">
        <f ca="1"/>
        <v>0.15757747130788924</v>
      </c>
      <c r="O6671" s="2">
        <f ca="1"/>
        <v>0.93373923020904581</v>
      </c>
      <c r="X6671" s="2">
        <f ca="1"/>
        <v>56.710094724077308</v>
      </c>
      <c r="AG6671" s="2">
        <f ca="1"/>
        <v>0.63084876066288698</v>
      </c>
      <c r="AH6671" s="2" t="str">
        <f ca="1"/>
        <v>Bad</v>
      </c>
    </row>
    <row r="6672" spans="2:34" x14ac:dyDescent="0.2">
      <c r="B6672" s="2">
        <f ca="1"/>
        <v>0.30862933556304739</v>
      </c>
      <c r="O6672" s="2">
        <f ca="1"/>
        <v>0.63534917100181565</v>
      </c>
      <c r="X6672" s="2">
        <f ca="1"/>
        <v>55.36097368703328</v>
      </c>
      <c r="AG6672" s="2">
        <f ca="1"/>
        <v>0.35773811525429022</v>
      </c>
      <c r="AH6672" s="2" t="str">
        <f ca="1"/>
        <v>OK</v>
      </c>
    </row>
    <row r="6673" spans="2:34" x14ac:dyDescent="0.2">
      <c r="B6673" s="2">
        <f ca="1"/>
        <v>0.30884466252201381</v>
      </c>
      <c r="O6673" s="2">
        <f ca="1"/>
        <v>0.46247492309400456</v>
      </c>
      <c r="X6673" s="2">
        <f ca="1"/>
        <v>31.413210095385029</v>
      </c>
      <c r="AG6673" s="2">
        <f ca="1"/>
        <v>0.19639840645033901</v>
      </c>
      <c r="AH6673" s="2" t="str">
        <f ca="1"/>
        <v>OK</v>
      </c>
    </row>
    <row r="6674" spans="2:34" x14ac:dyDescent="0.2">
      <c r="B6674" s="2">
        <f ca="1"/>
        <v>4.8641403629049229E-2</v>
      </c>
      <c r="O6674" s="2">
        <f ca="1"/>
        <v>2.1496838067152857</v>
      </c>
      <c r="X6674" s="2">
        <f ca="1"/>
        <v>59.514210475940779</v>
      </c>
      <c r="AG6674" s="2">
        <f ca="1"/>
        <v>0.84809439967417477</v>
      </c>
      <c r="AH6674" s="2" t="str">
        <f ca="1"/>
        <v>Bad</v>
      </c>
    </row>
    <row r="6675" spans="2:34" x14ac:dyDescent="0.2">
      <c r="B6675" s="2">
        <f ca="1"/>
        <v>0.87472434736024463</v>
      </c>
      <c r="O6675" s="2">
        <f ca="1"/>
        <v>-0.49546869300243213</v>
      </c>
      <c r="X6675" s="2">
        <f ca="1"/>
        <v>47.848752063531272</v>
      </c>
      <c r="AG6675" s="2">
        <f ca="1"/>
        <v>0.63295491439261919</v>
      </c>
      <c r="AH6675" s="2" t="str">
        <f ca="1"/>
        <v>Bad</v>
      </c>
    </row>
    <row r="6676" spans="2:34" x14ac:dyDescent="0.2">
      <c r="B6676" s="2">
        <f ca="1"/>
        <v>0.43558205941651518</v>
      </c>
      <c r="O6676" s="2">
        <f ca="1"/>
        <v>-1.7336210571739932</v>
      </c>
      <c r="X6676" s="2">
        <f ca="1"/>
        <v>58.00388111269632</v>
      </c>
      <c r="AG6676" s="2">
        <f ca="1"/>
        <v>0.12499562402946407</v>
      </c>
      <c r="AH6676" s="2" t="str">
        <f ca="1"/>
        <v>OK</v>
      </c>
    </row>
    <row r="6677" spans="2:34" x14ac:dyDescent="0.2">
      <c r="B6677" s="2">
        <f ca="1"/>
        <v>0.58539590710016443</v>
      </c>
      <c r="O6677" s="2">
        <f ca="1"/>
        <v>0.50000439928087026</v>
      </c>
      <c r="X6677" s="2">
        <f ca="1"/>
        <v>46.314523839683687</v>
      </c>
      <c r="AG6677" s="2">
        <f ca="1"/>
        <v>0.1865350198079605</v>
      </c>
      <c r="AH6677" s="2" t="str">
        <f ca="1"/>
        <v>OK</v>
      </c>
    </row>
    <row r="6678" spans="2:34" x14ac:dyDescent="0.2">
      <c r="B6678" s="2">
        <f ca="1"/>
        <v>0.78519353896640065</v>
      </c>
      <c r="O6678" s="2">
        <f ca="1"/>
        <v>-0.15963318386977898</v>
      </c>
      <c r="X6678" s="2">
        <f ca="1"/>
        <v>31.744614273507349</v>
      </c>
      <c r="AG6678" s="2">
        <f ca="1"/>
        <v>0.5985462129750716</v>
      </c>
      <c r="AH6678" s="2" t="str">
        <f ca="1"/>
        <v>Bad</v>
      </c>
    </row>
    <row r="6679" spans="2:34" x14ac:dyDescent="0.2">
      <c r="B6679" s="2">
        <f ca="1"/>
        <v>0.5803254369314752</v>
      </c>
      <c r="O6679" s="2">
        <f ca="1"/>
        <v>0.97027125316035356</v>
      </c>
      <c r="X6679" s="2">
        <f ca="1"/>
        <v>31.719426612210331</v>
      </c>
      <c r="AG6679" s="2">
        <f ca="1"/>
        <v>0.11411473744655654</v>
      </c>
      <c r="AH6679" s="2" t="str">
        <f ca="1"/>
        <v>OK</v>
      </c>
    </row>
    <row r="6680" spans="2:34" x14ac:dyDescent="0.2">
      <c r="B6680" s="2">
        <f ca="1"/>
        <v>0.80081334433479534</v>
      </c>
      <c r="O6680" s="2">
        <f ca="1"/>
        <v>0.3530113430000843</v>
      </c>
      <c r="X6680" s="2">
        <f ca="1"/>
        <v>64.025654378692266</v>
      </c>
      <c r="AG6680" s="2">
        <f ca="1"/>
        <v>6.9233957612398589E-2</v>
      </c>
      <c r="AH6680" s="2" t="str">
        <f ca="1"/>
        <v>OK</v>
      </c>
    </row>
    <row r="6681" spans="2:34" x14ac:dyDescent="0.2">
      <c r="B6681" s="2">
        <f ca="1"/>
        <v>0.24287013098734223</v>
      </c>
      <c r="O6681" s="2">
        <f ca="1"/>
        <v>-1.5911443682549968</v>
      </c>
      <c r="X6681" s="2">
        <f ca="1"/>
        <v>53.048050791268196</v>
      </c>
      <c r="AG6681" s="2">
        <f ca="1"/>
        <v>0.61744691922250716</v>
      </c>
      <c r="AH6681" s="2" t="str">
        <f ca="1"/>
        <v>Bad</v>
      </c>
    </row>
    <row r="6682" spans="2:34" x14ac:dyDescent="0.2">
      <c r="B6682" s="2">
        <f ca="1"/>
        <v>6.5655686050016149E-2</v>
      </c>
      <c r="O6682" s="2">
        <f ca="1"/>
        <v>-0.32652787931149496</v>
      </c>
      <c r="X6682" s="2">
        <f ca="1"/>
        <v>57.165288077400326</v>
      </c>
      <c r="AG6682" s="2">
        <f ca="1"/>
        <v>0.28339243109090395</v>
      </c>
      <c r="AH6682" s="2" t="str">
        <f ca="1"/>
        <v>OK</v>
      </c>
    </row>
    <row r="6683" spans="2:34" x14ac:dyDescent="0.2">
      <c r="B6683" s="2">
        <f ca="1"/>
        <v>0.24891196355569623</v>
      </c>
      <c r="O6683" s="2">
        <f ca="1"/>
        <v>-0.79906072186973631</v>
      </c>
      <c r="X6683" s="2">
        <f ca="1"/>
        <v>67.28389613143645</v>
      </c>
      <c r="AG6683" s="2">
        <f ca="1"/>
        <v>0.93581805253538919</v>
      </c>
      <c r="AH6683" s="2" t="str">
        <f ca="1"/>
        <v>Bad</v>
      </c>
    </row>
    <row r="6684" spans="2:34" x14ac:dyDescent="0.2">
      <c r="B6684" s="2">
        <f ca="1"/>
        <v>0.54737399043171497</v>
      </c>
      <c r="O6684" s="2">
        <f ca="1"/>
        <v>-7.9173949809278735E-2</v>
      </c>
      <c r="X6684" s="2">
        <f ca="1"/>
        <v>55.77279757194659</v>
      </c>
      <c r="AG6684" s="2">
        <f ca="1"/>
        <v>0.3959350273684934</v>
      </c>
      <c r="AH6684" s="2" t="str">
        <f ca="1"/>
        <v>OK</v>
      </c>
    </row>
    <row r="6685" spans="2:34" x14ac:dyDescent="0.2">
      <c r="B6685" s="2">
        <f ca="1"/>
        <v>1.4884909413489078E-2</v>
      </c>
      <c r="O6685" s="2">
        <f ca="1"/>
        <v>0.61754612664900421</v>
      </c>
      <c r="X6685" s="2">
        <f ca="1"/>
        <v>49.353960120226034</v>
      </c>
      <c r="AG6685" s="2">
        <f ca="1"/>
        <v>0.10284576532289647</v>
      </c>
      <c r="AH6685" s="2" t="str">
        <f ca="1"/>
        <v>OK</v>
      </c>
    </row>
    <row r="6686" spans="2:34" x14ac:dyDescent="0.2">
      <c r="B6686" s="2">
        <f ca="1"/>
        <v>0.82136170919321483</v>
      </c>
      <c r="O6686" s="2">
        <f ca="1"/>
        <v>-1.1259336758363385</v>
      </c>
      <c r="X6686" s="2">
        <f ca="1"/>
        <v>25.345190019837482</v>
      </c>
      <c r="AG6686" s="2">
        <f ca="1"/>
        <v>0.66219448039519335</v>
      </c>
      <c r="AH6686" s="2" t="str">
        <f ca="1"/>
        <v>Bad</v>
      </c>
    </row>
    <row r="6687" spans="2:34" x14ac:dyDescent="0.2">
      <c r="B6687" s="2">
        <f ca="1"/>
        <v>0.27808638563672305</v>
      </c>
      <c r="O6687" s="2">
        <f ca="1"/>
        <v>1.5278827334916614E-4</v>
      </c>
      <c r="X6687" s="2">
        <f ca="1"/>
        <v>49.566814100632179</v>
      </c>
      <c r="AG6687" s="2">
        <f ca="1"/>
        <v>0.93827863290312163</v>
      </c>
      <c r="AH6687" s="2" t="str">
        <f ca="1"/>
        <v>Bad</v>
      </c>
    </row>
    <row r="6688" spans="2:34" x14ac:dyDescent="0.2">
      <c r="B6688" s="2">
        <f ca="1"/>
        <v>0.57020208568886699</v>
      </c>
      <c r="O6688" s="2">
        <f ca="1"/>
        <v>5.3383760910631288E-2</v>
      </c>
      <c r="X6688" s="2">
        <f ca="1"/>
        <v>30.670071409831202</v>
      </c>
      <c r="AG6688" s="2">
        <f ca="1"/>
        <v>0.37301495708631283</v>
      </c>
      <c r="AH6688" s="2" t="str">
        <f ca="1"/>
        <v>OK</v>
      </c>
    </row>
    <row r="6689" spans="2:34" x14ac:dyDescent="0.2">
      <c r="B6689" s="2">
        <f ca="1"/>
        <v>0.65976582214466806</v>
      </c>
      <c r="O6689" s="2">
        <f ca="1"/>
        <v>-1.3170364464583109</v>
      </c>
      <c r="X6689" s="2">
        <f ca="1"/>
        <v>35.634786540346411</v>
      </c>
      <c r="AG6689" s="2">
        <f ca="1"/>
        <v>0.86260974985149752</v>
      </c>
      <c r="AH6689" s="2" t="str">
        <f ca="1"/>
        <v>Bad</v>
      </c>
    </row>
    <row r="6690" spans="2:34" x14ac:dyDescent="0.2">
      <c r="B6690" s="2">
        <f ca="1"/>
        <v>6.4075983384021207E-2</v>
      </c>
      <c r="O6690" s="2">
        <f ca="1"/>
        <v>-3.9161874471128962E-2</v>
      </c>
      <c r="X6690" s="2">
        <f ca="1"/>
        <v>25.304617786984778</v>
      </c>
      <c r="AG6690" s="2">
        <f ca="1"/>
        <v>0.34287544282960192</v>
      </c>
      <c r="AH6690" s="2" t="str">
        <f ca="1"/>
        <v>OK</v>
      </c>
    </row>
    <row r="6691" spans="2:34" x14ac:dyDescent="0.2">
      <c r="B6691" s="2">
        <f ca="1"/>
        <v>0.3886915110614555</v>
      </c>
      <c r="O6691" s="2">
        <f ca="1"/>
        <v>6.8129958241209584E-2</v>
      </c>
      <c r="X6691" s="2">
        <f ca="1"/>
        <v>85.19336355044048</v>
      </c>
      <c r="AG6691" s="2">
        <f ca="1"/>
        <v>0.77809903897125787</v>
      </c>
      <c r="AH6691" s="2" t="str">
        <f ca="1"/>
        <v>Bad</v>
      </c>
    </row>
    <row r="6692" spans="2:34" x14ac:dyDescent="0.2">
      <c r="B6692" s="2">
        <f ca="1"/>
        <v>0.28061071811002081</v>
      </c>
      <c r="O6692" s="2">
        <f ca="1"/>
        <v>-0.52365355200485553</v>
      </c>
      <c r="X6692" s="2">
        <f ca="1"/>
        <v>29.262755559801104</v>
      </c>
      <c r="AG6692" s="2">
        <f ca="1"/>
        <v>0.84428203926507739</v>
      </c>
      <c r="AH6692" s="2" t="str">
        <f ca="1"/>
        <v>Bad</v>
      </c>
    </row>
    <row r="6693" spans="2:34" x14ac:dyDescent="0.2">
      <c r="B6693" s="2">
        <f ca="1"/>
        <v>0.86982585183265693</v>
      </c>
      <c r="O6693" s="2">
        <f ca="1"/>
        <v>-8.9267491732107268E-2</v>
      </c>
      <c r="X6693" s="2">
        <f ca="1"/>
        <v>66.67083254148298</v>
      </c>
      <c r="AG6693" s="2">
        <f ca="1"/>
        <v>0.36205184206599972</v>
      </c>
      <c r="AH6693" s="2" t="str">
        <f ca="1"/>
        <v>OK</v>
      </c>
    </row>
    <row r="6694" spans="2:34" x14ac:dyDescent="0.2">
      <c r="B6694" s="2">
        <f ca="1"/>
        <v>0.7681352412159046</v>
      </c>
      <c r="O6694" s="2">
        <f ca="1"/>
        <v>1.5175641038108558</v>
      </c>
      <c r="X6694" s="2">
        <f ca="1"/>
        <v>49.828489031415629</v>
      </c>
      <c r="AG6694" s="2">
        <f ca="1"/>
        <v>0.62520477893198589</v>
      </c>
      <c r="AH6694" s="2" t="str">
        <f ca="1"/>
        <v>Bad</v>
      </c>
    </row>
    <row r="6695" spans="2:34" x14ac:dyDescent="0.2">
      <c r="B6695" s="2">
        <f ca="1"/>
        <v>0.7730667351211622</v>
      </c>
      <c r="O6695" s="2">
        <f ca="1"/>
        <v>-0.84124554424546782</v>
      </c>
      <c r="X6695" s="2">
        <f ca="1"/>
        <v>65.417275050702614</v>
      </c>
      <c r="AG6695" s="2">
        <f ca="1"/>
        <v>0.4427054731773572</v>
      </c>
      <c r="AH6695" s="2" t="str">
        <f ca="1"/>
        <v>Bad</v>
      </c>
    </row>
    <row r="6696" spans="2:34" x14ac:dyDescent="0.2">
      <c r="B6696" s="2">
        <f ca="1"/>
        <v>0.88505263879318208</v>
      </c>
      <c r="O6696" s="2">
        <f ca="1"/>
        <v>-0.6288348001680012</v>
      </c>
      <c r="X6696" s="2">
        <f ca="1"/>
        <v>30.619094991188497</v>
      </c>
      <c r="AG6696" s="2">
        <f ca="1"/>
        <v>0.18069640608650306</v>
      </c>
      <c r="AH6696" s="2" t="str">
        <f ca="1"/>
        <v>OK</v>
      </c>
    </row>
    <row r="6697" spans="2:34" x14ac:dyDescent="0.2">
      <c r="B6697" s="2">
        <f ca="1"/>
        <v>0.94877940982009745</v>
      </c>
      <c r="O6697" s="2">
        <f ca="1"/>
        <v>9.6269900876324463E-2</v>
      </c>
      <c r="X6697" s="2">
        <f ca="1"/>
        <v>43.22180017060311</v>
      </c>
      <c r="AG6697" s="2">
        <f ca="1"/>
        <v>6.2374933182062886E-2</v>
      </c>
      <c r="AH6697" s="2" t="str">
        <f ca="1"/>
        <v>OK</v>
      </c>
    </row>
    <row r="6698" spans="2:34" x14ac:dyDescent="0.2">
      <c r="B6698" s="2">
        <f ca="1"/>
        <v>0.17181721046866572</v>
      </c>
      <c r="O6698" s="2">
        <f ca="1"/>
        <v>-1.080593667593164</v>
      </c>
      <c r="X6698" s="2">
        <f ca="1"/>
        <v>66.257215163357642</v>
      </c>
      <c r="AG6698" s="2">
        <f ca="1"/>
        <v>0.27103322598338564</v>
      </c>
      <c r="AH6698" s="2" t="str">
        <f ca="1"/>
        <v>OK</v>
      </c>
    </row>
    <row r="6699" spans="2:34" x14ac:dyDescent="0.2">
      <c r="B6699" s="2">
        <f ca="1"/>
        <v>7.2336178485220337E-2</v>
      </c>
      <c r="O6699" s="2">
        <f ca="1"/>
        <v>-1.0764572580637346</v>
      </c>
      <c r="X6699" s="2">
        <f ca="1"/>
        <v>31.54322486853728</v>
      </c>
      <c r="AG6699" s="2">
        <f ca="1"/>
        <v>0.41602658600535669</v>
      </c>
      <c r="AH6699" s="2" t="str">
        <f ca="1"/>
        <v>Bad</v>
      </c>
    </row>
    <row r="6700" spans="2:34" x14ac:dyDescent="0.2">
      <c r="B6700" s="2">
        <f ca="1"/>
        <v>0.66448128287746777</v>
      </c>
      <c r="O6700" s="2">
        <f ca="1"/>
        <v>-0.174744467343694</v>
      </c>
      <c r="X6700" s="2">
        <f ca="1"/>
        <v>20.778547059777587</v>
      </c>
      <c r="AG6700" s="2">
        <f ca="1"/>
        <v>0.44327729434576524</v>
      </c>
      <c r="AH6700" s="2" t="str">
        <f ca="1"/>
        <v>Bad</v>
      </c>
    </row>
    <row r="6701" spans="2:34" x14ac:dyDescent="0.2">
      <c r="B6701" s="2">
        <f ca="1"/>
        <v>0.9598152082081246</v>
      </c>
      <c r="O6701" s="2">
        <f ca="1"/>
        <v>-1.034241965170003</v>
      </c>
      <c r="X6701" s="2">
        <f ca="1"/>
        <v>54.049743901381184</v>
      </c>
      <c r="AG6701" s="2">
        <f ca="1"/>
        <v>0.76594591541808366</v>
      </c>
      <c r="AH6701" s="2" t="str">
        <f ca="1"/>
        <v>Bad</v>
      </c>
    </row>
    <row r="6702" spans="2:34" x14ac:dyDescent="0.2">
      <c r="B6702" s="2">
        <f ca="1"/>
        <v>0.80246909442261227</v>
      </c>
      <c r="O6702" s="2">
        <f ca="1"/>
        <v>0.85384101504716203</v>
      </c>
      <c r="X6702" s="2">
        <f ca="1"/>
        <v>38.589067799885804</v>
      </c>
      <c r="AG6702" s="2">
        <f ca="1"/>
        <v>0.59793956108616086</v>
      </c>
      <c r="AH6702" s="2" t="str">
        <f ca="1"/>
        <v>Bad</v>
      </c>
    </row>
    <row r="6703" spans="2:34" x14ac:dyDescent="0.2">
      <c r="B6703" s="2">
        <f ca="1"/>
        <v>0.97502743730887786</v>
      </c>
      <c r="O6703" s="2">
        <f ca="1"/>
        <v>9.4419209551483391E-2</v>
      </c>
      <c r="X6703" s="2">
        <f ca="1"/>
        <v>51.61799809023006</v>
      </c>
      <c r="AG6703" s="2">
        <f ca="1"/>
        <v>0.99105066125296282</v>
      </c>
      <c r="AH6703" s="2" t="str">
        <f ca="1"/>
        <v>Bad</v>
      </c>
    </row>
    <row r="6704" spans="2:34" x14ac:dyDescent="0.2">
      <c r="B6704" s="2">
        <f ca="1"/>
        <v>0.46791482843189436</v>
      </c>
      <c r="O6704" s="2">
        <f ca="1"/>
        <v>-1.3483097093820875</v>
      </c>
      <c r="X6704" s="2">
        <f ca="1"/>
        <v>22.601901119768009</v>
      </c>
      <c r="AG6704" s="2">
        <f ca="1"/>
        <v>0.4839449122516799</v>
      </c>
      <c r="AH6704" s="2" t="str">
        <f ca="1"/>
        <v>Bad</v>
      </c>
    </row>
    <row r="6705" spans="2:34" x14ac:dyDescent="0.2">
      <c r="B6705" s="2">
        <f ca="1"/>
        <v>0.69638014452011321</v>
      </c>
      <c r="O6705" s="2">
        <f ca="1"/>
        <v>0.70379387498466695</v>
      </c>
      <c r="X6705" s="2">
        <f ca="1"/>
        <v>52.851049189767082</v>
      </c>
      <c r="AG6705" s="2">
        <f ca="1"/>
        <v>0.85374863638453768</v>
      </c>
      <c r="AH6705" s="2" t="str">
        <f ca="1"/>
        <v>Bad</v>
      </c>
    </row>
    <row r="6706" spans="2:34" x14ac:dyDescent="0.2">
      <c r="B6706" s="2">
        <f ca="1"/>
        <v>0.71475877289969092</v>
      </c>
      <c r="O6706" s="2">
        <f ca="1"/>
        <v>-1.0659921630232077</v>
      </c>
      <c r="X6706" s="2">
        <f ca="1"/>
        <v>77.455047864411043</v>
      </c>
      <c r="AG6706" s="2">
        <f ca="1"/>
        <v>2.3753282264191933E-2</v>
      </c>
      <c r="AH6706" s="2" t="str">
        <f ca="1"/>
        <v>Good</v>
      </c>
    </row>
    <row r="6707" spans="2:34" x14ac:dyDescent="0.2">
      <c r="B6707" s="2">
        <f ca="1"/>
        <v>0.93933131217743338</v>
      </c>
      <c r="O6707" s="2">
        <f ca="1"/>
        <v>0.22245364730797143</v>
      </c>
      <c r="X6707" s="2">
        <f ca="1"/>
        <v>40.86126282930374</v>
      </c>
      <c r="AG6707" s="2">
        <f ca="1"/>
        <v>5.4603370151750985E-2</v>
      </c>
      <c r="AH6707" s="2" t="str">
        <f ca="1"/>
        <v>OK</v>
      </c>
    </row>
    <row r="6708" spans="2:34" x14ac:dyDescent="0.2">
      <c r="B6708" s="2">
        <f ca="1"/>
        <v>0.96448291121719376</v>
      </c>
      <c r="O6708" s="2">
        <f ca="1"/>
        <v>0.9380107032384446</v>
      </c>
      <c r="X6708" s="2">
        <f ca="1"/>
        <v>61.17347073984088</v>
      </c>
      <c r="AG6708" s="2">
        <f ca="1"/>
        <v>0.88836735844605297</v>
      </c>
      <c r="AH6708" s="2" t="str">
        <f ca="1"/>
        <v>Bad</v>
      </c>
    </row>
    <row r="6709" spans="2:34" x14ac:dyDescent="0.2">
      <c r="B6709" s="2">
        <f ca="1"/>
        <v>0.69431456409483583</v>
      </c>
      <c r="O6709" s="2">
        <f ca="1"/>
        <v>-0.1433336696739568</v>
      </c>
      <c r="X6709" s="2">
        <f ca="1"/>
        <v>49.681029314833154</v>
      </c>
      <c r="AG6709" s="2">
        <f ca="1"/>
        <v>0.71492879971559153</v>
      </c>
      <c r="AH6709" s="2" t="str">
        <f ca="1"/>
        <v>Bad</v>
      </c>
    </row>
    <row r="6710" spans="2:34" x14ac:dyDescent="0.2">
      <c r="B6710" s="2">
        <f ca="1"/>
        <v>0.67203793458221006</v>
      </c>
      <c r="O6710" s="2">
        <f ca="1"/>
        <v>-1.7791166527833242</v>
      </c>
      <c r="X6710" s="2">
        <f ca="1"/>
        <v>53.832676647987981</v>
      </c>
      <c r="AG6710" s="2">
        <f ca="1"/>
        <v>0.69869460107904202</v>
      </c>
      <c r="AH6710" s="2" t="str">
        <f ca="1"/>
        <v>Bad</v>
      </c>
    </row>
    <row r="6711" spans="2:34" x14ac:dyDescent="0.2">
      <c r="B6711" s="2">
        <f ca="1"/>
        <v>0.40340646412587744</v>
      </c>
      <c r="O6711" s="2">
        <f ca="1"/>
        <v>-1.4524903811924981</v>
      </c>
      <c r="X6711" s="2">
        <f ca="1"/>
        <v>58.219779680937911</v>
      </c>
      <c r="AG6711" s="2">
        <f ca="1"/>
        <v>0.3807571487103858</v>
      </c>
      <c r="AH6711" s="2" t="str">
        <f ca="1"/>
        <v>OK</v>
      </c>
    </row>
    <row r="6712" spans="2:34" x14ac:dyDescent="0.2">
      <c r="B6712" s="2">
        <f ca="1"/>
        <v>0.82856689271969719</v>
      </c>
      <c r="O6712" s="2">
        <f ca="1"/>
        <v>0.26504527675587058</v>
      </c>
      <c r="X6712" s="2">
        <f ca="1"/>
        <v>59.072620091269606</v>
      </c>
      <c r="AG6712" s="2">
        <f ca="1"/>
        <v>0.10246083034966547</v>
      </c>
      <c r="AH6712" s="2" t="str">
        <f ca="1"/>
        <v>OK</v>
      </c>
    </row>
    <row r="6713" spans="2:34" x14ac:dyDescent="0.2">
      <c r="B6713" s="2">
        <f ca="1"/>
        <v>0.18322116222371543</v>
      </c>
      <c r="O6713" s="2">
        <f ca="1"/>
        <v>0.90238835317525112</v>
      </c>
      <c r="X6713" s="2">
        <f ca="1"/>
        <v>74.491471558500336</v>
      </c>
      <c r="AG6713" s="2">
        <f ca="1"/>
        <v>2.7244749537062463E-2</v>
      </c>
      <c r="AH6713" s="2" t="str">
        <f ca="1"/>
        <v>Good</v>
      </c>
    </row>
    <row r="6714" spans="2:34" x14ac:dyDescent="0.2">
      <c r="B6714" s="2">
        <f ca="1"/>
        <v>0.52876291872085379</v>
      </c>
      <c r="O6714" s="2">
        <f ca="1"/>
        <v>1.3618334674443771</v>
      </c>
      <c r="X6714" s="2">
        <f ca="1"/>
        <v>31.031283760756473</v>
      </c>
      <c r="AG6714" s="2">
        <f ca="1"/>
        <v>0.58460888197863192</v>
      </c>
      <c r="AH6714" s="2" t="str">
        <f ca="1"/>
        <v>Bad</v>
      </c>
    </row>
    <row r="6715" spans="2:34" x14ac:dyDescent="0.2">
      <c r="B6715" s="2">
        <f ca="1"/>
        <v>0.90295730316572609</v>
      </c>
      <c r="O6715" s="2">
        <f ca="1"/>
        <v>-0.15144262698066996</v>
      </c>
      <c r="X6715" s="2">
        <f ca="1"/>
        <v>59.079238495135854</v>
      </c>
      <c r="AG6715" s="2">
        <f ca="1"/>
        <v>0.62010555367965181</v>
      </c>
      <c r="AH6715" s="2" t="str">
        <f ca="1"/>
        <v>Bad</v>
      </c>
    </row>
    <row r="6716" spans="2:34" x14ac:dyDescent="0.2">
      <c r="B6716" s="2">
        <f ca="1"/>
        <v>0.58568302446567255</v>
      </c>
      <c r="O6716" s="2">
        <f ca="1"/>
        <v>0.55392154964640539</v>
      </c>
      <c r="X6716" s="2">
        <f ca="1"/>
        <v>45.40441408728686</v>
      </c>
      <c r="AG6716" s="2">
        <f ca="1"/>
        <v>0.67208220705268951</v>
      </c>
      <c r="AH6716" s="2" t="str">
        <f ca="1"/>
        <v>Bad</v>
      </c>
    </row>
    <row r="6717" spans="2:34" x14ac:dyDescent="0.2">
      <c r="B6717" s="2">
        <f ca="1"/>
        <v>0.16694752409443225</v>
      </c>
      <c r="O6717" s="2">
        <f ca="1"/>
        <v>0.69607925587461283</v>
      </c>
      <c r="X6717" s="2">
        <f ca="1"/>
        <v>28.670002437948419</v>
      </c>
      <c r="AG6717" s="2">
        <f ca="1"/>
        <v>0.99137559353397142</v>
      </c>
      <c r="AH6717" s="2" t="str">
        <f ca="1"/>
        <v>Bad</v>
      </c>
    </row>
    <row r="6718" spans="2:34" x14ac:dyDescent="0.2">
      <c r="B6718" s="2">
        <f ca="1"/>
        <v>0.54716577722177062</v>
      </c>
      <c r="O6718" s="2">
        <f ca="1"/>
        <v>-2.1201557927973624</v>
      </c>
      <c r="X6718" s="2">
        <f ca="1"/>
        <v>42.766376172198839</v>
      </c>
      <c r="AG6718" s="2">
        <f ca="1"/>
        <v>0.6270364973152156</v>
      </c>
      <c r="AH6718" s="2" t="str">
        <f ca="1"/>
        <v>Bad</v>
      </c>
    </row>
    <row r="6719" spans="2:34" x14ac:dyDescent="0.2">
      <c r="B6719" s="2">
        <f ca="1"/>
        <v>0.52269578491914781</v>
      </c>
      <c r="O6719" s="2">
        <f ca="1"/>
        <v>0.79575825816782597</v>
      </c>
      <c r="X6719" s="2">
        <f ca="1"/>
        <v>30.845602356646836</v>
      </c>
      <c r="AG6719" s="2">
        <f ca="1"/>
        <v>0.51680924265320871</v>
      </c>
      <c r="AH6719" s="2" t="str">
        <f ca="1"/>
        <v>Bad</v>
      </c>
    </row>
    <row r="6720" spans="2:34" x14ac:dyDescent="0.2">
      <c r="B6720" s="2">
        <f ca="1"/>
        <v>0.25237382968589528</v>
      </c>
      <c r="O6720" s="2">
        <f ca="1"/>
        <v>-1.581680123551289</v>
      </c>
      <c r="X6720" s="2">
        <f ca="1"/>
        <v>56.6741396767558</v>
      </c>
      <c r="AG6720" s="2">
        <f ca="1"/>
        <v>0.11022218184564903</v>
      </c>
      <c r="AH6720" s="2" t="str">
        <f ca="1"/>
        <v>OK</v>
      </c>
    </row>
    <row r="6721" spans="2:34" x14ac:dyDescent="0.2">
      <c r="B6721" s="2">
        <f ca="1"/>
        <v>0.95628168255936874</v>
      </c>
      <c r="O6721" s="2">
        <f ca="1"/>
        <v>1.5473959647539199</v>
      </c>
      <c r="X6721" s="2">
        <f ca="1"/>
        <v>17.972766191790853</v>
      </c>
      <c r="AG6721" s="2">
        <f ca="1"/>
        <v>0.47071414951610935</v>
      </c>
      <c r="AH6721" s="2" t="str">
        <f ca="1"/>
        <v>Bad</v>
      </c>
    </row>
    <row r="6722" spans="2:34" x14ac:dyDescent="0.2">
      <c r="B6722" s="2">
        <f ca="1"/>
        <v>0.20073402224280934</v>
      </c>
      <c r="O6722" s="2">
        <f ca="1"/>
        <v>0.56812758067159386</v>
      </c>
      <c r="X6722" s="2">
        <f ca="1"/>
        <v>63.980556057776276</v>
      </c>
      <c r="AG6722" s="2">
        <f ca="1"/>
        <v>0.49325974050223031</v>
      </c>
      <c r="AH6722" s="2" t="str">
        <f ca="1"/>
        <v>Bad</v>
      </c>
    </row>
    <row r="6723" spans="2:34" x14ac:dyDescent="0.2">
      <c r="B6723" s="2">
        <f ca="1"/>
        <v>0.74565809345606149</v>
      </c>
      <c r="O6723" s="2">
        <f ca="1"/>
        <v>0.37960093932734312</v>
      </c>
      <c r="X6723" s="2">
        <f ca="1"/>
        <v>84.686648457977128</v>
      </c>
      <c r="AG6723" s="2">
        <f ca="1"/>
        <v>3.1552863692731137E-2</v>
      </c>
      <c r="AH6723" s="2" t="str">
        <f ca="1"/>
        <v>Good</v>
      </c>
    </row>
    <row r="6724" spans="2:34" x14ac:dyDescent="0.2">
      <c r="B6724" s="2">
        <f ca="1"/>
        <v>0.34531201194401939</v>
      </c>
      <c r="O6724" s="2">
        <f ca="1"/>
        <v>1.4332383953048367</v>
      </c>
      <c r="X6724" s="2">
        <f ca="1"/>
        <v>44.242644336957646</v>
      </c>
      <c r="AG6724" s="2">
        <f ca="1"/>
        <v>6.2525309593082445E-2</v>
      </c>
      <c r="AH6724" s="2" t="str">
        <f ca="1"/>
        <v>OK</v>
      </c>
    </row>
    <row r="6725" spans="2:34" x14ac:dyDescent="0.2">
      <c r="B6725" s="2">
        <f ca="1"/>
        <v>0.87487287423381144</v>
      </c>
      <c r="O6725" s="2">
        <f ca="1"/>
        <v>0.62744740120572384</v>
      </c>
      <c r="X6725" s="2">
        <f ca="1"/>
        <v>37.166131221022923</v>
      </c>
      <c r="AG6725" s="2">
        <f ca="1"/>
        <v>0.14749821655496143</v>
      </c>
      <c r="AH6725" s="2" t="str">
        <f ca="1"/>
        <v>OK</v>
      </c>
    </row>
    <row r="6726" spans="2:34" x14ac:dyDescent="0.2">
      <c r="B6726" s="2">
        <f ca="1"/>
        <v>0.72856343608541718</v>
      </c>
      <c r="O6726" s="2">
        <f ca="1"/>
        <v>9.0654028258749506E-2</v>
      </c>
      <c r="X6726" s="2">
        <f ca="1"/>
        <v>53.750730943448175</v>
      </c>
      <c r="AG6726" s="2">
        <f ca="1"/>
        <v>0.12305902832622917</v>
      </c>
      <c r="AH6726" s="2" t="str">
        <f ca="1"/>
        <v>OK</v>
      </c>
    </row>
    <row r="6727" spans="2:34" x14ac:dyDescent="0.2">
      <c r="B6727" s="2">
        <f ca="1"/>
        <v>0.26754185522314233</v>
      </c>
      <c r="O6727" s="2">
        <f ca="1"/>
        <v>0.612933088540774</v>
      </c>
      <c r="X6727" s="2">
        <f ca="1"/>
        <v>49.829562314141668</v>
      </c>
      <c r="AG6727" s="2">
        <f ca="1"/>
        <v>0.87697386250769438</v>
      </c>
      <c r="AH6727" s="2" t="str">
        <f ca="1"/>
        <v>Bad</v>
      </c>
    </row>
    <row r="6728" spans="2:34" x14ac:dyDescent="0.2">
      <c r="B6728" s="2">
        <f ca="1"/>
        <v>0.48666610857498105</v>
      </c>
      <c r="O6728" s="2">
        <f ca="1"/>
        <v>0.33621895737417901</v>
      </c>
      <c r="X6728" s="2">
        <f ca="1"/>
        <v>43.830984114377131</v>
      </c>
      <c r="AG6728" s="2">
        <f ca="1"/>
        <v>0.78546683089794178</v>
      </c>
      <c r="AH6728" s="2" t="str">
        <f ca="1"/>
        <v>Bad</v>
      </c>
    </row>
    <row r="6729" spans="2:34" x14ac:dyDescent="0.2">
      <c r="B6729" s="2">
        <f ca="1"/>
        <v>0.94759203606724651</v>
      </c>
      <c r="O6729" s="2">
        <f ca="1"/>
        <v>2.8163267084967742</v>
      </c>
      <c r="X6729" s="2">
        <f ca="1"/>
        <v>57.145783924026716</v>
      </c>
      <c r="AG6729" s="2">
        <f ca="1"/>
        <v>0.40396454630359413</v>
      </c>
      <c r="AH6729" s="2" t="str">
        <f ca="1"/>
        <v>Bad</v>
      </c>
    </row>
    <row r="6730" spans="2:34" x14ac:dyDescent="0.2">
      <c r="B6730" s="2">
        <f ca="1"/>
        <v>0.75462492128410963</v>
      </c>
      <c r="O6730" s="2">
        <f ca="1"/>
        <v>-0.9275090810930946</v>
      </c>
      <c r="X6730" s="2">
        <f ca="1"/>
        <v>55.559784086067118</v>
      </c>
      <c r="AG6730" s="2">
        <f ca="1"/>
        <v>0.72163067616394994</v>
      </c>
      <c r="AH6730" s="2" t="str">
        <f ca="1"/>
        <v>Bad</v>
      </c>
    </row>
    <row r="6731" spans="2:34" x14ac:dyDescent="0.2">
      <c r="B6731" s="2">
        <f ca="1"/>
        <v>0.19723273366173899</v>
      </c>
      <c r="O6731" s="2">
        <f ca="1"/>
        <v>-0.4259167526611996</v>
      </c>
      <c r="X6731" s="2">
        <f ca="1"/>
        <v>33.858361191841702</v>
      </c>
      <c r="AG6731" s="2">
        <f ca="1"/>
        <v>0.98293775748137047</v>
      </c>
      <c r="AH6731" s="2" t="str">
        <f ca="1"/>
        <v>Bad</v>
      </c>
    </row>
    <row r="6732" spans="2:34" x14ac:dyDescent="0.2">
      <c r="B6732" s="2">
        <f ca="1"/>
        <v>0.36527224174002804</v>
      </c>
      <c r="O6732" s="2">
        <f ca="1"/>
        <v>1.1141012838542632</v>
      </c>
      <c r="X6732" s="2">
        <f ca="1"/>
        <v>72.207554971478331</v>
      </c>
      <c r="AG6732" s="2">
        <f ca="1"/>
        <v>0.88039033139013823</v>
      </c>
      <c r="AH6732" s="2" t="str">
        <f ca="1"/>
        <v>Bad</v>
      </c>
    </row>
    <row r="6733" spans="2:34" x14ac:dyDescent="0.2">
      <c r="B6733" s="2">
        <f ca="1"/>
        <v>0.23018933914395934</v>
      </c>
      <c r="O6733" s="2">
        <f ca="1"/>
        <v>1.5114555111099768</v>
      </c>
      <c r="X6733" s="2">
        <f ca="1"/>
        <v>26.93355318152345</v>
      </c>
      <c r="AG6733" s="2">
        <f ca="1"/>
        <v>2.5430041364271627E-3</v>
      </c>
      <c r="AH6733" s="2" t="str">
        <f ca="1"/>
        <v>Good</v>
      </c>
    </row>
    <row r="6734" spans="2:34" x14ac:dyDescent="0.2">
      <c r="B6734" s="2">
        <f ca="1"/>
        <v>0.60510445716424077</v>
      </c>
      <c r="O6734" s="2">
        <f ca="1"/>
        <v>0.63786985228956905</v>
      </c>
      <c r="X6734" s="2">
        <f ca="1"/>
        <v>55.315681575717974</v>
      </c>
      <c r="AG6734" s="2">
        <f ca="1"/>
        <v>0.75902558722624436</v>
      </c>
      <c r="AH6734" s="2" t="str">
        <f ca="1"/>
        <v>Bad</v>
      </c>
    </row>
    <row r="6735" spans="2:34" x14ac:dyDescent="0.2">
      <c r="B6735" s="2">
        <f ca="1"/>
        <v>0.9617565588641388</v>
      </c>
      <c r="O6735" s="2">
        <f ca="1"/>
        <v>1.74373323150205</v>
      </c>
      <c r="X6735" s="2">
        <f ca="1"/>
        <v>63.819246586205736</v>
      </c>
      <c r="AG6735" s="2">
        <f ca="1"/>
        <v>6.3573853882162856E-2</v>
      </c>
      <c r="AH6735" s="2" t="str">
        <f ca="1"/>
        <v>OK</v>
      </c>
    </row>
    <row r="6736" spans="2:34" x14ac:dyDescent="0.2">
      <c r="B6736" s="2">
        <f ca="1"/>
        <v>0.65825762119828779</v>
      </c>
      <c r="O6736" s="2">
        <f ca="1"/>
        <v>0.519242432972568</v>
      </c>
      <c r="X6736" s="2">
        <f ca="1"/>
        <v>42.336799301506936</v>
      </c>
      <c r="AG6736" s="2">
        <f ca="1"/>
        <v>0.91384638945890617</v>
      </c>
      <c r="AH6736" s="2" t="str">
        <f ca="1"/>
        <v>Bad</v>
      </c>
    </row>
    <row r="6737" spans="2:34" x14ac:dyDescent="0.2">
      <c r="B6737" s="2">
        <f ca="1"/>
        <v>0.54421962483296205</v>
      </c>
      <c r="O6737" s="2">
        <f ca="1"/>
        <v>0.53227164695288187</v>
      </c>
      <c r="X6737" s="2">
        <f ca="1"/>
        <v>67.167014213628477</v>
      </c>
      <c r="AG6737" s="2">
        <f ca="1"/>
        <v>0.66887160860442618</v>
      </c>
      <c r="AH6737" s="2" t="str">
        <f ca="1"/>
        <v>Bad</v>
      </c>
    </row>
    <row r="6738" spans="2:34" x14ac:dyDescent="0.2">
      <c r="B6738" s="2">
        <f ca="1"/>
        <v>0.71374121345568686</v>
      </c>
      <c r="O6738" s="2">
        <f ca="1"/>
        <v>0.10605747746073213</v>
      </c>
      <c r="X6738" s="2">
        <f ca="1"/>
        <v>32.916686958907768</v>
      </c>
      <c r="AG6738" s="2">
        <f ca="1"/>
        <v>0.50871582433801121</v>
      </c>
      <c r="AH6738" s="2" t="str">
        <f ca="1"/>
        <v>Bad</v>
      </c>
    </row>
    <row r="6739" spans="2:34" x14ac:dyDescent="0.2">
      <c r="B6739" s="2">
        <f ca="1"/>
        <v>0.94701288436149356</v>
      </c>
      <c r="O6739" s="2">
        <f ca="1"/>
        <v>-0.52721571147135526</v>
      </c>
      <c r="X6739" s="2">
        <f ca="1"/>
        <v>54.345479965987082</v>
      </c>
      <c r="AG6739" s="2">
        <f ca="1"/>
        <v>0.36077444745247278</v>
      </c>
      <c r="AH6739" s="2" t="str">
        <f ca="1"/>
        <v>OK</v>
      </c>
    </row>
    <row r="6740" spans="2:34" x14ac:dyDescent="0.2">
      <c r="B6740" s="2">
        <f ca="1"/>
        <v>0.71211914995525261</v>
      </c>
      <c r="O6740" s="2">
        <f ca="1"/>
        <v>-2.3933113865718592</v>
      </c>
      <c r="X6740" s="2">
        <f ca="1"/>
        <v>46.10011574108411</v>
      </c>
      <c r="AG6740" s="2">
        <f ca="1"/>
        <v>0.21929600217327505</v>
      </c>
      <c r="AH6740" s="2" t="str">
        <f ca="1"/>
        <v>OK</v>
      </c>
    </row>
    <row r="6741" spans="2:34" x14ac:dyDescent="0.2">
      <c r="B6741" s="2">
        <f ca="1"/>
        <v>0.5440129775437208</v>
      </c>
      <c r="O6741" s="2">
        <f ca="1"/>
        <v>0.76358073176472618</v>
      </c>
      <c r="X6741" s="2">
        <f ca="1"/>
        <v>50.422538076658881</v>
      </c>
      <c r="AG6741" s="2">
        <f ca="1"/>
        <v>0.51009509259105945</v>
      </c>
      <c r="AH6741" s="2" t="str">
        <f ca="1"/>
        <v>Bad</v>
      </c>
    </row>
    <row r="6742" spans="2:34" x14ac:dyDescent="0.2">
      <c r="B6742" s="2">
        <f ca="1"/>
        <v>7.150779486223735E-2</v>
      </c>
      <c r="O6742" s="2">
        <f ca="1"/>
        <v>-0.40123958519171854</v>
      </c>
      <c r="X6742" s="2">
        <f ca="1"/>
        <v>53.837746991241467</v>
      </c>
      <c r="AG6742" s="2">
        <f ca="1"/>
        <v>0.79615423983180711</v>
      </c>
      <c r="AH6742" s="2" t="str">
        <f ca="1"/>
        <v>Bad</v>
      </c>
    </row>
    <row r="6743" spans="2:34" x14ac:dyDescent="0.2">
      <c r="B6743" s="2">
        <f ca="1"/>
        <v>0.53193595412801908</v>
      </c>
      <c r="O6743" s="2">
        <f ca="1"/>
        <v>0.10742938183315659</v>
      </c>
      <c r="X6743" s="2">
        <f ca="1"/>
        <v>35.475208718267453</v>
      </c>
      <c r="AG6743" s="2">
        <f ca="1"/>
        <v>0.65874075954874489</v>
      </c>
      <c r="AH6743" s="2" t="str">
        <f ca="1"/>
        <v>Bad</v>
      </c>
    </row>
    <row r="6744" spans="2:34" x14ac:dyDescent="0.2">
      <c r="B6744" s="2">
        <f ca="1"/>
        <v>1.8002636682544093E-2</v>
      </c>
      <c r="O6744" s="2">
        <f ca="1"/>
        <v>-1.5513350873547491</v>
      </c>
      <c r="X6744" s="2">
        <f ca="1"/>
        <v>64.565914230270707</v>
      </c>
      <c r="AG6744" s="2">
        <f ca="1"/>
        <v>0.85286277035445823</v>
      </c>
      <c r="AH6744" s="2" t="str">
        <f ca="1"/>
        <v>Bad</v>
      </c>
    </row>
    <row r="6745" spans="2:34" x14ac:dyDescent="0.2">
      <c r="B6745" s="2">
        <f ca="1"/>
        <v>0.70370740097173567</v>
      </c>
      <c r="O6745" s="2">
        <f ca="1"/>
        <v>-0.88792625136779313</v>
      </c>
      <c r="X6745" s="2">
        <f ca="1"/>
        <v>35.14828348094936</v>
      </c>
      <c r="AG6745" s="2">
        <f ca="1"/>
        <v>9.8104988710657315E-2</v>
      </c>
      <c r="AH6745" s="2" t="str">
        <f ca="1"/>
        <v>OK</v>
      </c>
    </row>
    <row r="6746" spans="2:34" x14ac:dyDescent="0.2">
      <c r="B6746" s="2">
        <f ca="1"/>
        <v>0.62313853215356785</v>
      </c>
      <c r="O6746" s="2">
        <f ca="1"/>
        <v>1.3978350198649374</v>
      </c>
      <c r="X6746" s="2">
        <f ca="1"/>
        <v>27.094815836538395</v>
      </c>
      <c r="AG6746" s="2">
        <f ca="1"/>
        <v>0.65942976759529981</v>
      </c>
      <c r="AH6746" s="2" t="str">
        <f ca="1"/>
        <v>Bad</v>
      </c>
    </row>
    <row r="6747" spans="2:34" x14ac:dyDescent="0.2">
      <c r="B6747" s="2">
        <f ca="1"/>
        <v>0.55312875822671415</v>
      </c>
      <c r="O6747" s="2">
        <f ca="1"/>
        <v>1.2701312670088394</v>
      </c>
      <c r="X6747" s="2">
        <f ca="1"/>
        <v>23.922056539504709</v>
      </c>
      <c r="AG6747" s="2">
        <f ca="1"/>
        <v>0.10658431096379539</v>
      </c>
      <c r="AH6747" s="2" t="str">
        <f ca="1"/>
        <v>OK</v>
      </c>
    </row>
    <row r="6748" spans="2:34" x14ac:dyDescent="0.2">
      <c r="B6748" s="2">
        <f ca="1"/>
        <v>0.92703415185380811</v>
      </c>
      <c r="O6748" s="2">
        <f ca="1"/>
        <v>-1.4916704653829413</v>
      </c>
      <c r="X6748" s="2">
        <f ca="1"/>
        <v>74.030604006311393</v>
      </c>
      <c r="AG6748" s="2">
        <f ca="1"/>
        <v>0.20268981141283571</v>
      </c>
      <c r="AH6748" s="2" t="str">
        <f ca="1"/>
        <v>OK</v>
      </c>
    </row>
    <row r="6749" spans="2:34" x14ac:dyDescent="0.2">
      <c r="B6749" s="2">
        <f ca="1"/>
        <v>0.82021179132289279</v>
      </c>
      <c r="O6749" s="2">
        <f ca="1"/>
        <v>0.20200288909968001</v>
      </c>
      <c r="X6749" s="2">
        <f ca="1"/>
        <v>52.543007994753061</v>
      </c>
      <c r="AG6749" s="2">
        <f ca="1"/>
        <v>0.33730796764504967</v>
      </c>
      <c r="AH6749" s="2" t="str">
        <f ca="1"/>
        <v>OK</v>
      </c>
    </row>
    <row r="6750" spans="2:34" x14ac:dyDescent="0.2">
      <c r="B6750" s="2">
        <f ca="1"/>
        <v>0.85480061377382421</v>
      </c>
      <c r="O6750" s="2">
        <f ca="1"/>
        <v>0.10251713782490124</v>
      </c>
      <c r="X6750" s="2">
        <f ca="1"/>
        <v>49.638106891594575</v>
      </c>
      <c r="AG6750" s="2">
        <f ca="1"/>
        <v>0.85595959493620377</v>
      </c>
      <c r="AH6750" s="2" t="str">
        <f ca="1"/>
        <v>Bad</v>
      </c>
    </row>
    <row r="6751" spans="2:34" x14ac:dyDescent="0.2">
      <c r="B6751" s="2">
        <f ca="1"/>
        <v>0.64265557885347246</v>
      </c>
      <c r="O6751" s="2">
        <f ca="1"/>
        <v>0.81693861132020262</v>
      </c>
      <c r="X6751" s="2">
        <f ca="1"/>
        <v>53.835606444182972</v>
      </c>
      <c r="AG6751" s="2">
        <f ca="1"/>
        <v>0.98669260500620548</v>
      </c>
      <c r="AH6751" s="2" t="str">
        <f ca="1"/>
        <v>Bad</v>
      </c>
    </row>
    <row r="6752" spans="2:34" x14ac:dyDescent="0.2">
      <c r="B6752" s="2">
        <f ca="1"/>
        <v>0.75922571249025927</v>
      </c>
      <c r="O6752" s="2">
        <f ca="1"/>
        <v>0.6561064277271671</v>
      </c>
      <c r="X6752" s="2">
        <f ca="1"/>
        <v>55.494562378471116</v>
      </c>
      <c r="AG6752" s="2">
        <f ca="1"/>
        <v>0.5191504344872111</v>
      </c>
      <c r="AH6752" s="2" t="str">
        <f ca="1"/>
        <v>Bad</v>
      </c>
    </row>
    <row r="6753" spans="2:34" x14ac:dyDescent="0.2">
      <c r="B6753" s="2">
        <f ca="1"/>
        <v>0.56578825525769205</v>
      </c>
      <c r="O6753" s="2">
        <f ca="1"/>
        <v>-0.71740493500339098</v>
      </c>
      <c r="X6753" s="2">
        <f ca="1"/>
        <v>78.023010859816438</v>
      </c>
      <c r="AG6753" s="2">
        <f ca="1"/>
        <v>0.40190683444017727</v>
      </c>
      <c r="AH6753" s="2" t="str">
        <f ca="1"/>
        <v>Bad</v>
      </c>
    </row>
    <row r="6754" spans="2:34" x14ac:dyDescent="0.2">
      <c r="B6754" s="2">
        <f ca="1"/>
        <v>0.94682415275927267</v>
      </c>
      <c r="O6754" s="2">
        <f ca="1"/>
        <v>-1.8492141327037663</v>
      </c>
      <c r="X6754" s="2">
        <f ca="1"/>
        <v>46.917654269652118</v>
      </c>
      <c r="AG6754" s="2">
        <f ca="1"/>
        <v>0.73935563921233838</v>
      </c>
      <c r="AH6754" s="2" t="str">
        <f ca="1"/>
        <v>Bad</v>
      </c>
    </row>
    <row r="6755" spans="2:34" x14ac:dyDescent="0.2">
      <c r="B6755" s="2">
        <f ca="1"/>
        <v>0.52847933684219206</v>
      </c>
      <c r="O6755" s="2">
        <f ca="1"/>
        <v>-0.55110216838469539</v>
      </c>
      <c r="X6755" s="2">
        <f ca="1"/>
        <v>69.458648974535663</v>
      </c>
      <c r="AG6755" s="2">
        <f ca="1"/>
        <v>0.55596264166137366</v>
      </c>
      <c r="AH6755" s="2" t="str">
        <f ca="1"/>
        <v>Bad</v>
      </c>
    </row>
    <row r="6756" spans="2:34" x14ac:dyDescent="0.2">
      <c r="B6756" s="2">
        <f ca="1"/>
        <v>0.42913693075102177</v>
      </c>
      <c r="O6756" s="2">
        <f ca="1"/>
        <v>-0.5605039087877689</v>
      </c>
      <c r="X6756" s="2">
        <f ca="1"/>
        <v>49.63222916271814</v>
      </c>
      <c r="AG6756" s="2">
        <f ca="1"/>
        <v>0.59632710194651173</v>
      </c>
      <c r="AH6756" s="2" t="str">
        <f ca="1"/>
        <v>Bad</v>
      </c>
    </row>
    <row r="6757" spans="2:34" x14ac:dyDescent="0.2">
      <c r="B6757" s="2">
        <f ca="1"/>
        <v>0.8877575833750635</v>
      </c>
      <c r="O6757" s="2">
        <f ca="1"/>
        <v>-1.2606089580843489</v>
      </c>
      <c r="X6757" s="2">
        <f ca="1"/>
        <v>46.504139034999227</v>
      </c>
      <c r="AG6757" s="2">
        <f ca="1"/>
        <v>5.1783377318105339E-2</v>
      </c>
      <c r="AH6757" s="2" t="str">
        <f ca="1"/>
        <v>OK</v>
      </c>
    </row>
    <row r="6758" spans="2:34" x14ac:dyDescent="0.2">
      <c r="B6758" s="2">
        <f ca="1"/>
        <v>0.54449080499477653</v>
      </c>
      <c r="O6758" s="2">
        <f ca="1"/>
        <v>-2.3436080727287507</v>
      </c>
      <c r="X6758" s="2">
        <f ca="1"/>
        <v>59.544574418943895</v>
      </c>
      <c r="AG6758" s="2">
        <f ca="1"/>
        <v>0.43863684737285946</v>
      </c>
      <c r="AH6758" s="2" t="str">
        <f ca="1"/>
        <v>Bad</v>
      </c>
    </row>
    <row r="6759" spans="2:34" x14ac:dyDescent="0.2">
      <c r="B6759" s="2">
        <f ca="1"/>
        <v>0.19518516530950025</v>
      </c>
      <c r="O6759" s="2">
        <f ca="1"/>
        <v>-7.2879394941513007E-2</v>
      </c>
      <c r="X6759" s="2">
        <f ca="1"/>
        <v>36.743428705813777</v>
      </c>
      <c r="AG6759" s="2">
        <f ca="1"/>
        <v>0.90218676906230111</v>
      </c>
      <c r="AH6759" s="2" t="str">
        <f ca="1"/>
        <v>Bad</v>
      </c>
    </row>
    <row r="6760" spans="2:34" x14ac:dyDescent="0.2">
      <c r="B6760" s="2">
        <f ca="1"/>
        <v>0.41797605569381302</v>
      </c>
      <c r="O6760" s="2">
        <f ca="1"/>
        <v>1.2662592319610433</v>
      </c>
      <c r="X6760" s="2">
        <f ca="1"/>
        <v>77.484972933410944</v>
      </c>
      <c r="AG6760" s="2">
        <f ca="1"/>
        <v>0.49685879643101982</v>
      </c>
      <c r="AH6760" s="2" t="str">
        <f ca="1"/>
        <v>Bad</v>
      </c>
    </row>
    <row r="6761" spans="2:34" x14ac:dyDescent="0.2">
      <c r="B6761" s="2">
        <f ca="1"/>
        <v>0.85938132784638688</v>
      </c>
      <c r="O6761" s="2">
        <f ca="1"/>
        <v>-0.89328581917324867</v>
      </c>
      <c r="X6761" s="2">
        <f ca="1"/>
        <v>40.499435010296523</v>
      </c>
      <c r="AG6761" s="2">
        <f ca="1"/>
        <v>0.44053687942817299</v>
      </c>
      <c r="AH6761" s="2" t="str">
        <f ca="1"/>
        <v>Bad</v>
      </c>
    </row>
    <row r="6762" spans="2:34" x14ac:dyDescent="0.2">
      <c r="B6762" s="2">
        <f ca="1"/>
        <v>0.93071038440668996</v>
      </c>
      <c r="O6762" s="2">
        <f ca="1"/>
        <v>-0.12214184116242392</v>
      </c>
      <c r="X6762" s="2">
        <f ca="1"/>
        <v>48.824336211810866</v>
      </c>
      <c r="AG6762" s="2">
        <f ca="1"/>
        <v>0.74385256794132903</v>
      </c>
      <c r="AH6762" s="2" t="str">
        <f ca="1"/>
        <v>Bad</v>
      </c>
    </row>
    <row r="6763" spans="2:34" x14ac:dyDescent="0.2">
      <c r="B6763" s="2">
        <f ca="1"/>
        <v>0.30195775290310545</v>
      </c>
      <c r="O6763" s="2">
        <f ca="1"/>
        <v>-0.46780473829829244</v>
      </c>
      <c r="X6763" s="2">
        <f ca="1"/>
        <v>49.288192089484617</v>
      </c>
      <c r="AG6763" s="2">
        <f ca="1"/>
        <v>0.36331893229101087</v>
      </c>
      <c r="AH6763" s="2" t="str">
        <f ca="1"/>
        <v>OK</v>
      </c>
    </row>
    <row r="6764" spans="2:34" x14ac:dyDescent="0.2">
      <c r="B6764" s="2">
        <f ca="1"/>
        <v>0.16825691362232931</v>
      </c>
      <c r="O6764" s="2">
        <f ca="1"/>
        <v>1.3357689997383939</v>
      </c>
      <c r="X6764" s="2">
        <f ca="1"/>
        <v>58.089251528148637</v>
      </c>
      <c r="AG6764" s="2">
        <f ca="1"/>
        <v>0.11828236188198682</v>
      </c>
      <c r="AH6764" s="2" t="str">
        <f ca="1"/>
        <v>OK</v>
      </c>
    </row>
    <row r="6765" spans="2:34" x14ac:dyDescent="0.2">
      <c r="B6765" s="2">
        <f ca="1"/>
        <v>0.43556117023417507</v>
      </c>
      <c r="O6765" s="2">
        <f ca="1"/>
        <v>6.2547933359229355E-2</v>
      </c>
      <c r="X6765" s="2">
        <f ca="1"/>
        <v>43.036525433439401</v>
      </c>
      <c r="AG6765" s="2">
        <f ca="1"/>
        <v>0.2385650345623187</v>
      </c>
      <c r="AH6765" s="2" t="str">
        <f ca="1"/>
        <v>OK</v>
      </c>
    </row>
    <row r="6766" spans="2:34" x14ac:dyDescent="0.2">
      <c r="B6766" s="2">
        <f ca="1"/>
        <v>0.79531672968174871</v>
      </c>
      <c r="O6766" s="2">
        <f ca="1"/>
        <v>-5.0293288200101753E-2</v>
      </c>
      <c r="X6766" s="2">
        <f ca="1"/>
        <v>60.924983212520722</v>
      </c>
      <c r="AG6766" s="2">
        <f ca="1"/>
        <v>0.37997105986886193</v>
      </c>
      <c r="AH6766" s="2" t="str">
        <f ca="1"/>
        <v>OK</v>
      </c>
    </row>
    <row r="6767" spans="2:34" x14ac:dyDescent="0.2">
      <c r="B6767" s="2">
        <f ca="1"/>
        <v>0.39811720551096852</v>
      </c>
      <c r="O6767" s="2">
        <f ca="1"/>
        <v>4.3628796962061442E-2</v>
      </c>
      <c r="X6767" s="2">
        <f ca="1"/>
        <v>38.700441092519242</v>
      </c>
      <c r="AG6767" s="2">
        <f ca="1"/>
        <v>0.78114073523237537</v>
      </c>
      <c r="AH6767" s="2" t="str">
        <f ca="1"/>
        <v>Bad</v>
      </c>
    </row>
    <row r="6768" spans="2:34" x14ac:dyDescent="0.2">
      <c r="B6768" s="2">
        <f ca="1"/>
        <v>0.39463762582711737</v>
      </c>
      <c r="O6768" s="2">
        <f ca="1"/>
        <v>-1.6457946950281575</v>
      </c>
      <c r="X6768" s="2">
        <f ca="1"/>
        <v>62.358154042203182</v>
      </c>
      <c r="AG6768" s="2">
        <f ca="1"/>
        <v>0.36929615135813254</v>
      </c>
      <c r="AH6768" s="2" t="str">
        <f ca="1"/>
        <v>OK</v>
      </c>
    </row>
    <row r="6769" spans="2:34" x14ac:dyDescent="0.2">
      <c r="B6769" s="2">
        <f ca="1"/>
        <v>0.64735803341816767</v>
      </c>
      <c r="O6769" s="2">
        <f ca="1"/>
        <v>-1.6721568255499251</v>
      </c>
      <c r="X6769" s="2">
        <f ca="1"/>
        <v>68.073071199897427</v>
      </c>
      <c r="AG6769" s="2">
        <f ca="1"/>
        <v>0.15186728896496593</v>
      </c>
      <c r="AH6769" s="2" t="str">
        <f ca="1"/>
        <v>OK</v>
      </c>
    </row>
    <row r="6770" spans="2:34" x14ac:dyDescent="0.2">
      <c r="B6770" s="2">
        <f ca="1"/>
        <v>0.65999621406896036</v>
      </c>
      <c r="O6770" s="2">
        <f ca="1"/>
        <v>0.78019834093198603</v>
      </c>
      <c r="X6770" s="2">
        <f ca="1"/>
        <v>22.540241861836488</v>
      </c>
      <c r="AG6770" s="2">
        <f ca="1"/>
        <v>0.59086737882841645</v>
      </c>
      <c r="AH6770" s="2" t="str">
        <f ca="1"/>
        <v>Bad</v>
      </c>
    </row>
    <row r="6771" spans="2:34" x14ac:dyDescent="0.2">
      <c r="B6771" s="2">
        <f ca="1"/>
        <v>0.57644023726462557</v>
      </c>
      <c r="O6771" s="2">
        <f ca="1"/>
        <v>-5.2943537255361529E-2</v>
      </c>
      <c r="X6771" s="2">
        <f ca="1"/>
        <v>47.05643660742097</v>
      </c>
      <c r="AG6771" s="2">
        <f ca="1"/>
        <v>0.19897722001971663</v>
      </c>
      <c r="AH6771" s="2" t="str">
        <f ca="1"/>
        <v>OK</v>
      </c>
    </row>
    <row r="6772" spans="2:34" x14ac:dyDescent="0.2">
      <c r="B6772" s="2">
        <f ca="1"/>
        <v>0.9673746373681853</v>
      </c>
      <c r="O6772" s="2">
        <f ca="1"/>
        <v>0.31114267406294693</v>
      </c>
      <c r="X6772" s="2">
        <f ca="1"/>
        <v>75.466426193401048</v>
      </c>
      <c r="AG6772" s="2">
        <f ca="1"/>
        <v>0.29954108371063981</v>
      </c>
      <c r="AH6772" s="2" t="str">
        <f ca="1"/>
        <v>OK</v>
      </c>
    </row>
    <row r="6773" spans="2:34" x14ac:dyDescent="0.2">
      <c r="B6773" s="2">
        <f ca="1"/>
        <v>0.77833974874318379</v>
      </c>
      <c r="O6773" s="2">
        <f ca="1"/>
        <v>0.54141509378917674</v>
      </c>
      <c r="X6773" s="2">
        <f ca="1"/>
        <v>56.487116997158267</v>
      </c>
      <c r="AG6773" s="2">
        <f ca="1"/>
        <v>0.66024923834385141</v>
      </c>
      <c r="AH6773" s="2" t="str">
        <f ca="1"/>
        <v>Bad</v>
      </c>
    </row>
    <row r="6774" spans="2:34" x14ac:dyDescent="0.2">
      <c r="B6774" s="2">
        <f ca="1"/>
        <v>9.0767016565467484E-2</v>
      </c>
      <c r="O6774" s="2">
        <f ca="1"/>
        <v>1.3494322798144274</v>
      </c>
      <c r="X6774" s="2">
        <f ca="1"/>
        <v>47.321777862547016</v>
      </c>
      <c r="AG6774" s="2">
        <f ca="1"/>
        <v>0.4682858718342886</v>
      </c>
      <c r="AH6774" s="2" t="str">
        <f ca="1"/>
        <v>Bad</v>
      </c>
    </row>
    <row r="6775" spans="2:34" x14ac:dyDescent="0.2">
      <c r="B6775" s="2">
        <f ca="1"/>
        <v>0.69368190408135311</v>
      </c>
      <c r="O6775" s="2">
        <f ca="1"/>
        <v>-1.8692237638455256</v>
      </c>
      <c r="X6775" s="2">
        <f ca="1"/>
        <v>30.473175699208667</v>
      </c>
      <c r="AG6775" s="2">
        <f ca="1"/>
        <v>0.7111443423819388</v>
      </c>
      <c r="AH6775" s="2" t="str">
        <f ca="1"/>
        <v>Bad</v>
      </c>
    </row>
    <row r="6776" spans="2:34" x14ac:dyDescent="0.2">
      <c r="B6776" s="2">
        <f ca="1"/>
        <v>0.59547771898598545</v>
      </c>
      <c r="O6776" s="2">
        <f ca="1"/>
        <v>-0.92627873067278066</v>
      </c>
      <c r="X6776" s="2">
        <f ca="1"/>
        <v>49.456421024653366</v>
      </c>
      <c r="AG6776" s="2">
        <f ca="1"/>
        <v>0.94062874264763274</v>
      </c>
      <c r="AH6776" s="2" t="str">
        <f ca="1"/>
        <v>Bad</v>
      </c>
    </row>
    <row r="6777" spans="2:34" x14ac:dyDescent="0.2">
      <c r="B6777" s="2">
        <f ca="1"/>
        <v>0.93777649381568273</v>
      </c>
      <c r="O6777" s="2">
        <f ca="1"/>
        <v>1.2970200286412692</v>
      </c>
      <c r="X6777" s="2">
        <f ca="1"/>
        <v>25.720615325385296</v>
      </c>
      <c r="AG6777" s="2">
        <f ca="1"/>
        <v>0.73366154128844863</v>
      </c>
      <c r="AH6777" s="2" t="str">
        <f ca="1"/>
        <v>Bad</v>
      </c>
    </row>
    <row r="6778" spans="2:34" x14ac:dyDescent="0.2">
      <c r="B6778" s="2">
        <f ca="1"/>
        <v>0.77412134610893801</v>
      </c>
      <c r="O6778" s="2">
        <f ca="1"/>
        <v>0.41454313333184328</v>
      </c>
      <c r="X6778" s="2">
        <f ca="1"/>
        <v>17.51448451797112</v>
      </c>
      <c r="AG6778" s="2">
        <f ca="1"/>
        <v>0.39959230420189851</v>
      </c>
      <c r="AH6778" s="2" t="str">
        <f ca="1"/>
        <v>OK</v>
      </c>
    </row>
    <row r="6779" spans="2:34" x14ac:dyDescent="0.2">
      <c r="B6779" s="2">
        <f ca="1"/>
        <v>0.77030217665723222</v>
      </c>
      <c r="O6779" s="2">
        <f ca="1"/>
        <v>0.31692396969157771</v>
      </c>
      <c r="X6779" s="2">
        <f ca="1"/>
        <v>57.800776428300544</v>
      </c>
      <c r="AG6779" s="2">
        <f ca="1"/>
        <v>0.88417777053531998</v>
      </c>
      <c r="AH6779" s="2" t="str">
        <f ca="1"/>
        <v>Bad</v>
      </c>
    </row>
    <row r="6780" spans="2:34" x14ac:dyDescent="0.2">
      <c r="B6780" s="2">
        <f ca="1"/>
        <v>0.7235053901680597</v>
      </c>
      <c r="O6780" s="2">
        <f ca="1"/>
        <v>0.29286432271069307</v>
      </c>
      <c r="X6780" s="2">
        <f ca="1"/>
        <v>79.908929313328429</v>
      </c>
      <c r="AG6780" s="2">
        <f ca="1"/>
        <v>0.74855232537272198</v>
      </c>
      <c r="AH6780" s="2" t="str">
        <f ca="1"/>
        <v>Bad</v>
      </c>
    </row>
    <row r="6781" spans="2:34" x14ac:dyDescent="0.2">
      <c r="B6781" s="2">
        <f ca="1"/>
        <v>5.918034001897543E-2</v>
      </c>
      <c r="O6781" s="2">
        <f ca="1"/>
        <v>0.58541337564785167</v>
      </c>
      <c r="X6781" s="2">
        <f ca="1"/>
        <v>81.413860796842087</v>
      </c>
      <c r="AG6781" s="2">
        <f ca="1"/>
        <v>0.87288394235007605</v>
      </c>
      <c r="AH6781" s="2" t="str">
        <f ca="1"/>
        <v>Bad</v>
      </c>
    </row>
    <row r="6782" spans="2:34" x14ac:dyDescent="0.2">
      <c r="B6782" s="2">
        <f ca="1"/>
        <v>0.7045424640780884</v>
      </c>
      <c r="O6782" s="2">
        <f ca="1"/>
        <v>-1.7095018090337857</v>
      </c>
      <c r="X6782" s="2">
        <f ca="1"/>
        <v>50.090790546826653</v>
      </c>
      <c r="AG6782" s="2">
        <f ca="1"/>
        <v>0.94957178427889444</v>
      </c>
      <c r="AH6782" s="2" t="str">
        <f ca="1"/>
        <v>Bad</v>
      </c>
    </row>
    <row r="6783" spans="2:34" x14ac:dyDescent="0.2">
      <c r="B6783" s="2">
        <f ca="1"/>
        <v>0.94581903882058094</v>
      </c>
      <c r="O6783" s="2">
        <f ca="1"/>
        <v>0.9917642364312369</v>
      </c>
      <c r="X6783" s="2">
        <f ca="1"/>
        <v>80.953524137094476</v>
      </c>
      <c r="AG6783" s="2">
        <f ca="1"/>
        <v>7.8639115914868052E-2</v>
      </c>
      <c r="AH6783" s="2" t="str">
        <f ca="1"/>
        <v>OK</v>
      </c>
    </row>
    <row r="6784" spans="2:34" x14ac:dyDescent="0.2">
      <c r="B6784" s="2">
        <f ca="1"/>
        <v>0.40775644552454104</v>
      </c>
      <c r="O6784" s="2">
        <f ca="1"/>
        <v>1.2278398980560945</v>
      </c>
      <c r="X6784" s="2">
        <f ca="1"/>
        <v>49.70762518338779</v>
      </c>
      <c r="AG6784" s="2">
        <f ca="1"/>
        <v>0.81672221816330293</v>
      </c>
      <c r="AH6784" s="2" t="str">
        <f ca="1"/>
        <v>Bad</v>
      </c>
    </row>
    <row r="6785" spans="2:34" x14ac:dyDescent="0.2">
      <c r="B6785" s="2">
        <f ca="1"/>
        <v>0.89746064122807523</v>
      </c>
      <c r="O6785" s="2">
        <f ca="1"/>
        <v>0.39560030879990865</v>
      </c>
      <c r="X6785" s="2">
        <f ca="1"/>
        <v>60.224055575868967</v>
      </c>
      <c r="AG6785" s="2">
        <f ca="1"/>
        <v>0.7882812989920196</v>
      </c>
      <c r="AH6785" s="2" t="str">
        <f ca="1"/>
        <v>Bad</v>
      </c>
    </row>
    <row r="6786" spans="2:34" x14ac:dyDescent="0.2">
      <c r="B6786" s="2">
        <f ca="1"/>
        <v>0.80914222441422123</v>
      </c>
      <c r="O6786" s="2">
        <f ca="1"/>
        <v>0.44677192746687983</v>
      </c>
      <c r="X6786" s="2">
        <f ca="1"/>
        <v>47.02262681315554</v>
      </c>
      <c r="AG6786" s="2">
        <f ca="1"/>
        <v>0.668210691883659</v>
      </c>
      <c r="AH6786" s="2" t="str">
        <f ca="1"/>
        <v>Bad</v>
      </c>
    </row>
    <row r="6787" spans="2:34" x14ac:dyDescent="0.2">
      <c r="B6787" s="2">
        <f ca="1"/>
        <v>0.18789300152485056</v>
      </c>
      <c r="O6787" s="2">
        <f ca="1"/>
        <v>-0.18475358220322663</v>
      </c>
      <c r="X6787" s="2">
        <f ca="1"/>
        <v>41.720617776755553</v>
      </c>
      <c r="AG6787" s="2">
        <f ca="1"/>
        <v>0.91209555760700201</v>
      </c>
      <c r="AH6787" s="2" t="str">
        <f ca="1"/>
        <v>Bad</v>
      </c>
    </row>
    <row r="6788" spans="2:34" x14ac:dyDescent="0.2">
      <c r="B6788" s="2">
        <f ca="1"/>
        <v>6.6038396315319714E-2</v>
      </c>
      <c r="O6788" s="2">
        <f ca="1"/>
        <v>-0.40865579261687002</v>
      </c>
      <c r="X6788" s="2">
        <f ca="1"/>
        <v>49.418452363047642</v>
      </c>
      <c r="AG6788" s="2">
        <f ca="1"/>
        <v>0.56094780627840124</v>
      </c>
      <c r="AH6788" s="2" t="str">
        <f ca="1"/>
        <v>Bad</v>
      </c>
    </row>
    <row r="6789" spans="2:34" x14ac:dyDescent="0.2">
      <c r="B6789" s="2">
        <f ca="1"/>
        <v>0.10971151969212012</v>
      </c>
      <c r="O6789" s="2">
        <f ca="1"/>
        <v>-0.89160598193560481</v>
      </c>
      <c r="X6789" s="2">
        <f ca="1"/>
        <v>56.748339171939605</v>
      </c>
      <c r="AG6789" s="2">
        <f ca="1"/>
        <v>0.52958527003504874</v>
      </c>
      <c r="AH6789" s="2" t="str">
        <f ca="1"/>
        <v>Bad</v>
      </c>
    </row>
    <row r="6790" spans="2:34" x14ac:dyDescent="0.2">
      <c r="B6790" s="2">
        <f ca="1"/>
        <v>0.79603091098730383</v>
      </c>
      <c r="O6790" s="2">
        <f ca="1"/>
        <v>-5.972855953954978E-2</v>
      </c>
      <c r="X6790" s="2">
        <f ca="1"/>
        <v>51.046429795004009</v>
      </c>
      <c r="AG6790" s="2">
        <f ca="1"/>
        <v>0.90773782148563864</v>
      </c>
      <c r="AH6790" s="2" t="str">
        <f ca="1"/>
        <v>Bad</v>
      </c>
    </row>
    <row r="6791" spans="2:34" x14ac:dyDescent="0.2">
      <c r="B6791" s="2">
        <f ca="1"/>
        <v>0.35088570421429321</v>
      </c>
      <c r="O6791" s="2">
        <f ca="1"/>
        <v>-1.2576247364714941</v>
      </c>
      <c r="X6791" s="2">
        <f ca="1"/>
        <v>41.986595571076954</v>
      </c>
      <c r="AG6791" s="2">
        <f ca="1"/>
        <v>0.50534379177639988</v>
      </c>
      <c r="AH6791" s="2" t="str">
        <f ca="1"/>
        <v>Bad</v>
      </c>
    </row>
    <row r="6792" spans="2:34" x14ac:dyDescent="0.2">
      <c r="B6792" s="2">
        <f ca="1"/>
        <v>0.34083903314456898</v>
      </c>
      <c r="O6792" s="2">
        <f ca="1"/>
        <v>0.22636951620274848</v>
      </c>
      <c r="X6792" s="2">
        <f ca="1"/>
        <v>60.792588930990846</v>
      </c>
      <c r="AG6792" s="2">
        <f ca="1"/>
        <v>0.15348452679618307</v>
      </c>
      <c r="AH6792" s="2" t="str">
        <f ca="1"/>
        <v>OK</v>
      </c>
    </row>
    <row r="6793" spans="2:34" x14ac:dyDescent="0.2">
      <c r="B6793" s="2">
        <f ca="1"/>
        <v>0.80724249989066754</v>
      </c>
      <c r="O6793" s="2">
        <f ca="1"/>
        <v>-1.0064362862770879</v>
      </c>
      <c r="X6793" s="2">
        <f ca="1"/>
        <v>62.019124406502911</v>
      </c>
      <c r="AG6793" s="2">
        <f ca="1"/>
        <v>0.4490480226165845</v>
      </c>
      <c r="AH6793" s="2" t="str">
        <f ca="1"/>
        <v>Bad</v>
      </c>
    </row>
    <row r="6794" spans="2:34" x14ac:dyDescent="0.2">
      <c r="B6794" s="2">
        <f ca="1"/>
        <v>0.92889016577903805</v>
      </c>
      <c r="O6794" s="2">
        <f ca="1"/>
        <v>1.4622984061432136</v>
      </c>
      <c r="X6794" s="2">
        <f ca="1"/>
        <v>92.385160914171806</v>
      </c>
      <c r="AG6794" s="2">
        <f ca="1"/>
        <v>0.91629541838323125</v>
      </c>
      <c r="AH6794" s="2" t="str">
        <f ca="1"/>
        <v>Bad</v>
      </c>
    </row>
    <row r="6795" spans="2:34" x14ac:dyDescent="0.2">
      <c r="B6795" s="2">
        <f ca="1"/>
        <v>0.14853170233306545</v>
      </c>
      <c r="O6795" s="2">
        <f ca="1"/>
        <v>-0.24616365181089733</v>
      </c>
      <c r="X6795" s="2">
        <f ca="1"/>
        <v>21.153106764251703</v>
      </c>
      <c r="AG6795" s="2">
        <f ca="1"/>
        <v>0.9544783229779501</v>
      </c>
      <c r="AH6795" s="2" t="str">
        <f ca="1"/>
        <v>Bad</v>
      </c>
    </row>
    <row r="6796" spans="2:34" x14ac:dyDescent="0.2">
      <c r="B6796" s="2">
        <f ca="1"/>
        <v>0.43818438949230543</v>
      </c>
      <c r="O6796" s="2">
        <f ca="1"/>
        <v>1.4865849265376245</v>
      </c>
      <c r="X6796" s="2">
        <f ca="1"/>
        <v>44.488628231379941</v>
      </c>
      <c r="AG6796" s="2">
        <f ca="1"/>
        <v>0.67620252276798554</v>
      </c>
      <c r="AH6796" s="2" t="str">
        <f ca="1"/>
        <v>Bad</v>
      </c>
    </row>
    <row r="6797" spans="2:34" x14ac:dyDescent="0.2">
      <c r="B6797" s="2">
        <f ca="1"/>
        <v>0.62687810090645235</v>
      </c>
      <c r="O6797" s="2">
        <f ca="1"/>
        <v>-0.47157533234102128</v>
      </c>
      <c r="X6797" s="2">
        <f ca="1"/>
        <v>20.10603224517698</v>
      </c>
      <c r="AG6797" s="2">
        <f ca="1"/>
        <v>0.72650971678768816</v>
      </c>
      <c r="AH6797" s="2" t="str">
        <f ca="1"/>
        <v>Bad</v>
      </c>
    </row>
    <row r="6798" spans="2:34" x14ac:dyDescent="0.2">
      <c r="B6798" s="2">
        <f ca="1"/>
        <v>0.85249880983343274</v>
      </c>
      <c r="O6798" s="2">
        <f ca="1"/>
        <v>0.93623895283648384</v>
      </c>
      <c r="X6798" s="2">
        <f ca="1"/>
        <v>42.747519826728194</v>
      </c>
      <c r="AG6798" s="2">
        <f ca="1"/>
        <v>2.5171024554760946E-2</v>
      </c>
      <c r="AH6798" s="2" t="str">
        <f ca="1"/>
        <v>Good</v>
      </c>
    </row>
    <row r="6799" spans="2:34" x14ac:dyDescent="0.2">
      <c r="B6799" s="2">
        <f ca="1"/>
        <v>0.10512894407480156</v>
      </c>
      <c r="O6799" s="2">
        <f ca="1"/>
        <v>-2.4968717187793232</v>
      </c>
      <c r="X6799" s="2">
        <f ca="1"/>
        <v>74.911482510343575</v>
      </c>
      <c r="AG6799" s="2">
        <f ca="1"/>
        <v>0.37991579709864687</v>
      </c>
      <c r="AH6799" s="2" t="str">
        <f ca="1"/>
        <v>OK</v>
      </c>
    </row>
    <row r="6800" spans="2:34" x14ac:dyDescent="0.2">
      <c r="B6800" s="2">
        <f ca="1"/>
        <v>0.12896697365409659</v>
      </c>
      <c r="O6800" s="2">
        <f ca="1"/>
        <v>-0.1959909591490665</v>
      </c>
      <c r="X6800" s="2">
        <f ca="1"/>
        <v>55.622741755637151</v>
      </c>
      <c r="AG6800" s="2">
        <f ca="1"/>
        <v>0.44929574395979643</v>
      </c>
      <c r="AH6800" s="2" t="str">
        <f ca="1"/>
        <v>Bad</v>
      </c>
    </row>
    <row r="6801" spans="2:34" x14ac:dyDescent="0.2">
      <c r="B6801" s="2">
        <f ca="1"/>
        <v>0.89553227366811905</v>
      </c>
      <c r="O6801" s="2">
        <f ca="1"/>
        <v>-0.92678572194935849</v>
      </c>
      <c r="X6801" s="2">
        <f ca="1"/>
        <v>63.698821019012755</v>
      </c>
      <c r="AG6801" s="2">
        <f ca="1"/>
        <v>0.23413132359420485</v>
      </c>
      <c r="AH6801" s="2" t="str">
        <f ca="1"/>
        <v>OK</v>
      </c>
    </row>
    <row r="6802" spans="2:34" x14ac:dyDescent="0.2">
      <c r="B6802" s="2">
        <f ca="1"/>
        <v>0.10760088931167533</v>
      </c>
      <c r="O6802" s="2">
        <f ca="1"/>
        <v>0.30553185538998112</v>
      </c>
      <c r="X6802" s="2">
        <f ca="1"/>
        <v>47.912810388917094</v>
      </c>
      <c r="AG6802" s="2">
        <f ca="1"/>
        <v>0.17613089538450621</v>
      </c>
      <c r="AH6802" s="2" t="str">
        <f ca="1"/>
        <v>OK</v>
      </c>
    </row>
    <row r="6803" spans="2:34" x14ac:dyDescent="0.2">
      <c r="B6803" s="2">
        <f ca="1"/>
        <v>0.75968874844559275</v>
      </c>
      <c r="O6803" s="2">
        <f ca="1"/>
        <v>-0.18794166141587285</v>
      </c>
      <c r="X6803" s="2">
        <f ca="1"/>
        <v>51.094672673197024</v>
      </c>
      <c r="AG6803" s="2">
        <f ca="1"/>
        <v>1.6399610047753699E-2</v>
      </c>
      <c r="AH6803" s="2" t="str">
        <f ca="1"/>
        <v>Good</v>
      </c>
    </row>
    <row r="6804" spans="2:34" x14ac:dyDescent="0.2">
      <c r="B6804" s="2">
        <f ca="1"/>
        <v>0.56277966694352921</v>
      </c>
      <c r="O6804" s="2">
        <f ca="1"/>
        <v>0.82295005801404841</v>
      </c>
      <c r="X6804" s="2">
        <f ca="1"/>
        <v>71.917468456186327</v>
      </c>
      <c r="AG6804" s="2">
        <f ca="1"/>
        <v>0.47719980004639773</v>
      </c>
      <c r="AH6804" s="2" t="str">
        <f ca="1"/>
        <v>Bad</v>
      </c>
    </row>
    <row r="6805" spans="2:34" x14ac:dyDescent="0.2">
      <c r="B6805" s="2">
        <f ca="1"/>
        <v>0.34668730324375607</v>
      </c>
      <c r="O6805" s="2">
        <f ca="1"/>
        <v>-0.92586646244732673</v>
      </c>
      <c r="X6805" s="2">
        <f ca="1"/>
        <v>74.49532903832214</v>
      </c>
      <c r="AG6805" s="2">
        <f ca="1"/>
        <v>0.29799941490425641</v>
      </c>
      <c r="AH6805" s="2" t="str">
        <f ca="1"/>
        <v>OK</v>
      </c>
    </row>
    <row r="6806" spans="2:34" x14ac:dyDescent="0.2">
      <c r="B6806" s="2">
        <f ca="1"/>
        <v>0.83835190175114516</v>
      </c>
      <c r="O6806" s="2">
        <f ca="1"/>
        <v>-0.72449363208394946</v>
      </c>
      <c r="X6806" s="2">
        <f ca="1"/>
        <v>52.63726744101406</v>
      </c>
      <c r="AG6806" s="2">
        <f ca="1"/>
        <v>0.94540242486518866</v>
      </c>
      <c r="AH6806" s="2" t="str">
        <f ca="1"/>
        <v>Bad</v>
      </c>
    </row>
    <row r="6807" spans="2:34" x14ac:dyDescent="0.2">
      <c r="B6807" s="2">
        <f ca="1"/>
        <v>0.46200993724394346</v>
      </c>
      <c r="O6807" s="2">
        <f ca="1"/>
        <v>0.16683293535486829</v>
      </c>
      <c r="X6807" s="2">
        <f ca="1"/>
        <v>52.695695769286324</v>
      </c>
      <c r="AG6807" s="2">
        <f ca="1"/>
        <v>0.58699820825221893</v>
      </c>
      <c r="AH6807" s="2" t="str">
        <f ca="1"/>
        <v>Bad</v>
      </c>
    </row>
    <row r="6808" spans="2:34" x14ac:dyDescent="0.2">
      <c r="B6808" s="2">
        <f ca="1"/>
        <v>0.49512887187604804</v>
      </c>
      <c r="O6808" s="2">
        <f ca="1"/>
        <v>-0.8222239567747136</v>
      </c>
      <c r="X6808" s="2">
        <f ca="1"/>
        <v>25.064986299754999</v>
      </c>
      <c r="AG6808" s="2">
        <f ca="1"/>
        <v>0.61070086245104704</v>
      </c>
      <c r="AH6808" s="2" t="str">
        <f ca="1"/>
        <v>Bad</v>
      </c>
    </row>
    <row r="6809" spans="2:34" x14ac:dyDescent="0.2">
      <c r="B6809" s="2">
        <f ca="1"/>
        <v>0.85080764758977789</v>
      </c>
      <c r="O6809" s="2">
        <f ca="1"/>
        <v>1.7695672184826043</v>
      </c>
      <c r="X6809" s="2">
        <f ca="1"/>
        <v>56.317008095984143</v>
      </c>
      <c r="AG6809" s="2">
        <f ca="1"/>
        <v>0.53086683328471751</v>
      </c>
      <c r="AH6809" s="2" t="str">
        <f ca="1"/>
        <v>Bad</v>
      </c>
    </row>
    <row r="6810" spans="2:34" x14ac:dyDescent="0.2">
      <c r="B6810" s="2">
        <f ca="1"/>
        <v>0.30101369935587874</v>
      </c>
      <c r="O6810" s="2">
        <f ca="1"/>
        <v>2.9446514915057613E-2</v>
      </c>
      <c r="X6810" s="2">
        <f ca="1"/>
        <v>52.928132660053919</v>
      </c>
      <c r="AG6810" s="2">
        <f ca="1"/>
        <v>0.72399414324713018</v>
      </c>
      <c r="AH6810" s="2" t="str">
        <f ca="1"/>
        <v>Bad</v>
      </c>
    </row>
    <row r="6811" spans="2:34" x14ac:dyDescent="0.2">
      <c r="B6811" s="2">
        <f ca="1"/>
        <v>0.57107966304873914</v>
      </c>
      <c r="O6811" s="2">
        <f ca="1"/>
        <v>0.95574743450124577</v>
      </c>
      <c r="X6811" s="2">
        <f ca="1"/>
        <v>25.686385232405542</v>
      </c>
      <c r="AG6811" s="2">
        <f ca="1"/>
        <v>1.3498587438514065E-2</v>
      </c>
      <c r="AH6811" s="2" t="str">
        <f ca="1"/>
        <v>Good</v>
      </c>
    </row>
    <row r="6812" spans="2:34" x14ac:dyDescent="0.2">
      <c r="B6812" s="2">
        <f ca="1"/>
        <v>5.4416145652349535E-2</v>
      </c>
      <c r="O6812" s="2">
        <f ca="1"/>
        <v>-1.3967263043994536</v>
      </c>
      <c r="X6812" s="2">
        <f ca="1"/>
        <v>58.427806549177305</v>
      </c>
      <c r="AG6812" s="2">
        <f ca="1"/>
        <v>0.26220295547694916</v>
      </c>
      <c r="AH6812" s="2" t="str">
        <f ca="1"/>
        <v>OK</v>
      </c>
    </row>
    <row r="6813" spans="2:34" x14ac:dyDescent="0.2">
      <c r="B6813" s="2">
        <f ca="1"/>
        <v>0.93660126518534126</v>
      </c>
      <c r="O6813" s="2">
        <f ca="1"/>
        <v>1.4372261041379757</v>
      </c>
      <c r="X6813" s="2">
        <f ca="1"/>
        <v>33.505961800629564</v>
      </c>
      <c r="AG6813" s="2">
        <f ca="1"/>
        <v>0.26006122935702569</v>
      </c>
      <c r="AH6813" s="2" t="str">
        <f ca="1"/>
        <v>OK</v>
      </c>
    </row>
    <row r="6814" spans="2:34" x14ac:dyDescent="0.2">
      <c r="B6814" s="2">
        <f ca="1"/>
        <v>0.67448397364089385</v>
      </c>
      <c r="O6814" s="2">
        <f ca="1"/>
        <v>0.47032009804367492</v>
      </c>
      <c r="X6814" s="2">
        <f ca="1"/>
        <v>62.957425754867899</v>
      </c>
      <c r="AG6814" s="2">
        <f ca="1"/>
        <v>0.93364847469950485</v>
      </c>
      <c r="AH6814" s="2" t="str">
        <f ca="1"/>
        <v>Bad</v>
      </c>
    </row>
    <row r="6815" spans="2:34" x14ac:dyDescent="0.2">
      <c r="B6815" s="2">
        <f ca="1"/>
        <v>0.24715353114786609</v>
      </c>
      <c r="O6815" s="2">
        <f ca="1"/>
        <v>-0.15635312511968039</v>
      </c>
      <c r="X6815" s="2">
        <f ca="1"/>
        <v>36.126378299942459</v>
      </c>
      <c r="AG6815" s="2">
        <f ca="1"/>
        <v>0.65408406806813013</v>
      </c>
      <c r="AH6815" s="2" t="str">
        <f ca="1"/>
        <v>Bad</v>
      </c>
    </row>
    <row r="6816" spans="2:34" x14ac:dyDescent="0.2">
      <c r="B6816" s="2">
        <f ca="1"/>
        <v>7.0222229657461499E-2</v>
      </c>
      <c r="O6816" s="2">
        <f ca="1"/>
        <v>-0.31398989160957402</v>
      </c>
      <c r="X6816" s="2">
        <f ca="1"/>
        <v>25.67401136753686</v>
      </c>
      <c r="AG6816" s="2">
        <f ca="1"/>
        <v>0.44834561414456497</v>
      </c>
      <c r="AH6816" s="2" t="str">
        <f ca="1"/>
        <v>Bad</v>
      </c>
    </row>
    <row r="6817" spans="2:34" x14ac:dyDescent="0.2">
      <c r="B6817" s="2">
        <f ca="1"/>
        <v>0.68151892121883972</v>
      </c>
      <c r="O6817" s="2">
        <f ca="1"/>
        <v>0.97414878025285845</v>
      </c>
      <c r="X6817" s="2">
        <f ca="1"/>
        <v>47.721141995369734</v>
      </c>
      <c r="AG6817" s="2">
        <f ca="1"/>
        <v>0.24080264577593447</v>
      </c>
      <c r="AH6817" s="2" t="str">
        <f ca="1"/>
        <v>OK</v>
      </c>
    </row>
    <row r="6818" spans="2:34" x14ac:dyDescent="0.2">
      <c r="B6818" s="2">
        <f ca="1"/>
        <v>0.60302156930392936</v>
      </c>
      <c r="O6818" s="2">
        <f ca="1"/>
        <v>1.2680235752733593</v>
      </c>
      <c r="X6818" s="2">
        <f ca="1"/>
        <v>29.476974349045744</v>
      </c>
      <c r="AG6818" s="2">
        <f ca="1"/>
        <v>0.5406248370928346</v>
      </c>
      <c r="AH6818" s="2" t="str">
        <f ca="1"/>
        <v>Bad</v>
      </c>
    </row>
    <row r="6819" spans="2:34" x14ac:dyDescent="0.2">
      <c r="B6819" s="2">
        <f ca="1"/>
        <v>0.47108829199868452</v>
      </c>
      <c r="O6819" s="2">
        <f ca="1"/>
        <v>1.2168353062046848</v>
      </c>
      <c r="X6819" s="2">
        <f ca="1"/>
        <v>63.498833753766391</v>
      </c>
      <c r="AG6819" s="2">
        <f ca="1"/>
        <v>0.21804402231163911</v>
      </c>
      <c r="AH6819" s="2" t="str">
        <f ca="1"/>
        <v>OK</v>
      </c>
    </row>
    <row r="6820" spans="2:34" x14ac:dyDescent="0.2">
      <c r="B6820" s="2">
        <f ca="1"/>
        <v>0.85104123314627045</v>
      </c>
      <c r="O6820" s="2">
        <f ca="1"/>
        <v>2.9551431165891107E-3</v>
      </c>
      <c r="X6820" s="2">
        <f ca="1"/>
        <v>50.924267675600483</v>
      </c>
      <c r="AG6820" s="2">
        <f ca="1"/>
        <v>0.76456344774484419</v>
      </c>
      <c r="AH6820" s="2" t="str">
        <f ca="1"/>
        <v>Bad</v>
      </c>
    </row>
    <row r="6821" spans="2:34" x14ac:dyDescent="0.2">
      <c r="B6821" s="2">
        <f ca="1"/>
        <v>0.29002321842029932</v>
      </c>
      <c r="O6821" s="2">
        <f ca="1"/>
        <v>7.9164615880216137E-3</v>
      </c>
      <c r="X6821" s="2">
        <f ca="1"/>
        <v>81.067494988751207</v>
      </c>
      <c r="AG6821" s="2">
        <f ca="1"/>
        <v>0.82067555559662875</v>
      </c>
      <c r="AH6821" s="2" t="str">
        <f ca="1"/>
        <v>Bad</v>
      </c>
    </row>
    <row r="6822" spans="2:34" x14ac:dyDescent="0.2">
      <c r="B6822" s="2">
        <f ca="1"/>
        <v>0.28999422538516728</v>
      </c>
      <c r="O6822" s="2">
        <f ca="1"/>
        <v>1.3908383268831754</v>
      </c>
      <c r="X6822" s="2">
        <f ca="1"/>
        <v>59.986935401361883</v>
      </c>
      <c r="AG6822" s="2">
        <f ca="1"/>
        <v>0.23662362512464696</v>
      </c>
      <c r="AH6822" s="2" t="str">
        <f ca="1"/>
        <v>OK</v>
      </c>
    </row>
    <row r="6823" spans="2:34" x14ac:dyDescent="0.2">
      <c r="B6823" s="2">
        <f ca="1"/>
        <v>0.19081558591803538</v>
      </c>
      <c r="O6823" s="2">
        <f ca="1"/>
        <v>1.0144132159405697</v>
      </c>
      <c r="X6823" s="2">
        <f ca="1"/>
        <v>32.92930353371532</v>
      </c>
      <c r="AG6823" s="2">
        <f ca="1"/>
        <v>0.9010070724327397</v>
      </c>
      <c r="AH6823" s="2" t="str">
        <f ca="1"/>
        <v>Bad</v>
      </c>
    </row>
    <row r="6824" spans="2:34" x14ac:dyDescent="0.2">
      <c r="B6824" s="2">
        <f ca="1"/>
        <v>0.92848885591274799</v>
      </c>
      <c r="O6824" s="2">
        <f ca="1"/>
        <v>-1.9100489860211654</v>
      </c>
      <c r="X6824" s="2">
        <f ca="1"/>
        <v>23.873731388971159</v>
      </c>
      <c r="AG6824" s="2">
        <f ca="1"/>
        <v>0.59001042654923386</v>
      </c>
      <c r="AH6824" s="2" t="str">
        <f ca="1"/>
        <v>Bad</v>
      </c>
    </row>
    <row r="6825" spans="2:34" x14ac:dyDescent="0.2">
      <c r="B6825" s="2">
        <f ca="1"/>
        <v>0.62592835637281108</v>
      </c>
      <c r="O6825" s="2">
        <f ca="1"/>
        <v>-0.13119140914718641</v>
      </c>
      <c r="X6825" s="2">
        <f ca="1"/>
        <v>44.905611911172457</v>
      </c>
      <c r="AG6825" s="2">
        <f ca="1"/>
        <v>0.7535282644123229</v>
      </c>
      <c r="AH6825" s="2" t="str">
        <f ca="1"/>
        <v>Bad</v>
      </c>
    </row>
    <row r="6826" spans="2:34" x14ac:dyDescent="0.2">
      <c r="B6826" s="2">
        <f ca="1"/>
        <v>0.94701296896558307</v>
      </c>
      <c r="O6826" s="2">
        <f ca="1"/>
        <v>-1.4021458283946309</v>
      </c>
      <c r="X6826" s="2">
        <f ca="1"/>
        <v>44.65833864086779</v>
      </c>
      <c r="AG6826" s="2">
        <f ca="1"/>
        <v>7.5313966641394892E-3</v>
      </c>
      <c r="AH6826" s="2" t="str">
        <f ca="1"/>
        <v>Good</v>
      </c>
    </row>
    <row r="6827" spans="2:34" x14ac:dyDescent="0.2">
      <c r="B6827" s="2">
        <f ca="1"/>
        <v>0.57319988892850393</v>
      </c>
      <c r="O6827" s="2">
        <f ca="1"/>
        <v>0.76372951773574627</v>
      </c>
      <c r="X6827" s="2">
        <f ca="1"/>
        <v>50.895745062018761</v>
      </c>
      <c r="AG6827" s="2">
        <f ca="1"/>
        <v>0.16580369580726328</v>
      </c>
      <c r="AH6827" s="2" t="str">
        <f ca="1"/>
        <v>OK</v>
      </c>
    </row>
    <row r="6828" spans="2:34" x14ac:dyDescent="0.2">
      <c r="B6828" s="2">
        <f ca="1"/>
        <v>0.2319640720641416</v>
      </c>
      <c r="O6828" s="2">
        <f ca="1"/>
        <v>0.21794417608728159</v>
      </c>
      <c r="X6828" s="2">
        <f ca="1"/>
        <v>51.872872366595601</v>
      </c>
      <c r="AG6828" s="2">
        <f ca="1"/>
        <v>8.911617156533258E-2</v>
      </c>
      <c r="AH6828" s="2" t="str">
        <f ca="1"/>
        <v>OK</v>
      </c>
    </row>
    <row r="6829" spans="2:34" x14ac:dyDescent="0.2">
      <c r="B6829" s="2">
        <f ca="1"/>
        <v>5.1262936492012079E-2</v>
      </c>
      <c r="O6829" s="2">
        <f ca="1"/>
        <v>-0.89286027640699739</v>
      </c>
      <c r="X6829" s="2">
        <f ca="1"/>
        <v>37.405181583668877</v>
      </c>
      <c r="AG6829" s="2">
        <f ca="1"/>
        <v>0.55417723756414872</v>
      </c>
      <c r="AH6829" s="2" t="str">
        <f ca="1"/>
        <v>Bad</v>
      </c>
    </row>
    <row r="6830" spans="2:34" x14ac:dyDescent="0.2">
      <c r="B6830" s="2">
        <f ca="1"/>
        <v>0.1660363102887088</v>
      </c>
      <c r="O6830" s="2">
        <f ca="1"/>
        <v>0.87650327195411815</v>
      </c>
      <c r="X6830" s="2">
        <f ca="1"/>
        <v>71.441430223663588</v>
      </c>
      <c r="AG6830" s="2">
        <f ca="1"/>
        <v>0.8210069986670987</v>
      </c>
      <c r="AH6830" s="2" t="str">
        <f ca="1"/>
        <v>Bad</v>
      </c>
    </row>
    <row r="6831" spans="2:34" x14ac:dyDescent="0.2">
      <c r="B6831" s="2">
        <f ca="1"/>
        <v>0.6796382174546669</v>
      </c>
      <c r="O6831" s="2">
        <f ca="1"/>
        <v>1.4404158963077487</v>
      </c>
      <c r="X6831" s="2">
        <f ca="1"/>
        <v>64.792986114505965</v>
      </c>
      <c r="AG6831" s="2">
        <f ca="1"/>
        <v>0.90177254528919115</v>
      </c>
      <c r="AH6831" s="2" t="str">
        <f ca="1"/>
        <v>Bad</v>
      </c>
    </row>
    <row r="6832" spans="2:34" x14ac:dyDescent="0.2">
      <c r="B6832" s="2">
        <f ca="1"/>
        <v>0.71981630828085308</v>
      </c>
      <c r="O6832" s="2">
        <f ca="1"/>
        <v>1.0218592783622324</v>
      </c>
      <c r="X6832" s="2">
        <f ca="1"/>
        <v>45.900733686993156</v>
      </c>
      <c r="AG6832" s="2">
        <f ca="1"/>
        <v>0.51845540431584514</v>
      </c>
      <c r="AH6832" s="2" t="str">
        <f ca="1"/>
        <v>Bad</v>
      </c>
    </row>
    <row r="6833" spans="2:34" x14ac:dyDescent="0.2">
      <c r="B6833" s="2">
        <f ca="1"/>
        <v>0.70013148490128763</v>
      </c>
      <c r="O6833" s="2">
        <f ca="1"/>
        <v>-0.99947246016228353</v>
      </c>
      <c r="X6833" s="2">
        <f ca="1"/>
        <v>38.174255548341272</v>
      </c>
      <c r="AG6833" s="2">
        <f ca="1"/>
        <v>0.63964722214531089</v>
      </c>
      <c r="AH6833" s="2" t="str">
        <f ca="1"/>
        <v>Bad</v>
      </c>
    </row>
    <row r="6834" spans="2:34" x14ac:dyDescent="0.2">
      <c r="B6834" s="2">
        <f ca="1"/>
        <v>0.72273185077506796</v>
      </c>
      <c r="O6834" s="2">
        <f ca="1"/>
        <v>0.64004593976520174</v>
      </c>
      <c r="X6834" s="2">
        <f ca="1"/>
        <v>81.238338088411496</v>
      </c>
      <c r="AG6834" s="2">
        <f ca="1"/>
        <v>0.11427443558801409</v>
      </c>
      <c r="AH6834" s="2" t="str">
        <f ca="1"/>
        <v>OK</v>
      </c>
    </row>
    <row r="6835" spans="2:34" x14ac:dyDescent="0.2">
      <c r="B6835" s="2">
        <f ca="1"/>
        <v>0.49985352404861305</v>
      </c>
      <c r="O6835" s="2">
        <f ca="1"/>
        <v>1.1830134974764624E-2</v>
      </c>
      <c r="X6835" s="2">
        <f ca="1"/>
        <v>76.378036532684803</v>
      </c>
      <c r="AG6835" s="2">
        <f ca="1"/>
        <v>0.8744968111514615</v>
      </c>
      <c r="AH6835" s="2" t="str">
        <f ca="1"/>
        <v>Bad</v>
      </c>
    </row>
    <row r="6836" spans="2:34" x14ac:dyDescent="0.2">
      <c r="B6836" s="2">
        <f ca="1"/>
        <v>0.17829457050764574</v>
      </c>
      <c r="O6836" s="2">
        <f ca="1"/>
        <v>0.11272515812649035</v>
      </c>
      <c r="X6836" s="2">
        <f ca="1"/>
        <v>33.946362048119141</v>
      </c>
      <c r="AG6836" s="2">
        <f ca="1"/>
        <v>0.41208814837884122</v>
      </c>
      <c r="AH6836" s="2" t="str">
        <f ca="1"/>
        <v>Bad</v>
      </c>
    </row>
    <row r="6837" spans="2:34" x14ac:dyDescent="0.2">
      <c r="B6837" s="2">
        <f ca="1"/>
        <v>0.39203534000119888</v>
      </c>
      <c r="O6837" s="2">
        <f ca="1"/>
        <v>0.16377698925429673</v>
      </c>
      <c r="X6837" s="2">
        <f ca="1"/>
        <v>59.52322964368318</v>
      </c>
      <c r="AG6837" s="2">
        <f ca="1"/>
        <v>0.74297189549650389</v>
      </c>
      <c r="AH6837" s="2" t="str">
        <f ca="1"/>
        <v>Bad</v>
      </c>
    </row>
    <row r="6838" spans="2:34" x14ac:dyDescent="0.2">
      <c r="B6838" s="2">
        <f ca="1"/>
        <v>0.35415666967114778</v>
      </c>
      <c r="O6838" s="2">
        <f ca="1"/>
        <v>-0.44493536451317661</v>
      </c>
      <c r="X6838" s="2">
        <f ca="1"/>
        <v>67.148445827866098</v>
      </c>
      <c r="AG6838" s="2">
        <f ca="1"/>
        <v>0.8258269854779301</v>
      </c>
      <c r="AH6838" s="2" t="str">
        <f ca="1"/>
        <v>Bad</v>
      </c>
    </row>
    <row r="6839" spans="2:34" x14ac:dyDescent="0.2">
      <c r="B6839" s="2">
        <f ca="1"/>
        <v>0.92295270467466861</v>
      </c>
      <c r="O6839" s="2">
        <f ca="1"/>
        <v>0.73347714289006793</v>
      </c>
      <c r="X6839" s="2">
        <f ca="1"/>
        <v>36.1959771472753</v>
      </c>
      <c r="AG6839" s="2">
        <f ca="1"/>
        <v>0.77531950282857376</v>
      </c>
      <c r="AH6839" s="2" t="str">
        <f ca="1"/>
        <v>Bad</v>
      </c>
    </row>
    <row r="6840" spans="2:34" x14ac:dyDescent="0.2">
      <c r="B6840" s="2">
        <f ca="1"/>
        <v>0.66074385881120268</v>
      </c>
      <c r="O6840" s="2">
        <f ca="1"/>
        <v>-0.52024470739779427</v>
      </c>
      <c r="X6840" s="2">
        <f ca="1"/>
        <v>49.657697093056079</v>
      </c>
      <c r="AG6840" s="2">
        <f ca="1"/>
        <v>0.45725476858275682</v>
      </c>
      <c r="AH6840" s="2" t="str">
        <f ca="1"/>
        <v>Bad</v>
      </c>
    </row>
    <row r="6841" spans="2:34" x14ac:dyDescent="0.2">
      <c r="B6841" s="2">
        <f ca="1"/>
        <v>8.4227748593485252E-2</v>
      </c>
      <c r="O6841" s="2">
        <f ca="1"/>
        <v>-0.16274293383524255</v>
      </c>
      <c r="X6841" s="2">
        <f ca="1"/>
        <v>63.855116512457464</v>
      </c>
      <c r="AG6841" s="2">
        <f ca="1"/>
        <v>0.11954895350954842</v>
      </c>
      <c r="AH6841" s="2" t="str">
        <f ca="1"/>
        <v>OK</v>
      </c>
    </row>
    <row r="6842" spans="2:34" x14ac:dyDescent="0.2">
      <c r="B6842" s="2">
        <f ca="1"/>
        <v>0.9461966504188839</v>
      </c>
      <c r="O6842" s="2">
        <f ca="1"/>
        <v>-0.72899651169846202</v>
      </c>
      <c r="X6842" s="2">
        <f ca="1"/>
        <v>74.216572348009009</v>
      </c>
      <c r="AG6842" s="2">
        <f ca="1"/>
        <v>0.58404609667228491</v>
      </c>
      <c r="AH6842" s="2" t="str">
        <f ca="1"/>
        <v>Bad</v>
      </c>
    </row>
    <row r="6843" spans="2:34" x14ac:dyDescent="0.2">
      <c r="B6843" s="2">
        <f ca="1"/>
        <v>9.8976076311653616E-2</v>
      </c>
      <c r="O6843" s="2">
        <f ca="1"/>
        <v>-0.83975804931733844</v>
      </c>
      <c r="X6843" s="2">
        <f ca="1"/>
        <v>25.200721132244574</v>
      </c>
      <c r="AG6843" s="2">
        <f ca="1"/>
        <v>0.16134297196002412</v>
      </c>
      <c r="AH6843" s="2" t="str">
        <f ca="1"/>
        <v>OK</v>
      </c>
    </row>
    <row r="6844" spans="2:34" x14ac:dyDescent="0.2">
      <c r="B6844" s="2">
        <f ca="1"/>
        <v>0.37361387036404525</v>
      </c>
      <c r="O6844" s="2">
        <f ca="1"/>
        <v>0.68042668638509762</v>
      </c>
      <c r="X6844" s="2">
        <f ca="1"/>
        <v>53.195071548952299</v>
      </c>
      <c r="AG6844" s="2">
        <f ca="1"/>
        <v>0.45535924593395261</v>
      </c>
      <c r="AH6844" s="2" t="str">
        <f ca="1"/>
        <v>Bad</v>
      </c>
    </row>
    <row r="6845" spans="2:34" x14ac:dyDescent="0.2">
      <c r="B6845" s="2">
        <f ca="1"/>
        <v>0.3706184137210502</v>
      </c>
      <c r="O6845" s="2">
        <f ca="1"/>
        <v>0.57254147493008845</v>
      </c>
      <c r="X6845" s="2">
        <f ca="1"/>
        <v>55.732826812810771</v>
      </c>
      <c r="AG6845" s="2">
        <f ca="1"/>
        <v>0.86382621296720541</v>
      </c>
      <c r="AH6845" s="2" t="str">
        <f ca="1"/>
        <v>Bad</v>
      </c>
    </row>
    <row r="6846" spans="2:34" x14ac:dyDescent="0.2">
      <c r="B6846" s="2">
        <f ca="1"/>
        <v>0.29610263132213555</v>
      </c>
      <c r="O6846" s="2">
        <f ca="1"/>
        <v>-2.7072840601574342</v>
      </c>
      <c r="X6846" s="2">
        <f ca="1"/>
        <v>39.23737895406353</v>
      </c>
      <c r="AG6846" s="2">
        <f ca="1"/>
        <v>0.97960844438004302</v>
      </c>
      <c r="AH6846" s="2" t="str">
        <f ca="1"/>
        <v>Bad</v>
      </c>
    </row>
    <row r="6847" spans="2:34" x14ac:dyDescent="0.2">
      <c r="B6847" s="2">
        <f ca="1"/>
        <v>0.87744350424777529</v>
      </c>
      <c r="O6847" s="2">
        <f ca="1"/>
        <v>-0.45622813802317946</v>
      </c>
      <c r="X6847" s="2">
        <f ca="1"/>
        <v>41.867549897081837</v>
      </c>
      <c r="AG6847" s="2">
        <f ca="1"/>
        <v>0.31285901079565837</v>
      </c>
      <c r="AH6847" s="2" t="str">
        <f ca="1"/>
        <v>OK</v>
      </c>
    </row>
    <row r="6848" spans="2:34" x14ac:dyDescent="0.2">
      <c r="B6848" s="2">
        <f ca="1"/>
        <v>0.15123893050988668</v>
      </c>
      <c r="O6848" s="2">
        <f ca="1"/>
        <v>-0.62822915822186243</v>
      </c>
      <c r="X6848" s="2">
        <f ca="1"/>
        <v>40.162529025747922</v>
      </c>
      <c r="AG6848" s="2">
        <f ca="1"/>
        <v>0.29551268192563995</v>
      </c>
      <c r="AH6848" s="2" t="str">
        <f ca="1"/>
        <v>OK</v>
      </c>
    </row>
    <row r="6849" spans="2:34" x14ac:dyDescent="0.2">
      <c r="B6849" s="2">
        <f ca="1"/>
        <v>8.1979794053966382E-2</v>
      </c>
      <c r="O6849" s="2">
        <f ca="1"/>
        <v>-0.27305726872453806</v>
      </c>
      <c r="X6849" s="2">
        <f ca="1"/>
        <v>23.780395707931884</v>
      </c>
      <c r="AG6849" s="2">
        <f ca="1"/>
        <v>0.49598940446527107</v>
      </c>
      <c r="AH6849" s="2" t="str">
        <f ca="1"/>
        <v>Bad</v>
      </c>
    </row>
    <row r="6850" spans="2:34" x14ac:dyDescent="0.2">
      <c r="B6850" s="2">
        <f ca="1"/>
        <v>0.33200597642490215</v>
      </c>
      <c r="O6850" s="2">
        <f ca="1"/>
        <v>-0.72537613462515849</v>
      </c>
      <c r="X6850" s="2">
        <f ca="1"/>
        <v>47.883494310139014</v>
      </c>
      <c r="AG6850" s="2">
        <f ca="1"/>
        <v>0.85719875468958096</v>
      </c>
      <c r="AH6850" s="2" t="str">
        <f ca="1"/>
        <v>Bad</v>
      </c>
    </row>
    <row r="6851" spans="2:34" x14ac:dyDescent="0.2">
      <c r="B6851" s="2">
        <f ca="1"/>
        <v>0.80905539866627341</v>
      </c>
      <c r="O6851" s="2">
        <f ca="1"/>
        <v>0.74952390195322505</v>
      </c>
      <c r="X6851" s="2">
        <f ca="1"/>
        <v>64.624792044597925</v>
      </c>
      <c r="AG6851" s="2">
        <f ca="1"/>
        <v>0.99032061231430601</v>
      </c>
      <c r="AH6851" s="2" t="str">
        <f ca="1"/>
        <v>Bad</v>
      </c>
    </row>
    <row r="6852" spans="2:34" x14ac:dyDescent="0.2">
      <c r="B6852" s="2">
        <f ca="1"/>
        <v>0.17380199979027156</v>
      </c>
      <c r="O6852" s="2">
        <f ca="1"/>
        <v>0.32968861518064263</v>
      </c>
      <c r="X6852" s="2">
        <f ca="1"/>
        <v>23.563818452401499</v>
      </c>
      <c r="AG6852" s="2">
        <f ca="1"/>
        <v>0.23318227679724335</v>
      </c>
      <c r="AH6852" s="2" t="str">
        <f ca="1"/>
        <v>OK</v>
      </c>
    </row>
    <row r="6853" spans="2:34" x14ac:dyDescent="0.2">
      <c r="B6853" s="2">
        <f ca="1"/>
        <v>9.8348757426711231E-2</v>
      </c>
      <c r="O6853" s="2">
        <f ca="1"/>
        <v>1.7131352493443626</v>
      </c>
      <c r="X6853" s="2">
        <f ca="1"/>
        <v>78.387562334651847</v>
      </c>
      <c r="AG6853" s="2">
        <f ca="1"/>
        <v>0.53483696362085409</v>
      </c>
      <c r="AH6853" s="2" t="str">
        <f ca="1"/>
        <v>Bad</v>
      </c>
    </row>
    <row r="6854" spans="2:34" x14ac:dyDescent="0.2">
      <c r="B6854" s="2">
        <f ca="1"/>
        <v>0.89609722632480326</v>
      </c>
      <c r="O6854" s="2">
        <f ca="1"/>
        <v>-0.1036997220626063</v>
      </c>
      <c r="X6854" s="2">
        <f ca="1"/>
        <v>42.074322563539965</v>
      </c>
      <c r="AG6854" s="2">
        <f ca="1"/>
        <v>0.29326221354106097</v>
      </c>
      <c r="AH6854" s="2" t="str">
        <f ca="1"/>
        <v>OK</v>
      </c>
    </row>
    <row r="6855" spans="2:34" x14ac:dyDescent="0.2">
      <c r="B6855" s="2">
        <f ca="1"/>
        <v>0.47736111244377266</v>
      </c>
      <c r="O6855" s="2">
        <f ca="1"/>
        <v>-0.83472177084297761</v>
      </c>
      <c r="X6855" s="2">
        <f ca="1"/>
        <v>39.086920717085732</v>
      </c>
      <c r="AG6855" s="2">
        <f ca="1"/>
        <v>0.35816085805389064</v>
      </c>
      <c r="AH6855" s="2" t="str">
        <f ca="1"/>
        <v>OK</v>
      </c>
    </row>
    <row r="6856" spans="2:34" x14ac:dyDescent="0.2">
      <c r="B6856" s="2">
        <f ca="1"/>
        <v>0.64401801742217057</v>
      </c>
      <c r="O6856" s="2">
        <f ca="1"/>
        <v>1.7709274835799835</v>
      </c>
      <c r="X6856" s="2">
        <f ca="1"/>
        <v>35.595986783192103</v>
      </c>
      <c r="AG6856" s="2">
        <f ca="1"/>
        <v>0.76922546718759333</v>
      </c>
      <c r="AH6856" s="2" t="str">
        <f ca="1"/>
        <v>Bad</v>
      </c>
    </row>
    <row r="6857" spans="2:34" x14ac:dyDescent="0.2">
      <c r="B6857" s="2">
        <f ca="1"/>
        <v>0.99887035625858522</v>
      </c>
      <c r="O6857" s="2">
        <f ca="1"/>
        <v>0.10424460639186697</v>
      </c>
      <c r="X6857" s="2">
        <f ca="1"/>
        <v>29.482110048267106</v>
      </c>
      <c r="AG6857" s="2">
        <f ca="1"/>
        <v>0.33759212837149799</v>
      </c>
      <c r="AH6857" s="2" t="str">
        <f ca="1"/>
        <v>OK</v>
      </c>
    </row>
    <row r="6858" spans="2:34" x14ac:dyDescent="0.2">
      <c r="B6858" s="2">
        <f ca="1"/>
        <v>0.9689299551317696</v>
      </c>
      <c r="O6858" s="2">
        <f ca="1"/>
        <v>1.1308370233220058</v>
      </c>
      <c r="X6858" s="2">
        <f ca="1"/>
        <v>55.77471320060183</v>
      </c>
      <c r="AG6858" s="2">
        <f ca="1"/>
        <v>0.57313038437488162</v>
      </c>
      <c r="AH6858" s="2" t="str">
        <f ca="1"/>
        <v>Bad</v>
      </c>
    </row>
    <row r="6859" spans="2:34" x14ac:dyDescent="0.2">
      <c r="B6859" s="2">
        <f ca="1"/>
        <v>0.19930150593567575</v>
      </c>
      <c r="O6859" s="2">
        <f ca="1"/>
        <v>0.44875310078150832</v>
      </c>
      <c r="X6859" s="2">
        <f ca="1"/>
        <v>47.220892269692982</v>
      </c>
      <c r="AG6859" s="2">
        <f ca="1"/>
        <v>0.27325486123196918</v>
      </c>
      <c r="AH6859" s="2" t="str">
        <f ca="1"/>
        <v>OK</v>
      </c>
    </row>
    <row r="6860" spans="2:34" x14ac:dyDescent="0.2">
      <c r="B6860" s="2">
        <f ca="1"/>
        <v>0.44051150260882244</v>
      </c>
      <c r="O6860" s="2">
        <f ca="1"/>
        <v>0.43525952791603073</v>
      </c>
      <c r="X6860" s="2">
        <f ca="1"/>
        <v>38.367432849762977</v>
      </c>
      <c r="AG6860" s="2">
        <f ca="1"/>
        <v>0.12996030191998198</v>
      </c>
      <c r="AH6860" s="2" t="str">
        <f ca="1"/>
        <v>OK</v>
      </c>
    </row>
    <row r="6861" spans="2:34" x14ac:dyDescent="0.2">
      <c r="B6861" s="2">
        <f ca="1"/>
        <v>0.77668356494586854</v>
      </c>
      <c r="O6861" s="2">
        <f ca="1"/>
        <v>-2.0427079177110357</v>
      </c>
      <c r="X6861" s="2">
        <f ca="1"/>
        <v>35.24536114445533</v>
      </c>
      <c r="AG6861" s="2">
        <f ca="1"/>
        <v>0.4195129523207406</v>
      </c>
      <c r="AH6861" s="2" t="str">
        <f ca="1"/>
        <v>Bad</v>
      </c>
    </row>
    <row r="6862" spans="2:34" x14ac:dyDescent="0.2">
      <c r="B6862" s="2">
        <f ca="1"/>
        <v>0.19119332034163783</v>
      </c>
      <c r="O6862" s="2">
        <f ca="1"/>
        <v>-0.63694395318282893</v>
      </c>
      <c r="X6862" s="2">
        <f ca="1"/>
        <v>24.156847902965279</v>
      </c>
      <c r="AG6862" s="2">
        <f ca="1"/>
        <v>0.81076324582612647</v>
      </c>
      <c r="AH6862" s="2" t="str">
        <f ca="1"/>
        <v>Bad</v>
      </c>
    </row>
    <row r="6863" spans="2:34" x14ac:dyDescent="0.2">
      <c r="B6863" s="2">
        <f ca="1"/>
        <v>0.65785813224999656</v>
      </c>
      <c r="O6863" s="2">
        <f ca="1"/>
        <v>0.75049286517706681</v>
      </c>
      <c r="X6863" s="2">
        <f ca="1"/>
        <v>32.657794238628334</v>
      </c>
      <c r="AG6863" s="2">
        <f ca="1"/>
        <v>3.5592010023805631E-2</v>
      </c>
      <c r="AH6863" s="2" t="str">
        <f ca="1"/>
        <v>Good</v>
      </c>
    </row>
    <row r="6864" spans="2:34" x14ac:dyDescent="0.2">
      <c r="B6864" s="2">
        <f ca="1"/>
        <v>0.67119809428844701</v>
      </c>
      <c r="O6864" s="2">
        <f ca="1"/>
        <v>-0.66896069600329511</v>
      </c>
      <c r="X6864" s="2">
        <f ca="1"/>
        <v>70.476859902132873</v>
      </c>
      <c r="AG6864" s="2">
        <f ca="1"/>
        <v>0.68231003527546674</v>
      </c>
      <c r="AH6864" s="2" t="str">
        <f ca="1"/>
        <v>Bad</v>
      </c>
    </row>
    <row r="6865" spans="2:34" x14ac:dyDescent="0.2">
      <c r="B6865" s="2">
        <f ca="1"/>
        <v>0.78735110560981414</v>
      </c>
      <c r="O6865" s="2">
        <f ca="1"/>
        <v>0.47750444619864929</v>
      </c>
      <c r="X6865" s="2">
        <f ca="1"/>
        <v>57.251533461663143</v>
      </c>
      <c r="AG6865" s="2">
        <f ca="1"/>
        <v>0.27390678970958171</v>
      </c>
      <c r="AH6865" s="2" t="str">
        <f ca="1"/>
        <v>OK</v>
      </c>
    </row>
    <row r="6866" spans="2:34" x14ac:dyDescent="0.2">
      <c r="B6866" s="2">
        <f ca="1"/>
        <v>7.0892691800750862E-2</v>
      </c>
      <c r="O6866" s="2">
        <f ca="1"/>
        <v>1.0380577936714834</v>
      </c>
      <c r="X6866" s="2">
        <f ca="1"/>
        <v>69.215786358706112</v>
      </c>
      <c r="AG6866" s="2">
        <f ca="1"/>
        <v>0.61288300457693534</v>
      </c>
      <c r="AH6866" s="2" t="str">
        <f ca="1"/>
        <v>Bad</v>
      </c>
    </row>
    <row r="6867" spans="2:34" x14ac:dyDescent="0.2">
      <c r="B6867" s="2">
        <f ca="1"/>
        <v>0.85961006924924144</v>
      </c>
      <c r="O6867" s="2">
        <f ca="1"/>
        <v>6.6042128285363155E-2</v>
      </c>
      <c r="X6867" s="2">
        <f ca="1"/>
        <v>23.677594342756308</v>
      </c>
      <c r="AG6867" s="2">
        <f ca="1"/>
        <v>0.14587755874336961</v>
      </c>
      <c r="AH6867" s="2" t="str">
        <f ca="1"/>
        <v>OK</v>
      </c>
    </row>
    <row r="6868" spans="2:34" x14ac:dyDescent="0.2">
      <c r="B6868" s="2">
        <f ca="1"/>
        <v>0.51792977470946311</v>
      </c>
      <c r="O6868" s="2">
        <f ca="1"/>
        <v>0.62052657004218825</v>
      </c>
      <c r="X6868" s="2">
        <f ca="1"/>
        <v>57.852572949463308</v>
      </c>
      <c r="AG6868" s="2">
        <f ca="1"/>
        <v>0.72532658081147128</v>
      </c>
      <c r="AH6868" s="2" t="str">
        <f ca="1"/>
        <v>Bad</v>
      </c>
    </row>
    <row r="6869" spans="2:34" x14ac:dyDescent="0.2">
      <c r="B6869" s="2">
        <f ca="1"/>
        <v>0.74366955422620307</v>
      </c>
      <c r="O6869" s="2">
        <f ca="1"/>
        <v>0.44503399118279197</v>
      </c>
      <c r="X6869" s="2">
        <f ca="1"/>
        <v>54.577060732351185</v>
      </c>
      <c r="AG6869" s="2">
        <f ca="1"/>
        <v>0.75342095523080599</v>
      </c>
      <c r="AH6869" s="2" t="str">
        <f ca="1"/>
        <v>Bad</v>
      </c>
    </row>
    <row r="6870" spans="2:34" x14ac:dyDescent="0.2">
      <c r="B6870" s="2">
        <f ca="1"/>
        <v>0.6010238391987166</v>
      </c>
      <c r="O6870" s="2">
        <f ca="1"/>
        <v>-0.60087340358625807</v>
      </c>
      <c r="X6870" s="2">
        <f ca="1"/>
        <v>52.747714826844174</v>
      </c>
      <c r="AG6870" s="2">
        <f ca="1"/>
        <v>1.4399858538755916E-2</v>
      </c>
      <c r="AH6870" s="2" t="str">
        <f ca="1"/>
        <v>Good</v>
      </c>
    </row>
    <row r="6871" spans="2:34" x14ac:dyDescent="0.2">
      <c r="B6871" s="2">
        <f ca="1"/>
        <v>0.17519800100221783</v>
      </c>
      <c r="O6871" s="2">
        <f ca="1"/>
        <v>0.17881216316936657</v>
      </c>
      <c r="X6871" s="2">
        <f ca="1"/>
        <v>36.20878961575557</v>
      </c>
      <c r="AG6871" s="2">
        <f ca="1"/>
        <v>0.46124586263551137</v>
      </c>
      <c r="AH6871" s="2" t="str">
        <f ca="1"/>
        <v>Bad</v>
      </c>
    </row>
    <row r="6872" spans="2:34" x14ac:dyDescent="0.2">
      <c r="B6872" s="2">
        <f ca="1"/>
        <v>0.72744441717969144</v>
      </c>
      <c r="O6872" s="2">
        <f ca="1"/>
        <v>-1.6200862399340146</v>
      </c>
      <c r="X6872" s="2">
        <f ca="1"/>
        <v>43.234243762044422</v>
      </c>
      <c r="AG6872" s="2">
        <f ca="1"/>
        <v>0.74945303006579289</v>
      </c>
      <c r="AH6872" s="2" t="str">
        <f ca="1"/>
        <v>Bad</v>
      </c>
    </row>
    <row r="6873" spans="2:34" x14ac:dyDescent="0.2">
      <c r="B6873" s="2">
        <f ca="1"/>
        <v>0.48138431535629955</v>
      </c>
      <c r="O6873" s="2">
        <f ca="1"/>
        <v>-0.99849835220221339</v>
      </c>
      <c r="X6873" s="2">
        <f ca="1"/>
        <v>58.586237115239577</v>
      </c>
      <c r="AG6873" s="2">
        <f ca="1"/>
        <v>0.4914477302924265</v>
      </c>
      <c r="AH6873" s="2" t="str">
        <f ca="1"/>
        <v>Bad</v>
      </c>
    </row>
    <row r="6874" spans="2:34" x14ac:dyDescent="0.2">
      <c r="B6874" s="2">
        <f ca="1"/>
        <v>0.21062958296614598</v>
      </c>
      <c r="O6874" s="2">
        <f ca="1"/>
        <v>1.0589315033198341</v>
      </c>
      <c r="X6874" s="2">
        <f ca="1"/>
        <v>36.072068119713478</v>
      </c>
      <c r="AG6874" s="2">
        <f ca="1"/>
        <v>0.72548118705949438</v>
      </c>
      <c r="AH6874" s="2" t="str">
        <f ca="1"/>
        <v>Bad</v>
      </c>
    </row>
    <row r="6875" spans="2:34" x14ac:dyDescent="0.2">
      <c r="B6875" s="2">
        <f ca="1"/>
        <v>0.50280476288757714</v>
      </c>
      <c r="O6875" s="2">
        <f ca="1"/>
        <v>0.71673638872909173</v>
      </c>
      <c r="X6875" s="2">
        <f ca="1"/>
        <v>90.418828655146712</v>
      </c>
      <c r="AG6875" s="2">
        <f ca="1"/>
        <v>0.16810946886083866</v>
      </c>
      <c r="AH6875" s="2" t="str">
        <f ca="1"/>
        <v>OK</v>
      </c>
    </row>
    <row r="6876" spans="2:34" x14ac:dyDescent="0.2">
      <c r="B6876" s="2">
        <f ca="1"/>
        <v>0.36966385349633457</v>
      </c>
      <c r="O6876" s="2">
        <f ca="1"/>
        <v>-0.8899004093304026</v>
      </c>
      <c r="X6876" s="2">
        <f ca="1"/>
        <v>44.938362699421702</v>
      </c>
      <c r="AG6876" s="2">
        <f ca="1"/>
        <v>0.41576101829348966</v>
      </c>
      <c r="AH6876" s="2" t="str">
        <f ca="1"/>
        <v>Bad</v>
      </c>
    </row>
    <row r="6877" spans="2:34" x14ac:dyDescent="0.2">
      <c r="B6877" s="2">
        <f ca="1"/>
        <v>0.27778441169355927</v>
      </c>
      <c r="O6877" s="2">
        <f ca="1"/>
        <v>-0.38482144567619697</v>
      </c>
      <c r="X6877" s="2">
        <f ca="1"/>
        <v>40.841731951887823</v>
      </c>
      <c r="AG6877" s="2">
        <f ca="1"/>
        <v>0.91311574194508061</v>
      </c>
      <c r="AH6877" s="2" t="str">
        <f ca="1"/>
        <v>Bad</v>
      </c>
    </row>
    <row r="6878" spans="2:34" x14ac:dyDescent="0.2">
      <c r="B6878" s="2">
        <f ca="1"/>
        <v>0.62452009380441975</v>
      </c>
      <c r="O6878" s="2">
        <f ca="1"/>
        <v>7.3398128612985683E-2</v>
      </c>
      <c r="X6878" s="2">
        <f ca="1"/>
        <v>40.635167623676018</v>
      </c>
      <c r="AG6878" s="2">
        <f ca="1"/>
        <v>0.58247272588527021</v>
      </c>
      <c r="AH6878" s="2" t="str">
        <f ca="1"/>
        <v>Bad</v>
      </c>
    </row>
    <row r="6879" spans="2:34" x14ac:dyDescent="0.2">
      <c r="B6879" s="2">
        <f ca="1"/>
        <v>0.1909139161291904</v>
      </c>
      <c r="O6879" s="2">
        <f ca="1"/>
        <v>-0.43994064096340135</v>
      </c>
      <c r="X6879" s="2">
        <f ca="1"/>
        <v>50.652392051974367</v>
      </c>
      <c r="AG6879" s="2">
        <f ca="1"/>
        <v>0.36857975837003343</v>
      </c>
      <c r="AH6879" s="2" t="str">
        <f ca="1"/>
        <v>OK</v>
      </c>
    </row>
    <row r="6880" spans="2:34" x14ac:dyDescent="0.2">
      <c r="B6880" s="2">
        <f ca="1"/>
        <v>0.37301960682091084</v>
      </c>
      <c r="O6880" s="2">
        <f ca="1"/>
        <v>0.63563580681633114</v>
      </c>
      <c r="X6880" s="2">
        <f ca="1"/>
        <v>67.66232985015381</v>
      </c>
      <c r="AG6880" s="2">
        <f ca="1"/>
        <v>0.41099405791144261</v>
      </c>
      <c r="AH6880" s="2" t="str">
        <f ca="1"/>
        <v>Bad</v>
      </c>
    </row>
    <row r="6881" spans="2:34" x14ac:dyDescent="0.2">
      <c r="B6881" s="2">
        <f ca="1"/>
        <v>0.49802108997126182</v>
      </c>
      <c r="O6881" s="2">
        <f ca="1"/>
        <v>-5.0049407368464693E-2</v>
      </c>
      <c r="X6881" s="2">
        <f ca="1"/>
        <v>62.081642067097235</v>
      </c>
      <c r="AG6881" s="2">
        <f ca="1"/>
        <v>0.88646088240058107</v>
      </c>
      <c r="AH6881" s="2" t="str">
        <f ca="1"/>
        <v>Bad</v>
      </c>
    </row>
    <row r="6882" spans="2:34" x14ac:dyDescent="0.2">
      <c r="B6882" s="2">
        <f ca="1"/>
        <v>0.7537974431079133</v>
      </c>
      <c r="O6882" s="2">
        <f ca="1"/>
        <v>-0.82480450338324807</v>
      </c>
      <c r="X6882" s="2">
        <f ca="1"/>
        <v>62.519419967080701</v>
      </c>
      <c r="AG6882" s="2">
        <f ca="1"/>
        <v>0.78512805002305974</v>
      </c>
      <c r="AH6882" s="2" t="str">
        <f ca="1"/>
        <v>Bad</v>
      </c>
    </row>
    <row r="6883" spans="2:34" x14ac:dyDescent="0.2">
      <c r="B6883" s="2">
        <f ca="1"/>
        <v>2.502822373791691E-2</v>
      </c>
      <c r="O6883" s="2">
        <f ca="1"/>
        <v>-0.1015401098763173</v>
      </c>
      <c r="X6883" s="2">
        <f ca="1"/>
        <v>47.981795856401128</v>
      </c>
      <c r="AG6883" s="2">
        <f ca="1"/>
        <v>0.48626301183411114</v>
      </c>
      <c r="AH6883" s="2" t="str">
        <f ca="1"/>
        <v>Bad</v>
      </c>
    </row>
    <row r="6884" spans="2:34" x14ac:dyDescent="0.2">
      <c r="B6884" s="2">
        <f ca="1"/>
        <v>0.90920278450837899</v>
      </c>
      <c r="O6884" s="2">
        <f ca="1"/>
        <v>0.71825019531662537</v>
      </c>
      <c r="X6884" s="2">
        <f ca="1"/>
        <v>43.934143696029338</v>
      </c>
      <c r="AG6884" s="2">
        <f ca="1"/>
        <v>0.65833409629740536</v>
      </c>
      <c r="AH6884" s="2" t="str">
        <f ca="1"/>
        <v>Bad</v>
      </c>
    </row>
    <row r="6885" spans="2:34" x14ac:dyDescent="0.2">
      <c r="B6885" s="2">
        <f ca="1"/>
        <v>0.51992152463158914</v>
      </c>
      <c r="O6885" s="2">
        <f ca="1"/>
        <v>-0.66296510586300417</v>
      </c>
      <c r="X6885" s="2">
        <f ca="1"/>
        <v>41.590426021809805</v>
      </c>
      <c r="AG6885" s="2">
        <f ca="1"/>
        <v>0.86331466343408891</v>
      </c>
      <c r="AH6885" s="2" t="str">
        <f ca="1"/>
        <v>Bad</v>
      </c>
    </row>
    <row r="6886" spans="2:34" x14ac:dyDescent="0.2">
      <c r="B6886" s="2">
        <f ca="1"/>
        <v>0.80461116774879549</v>
      </c>
      <c r="O6886" s="2">
        <f ca="1"/>
        <v>-0.10695085933042743</v>
      </c>
      <c r="X6886" s="2">
        <f ca="1"/>
        <v>34.234825057197561</v>
      </c>
      <c r="AG6886" s="2">
        <f ca="1"/>
        <v>0.51008263873835413</v>
      </c>
      <c r="AH6886" s="2" t="str">
        <f ca="1"/>
        <v>Bad</v>
      </c>
    </row>
    <row r="6887" spans="2:34" x14ac:dyDescent="0.2">
      <c r="B6887" s="2">
        <f ca="1"/>
        <v>0.97548502855543195</v>
      </c>
      <c r="O6887" s="2">
        <f ca="1"/>
        <v>0.31735540704007359</v>
      </c>
      <c r="X6887" s="2">
        <f ca="1"/>
        <v>29.860953775793675</v>
      </c>
      <c r="AG6887" s="2">
        <f ca="1"/>
        <v>0.17776255446466749</v>
      </c>
      <c r="AH6887" s="2" t="str">
        <f ca="1"/>
        <v>OK</v>
      </c>
    </row>
    <row r="6888" spans="2:34" x14ac:dyDescent="0.2">
      <c r="B6888" s="2">
        <f ca="1"/>
        <v>0.88832942105561075</v>
      </c>
      <c r="O6888" s="2">
        <f ca="1"/>
        <v>0.51527045411521799</v>
      </c>
      <c r="X6888" s="2">
        <f ca="1"/>
        <v>59.208023781240257</v>
      </c>
      <c r="AG6888" s="2">
        <f ca="1"/>
        <v>0.43629115735051416</v>
      </c>
      <c r="AH6888" s="2" t="str">
        <f ca="1"/>
        <v>Bad</v>
      </c>
    </row>
    <row r="6889" spans="2:34" x14ac:dyDescent="0.2">
      <c r="B6889" s="2">
        <f ca="1"/>
        <v>0.84037752453043146</v>
      </c>
      <c r="O6889" s="2">
        <f ca="1"/>
        <v>2.5274728363517109</v>
      </c>
      <c r="X6889" s="2">
        <f ca="1"/>
        <v>77.420638028663859</v>
      </c>
      <c r="AG6889" s="2">
        <f ca="1"/>
        <v>0.86003231816935366</v>
      </c>
      <c r="AH6889" s="2" t="str">
        <f ca="1"/>
        <v>Bad</v>
      </c>
    </row>
    <row r="6890" spans="2:34" x14ac:dyDescent="0.2">
      <c r="B6890" s="2">
        <f ca="1"/>
        <v>0.10657492708406324</v>
      </c>
      <c r="O6890" s="2">
        <f ca="1"/>
        <v>-0.54943169905593248</v>
      </c>
      <c r="X6890" s="2">
        <f ca="1"/>
        <v>41.88546029057747</v>
      </c>
      <c r="AG6890" s="2">
        <f ca="1"/>
        <v>0.88019775782610177</v>
      </c>
      <c r="AH6890" s="2" t="str">
        <f ca="1"/>
        <v>Bad</v>
      </c>
    </row>
    <row r="6891" spans="2:34" x14ac:dyDescent="0.2">
      <c r="B6891" s="2">
        <f ca="1"/>
        <v>0.30886846412654267</v>
      </c>
      <c r="O6891" s="2">
        <f ca="1"/>
        <v>0.30673433669599659</v>
      </c>
      <c r="X6891" s="2">
        <f ca="1"/>
        <v>43.442131243335695</v>
      </c>
      <c r="AG6891" s="2">
        <f ca="1"/>
        <v>0.66502435749481736</v>
      </c>
      <c r="AH6891" s="2" t="str">
        <f ca="1"/>
        <v>Bad</v>
      </c>
    </row>
    <row r="6892" spans="2:34" x14ac:dyDescent="0.2">
      <c r="B6892" s="2">
        <f ca="1"/>
        <v>0.32075069828424607</v>
      </c>
      <c r="O6892" s="2">
        <f ca="1"/>
        <v>0.81663901006757744</v>
      </c>
      <c r="X6892" s="2">
        <f ca="1"/>
        <v>42.328520768453551</v>
      </c>
      <c r="AG6892" s="2">
        <f ca="1"/>
        <v>0.64882874179852945</v>
      </c>
      <c r="AH6892" s="2" t="str">
        <f ca="1"/>
        <v>Bad</v>
      </c>
    </row>
    <row r="6893" spans="2:34" x14ac:dyDescent="0.2">
      <c r="B6893" s="2">
        <f ca="1"/>
        <v>0.36735386778590073</v>
      </c>
      <c r="O6893" s="2">
        <f ca="1"/>
        <v>-0.32952178765753531</v>
      </c>
      <c r="X6893" s="2">
        <f ca="1"/>
        <v>57.787771373347056</v>
      </c>
      <c r="AG6893" s="2">
        <f ca="1"/>
        <v>0.76275413832912076</v>
      </c>
      <c r="AH6893" s="2" t="str">
        <f ca="1"/>
        <v>Bad</v>
      </c>
    </row>
    <row r="6894" spans="2:34" x14ac:dyDescent="0.2">
      <c r="B6894" s="2">
        <f ca="1"/>
        <v>0.92013517096777497</v>
      </c>
      <c r="O6894" s="2">
        <f ca="1"/>
        <v>-0.4654019411099361</v>
      </c>
      <c r="X6894" s="2">
        <f ca="1"/>
        <v>81.341163859711386</v>
      </c>
      <c r="AG6894" s="2">
        <f ca="1"/>
        <v>1.5859562354567869E-2</v>
      </c>
      <c r="AH6894" s="2" t="str">
        <f ca="1"/>
        <v>Good</v>
      </c>
    </row>
    <row r="6895" spans="2:34" x14ac:dyDescent="0.2">
      <c r="B6895" s="2">
        <f ca="1"/>
        <v>0.76977976162846473</v>
      </c>
      <c r="O6895" s="2">
        <f ca="1"/>
        <v>0.50938882509976779</v>
      </c>
      <c r="X6895" s="2">
        <f ca="1"/>
        <v>28.870805192721765</v>
      </c>
      <c r="AG6895" s="2">
        <f ca="1"/>
        <v>0.13516196243751777</v>
      </c>
      <c r="AH6895" s="2" t="str">
        <f ca="1"/>
        <v>OK</v>
      </c>
    </row>
    <row r="6896" spans="2:34" x14ac:dyDescent="0.2">
      <c r="B6896" s="2">
        <f ca="1"/>
        <v>0.73730827664678933</v>
      </c>
      <c r="O6896" s="2">
        <f ca="1"/>
        <v>1.1413325516279338</v>
      </c>
      <c r="X6896" s="2">
        <f ca="1"/>
        <v>35.496946104308947</v>
      </c>
      <c r="AG6896" s="2">
        <f ca="1"/>
        <v>0.35049394523834621</v>
      </c>
      <c r="AH6896" s="2" t="str">
        <f ca="1"/>
        <v>OK</v>
      </c>
    </row>
    <row r="6897" spans="2:34" x14ac:dyDescent="0.2">
      <c r="B6897" s="2">
        <f ca="1"/>
        <v>0.89258233829456146</v>
      </c>
      <c r="O6897" s="2">
        <f ca="1"/>
        <v>-1.1441598135335134</v>
      </c>
      <c r="X6897" s="2">
        <f ca="1"/>
        <v>55.552482312968181</v>
      </c>
      <c r="AG6897" s="2">
        <f ca="1"/>
        <v>0.15517293881308891</v>
      </c>
      <c r="AH6897" s="2" t="str">
        <f ca="1"/>
        <v>OK</v>
      </c>
    </row>
    <row r="6898" spans="2:34" x14ac:dyDescent="0.2">
      <c r="B6898" s="2">
        <f ca="1"/>
        <v>0.70131778422859137</v>
      </c>
      <c r="O6898" s="2">
        <f ca="1"/>
        <v>0.31756606054932368</v>
      </c>
      <c r="X6898" s="2">
        <f ca="1"/>
        <v>69.477516533361651</v>
      </c>
      <c r="AG6898" s="2">
        <f ca="1"/>
        <v>0.75587811561085427</v>
      </c>
      <c r="AH6898" s="2" t="str">
        <f ca="1"/>
        <v>Bad</v>
      </c>
    </row>
    <row r="6899" spans="2:34" x14ac:dyDescent="0.2">
      <c r="B6899" s="2">
        <f ca="1"/>
        <v>0.45528140425074093</v>
      </c>
      <c r="O6899" s="2">
        <f ca="1"/>
        <v>1.2759680776930697</v>
      </c>
      <c r="X6899" s="2">
        <f ca="1"/>
        <v>34.380807943388966</v>
      </c>
      <c r="AG6899" s="2">
        <f ca="1"/>
        <v>0.25021731588565466</v>
      </c>
      <c r="AH6899" s="2" t="str">
        <f ca="1"/>
        <v>OK</v>
      </c>
    </row>
    <row r="6900" spans="2:34" x14ac:dyDescent="0.2">
      <c r="B6900" s="2">
        <f ca="1"/>
        <v>0.73460814648641093</v>
      </c>
      <c r="O6900" s="2">
        <f ca="1"/>
        <v>-0.2423433149443639</v>
      </c>
      <c r="X6900" s="2">
        <f ca="1"/>
        <v>46.790194645503611</v>
      </c>
      <c r="AG6900" s="2">
        <f ca="1"/>
        <v>0.36587211189679114</v>
      </c>
      <c r="AH6900" s="2" t="str">
        <f ca="1"/>
        <v>OK</v>
      </c>
    </row>
    <row r="6901" spans="2:34" x14ac:dyDescent="0.2">
      <c r="B6901" s="2">
        <f ca="1"/>
        <v>0.41587569568951488</v>
      </c>
      <c r="O6901" s="2">
        <f ca="1"/>
        <v>0.94943574700527755</v>
      </c>
      <c r="X6901" s="2">
        <f ca="1"/>
        <v>59.260521407908072</v>
      </c>
      <c r="AG6901" s="2">
        <f ca="1"/>
        <v>0.93669085732448587</v>
      </c>
      <c r="AH6901" s="2" t="str">
        <f ca="1"/>
        <v>Bad</v>
      </c>
    </row>
    <row r="6902" spans="2:34" x14ac:dyDescent="0.2">
      <c r="B6902" s="2">
        <f ca="1"/>
        <v>0.36575440961643912</v>
      </c>
      <c r="O6902" s="2">
        <f ca="1"/>
        <v>-0.83627452442510886</v>
      </c>
      <c r="X6902" s="2">
        <f ca="1"/>
        <v>48.195027848786907</v>
      </c>
      <c r="AG6902" s="2">
        <f ca="1"/>
        <v>3.4944565983817233E-2</v>
      </c>
      <c r="AH6902" s="2" t="str">
        <f ca="1"/>
        <v>Good</v>
      </c>
    </row>
    <row r="6903" spans="2:34" x14ac:dyDescent="0.2">
      <c r="B6903" s="2">
        <f ca="1"/>
        <v>0.73285933270968195</v>
      </c>
      <c r="O6903" s="2">
        <f ca="1"/>
        <v>-0.87961395938936759</v>
      </c>
      <c r="X6903" s="2">
        <f ca="1"/>
        <v>70.508815995496576</v>
      </c>
      <c r="AG6903" s="2">
        <f ca="1"/>
        <v>0.89766090150048727</v>
      </c>
      <c r="AH6903" s="2" t="str">
        <f ca="1"/>
        <v>Bad</v>
      </c>
    </row>
    <row r="6904" spans="2:34" x14ac:dyDescent="0.2">
      <c r="B6904" s="2">
        <f ca="1"/>
        <v>0.49839841074490354</v>
      </c>
      <c r="O6904" s="2">
        <f ca="1"/>
        <v>0.86125517252956985</v>
      </c>
      <c r="X6904" s="2">
        <f ca="1"/>
        <v>87.001078884138678</v>
      </c>
      <c r="AG6904" s="2">
        <f ca="1"/>
        <v>0.68277271705261589</v>
      </c>
      <c r="AH6904" s="2" t="str">
        <f ca="1"/>
        <v>Bad</v>
      </c>
    </row>
    <row r="6905" spans="2:34" x14ac:dyDescent="0.2">
      <c r="B6905" s="2">
        <f ca="1"/>
        <v>0.50139154134410457</v>
      </c>
      <c r="O6905" s="2">
        <f ca="1"/>
        <v>0.76923650654080422</v>
      </c>
      <c r="X6905" s="2">
        <f ca="1"/>
        <v>40.410987309656612</v>
      </c>
      <c r="AG6905" s="2">
        <f ca="1"/>
        <v>0.8022728672230548</v>
      </c>
      <c r="AH6905" s="2" t="str">
        <f ca="1"/>
        <v>Bad</v>
      </c>
    </row>
    <row r="6906" spans="2:34" x14ac:dyDescent="0.2">
      <c r="B6906" s="2">
        <f ca="1"/>
        <v>0.95944426237660774</v>
      </c>
      <c r="O6906" s="2">
        <f ca="1"/>
        <v>-1.7760333480550969</v>
      </c>
      <c r="X6906" s="2">
        <f ca="1"/>
        <v>46.180335464078546</v>
      </c>
      <c r="AG6906" s="2">
        <f ca="1"/>
        <v>0.42813869372487656</v>
      </c>
      <c r="AH6906" s="2" t="str">
        <f ca="1"/>
        <v>Bad</v>
      </c>
    </row>
    <row r="6907" spans="2:34" x14ac:dyDescent="0.2">
      <c r="B6907" s="2">
        <f ca="1"/>
        <v>0.78652827518389556</v>
      </c>
      <c r="O6907" s="2">
        <f ca="1"/>
        <v>1.7396752604584111</v>
      </c>
      <c r="X6907" s="2">
        <f ca="1"/>
        <v>53.427089156931309</v>
      </c>
      <c r="AG6907" s="2">
        <f ca="1"/>
        <v>0.56189170619793205</v>
      </c>
      <c r="AH6907" s="2" t="str">
        <f ca="1"/>
        <v>Bad</v>
      </c>
    </row>
    <row r="6908" spans="2:34" x14ac:dyDescent="0.2">
      <c r="B6908" s="2">
        <f ca="1"/>
        <v>0.73752758913451144</v>
      </c>
      <c r="O6908" s="2">
        <f ca="1"/>
        <v>3.9551764020205139E-2</v>
      </c>
      <c r="X6908" s="2">
        <f ca="1"/>
        <v>38.810070655691426</v>
      </c>
      <c r="AG6908" s="2">
        <f ca="1"/>
        <v>0.75080977454025311</v>
      </c>
      <c r="AH6908" s="2" t="str">
        <f ca="1"/>
        <v>Bad</v>
      </c>
    </row>
    <row r="6909" spans="2:34" x14ac:dyDescent="0.2">
      <c r="B6909" s="2">
        <f ca="1"/>
        <v>0.89695592133698021</v>
      </c>
      <c r="O6909" s="2">
        <f ca="1"/>
        <v>0.5409953473003376</v>
      </c>
      <c r="X6909" s="2">
        <f ca="1"/>
        <v>50.569042763131826</v>
      </c>
      <c r="AG6909" s="2">
        <f ca="1"/>
        <v>0.16658419003924219</v>
      </c>
      <c r="AH6909" s="2" t="str">
        <f ca="1"/>
        <v>OK</v>
      </c>
    </row>
    <row r="6910" spans="2:34" x14ac:dyDescent="0.2">
      <c r="B6910" s="2">
        <f ca="1"/>
        <v>0.14888103170749467</v>
      </c>
      <c r="O6910" s="2">
        <f ca="1"/>
        <v>-0.84876098412749434</v>
      </c>
      <c r="X6910" s="2">
        <f ca="1"/>
        <v>65.846938344778167</v>
      </c>
      <c r="AG6910" s="2">
        <f ca="1"/>
        <v>5.5078143882192787E-2</v>
      </c>
      <c r="AH6910" s="2" t="str">
        <f ca="1"/>
        <v>OK</v>
      </c>
    </row>
    <row r="6911" spans="2:34" x14ac:dyDescent="0.2">
      <c r="B6911" s="2">
        <f ca="1"/>
        <v>0.53586934865428493</v>
      </c>
      <c r="O6911" s="2">
        <f ca="1"/>
        <v>-0.16076005305389285</v>
      </c>
      <c r="X6911" s="2">
        <f ca="1"/>
        <v>60.181885358564585</v>
      </c>
      <c r="AG6911" s="2">
        <f ca="1"/>
        <v>0.74588998841879883</v>
      </c>
      <c r="AH6911" s="2" t="str">
        <f ca="1"/>
        <v>Bad</v>
      </c>
    </row>
    <row r="6912" spans="2:34" x14ac:dyDescent="0.2">
      <c r="B6912" s="2">
        <f ca="1"/>
        <v>0.12399189318928516</v>
      </c>
      <c r="O6912" s="2">
        <f ca="1"/>
        <v>-1.3905960501566492E-2</v>
      </c>
      <c r="X6912" s="2">
        <f ca="1"/>
        <v>40.29951654747574</v>
      </c>
      <c r="AG6912" s="2">
        <f ca="1"/>
        <v>0.53258586642070971</v>
      </c>
      <c r="AH6912" s="2" t="str">
        <f ca="1"/>
        <v>Bad</v>
      </c>
    </row>
    <row r="6913" spans="2:34" x14ac:dyDescent="0.2">
      <c r="B6913" s="2">
        <f ca="1"/>
        <v>7.7805434723962286E-2</v>
      </c>
      <c r="O6913" s="2">
        <f ca="1"/>
        <v>-2.3680615290319178</v>
      </c>
      <c r="X6913" s="2">
        <f ca="1"/>
        <v>37.21939051618142</v>
      </c>
      <c r="AG6913" s="2">
        <f ca="1"/>
        <v>0.52285825780651662</v>
      </c>
      <c r="AH6913" s="2" t="str">
        <f ca="1"/>
        <v>Bad</v>
      </c>
    </row>
    <row r="6914" spans="2:34" x14ac:dyDescent="0.2">
      <c r="B6914" s="2">
        <f ca="1"/>
        <v>0.78273606904608517</v>
      </c>
      <c r="O6914" s="2">
        <f ca="1"/>
        <v>-5.8325062322698927E-2</v>
      </c>
      <c r="X6914" s="2">
        <f ca="1"/>
        <v>53.532664676500687</v>
      </c>
      <c r="AG6914" s="2">
        <f ca="1"/>
        <v>0.52518667483402592</v>
      </c>
      <c r="AH6914" s="2" t="str">
        <f ca="1"/>
        <v>Bad</v>
      </c>
    </row>
    <row r="6915" spans="2:34" x14ac:dyDescent="0.2">
      <c r="B6915" s="2">
        <f ca="1"/>
        <v>0.51695607393309695</v>
      </c>
      <c r="O6915" s="2">
        <f ca="1"/>
        <v>0.39516709068030664</v>
      </c>
      <c r="X6915" s="2">
        <f ca="1"/>
        <v>34.187034000983985</v>
      </c>
      <c r="AG6915" s="2">
        <f ca="1"/>
        <v>0.52952112458644507</v>
      </c>
      <c r="AH6915" s="2" t="str">
        <f ca="1"/>
        <v>Bad</v>
      </c>
    </row>
    <row r="6916" spans="2:34" x14ac:dyDescent="0.2">
      <c r="B6916" s="2">
        <f ca="1"/>
        <v>0.62240669555283046</v>
      </c>
      <c r="O6916" s="2">
        <f ca="1"/>
        <v>-2.1321510008804601</v>
      </c>
      <c r="X6916" s="2">
        <f ca="1"/>
        <v>47.425224194958219</v>
      </c>
      <c r="AG6916" s="2">
        <f ca="1"/>
        <v>0.84331068063345782</v>
      </c>
      <c r="AH6916" s="2" t="str">
        <f ca="1"/>
        <v>Bad</v>
      </c>
    </row>
    <row r="6917" spans="2:34" x14ac:dyDescent="0.2">
      <c r="B6917" s="2">
        <f ca="1"/>
        <v>0.47202631996071953</v>
      </c>
      <c r="O6917" s="2">
        <f ca="1"/>
        <v>0.66236931121230003</v>
      </c>
      <c r="X6917" s="2">
        <f ca="1"/>
        <v>48.789254176524835</v>
      </c>
      <c r="AG6917" s="2">
        <f ca="1"/>
        <v>0.74378140532791504</v>
      </c>
      <c r="AH6917" s="2" t="str">
        <f ca="1"/>
        <v>Bad</v>
      </c>
    </row>
    <row r="6918" spans="2:34" x14ac:dyDescent="0.2">
      <c r="B6918" s="2">
        <f ca="1"/>
        <v>0.43705173484151305</v>
      </c>
      <c r="O6918" s="2">
        <f ca="1"/>
        <v>0.90559160441693587</v>
      </c>
      <c r="X6918" s="2">
        <f ca="1"/>
        <v>45.525609015854478</v>
      </c>
      <c r="AG6918" s="2">
        <f ca="1"/>
        <v>0.88541375611161288</v>
      </c>
      <c r="AH6918" s="2" t="str">
        <f ca="1"/>
        <v>Bad</v>
      </c>
    </row>
    <row r="6919" spans="2:34" x14ac:dyDescent="0.2">
      <c r="B6919" s="2">
        <f ca="1"/>
        <v>2.4453466253304024E-2</v>
      </c>
      <c r="O6919" s="2">
        <f ca="1"/>
        <v>0.79677116658360658</v>
      </c>
      <c r="X6919" s="2">
        <f ca="1"/>
        <v>72.017702049294854</v>
      </c>
      <c r="AG6919" s="2">
        <f ca="1"/>
        <v>0.21182029008681247</v>
      </c>
      <c r="AH6919" s="2" t="str">
        <f ca="1"/>
        <v>OK</v>
      </c>
    </row>
    <row r="6920" spans="2:34" x14ac:dyDescent="0.2">
      <c r="B6920" s="2">
        <f ca="1"/>
        <v>7.6697442687041262E-2</v>
      </c>
      <c r="O6920" s="2">
        <f ca="1"/>
        <v>0.2045169937491971</v>
      </c>
      <c r="X6920" s="2">
        <f ca="1"/>
        <v>41.076401004080488</v>
      </c>
      <c r="AG6920" s="2">
        <f ca="1"/>
        <v>0.56121294570215641</v>
      </c>
      <c r="AH6920" s="2" t="str">
        <f ca="1"/>
        <v>Bad</v>
      </c>
    </row>
    <row r="6921" spans="2:34" x14ac:dyDescent="0.2">
      <c r="B6921" s="2">
        <f ca="1"/>
        <v>0.529778677076433</v>
      </c>
      <c r="O6921" s="2">
        <f ca="1"/>
        <v>-0.48702421773937615</v>
      </c>
      <c r="X6921" s="2">
        <f ca="1"/>
        <v>56.670833544360619</v>
      </c>
      <c r="AG6921" s="2">
        <f ca="1"/>
        <v>0.32484461862433345</v>
      </c>
      <c r="AH6921" s="2" t="str">
        <f ca="1"/>
        <v>OK</v>
      </c>
    </row>
    <row r="6922" spans="2:34" x14ac:dyDescent="0.2">
      <c r="B6922" s="2">
        <f ca="1"/>
        <v>0.56775124054771098</v>
      </c>
      <c r="O6922" s="2">
        <f ca="1"/>
        <v>-0.23195563371097774</v>
      </c>
      <c r="X6922" s="2">
        <f ca="1"/>
        <v>50.659605794421616</v>
      </c>
      <c r="AG6922" s="2">
        <f ca="1"/>
        <v>1.3732816278942517E-2</v>
      </c>
      <c r="AH6922" s="2" t="str">
        <f ca="1"/>
        <v>Good</v>
      </c>
    </row>
    <row r="6923" spans="2:34" x14ac:dyDescent="0.2">
      <c r="B6923" s="2">
        <f ca="1"/>
        <v>0.35674874301562465</v>
      </c>
      <c r="O6923" s="2">
        <f ca="1"/>
        <v>0.71021801877855473</v>
      </c>
      <c r="X6923" s="2">
        <f ca="1"/>
        <v>52.767664778413909</v>
      </c>
      <c r="AG6923" s="2">
        <f ca="1"/>
        <v>0.93572284122703198</v>
      </c>
      <c r="AH6923" s="2" t="str">
        <f ca="1"/>
        <v>Bad</v>
      </c>
    </row>
    <row r="6924" spans="2:34" x14ac:dyDescent="0.2">
      <c r="B6924" s="2">
        <f ca="1"/>
        <v>5.0943336041204379E-2</v>
      </c>
      <c r="O6924" s="2">
        <f ca="1"/>
        <v>-6.7954747050984948E-2</v>
      </c>
      <c r="X6924" s="2">
        <f ca="1"/>
        <v>49.974064779478489</v>
      </c>
      <c r="AG6924" s="2">
        <f ca="1"/>
        <v>0.22651457715838497</v>
      </c>
      <c r="AH6924" s="2" t="str">
        <f ca="1"/>
        <v>OK</v>
      </c>
    </row>
    <row r="6925" spans="2:34" x14ac:dyDescent="0.2">
      <c r="B6925" s="2">
        <f ca="1"/>
        <v>0.54719108461116828</v>
      </c>
      <c r="O6925" s="2">
        <f ca="1"/>
        <v>0.38795668905987968</v>
      </c>
      <c r="X6925" s="2">
        <f ca="1"/>
        <v>30.56928780709276</v>
      </c>
      <c r="AG6925" s="2">
        <f ca="1"/>
        <v>0.12540804385693183</v>
      </c>
      <c r="AH6925" s="2" t="str">
        <f ca="1"/>
        <v>OK</v>
      </c>
    </row>
    <row r="6926" spans="2:34" x14ac:dyDescent="0.2">
      <c r="B6926" s="2">
        <f ca="1"/>
        <v>0.25035795035543673</v>
      </c>
      <c r="O6926" s="2">
        <f ca="1"/>
        <v>-0.92068846556641604</v>
      </c>
      <c r="X6926" s="2">
        <f ca="1"/>
        <v>49.154932479616321</v>
      </c>
      <c r="AG6926" s="2">
        <f ca="1"/>
        <v>0.52583542325286392</v>
      </c>
      <c r="AH6926" s="2" t="str">
        <f ca="1"/>
        <v>Bad</v>
      </c>
    </row>
    <row r="6927" spans="2:34" x14ac:dyDescent="0.2">
      <c r="B6927" s="2">
        <f ca="1"/>
        <v>0.4297811061087049</v>
      </c>
      <c r="O6927" s="2">
        <f ca="1"/>
        <v>-1.7624223523965235</v>
      </c>
      <c r="X6927" s="2">
        <f ca="1"/>
        <v>33.320792305625687</v>
      </c>
      <c r="AG6927" s="2">
        <f ca="1"/>
        <v>0.83670533147712534</v>
      </c>
      <c r="AH6927" s="2" t="str">
        <f ca="1"/>
        <v>Bad</v>
      </c>
    </row>
    <row r="6928" spans="2:34" x14ac:dyDescent="0.2">
      <c r="B6928" s="2">
        <f ca="1"/>
        <v>0.21909342679713006</v>
      </c>
      <c r="O6928" s="2">
        <f ca="1"/>
        <v>0.24824723779723054</v>
      </c>
      <c r="X6928" s="2">
        <f ca="1"/>
        <v>54.186007967074907</v>
      </c>
      <c r="AG6928" s="2">
        <f ca="1"/>
        <v>0.14553810240391973</v>
      </c>
      <c r="AH6928" s="2" t="str">
        <f ca="1"/>
        <v>OK</v>
      </c>
    </row>
    <row r="6929" spans="2:34" x14ac:dyDescent="0.2">
      <c r="B6929" s="2">
        <f ca="1"/>
        <v>0.97562235223216787</v>
      </c>
      <c r="O6929" s="2">
        <f ca="1"/>
        <v>-0.32963559478889459</v>
      </c>
      <c r="X6929" s="2">
        <f ca="1"/>
        <v>59.861321669377325</v>
      </c>
      <c r="AG6929" s="2">
        <f ca="1"/>
        <v>0.71024551462764318</v>
      </c>
      <c r="AH6929" s="2" t="str">
        <f ca="1"/>
        <v>Bad</v>
      </c>
    </row>
    <row r="6930" spans="2:34" x14ac:dyDescent="0.2">
      <c r="B6930" s="2">
        <f ca="1"/>
        <v>0.46450130559276315</v>
      </c>
      <c r="O6930" s="2">
        <f ca="1"/>
        <v>4.4174810039641563E-4</v>
      </c>
      <c r="X6930" s="2">
        <f ca="1"/>
        <v>32.050207552637168</v>
      </c>
      <c r="AG6930" s="2">
        <f ca="1"/>
        <v>1.5751618425576819E-2</v>
      </c>
      <c r="AH6930" s="2" t="str">
        <f ca="1"/>
        <v>Good</v>
      </c>
    </row>
    <row r="6931" spans="2:34" x14ac:dyDescent="0.2">
      <c r="B6931" s="2">
        <f ca="1"/>
        <v>0.81080501061414889</v>
      </c>
      <c r="O6931" s="2">
        <f ca="1"/>
        <v>0.20457699928972256</v>
      </c>
      <c r="X6931" s="2">
        <f ca="1"/>
        <v>61.694238940833301</v>
      </c>
      <c r="AG6931" s="2">
        <f ca="1"/>
        <v>0.13167058821583844</v>
      </c>
      <c r="AH6931" s="2" t="str">
        <f ca="1"/>
        <v>OK</v>
      </c>
    </row>
    <row r="6932" spans="2:34" x14ac:dyDescent="0.2">
      <c r="B6932" s="2">
        <f ca="1"/>
        <v>0.76305692222312649</v>
      </c>
      <c r="O6932" s="2">
        <f ca="1"/>
        <v>-0.27149417648464291</v>
      </c>
      <c r="X6932" s="2">
        <f ca="1"/>
        <v>76.342914364656764</v>
      </c>
      <c r="AG6932" s="2">
        <f ca="1"/>
        <v>0.7202746296957061</v>
      </c>
      <c r="AH6932" s="2" t="str">
        <f ca="1"/>
        <v>Bad</v>
      </c>
    </row>
    <row r="6933" spans="2:34" x14ac:dyDescent="0.2">
      <c r="B6933" s="2">
        <f ca="1"/>
        <v>0.19909546993814686</v>
      </c>
      <c r="O6933" s="2">
        <f ca="1"/>
        <v>1.3118782131974323</v>
      </c>
      <c r="X6933" s="2">
        <f ca="1"/>
        <v>28.918328945122106</v>
      </c>
      <c r="AG6933" s="2">
        <f ca="1"/>
        <v>0.14043330168934665</v>
      </c>
      <c r="AH6933" s="2" t="str">
        <f ca="1"/>
        <v>OK</v>
      </c>
    </row>
    <row r="6934" spans="2:34" x14ac:dyDescent="0.2">
      <c r="B6934" s="2">
        <f ca="1"/>
        <v>2.3312012172363783E-2</v>
      </c>
      <c r="O6934" s="2">
        <f ca="1"/>
        <v>1.0426656241263235</v>
      </c>
      <c r="X6934" s="2">
        <f ca="1"/>
        <v>48.111075763106143</v>
      </c>
      <c r="AG6934" s="2">
        <f ca="1"/>
        <v>0.39077531326589465</v>
      </c>
      <c r="AH6934" s="2" t="str">
        <f ca="1"/>
        <v>OK</v>
      </c>
    </row>
    <row r="6935" spans="2:34" x14ac:dyDescent="0.2">
      <c r="B6935" s="2">
        <f ca="1"/>
        <v>0.34662151523114026</v>
      </c>
      <c r="O6935" s="2">
        <f ca="1"/>
        <v>-0.85509397087674222</v>
      </c>
      <c r="X6935" s="2">
        <f ca="1"/>
        <v>49.621580731496984</v>
      </c>
      <c r="AG6935" s="2">
        <f ca="1"/>
        <v>0.92514735925367364</v>
      </c>
      <c r="AH6935" s="2" t="str">
        <f ca="1"/>
        <v>Bad</v>
      </c>
    </row>
    <row r="6936" spans="2:34" x14ac:dyDescent="0.2">
      <c r="B6936" s="2">
        <f ca="1"/>
        <v>0.15425221674414735</v>
      </c>
      <c r="O6936" s="2">
        <f ca="1"/>
        <v>1.0115202521452229</v>
      </c>
      <c r="X6936" s="2">
        <f ca="1"/>
        <v>47.636704011412981</v>
      </c>
      <c r="AG6936" s="2">
        <f ca="1"/>
        <v>0.62256392320041076</v>
      </c>
      <c r="AH6936" s="2" t="str">
        <f ca="1"/>
        <v>Bad</v>
      </c>
    </row>
    <row r="6937" spans="2:34" x14ac:dyDescent="0.2">
      <c r="B6937" s="2">
        <f ca="1"/>
        <v>0.27117438386470538</v>
      </c>
      <c r="O6937" s="2">
        <f ca="1"/>
        <v>1.1955657292702393</v>
      </c>
      <c r="X6937" s="2">
        <f ca="1"/>
        <v>78.610232162018121</v>
      </c>
      <c r="AG6937" s="2">
        <f ca="1"/>
        <v>0.86155264522593389</v>
      </c>
      <c r="AH6937" s="2" t="str">
        <f ca="1"/>
        <v>Bad</v>
      </c>
    </row>
    <row r="6938" spans="2:34" x14ac:dyDescent="0.2">
      <c r="B6938" s="2">
        <f ca="1"/>
        <v>5.0239009204699148E-2</v>
      </c>
      <c r="O6938" s="2">
        <f ca="1"/>
        <v>-1.7563825122209276</v>
      </c>
      <c r="X6938" s="2">
        <f ca="1"/>
        <v>52.763038971716512</v>
      </c>
      <c r="AG6938" s="2">
        <f ca="1"/>
        <v>0.84714846975321501</v>
      </c>
      <c r="AH6938" s="2" t="str">
        <f ca="1"/>
        <v>Bad</v>
      </c>
    </row>
    <row r="6939" spans="2:34" x14ac:dyDescent="0.2">
      <c r="B6939" s="2">
        <f ca="1"/>
        <v>6.0353642688088627E-2</v>
      </c>
      <c r="O6939" s="2">
        <f ca="1"/>
        <v>9.8936423629919223E-2</v>
      </c>
      <c r="X6939" s="2">
        <f ca="1"/>
        <v>61.184536089248908</v>
      </c>
      <c r="AG6939" s="2">
        <f ca="1"/>
        <v>0.2537323250645438</v>
      </c>
      <c r="AH6939" s="2" t="str">
        <f ca="1"/>
        <v>OK</v>
      </c>
    </row>
    <row r="6940" spans="2:34" x14ac:dyDescent="0.2">
      <c r="B6940" s="2">
        <f ca="1"/>
        <v>0.91309900301471303</v>
      </c>
      <c r="O6940" s="2">
        <f ca="1"/>
        <v>5.0986787965019041E-3</v>
      </c>
      <c r="X6940" s="2">
        <f ca="1"/>
        <v>59.972821753289971</v>
      </c>
      <c r="AG6940" s="2">
        <f ca="1"/>
        <v>0.71806700709058324</v>
      </c>
      <c r="AH6940" s="2" t="str">
        <f ca="1"/>
        <v>Bad</v>
      </c>
    </row>
    <row r="6941" spans="2:34" x14ac:dyDescent="0.2">
      <c r="B6941" s="2">
        <f ca="1"/>
        <v>0.31073916416459624</v>
      </c>
      <c r="O6941" s="2">
        <f ca="1"/>
        <v>0.61710570441173118</v>
      </c>
      <c r="X6941" s="2">
        <f ca="1"/>
        <v>46.953577235196065</v>
      </c>
      <c r="AG6941" s="2">
        <f ca="1"/>
        <v>0.7741274101306741</v>
      </c>
      <c r="AH6941" s="2" t="str">
        <f ca="1"/>
        <v>Bad</v>
      </c>
    </row>
    <row r="6942" spans="2:34" x14ac:dyDescent="0.2">
      <c r="B6942" s="2">
        <f ca="1"/>
        <v>0.62593763468068775</v>
      </c>
      <c r="O6942" s="2">
        <f ca="1"/>
        <v>0.96378398532530596</v>
      </c>
      <c r="X6942" s="2">
        <f ca="1"/>
        <v>48.413289685227468</v>
      </c>
      <c r="AG6942" s="2">
        <f ca="1"/>
        <v>0.92265957153921496</v>
      </c>
      <c r="AH6942" s="2" t="str">
        <f ca="1"/>
        <v>Bad</v>
      </c>
    </row>
    <row r="6943" spans="2:34" x14ac:dyDescent="0.2">
      <c r="B6943" s="2">
        <f ca="1"/>
        <v>0.68764903209693151</v>
      </c>
      <c r="O6943" s="2">
        <f ca="1"/>
        <v>1.7643675977478439</v>
      </c>
      <c r="X6943" s="2">
        <f ca="1"/>
        <v>37.235055790354011</v>
      </c>
      <c r="AG6943" s="2">
        <f ca="1"/>
        <v>0.90380852991437544</v>
      </c>
      <c r="AH6943" s="2" t="str">
        <f ca="1"/>
        <v>Bad</v>
      </c>
    </row>
    <row r="6944" spans="2:34" x14ac:dyDescent="0.2">
      <c r="B6944" s="2">
        <f ca="1"/>
        <v>2.4276181914128392E-2</v>
      </c>
      <c r="O6944" s="2">
        <f ca="1"/>
        <v>-1.3883046317904308</v>
      </c>
      <c r="X6944" s="2">
        <f ca="1"/>
        <v>73.741025380726953</v>
      </c>
      <c r="AG6944" s="2">
        <f ca="1"/>
        <v>9.4548528995930248E-3</v>
      </c>
      <c r="AH6944" s="2" t="str">
        <f ca="1"/>
        <v>Good</v>
      </c>
    </row>
    <row r="6945" spans="2:34" x14ac:dyDescent="0.2">
      <c r="B6945" s="2">
        <f ca="1"/>
        <v>0.71407818371734133</v>
      </c>
      <c r="O6945" s="2">
        <f ca="1"/>
        <v>1.0950967312445494</v>
      </c>
      <c r="X6945" s="2">
        <f ca="1"/>
        <v>46.303969666214229</v>
      </c>
      <c r="AG6945" s="2">
        <f ca="1"/>
        <v>0.89696302249930593</v>
      </c>
      <c r="AH6945" s="2" t="str">
        <f ca="1"/>
        <v>Bad</v>
      </c>
    </row>
    <row r="6946" spans="2:34" x14ac:dyDescent="0.2">
      <c r="B6946" s="2">
        <f ca="1"/>
        <v>0.9936953897923011</v>
      </c>
      <c r="O6946" s="2">
        <f ca="1"/>
        <v>0.14955261736853709</v>
      </c>
      <c r="X6946" s="2">
        <f ca="1"/>
        <v>49.244398293801183</v>
      </c>
      <c r="AG6946" s="2">
        <f ca="1"/>
        <v>0.51672197071002657</v>
      </c>
      <c r="AH6946" s="2" t="str">
        <f ca="1"/>
        <v>Bad</v>
      </c>
    </row>
    <row r="6947" spans="2:34" x14ac:dyDescent="0.2">
      <c r="B6947" s="2">
        <f ca="1"/>
        <v>0.88177725538401264</v>
      </c>
      <c r="O6947" s="2">
        <f ca="1"/>
        <v>-0.18773319527265328</v>
      </c>
      <c r="X6947" s="2">
        <f ca="1"/>
        <v>48.249973916590818</v>
      </c>
      <c r="AG6947" s="2">
        <f ca="1"/>
        <v>0.56154286347226967</v>
      </c>
      <c r="AH6947" s="2" t="str">
        <f ca="1"/>
        <v>Bad</v>
      </c>
    </row>
    <row r="6948" spans="2:34" x14ac:dyDescent="0.2">
      <c r="B6948" s="2">
        <f ca="1"/>
        <v>0.98381304910207801</v>
      </c>
      <c r="O6948" s="2">
        <f ca="1"/>
        <v>1.504906714927704</v>
      </c>
      <c r="X6948" s="2">
        <f ca="1"/>
        <v>77.864380072176175</v>
      </c>
      <c r="AG6948" s="2">
        <f ca="1"/>
        <v>0.55986134300064561</v>
      </c>
      <c r="AH6948" s="2" t="str">
        <f ca="1"/>
        <v>Bad</v>
      </c>
    </row>
    <row r="6949" spans="2:34" x14ac:dyDescent="0.2">
      <c r="B6949" s="2">
        <f ca="1"/>
        <v>0.85967816002992303</v>
      </c>
      <c r="O6949" s="2">
        <f ca="1"/>
        <v>0.53220664638422743</v>
      </c>
      <c r="X6949" s="2">
        <f ca="1"/>
        <v>98.408605671159094</v>
      </c>
      <c r="AG6949" s="2">
        <f ca="1"/>
        <v>0.66102923966761207</v>
      </c>
      <c r="AH6949" s="2" t="str">
        <f ca="1"/>
        <v>Bad</v>
      </c>
    </row>
    <row r="6950" spans="2:34" x14ac:dyDescent="0.2">
      <c r="B6950" s="2">
        <f ca="1"/>
        <v>0.59821325073054621</v>
      </c>
      <c r="O6950" s="2">
        <f ca="1"/>
        <v>0.2010916325064675</v>
      </c>
      <c r="X6950" s="2">
        <f ca="1"/>
        <v>23.714544999403259</v>
      </c>
      <c r="AG6950" s="2">
        <f ca="1"/>
        <v>0.51286553254644418</v>
      </c>
      <c r="AH6950" s="2" t="str">
        <f ca="1"/>
        <v>Bad</v>
      </c>
    </row>
    <row r="6951" spans="2:34" x14ac:dyDescent="0.2">
      <c r="B6951" s="2">
        <f ca="1"/>
        <v>0.4207488283392935</v>
      </c>
      <c r="O6951" s="2">
        <f ca="1"/>
        <v>-0.3526285782827896</v>
      </c>
      <c r="X6951" s="2">
        <f ca="1"/>
        <v>61.981564803759561</v>
      </c>
      <c r="AG6951" s="2">
        <f ca="1"/>
        <v>0.24982897386800484</v>
      </c>
      <c r="AH6951" s="2" t="str">
        <f ca="1"/>
        <v>OK</v>
      </c>
    </row>
    <row r="6952" spans="2:34" x14ac:dyDescent="0.2">
      <c r="B6952" s="2">
        <f ca="1"/>
        <v>0.78775024613407352</v>
      </c>
      <c r="O6952" s="2">
        <f ca="1"/>
        <v>-0.29517978621523505</v>
      </c>
      <c r="X6952" s="2">
        <f ca="1"/>
        <v>21.175648830421633</v>
      </c>
      <c r="AG6952" s="2">
        <f ca="1"/>
        <v>0.9607093066563015</v>
      </c>
      <c r="AH6952" s="2" t="str">
        <f ca="1"/>
        <v>Bad</v>
      </c>
    </row>
    <row r="6953" spans="2:34" x14ac:dyDescent="0.2">
      <c r="B6953" s="2">
        <f ca="1"/>
        <v>0.94272259393302771</v>
      </c>
      <c r="O6953" s="2">
        <f ca="1"/>
        <v>-1.2014830688405109</v>
      </c>
      <c r="X6953" s="2">
        <f ca="1"/>
        <v>50.971713322460523</v>
      </c>
      <c r="AG6953" s="2">
        <f ca="1"/>
        <v>0.34889489569058196</v>
      </c>
      <c r="AH6953" s="2" t="str">
        <f ca="1"/>
        <v>OK</v>
      </c>
    </row>
    <row r="6954" spans="2:34" x14ac:dyDescent="0.2">
      <c r="B6954" s="2">
        <f ca="1"/>
        <v>0.75402922994106203</v>
      </c>
      <c r="O6954" s="2">
        <f ca="1"/>
        <v>-1.204247683487339</v>
      </c>
      <c r="X6954" s="2">
        <f ca="1"/>
        <v>34.330951930304529</v>
      </c>
      <c r="AG6954" s="2">
        <f ca="1"/>
        <v>0.50019759463295177</v>
      </c>
      <c r="AH6954" s="2" t="str">
        <f ca="1"/>
        <v>Bad</v>
      </c>
    </row>
    <row r="6955" spans="2:34" x14ac:dyDescent="0.2">
      <c r="B6955" s="2">
        <f ca="1"/>
        <v>0.36186570739220336</v>
      </c>
      <c r="O6955" s="2">
        <f ca="1"/>
        <v>-1.2245116325345065</v>
      </c>
      <c r="X6955" s="2">
        <f ca="1"/>
        <v>32.010718664315327</v>
      </c>
      <c r="AG6955" s="2">
        <f ca="1"/>
        <v>8.5585003159975859E-2</v>
      </c>
      <c r="AH6955" s="2" t="str">
        <f ca="1"/>
        <v>OK</v>
      </c>
    </row>
    <row r="6956" spans="2:34" x14ac:dyDescent="0.2">
      <c r="B6956" s="2">
        <f ca="1"/>
        <v>6.0014750602956024E-2</v>
      </c>
      <c r="O6956" s="2">
        <f ca="1"/>
        <v>3.5323836469284074E-2</v>
      </c>
      <c r="X6956" s="2">
        <f ca="1"/>
        <v>37.464634457167691</v>
      </c>
      <c r="AG6956" s="2">
        <f ca="1"/>
        <v>0.35630635688705881</v>
      </c>
      <c r="AH6956" s="2" t="str">
        <f ca="1"/>
        <v>OK</v>
      </c>
    </row>
    <row r="6957" spans="2:34" x14ac:dyDescent="0.2">
      <c r="B6957" s="2">
        <f ca="1"/>
        <v>0.46794024554198166</v>
      </c>
      <c r="O6957" s="2">
        <f ca="1"/>
        <v>-0.32455517109417642</v>
      </c>
      <c r="X6957" s="2">
        <f ca="1"/>
        <v>47.001962892188907</v>
      </c>
      <c r="AG6957" s="2">
        <f ca="1"/>
        <v>0.70431105788124992</v>
      </c>
      <c r="AH6957" s="2" t="str">
        <f ca="1"/>
        <v>Bad</v>
      </c>
    </row>
    <row r="6958" spans="2:34" x14ac:dyDescent="0.2">
      <c r="B6958" s="2">
        <f ca="1"/>
        <v>0.32210688267700616</v>
      </c>
      <c r="O6958" s="2">
        <f ca="1"/>
        <v>-0.16056137198936316</v>
      </c>
      <c r="X6958" s="2">
        <f ca="1"/>
        <v>52.604616270417338</v>
      </c>
      <c r="AG6958" s="2">
        <f ca="1"/>
        <v>0.54042013935110433</v>
      </c>
      <c r="AH6958" s="2" t="str">
        <f ca="1"/>
        <v>Bad</v>
      </c>
    </row>
    <row r="6959" spans="2:34" x14ac:dyDescent="0.2">
      <c r="B6959" s="2">
        <f ca="1"/>
        <v>8.2193681827902099E-2</v>
      </c>
      <c r="O6959" s="2">
        <f ca="1"/>
        <v>-0.28161890957044383</v>
      </c>
      <c r="X6959" s="2">
        <f ca="1"/>
        <v>42.083023304836999</v>
      </c>
      <c r="AG6959" s="2">
        <f ca="1"/>
        <v>0.90586334969078508</v>
      </c>
      <c r="AH6959" s="2" t="str">
        <f ca="1"/>
        <v>Bad</v>
      </c>
    </row>
    <row r="6960" spans="2:34" x14ac:dyDescent="0.2">
      <c r="B6960" s="2">
        <f ca="1"/>
        <v>0.93863452377239698</v>
      </c>
      <c r="O6960" s="2">
        <f ca="1"/>
        <v>-0.57367886470750329</v>
      </c>
      <c r="X6960" s="2">
        <f ca="1"/>
        <v>67.606513011133458</v>
      </c>
      <c r="AG6960" s="2">
        <f ca="1"/>
        <v>0.98171748137370685</v>
      </c>
      <c r="AH6960" s="2" t="str">
        <f ca="1"/>
        <v>Bad</v>
      </c>
    </row>
    <row r="6961" spans="2:34" x14ac:dyDescent="0.2">
      <c r="B6961" s="2">
        <f ca="1"/>
        <v>0.13978669010068079</v>
      </c>
      <c r="O6961" s="2">
        <f ca="1"/>
        <v>-0.81099843975741082</v>
      </c>
      <c r="X6961" s="2">
        <f ca="1"/>
        <v>56.185360530469907</v>
      </c>
      <c r="AG6961" s="2">
        <f ca="1"/>
        <v>0.28444369344936415</v>
      </c>
      <c r="AH6961" s="2" t="str">
        <f ca="1"/>
        <v>OK</v>
      </c>
    </row>
    <row r="6962" spans="2:34" x14ac:dyDescent="0.2">
      <c r="B6962" s="2">
        <f ca="1"/>
        <v>0.65595509966493193</v>
      </c>
      <c r="O6962" s="2">
        <f ca="1"/>
        <v>-0.72037225931320181</v>
      </c>
      <c r="X6962" s="2">
        <f ca="1"/>
        <v>39.005651687761116</v>
      </c>
      <c r="AG6962" s="2">
        <f ca="1"/>
        <v>0.20125102746979096</v>
      </c>
      <c r="AH6962" s="2" t="str">
        <f ca="1"/>
        <v>OK</v>
      </c>
    </row>
    <row r="6963" spans="2:34" x14ac:dyDescent="0.2">
      <c r="B6963" s="2">
        <f ca="1"/>
        <v>0.52875986876028214</v>
      </c>
      <c r="O6963" s="2">
        <f ca="1"/>
        <v>0.64190922412670004</v>
      </c>
      <c r="X6963" s="2">
        <f ca="1"/>
        <v>29.541910695653137</v>
      </c>
      <c r="AG6963" s="2">
        <f ca="1"/>
        <v>0.41550569125733494</v>
      </c>
      <c r="AH6963" s="2" t="str">
        <f ca="1"/>
        <v>Bad</v>
      </c>
    </row>
    <row r="6964" spans="2:34" x14ac:dyDescent="0.2">
      <c r="B6964" s="2">
        <f ca="1"/>
        <v>0.39319088792345935</v>
      </c>
      <c r="O6964" s="2">
        <f ca="1"/>
        <v>0.44445562335110511</v>
      </c>
      <c r="X6964" s="2">
        <f ca="1"/>
        <v>32.614671504800128</v>
      </c>
      <c r="AG6964" s="2">
        <f ca="1"/>
        <v>0.96592825324130849</v>
      </c>
      <c r="AH6964" s="2" t="str">
        <f ca="1"/>
        <v>Bad</v>
      </c>
    </row>
    <row r="6965" spans="2:34" x14ac:dyDescent="0.2">
      <c r="B6965" s="2">
        <f ca="1"/>
        <v>0.75608852444400387</v>
      </c>
      <c r="O6965" s="2">
        <f ca="1"/>
        <v>-0.72198781239210852</v>
      </c>
      <c r="X6965" s="2">
        <f ca="1"/>
        <v>101.85113948990553</v>
      </c>
      <c r="AG6965" s="2">
        <f ca="1"/>
        <v>0.72393745498661155</v>
      </c>
      <c r="AH6965" s="2" t="str">
        <f ca="1"/>
        <v>Bad</v>
      </c>
    </row>
    <row r="6966" spans="2:34" x14ac:dyDescent="0.2">
      <c r="B6966" s="2">
        <f ca="1"/>
        <v>0.5077639482308034</v>
      </c>
      <c r="O6966" s="2">
        <f ca="1"/>
        <v>0.56262389103694099</v>
      </c>
      <c r="X6966" s="2">
        <f ca="1"/>
        <v>91.263313395367177</v>
      </c>
      <c r="AG6966" s="2">
        <f ca="1"/>
        <v>0.83122766827244243</v>
      </c>
      <c r="AH6966" s="2" t="str">
        <f ca="1"/>
        <v>Bad</v>
      </c>
    </row>
    <row r="6967" spans="2:34" x14ac:dyDescent="0.2">
      <c r="B6967" s="2">
        <f ca="1"/>
        <v>0.88941289154746528</v>
      </c>
      <c r="O6967" s="2">
        <f ca="1"/>
        <v>0.64083930661846322</v>
      </c>
      <c r="X6967" s="2">
        <f ca="1"/>
        <v>49.410875058130166</v>
      </c>
      <c r="AG6967" s="2">
        <f ca="1"/>
        <v>0.66871802182321738</v>
      </c>
      <c r="AH6967" s="2" t="str">
        <f ca="1"/>
        <v>Bad</v>
      </c>
    </row>
    <row r="6968" spans="2:34" x14ac:dyDescent="0.2">
      <c r="B6968" s="2">
        <f ca="1"/>
        <v>0.66586522357227484</v>
      </c>
      <c r="O6968" s="2">
        <f ca="1"/>
        <v>-0.11241354754425448</v>
      </c>
      <c r="X6968" s="2">
        <f ca="1"/>
        <v>42.043943714908636</v>
      </c>
      <c r="AG6968" s="2">
        <f ca="1"/>
        <v>0.62886631441998109</v>
      </c>
      <c r="AH6968" s="2" t="str">
        <f ca="1"/>
        <v>Bad</v>
      </c>
    </row>
    <row r="6969" spans="2:34" x14ac:dyDescent="0.2">
      <c r="B6969" s="2">
        <f ca="1"/>
        <v>0.50402137015872039</v>
      </c>
      <c r="O6969" s="2">
        <f ca="1"/>
        <v>0.21203587653242076</v>
      </c>
      <c r="X6969" s="2">
        <f ca="1"/>
        <v>38.057614904026551</v>
      </c>
      <c r="AG6969" s="2">
        <f ca="1"/>
        <v>0.87972007442436762</v>
      </c>
      <c r="AH6969" s="2" t="str">
        <f ca="1"/>
        <v>Bad</v>
      </c>
    </row>
    <row r="6970" spans="2:34" x14ac:dyDescent="0.2">
      <c r="B6970" s="2">
        <f ca="1"/>
        <v>0.55578616195961206</v>
      </c>
      <c r="O6970" s="2">
        <f ca="1"/>
        <v>-0.4812575715614591</v>
      </c>
      <c r="X6970" s="2">
        <f ca="1"/>
        <v>43.961361580769911</v>
      </c>
      <c r="AG6970" s="2">
        <f ca="1"/>
        <v>1.1403503693327544E-2</v>
      </c>
      <c r="AH6970" s="2" t="str">
        <f ca="1"/>
        <v>Good</v>
      </c>
    </row>
    <row r="6971" spans="2:34" x14ac:dyDescent="0.2">
      <c r="B6971" s="2">
        <f ca="1"/>
        <v>0.78800602935157316</v>
      </c>
      <c r="O6971" s="2">
        <f ca="1"/>
        <v>5.6398161678283668E-2</v>
      </c>
      <c r="X6971" s="2">
        <f ca="1"/>
        <v>61.474157358156745</v>
      </c>
      <c r="AG6971" s="2">
        <f ca="1"/>
        <v>0.47665307961854686</v>
      </c>
      <c r="AH6971" s="2" t="str">
        <f ca="1"/>
        <v>Bad</v>
      </c>
    </row>
    <row r="6972" spans="2:34" x14ac:dyDescent="0.2">
      <c r="B6972" s="2">
        <f ca="1"/>
        <v>0.69248873304814174</v>
      </c>
      <c r="O6972" s="2">
        <f ca="1"/>
        <v>0.86063841302634281</v>
      </c>
      <c r="X6972" s="2">
        <f ca="1"/>
        <v>59.822189084468135</v>
      </c>
      <c r="AG6972" s="2">
        <f ca="1"/>
        <v>0.83410245998784349</v>
      </c>
      <c r="AH6972" s="2" t="str">
        <f ca="1"/>
        <v>Bad</v>
      </c>
    </row>
    <row r="6973" spans="2:34" x14ac:dyDescent="0.2">
      <c r="B6973" s="2">
        <f ca="1"/>
        <v>0.57116996999174208</v>
      </c>
      <c r="O6973" s="2">
        <f ca="1"/>
        <v>0.14778668438113735</v>
      </c>
      <c r="X6973" s="2">
        <f ca="1"/>
        <v>29.232178654967282</v>
      </c>
      <c r="AG6973" s="2">
        <f ca="1"/>
        <v>0.72227478059508932</v>
      </c>
      <c r="AH6973" s="2" t="str">
        <f ca="1"/>
        <v>Bad</v>
      </c>
    </row>
    <row r="6974" spans="2:34" x14ac:dyDescent="0.2">
      <c r="B6974" s="2">
        <f ca="1"/>
        <v>0.75864067433459081</v>
      </c>
      <c r="O6974" s="2">
        <f ca="1"/>
        <v>0.28610001693076992</v>
      </c>
      <c r="X6974" s="2">
        <f ca="1"/>
        <v>55.613651976997943</v>
      </c>
      <c r="AG6974" s="2">
        <f ca="1"/>
        <v>0.24617992336065408</v>
      </c>
      <c r="AH6974" s="2" t="str">
        <f ca="1"/>
        <v>OK</v>
      </c>
    </row>
    <row r="6975" spans="2:34" x14ac:dyDescent="0.2">
      <c r="B6975" s="2">
        <f ca="1"/>
        <v>0.18419476524501643</v>
      </c>
      <c r="O6975" s="2">
        <f ca="1"/>
        <v>-0.73722046780182615</v>
      </c>
      <c r="X6975" s="2">
        <f ca="1"/>
        <v>74.993004654065388</v>
      </c>
      <c r="AG6975" s="2">
        <f ca="1"/>
        <v>0.23083646671887581</v>
      </c>
      <c r="AH6975" s="2" t="str">
        <f ca="1"/>
        <v>OK</v>
      </c>
    </row>
    <row r="6976" spans="2:34" x14ac:dyDescent="0.2">
      <c r="B6976" s="2">
        <f ca="1"/>
        <v>0.83106855090688092</v>
      </c>
      <c r="O6976" s="2">
        <f ca="1"/>
        <v>0.7011593586491115</v>
      </c>
      <c r="X6976" s="2">
        <f ca="1"/>
        <v>40.667543289577701</v>
      </c>
      <c r="AG6976" s="2">
        <f ca="1"/>
        <v>0.58000041419863613</v>
      </c>
      <c r="AH6976" s="2" t="str">
        <f ca="1"/>
        <v>Bad</v>
      </c>
    </row>
    <row r="6977" spans="2:34" x14ac:dyDescent="0.2">
      <c r="B6977" s="2">
        <f ca="1"/>
        <v>3.3324487818064741E-2</v>
      </c>
      <c r="O6977" s="2">
        <f ca="1"/>
        <v>-0.17257050760744494</v>
      </c>
      <c r="X6977" s="2">
        <f ca="1"/>
        <v>37.942397896179699</v>
      </c>
      <c r="AG6977" s="2">
        <f ca="1"/>
        <v>0.35506990495847446</v>
      </c>
      <c r="AH6977" s="2" t="str">
        <f ca="1"/>
        <v>OK</v>
      </c>
    </row>
    <row r="6978" spans="2:34" x14ac:dyDescent="0.2">
      <c r="B6978" s="2">
        <f ca="1"/>
        <v>0.88835481474150479</v>
      </c>
      <c r="O6978" s="2">
        <f ca="1"/>
        <v>0.14022987568550846</v>
      </c>
      <c r="X6978" s="2">
        <f ca="1"/>
        <v>36.050814866864492</v>
      </c>
      <c r="AG6978" s="2">
        <f ca="1"/>
        <v>0.1043093496054317</v>
      </c>
      <c r="AH6978" s="2" t="str">
        <f ca="1"/>
        <v>OK</v>
      </c>
    </row>
    <row r="6979" spans="2:34" x14ac:dyDescent="0.2">
      <c r="B6979" s="2">
        <f ca="1"/>
        <v>0.20031958703439434</v>
      </c>
      <c r="O6979" s="2">
        <f ca="1"/>
        <v>-0.87555461296717896</v>
      </c>
      <c r="X6979" s="2">
        <f ca="1"/>
        <v>28.075308868876448</v>
      </c>
      <c r="AG6979" s="2">
        <f ca="1"/>
        <v>0.60889954152041725</v>
      </c>
      <c r="AH6979" s="2" t="str">
        <f ca="1"/>
        <v>Bad</v>
      </c>
    </row>
    <row r="6980" spans="2:34" x14ac:dyDescent="0.2">
      <c r="B6980" s="2">
        <f ca="1"/>
        <v>0.83994279317196519</v>
      </c>
      <c r="O6980" s="2">
        <f ca="1"/>
        <v>1.5910354499278012</v>
      </c>
      <c r="X6980" s="2">
        <f ca="1"/>
        <v>71.832864929234702</v>
      </c>
      <c r="AG6980" s="2">
        <f ca="1"/>
        <v>0.36199527679140009</v>
      </c>
      <c r="AH6980" s="2" t="str">
        <f ca="1"/>
        <v>OK</v>
      </c>
    </row>
    <row r="6981" spans="2:34" x14ac:dyDescent="0.2">
      <c r="B6981" s="2">
        <f ca="1"/>
        <v>0.3821982165996316</v>
      </c>
      <c r="O6981" s="2">
        <f ca="1"/>
        <v>1.3964961968384044</v>
      </c>
      <c r="X6981" s="2">
        <f ca="1"/>
        <v>48.993883122112855</v>
      </c>
      <c r="AG6981" s="2">
        <f ca="1"/>
        <v>0.39954183821885314</v>
      </c>
      <c r="AH6981" s="2" t="str">
        <f ca="1"/>
        <v>OK</v>
      </c>
    </row>
    <row r="6982" spans="2:34" x14ac:dyDescent="0.2">
      <c r="B6982" s="2">
        <f ca="1"/>
        <v>0.17721735455729659</v>
      </c>
      <c r="O6982" s="2">
        <f ca="1"/>
        <v>-1.3824382483526947</v>
      </c>
      <c r="X6982" s="2">
        <f ca="1"/>
        <v>41.80962781870803</v>
      </c>
      <c r="AG6982" s="2">
        <f ca="1"/>
        <v>0.92899886760318662</v>
      </c>
      <c r="AH6982" s="2" t="str">
        <f ca="1"/>
        <v>Bad</v>
      </c>
    </row>
    <row r="6983" spans="2:34" x14ac:dyDescent="0.2">
      <c r="B6983" s="2">
        <f ca="1"/>
        <v>0.16042776274726611</v>
      </c>
      <c r="O6983" s="2">
        <f ca="1"/>
        <v>0.61991960027295578</v>
      </c>
      <c r="X6983" s="2">
        <f ca="1"/>
        <v>48.226107473843584</v>
      </c>
      <c r="AG6983" s="2">
        <f ca="1"/>
        <v>0.6547727171485187</v>
      </c>
      <c r="AH6983" s="2" t="str">
        <f ca="1"/>
        <v>Bad</v>
      </c>
    </row>
    <row r="6984" spans="2:34" x14ac:dyDescent="0.2">
      <c r="B6984" s="2">
        <f ca="1"/>
        <v>0.79604867883417429</v>
      </c>
      <c r="O6984" s="2">
        <f ca="1"/>
        <v>0.43590863436790028</v>
      </c>
      <c r="X6984" s="2">
        <f ca="1"/>
        <v>64.873413572125614</v>
      </c>
      <c r="AG6984" s="2">
        <f ca="1"/>
        <v>0.21536779568560394</v>
      </c>
      <c r="AH6984" s="2" t="str">
        <f ca="1"/>
        <v>OK</v>
      </c>
    </row>
    <row r="6985" spans="2:34" x14ac:dyDescent="0.2">
      <c r="B6985" s="2">
        <f ca="1"/>
        <v>0.97347741093774998</v>
      </c>
      <c r="O6985" s="2">
        <f ca="1"/>
        <v>2.1562135940888529</v>
      </c>
      <c r="X6985" s="2">
        <f ca="1"/>
        <v>47.843901367886474</v>
      </c>
      <c r="AG6985" s="2">
        <f ca="1"/>
        <v>0.35349892254534998</v>
      </c>
      <c r="AH6985" s="2" t="str">
        <f ca="1"/>
        <v>OK</v>
      </c>
    </row>
    <row r="6986" spans="2:34" x14ac:dyDescent="0.2">
      <c r="B6986" s="2">
        <f ca="1"/>
        <v>0.91051468926804424</v>
      </c>
      <c r="O6986" s="2">
        <f ca="1"/>
        <v>0.54961848590332041</v>
      </c>
      <c r="X6986" s="2">
        <f ca="1"/>
        <v>33.805949107677293</v>
      </c>
      <c r="AG6986" s="2">
        <f ca="1"/>
        <v>0.7640874748981048</v>
      </c>
      <c r="AH6986" s="2" t="str">
        <f ca="1"/>
        <v>Bad</v>
      </c>
    </row>
    <row r="6987" spans="2:34" x14ac:dyDescent="0.2">
      <c r="B6987" s="2">
        <f ca="1"/>
        <v>7.2307761575496565E-2</v>
      </c>
      <c r="O6987" s="2">
        <f ca="1"/>
        <v>0.37063448790019282</v>
      </c>
      <c r="X6987" s="2">
        <f ca="1"/>
        <v>32.88670836867243</v>
      </c>
      <c r="AG6987" s="2">
        <f ca="1"/>
        <v>0.60628710113421547</v>
      </c>
      <c r="AH6987" s="2" t="str">
        <f ca="1"/>
        <v>Bad</v>
      </c>
    </row>
    <row r="6988" spans="2:34" x14ac:dyDescent="0.2">
      <c r="B6988" s="2">
        <f ca="1"/>
        <v>0.73849822415724931</v>
      </c>
      <c r="O6988" s="2">
        <f ca="1"/>
        <v>0.76437148571878732</v>
      </c>
      <c r="X6988" s="2">
        <f ca="1"/>
        <v>24.948792885664322</v>
      </c>
      <c r="AG6988" s="2">
        <f ca="1"/>
        <v>0.32014047219351238</v>
      </c>
      <c r="AH6988" s="2" t="str">
        <f ca="1"/>
        <v>OK</v>
      </c>
    </row>
    <row r="6989" spans="2:34" x14ac:dyDescent="0.2">
      <c r="B6989" s="2">
        <f ca="1"/>
        <v>0.95380848691559805</v>
      </c>
      <c r="O6989" s="2">
        <f ca="1"/>
        <v>-0.46326903995254437</v>
      </c>
      <c r="X6989" s="2">
        <f ca="1"/>
        <v>69.642536654181527</v>
      </c>
      <c r="AG6989" s="2">
        <f ca="1"/>
        <v>0.60398574435500652</v>
      </c>
      <c r="AH6989" s="2" t="str">
        <f ca="1"/>
        <v>Bad</v>
      </c>
    </row>
    <row r="6990" spans="2:34" x14ac:dyDescent="0.2">
      <c r="B6990" s="2">
        <f ca="1"/>
        <v>0.44864949551004329</v>
      </c>
      <c r="O6990" s="2">
        <f ca="1"/>
        <v>0.21025238791815631</v>
      </c>
      <c r="X6990" s="2">
        <f ca="1"/>
        <v>38.940384885125965</v>
      </c>
      <c r="AG6990" s="2">
        <f ca="1"/>
        <v>0.49895500505850388</v>
      </c>
      <c r="AH6990" s="2" t="str">
        <f ca="1"/>
        <v>Bad</v>
      </c>
    </row>
    <row r="6991" spans="2:34" x14ac:dyDescent="0.2">
      <c r="B6991" s="2">
        <f ca="1"/>
        <v>0.26202606120008931</v>
      </c>
      <c r="O6991" s="2">
        <f ca="1"/>
        <v>-0.28751512222773257</v>
      </c>
      <c r="X6991" s="2">
        <f ca="1"/>
        <v>48.051593068110002</v>
      </c>
      <c r="AG6991" s="2">
        <f ca="1"/>
        <v>0.27121001782311871</v>
      </c>
      <c r="AH6991" s="2" t="str">
        <f ca="1"/>
        <v>OK</v>
      </c>
    </row>
    <row r="6992" spans="2:34" x14ac:dyDescent="0.2">
      <c r="B6992" s="2">
        <f ca="1"/>
        <v>0.40750399044680718</v>
      </c>
      <c r="O6992" s="2">
        <f ca="1"/>
        <v>1.3530095914436961</v>
      </c>
      <c r="X6992" s="2">
        <f ca="1"/>
        <v>46.207381334969355</v>
      </c>
      <c r="AG6992" s="2">
        <f ca="1"/>
        <v>0.42920716479583398</v>
      </c>
      <c r="AH6992" s="2" t="str">
        <f ca="1"/>
        <v>Bad</v>
      </c>
    </row>
    <row r="6993" spans="2:34" x14ac:dyDescent="0.2">
      <c r="B6993" s="2">
        <f ca="1"/>
        <v>0.71069211882772398</v>
      </c>
      <c r="O6993" s="2">
        <f ca="1"/>
        <v>0.79388788655201348</v>
      </c>
      <c r="X6993" s="2">
        <f ca="1"/>
        <v>72.74866389486931</v>
      </c>
      <c r="AG6993" s="2">
        <f ca="1"/>
        <v>8.4788374294192614E-2</v>
      </c>
      <c r="AH6993" s="2" t="str">
        <f ca="1"/>
        <v>OK</v>
      </c>
    </row>
    <row r="6994" spans="2:34" x14ac:dyDescent="0.2">
      <c r="B6994" s="2">
        <f ca="1"/>
        <v>0.15402158628671581</v>
      </c>
      <c r="O6994" s="2">
        <f ca="1"/>
        <v>0.87967510476524446</v>
      </c>
      <c r="X6994" s="2">
        <f ca="1"/>
        <v>43.073799495772285</v>
      </c>
      <c r="AG6994" s="2">
        <f ca="1"/>
        <v>0.69431031690346501</v>
      </c>
      <c r="AH6994" s="2" t="str">
        <f ca="1"/>
        <v>Bad</v>
      </c>
    </row>
    <row r="6995" spans="2:34" x14ac:dyDescent="0.2">
      <c r="B6995" s="2">
        <f ca="1"/>
        <v>0.97001526361001411</v>
      </c>
      <c r="O6995" s="2">
        <f ca="1"/>
        <v>-0.6715834925650439</v>
      </c>
      <c r="X6995" s="2">
        <f ca="1"/>
        <v>43.020732212911867</v>
      </c>
      <c r="AG6995" s="2">
        <f ca="1"/>
        <v>0.47418437405467451</v>
      </c>
      <c r="AH6995" s="2" t="str">
        <f ca="1"/>
        <v>Bad</v>
      </c>
    </row>
    <row r="6996" spans="2:34" x14ac:dyDescent="0.2">
      <c r="B6996" s="2">
        <f ca="1"/>
        <v>0.66458260405853364</v>
      </c>
      <c r="O6996" s="2">
        <f ca="1"/>
        <v>0.56495996650922431</v>
      </c>
      <c r="X6996" s="2">
        <f ca="1"/>
        <v>20.010751035532238</v>
      </c>
      <c r="AG6996" s="2">
        <f ca="1"/>
        <v>0.79257963191511838</v>
      </c>
      <c r="AH6996" s="2" t="str">
        <f ca="1"/>
        <v>Bad</v>
      </c>
    </row>
    <row r="6997" spans="2:34" x14ac:dyDescent="0.2">
      <c r="B6997" s="2">
        <f ca="1"/>
        <v>0.21425861326003637</v>
      </c>
      <c r="O6997" s="2">
        <f ca="1"/>
        <v>1.2876210710296714</v>
      </c>
      <c r="X6997" s="2">
        <f ca="1"/>
        <v>80.111573993238324</v>
      </c>
      <c r="AG6997" s="2">
        <f ca="1"/>
        <v>0.74948929548108101</v>
      </c>
      <c r="AH6997" s="2" t="str">
        <f ca="1"/>
        <v>Bad</v>
      </c>
    </row>
    <row r="6998" spans="2:34" x14ac:dyDescent="0.2">
      <c r="B6998" s="2">
        <f ca="1"/>
        <v>5.6946912417594975E-2</v>
      </c>
      <c r="O6998" s="2">
        <f ca="1"/>
        <v>-1.0750750734805381</v>
      </c>
      <c r="X6998" s="2">
        <f ca="1"/>
        <v>53.12639863424824</v>
      </c>
      <c r="AG6998" s="2">
        <f ca="1"/>
        <v>0.37914291770603903</v>
      </c>
      <c r="AH6998" s="2" t="str">
        <f ca="1"/>
        <v>OK</v>
      </c>
    </row>
    <row r="6999" spans="2:34" x14ac:dyDescent="0.2">
      <c r="B6999" s="2">
        <f ca="1"/>
        <v>0.85320629497307721</v>
      </c>
      <c r="O6999" s="2">
        <f ca="1"/>
        <v>0.32136318198943686</v>
      </c>
      <c r="X6999" s="2">
        <f ca="1"/>
        <v>49.52720747815934</v>
      </c>
      <c r="AG6999" s="2">
        <f ca="1"/>
        <v>0.70125498529201802</v>
      </c>
      <c r="AH6999" s="2" t="str">
        <f ca="1"/>
        <v>Bad</v>
      </c>
    </row>
    <row r="7000" spans="2:34" x14ac:dyDescent="0.2">
      <c r="B7000" s="2">
        <f ca="1"/>
        <v>0.94390452122139634</v>
      </c>
      <c r="O7000" s="2">
        <f ca="1"/>
        <v>-0.22304649571395174</v>
      </c>
      <c r="X7000" s="2">
        <f ca="1"/>
        <v>87.435599310727511</v>
      </c>
      <c r="AG7000" s="2">
        <f ca="1"/>
        <v>0.20653859808088026</v>
      </c>
      <c r="AH7000" s="2" t="str">
        <f ca="1"/>
        <v>OK</v>
      </c>
    </row>
    <row r="7001" spans="2:34" x14ac:dyDescent="0.2">
      <c r="B7001" s="2">
        <f ca="1"/>
        <v>0.83813661040688792</v>
      </c>
      <c r="O7001" s="2">
        <f ca="1"/>
        <v>-1.6401892657512027</v>
      </c>
      <c r="X7001" s="2">
        <f ca="1"/>
        <v>79.722893746847447</v>
      </c>
      <c r="AG7001" s="2">
        <f ca="1"/>
        <v>0.69045573923751413</v>
      </c>
      <c r="AH7001" s="2" t="str">
        <f ca="1"/>
        <v>Bad</v>
      </c>
    </row>
    <row r="7002" spans="2:34" x14ac:dyDescent="0.2">
      <c r="B7002" s="2">
        <f ca="1"/>
        <v>5.2742402208703743E-2</v>
      </c>
      <c r="O7002" s="2">
        <f ca="1"/>
        <v>1.6229049722044302E-2</v>
      </c>
      <c r="X7002" s="2">
        <f ca="1"/>
        <v>32.387063520359192</v>
      </c>
      <c r="AG7002" s="2">
        <f ca="1"/>
        <v>0.20597018022067681</v>
      </c>
      <c r="AH7002" s="2" t="str">
        <f ca="1"/>
        <v>OK</v>
      </c>
    </row>
    <row r="7003" spans="2:34" x14ac:dyDescent="0.2">
      <c r="B7003" s="2">
        <f ca="1"/>
        <v>6.6642750833043385E-2</v>
      </c>
      <c r="O7003" s="2">
        <f ca="1"/>
        <v>-0.10136505710813971</v>
      </c>
      <c r="X7003" s="2">
        <f ca="1"/>
        <v>68.141059232365052</v>
      </c>
      <c r="AG7003" s="2">
        <f ca="1"/>
        <v>0.63361176182095091</v>
      </c>
      <c r="AH7003" s="2" t="str">
        <f ca="1"/>
        <v>Bad</v>
      </c>
    </row>
    <row r="7004" spans="2:34" x14ac:dyDescent="0.2">
      <c r="B7004" s="2">
        <f ca="1"/>
        <v>0.89602036986447309</v>
      </c>
      <c r="O7004" s="2">
        <f ca="1"/>
        <v>0.60808799214412723</v>
      </c>
      <c r="X7004" s="2">
        <f ca="1"/>
        <v>34.854664253766458</v>
      </c>
      <c r="AG7004" s="2">
        <f ca="1"/>
        <v>0.56252694689826033</v>
      </c>
      <c r="AH7004" s="2" t="str">
        <f ca="1"/>
        <v>Bad</v>
      </c>
    </row>
    <row r="7005" spans="2:34" x14ac:dyDescent="0.2">
      <c r="B7005" s="2">
        <f ca="1"/>
        <v>0.88244913032296335</v>
      </c>
      <c r="O7005" s="2">
        <f ca="1"/>
        <v>-0.15091487295545553</v>
      </c>
      <c r="X7005" s="2">
        <f ca="1"/>
        <v>51.228727754688336</v>
      </c>
      <c r="AG7005" s="2">
        <f ca="1"/>
        <v>0.66383849360109748</v>
      </c>
      <c r="AH7005" s="2" t="str">
        <f ca="1"/>
        <v>Bad</v>
      </c>
    </row>
    <row r="7006" spans="2:34" x14ac:dyDescent="0.2">
      <c r="B7006" s="2">
        <f ca="1"/>
        <v>0.81092832296460582</v>
      </c>
      <c r="O7006" s="2">
        <f ca="1"/>
        <v>-0.59786853366687587</v>
      </c>
      <c r="X7006" s="2">
        <f ca="1"/>
        <v>47.036334424384989</v>
      </c>
      <c r="AG7006" s="2">
        <f ca="1"/>
        <v>0.71727027518464226</v>
      </c>
      <c r="AH7006" s="2" t="str">
        <f ca="1"/>
        <v>Bad</v>
      </c>
    </row>
    <row r="7007" spans="2:34" x14ac:dyDescent="0.2">
      <c r="B7007" s="2">
        <f ca="1"/>
        <v>0.38192191944288645</v>
      </c>
      <c r="O7007" s="2">
        <f ca="1"/>
        <v>-3.2178306798336005E-2</v>
      </c>
      <c r="X7007" s="2">
        <f ca="1"/>
        <v>44.667185226683237</v>
      </c>
      <c r="AG7007" s="2">
        <f ca="1"/>
        <v>0.93234223647388892</v>
      </c>
      <c r="AH7007" s="2" t="str">
        <f ca="1"/>
        <v>Bad</v>
      </c>
    </row>
    <row r="7008" spans="2:34" x14ac:dyDescent="0.2">
      <c r="B7008" s="2">
        <f ca="1"/>
        <v>2.3580008457770196E-2</v>
      </c>
      <c r="O7008" s="2">
        <f ca="1"/>
        <v>0.82470872435750242</v>
      </c>
      <c r="X7008" s="2">
        <f ca="1"/>
        <v>47.312302920732151</v>
      </c>
      <c r="AG7008" s="2">
        <f ca="1"/>
        <v>3.2921080685540005E-2</v>
      </c>
      <c r="AH7008" s="2" t="str">
        <f ca="1"/>
        <v>Good</v>
      </c>
    </row>
    <row r="7009" spans="2:34" x14ac:dyDescent="0.2">
      <c r="B7009" s="2">
        <f ca="1"/>
        <v>0.35051363217807063</v>
      </c>
      <c r="O7009" s="2">
        <f ca="1"/>
        <v>-0.99015694348117589</v>
      </c>
      <c r="X7009" s="2">
        <f ca="1"/>
        <v>45.160182950735361</v>
      </c>
      <c r="AG7009" s="2">
        <f ca="1"/>
        <v>1.4896127289933059E-2</v>
      </c>
      <c r="AH7009" s="2" t="str">
        <f ca="1"/>
        <v>Good</v>
      </c>
    </row>
    <row r="7010" spans="2:34" x14ac:dyDescent="0.2">
      <c r="B7010" s="2">
        <f ca="1"/>
        <v>5.6118670865237696E-2</v>
      </c>
      <c r="O7010" s="2">
        <f ca="1"/>
        <v>0.53851223994824116</v>
      </c>
      <c r="X7010" s="2">
        <f ca="1"/>
        <v>43.682540227616315</v>
      </c>
      <c r="AG7010" s="2">
        <f ca="1"/>
        <v>0.91369269320045654</v>
      </c>
      <c r="AH7010" s="2" t="str">
        <f ca="1"/>
        <v>Bad</v>
      </c>
    </row>
    <row r="7011" spans="2:34" x14ac:dyDescent="0.2">
      <c r="B7011" s="2">
        <f ca="1"/>
        <v>0.1140047574713865</v>
      </c>
      <c r="O7011" s="2">
        <f ca="1"/>
        <v>1.8184533235737557</v>
      </c>
      <c r="X7011" s="2">
        <f ca="1"/>
        <v>67.775111476389512</v>
      </c>
      <c r="AG7011" s="2">
        <f ca="1"/>
        <v>0.64490674495319134</v>
      </c>
      <c r="AH7011" s="2" t="str">
        <f ca="1"/>
        <v>Bad</v>
      </c>
    </row>
    <row r="7012" spans="2:34" x14ac:dyDescent="0.2">
      <c r="B7012" s="2">
        <f ca="1"/>
        <v>0.10542495050971756</v>
      </c>
      <c r="O7012" s="2">
        <f ca="1"/>
        <v>0.43193399171320956</v>
      </c>
      <c r="X7012" s="2">
        <f ca="1"/>
        <v>80.570807418958537</v>
      </c>
      <c r="AG7012" s="2">
        <f ca="1"/>
        <v>0.95931909353159228</v>
      </c>
      <c r="AH7012" s="2" t="str">
        <f ca="1"/>
        <v>Bad</v>
      </c>
    </row>
    <row r="7013" spans="2:34" x14ac:dyDescent="0.2">
      <c r="B7013" s="2">
        <f ca="1"/>
        <v>0.87277460750017632</v>
      </c>
      <c r="O7013" s="2">
        <f ca="1"/>
        <v>-0.44565335195610295</v>
      </c>
      <c r="X7013" s="2">
        <f ca="1"/>
        <v>40.366247548385687</v>
      </c>
      <c r="AG7013" s="2">
        <f ca="1"/>
        <v>0.48861130724788393</v>
      </c>
      <c r="AH7013" s="2" t="str">
        <f ca="1"/>
        <v>Bad</v>
      </c>
    </row>
    <row r="7014" spans="2:34" x14ac:dyDescent="0.2">
      <c r="B7014" s="2">
        <f ca="1"/>
        <v>0.73307469661932245</v>
      </c>
      <c r="O7014" s="2">
        <f ca="1"/>
        <v>-1.4501734502094734</v>
      </c>
      <c r="X7014" s="2">
        <f ca="1"/>
        <v>57.930281081317112</v>
      </c>
      <c r="AG7014" s="2">
        <f ca="1"/>
        <v>0.88600068268165222</v>
      </c>
      <c r="AH7014" s="2" t="str">
        <f ca="1"/>
        <v>Bad</v>
      </c>
    </row>
    <row r="7015" spans="2:34" x14ac:dyDescent="0.2">
      <c r="B7015" s="2">
        <f ca="1"/>
        <v>0.43620494216989236</v>
      </c>
      <c r="O7015" s="2">
        <f ca="1"/>
        <v>-0.21451134826733742</v>
      </c>
      <c r="X7015" s="2">
        <f ca="1"/>
        <v>68.219997837310146</v>
      </c>
      <c r="AG7015" s="2">
        <f ca="1"/>
        <v>0.68941415430539132</v>
      </c>
      <c r="AH7015" s="2" t="str">
        <f ca="1"/>
        <v>Bad</v>
      </c>
    </row>
    <row r="7016" spans="2:34" x14ac:dyDescent="0.2">
      <c r="B7016" s="2">
        <f ca="1"/>
        <v>0.81297293782025726</v>
      </c>
      <c r="O7016" s="2">
        <f ca="1"/>
        <v>-1.3920040952164663</v>
      </c>
      <c r="X7016" s="2">
        <f ca="1"/>
        <v>52.277702550798146</v>
      </c>
      <c r="AG7016" s="2">
        <f ca="1"/>
        <v>0.66248521658933757</v>
      </c>
      <c r="AH7016" s="2" t="str">
        <f ca="1"/>
        <v>Bad</v>
      </c>
    </row>
    <row r="7017" spans="2:34" x14ac:dyDescent="0.2">
      <c r="B7017" s="2">
        <f ca="1"/>
        <v>0.54191825066226595</v>
      </c>
      <c r="O7017" s="2">
        <f ca="1"/>
        <v>9.7044825588399178E-2</v>
      </c>
      <c r="X7017" s="2">
        <f ca="1"/>
        <v>33.546568688414382</v>
      </c>
      <c r="AG7017" s="2">
        <f ca="1"/>
        <v>0.82930101451535676</v>
      </c>
      <c r="AH7017" s="2" t="str">
        <f ca="1"/>
        <v>Bad</v>
      </c>
    </row>
    <row r="7018" spans="2:34" x14ac:dyDescent="0.2">
      <c r="B7018" s="2">
        <f ca="1"/>
        <v>0.18875684450422137</v>
      </c>
      <c r="O7018" s="2">
        <f ca="1"/>
        <v>-0.18761678303414256</v>
      </c>
      <c r="X7018" s="2">
        <f ca="1"/>
        <v>36.224005074019921</v>
      </c>
      <c r="AG7018" s="2">
        <f ca="1"/>
        <v>0.17753016721893156</v>
      </c>
      <c r="AH7018" s="2" t="str">
        <f ca="1"/>
        <v>OK</v>
      </c>
    </row>
    <row r="7019" spans="2:34" x14ac:dyDescent="0.2">
      <c r="B7019" s="2">
        <f ca="1"/>
        <v>0.62320740414151277</v>
      </c>
      <c r="O7019" s="2">
        <f ca="1"/>
        <v>4.4926953254452645E-2</v>
      </c>
      <c r="X7019" s="2">
        <f ca="1"/>
        <v>75.453936182926114</v>
      </c>
      <c r="AG7019" s="2">
        <f ca="1"/>
        <v>0.77705179510510725</v>
      </c>
      <c r="AH7019" s="2" t="str">
        <f ca="1"/>
        <v>Bad</v>
      </c>
    </row>
    <row r="7020" spans="2:34" x14ac:dyDescent="0.2">
      <c r="B7020" s="2">
        <f ca="1"/>
        <v>0.43509011506550421</v>
      </c>
      <c r="O7020" s="2">
        <f ca="1"/>
        <v>0.78232811407262171</v>
      </c>
      <c r="X7020" s="2">
        <f ca="1"/>
        <v>65.409630778362114</v>
      </c>
      <c r="AG7020" s="2">
        <f ca="1"/>
        <v>0.98716367553099715</v>
      </c>
      <c r="AH7020" s="2" t="str">
        <f ca="1"/>
        <v>Bad</v>
      </c>
    </row>
    <row r="7021" spans="2:34" x14ac:dyDescent="0.2">
      <c r="B7021" s="2">
        <f ca="1"/>
        <v>0.91028050398283211</v>
      </c>
      <c r="O7021" s="2">
        <f ca="1"/>
        <v>-0.91283579096291989</v>
      </c>
      <c r="X7021" s="2">
        <f ca="1"/>
        <v>56.931135361162077</v>
      </c>
      <c r="AG7021" s="2">
        <f ca="1"/>
        <v>0.17545552286837207</v>
      </c>
      <c r="AH7021" s="2" t="str">
        <f ca="1"/>
        <v>OK</v>
      </c>
    </row>
    <row r="7022" spans="2:34" x14ac:dyDescent="0.2">
      <c r="B7022" s="2">
        <f ca="1"/>
        <v>0.5276718463322787</v>
      </c>
      <c r="O7022" s="2">
        <f ca="1"/>
        <v>0.58854574965140616</v>
      </c>
      <c r="X7022" s="2">
        <f ca="1"/>
        <v>31.20505903497218</v>
      </c>
      <c r="AG7022" s="2">
        <f ca="1"/>
        <v>0.23784725970310849</v>
      </c>
      <c r="AH7022" s="2" t="str">
        <f ca="1"/>
        <v>OK</v>
      </c>
    </row>
    <row r="7023" spans="2:34" x14ac:dyDescent="0.2">
      <c r="B7023" s="2">
        <f ca="1"/>
        <v>0.74562080733835878</v>
      </c>
      <c r="O7023" s="2">
        <f ca="1"/>
        <v>-2.0213795935419241</v>
      </c>
      <c r="X7023" s="2">
        <f ca="1"/>
        <v>128.7983239562227</v>
      </c>
      <c r="AG7023" s="2">
        <f ca="1"/>
        <v>0.27104786535192238</v>
      </c>
      <c r="AH7023" s="2" t="str">
        <f ca="1"/>
        <v>OK</v>
      </c>
    </row>
    <row r="7024" spans="2:34" x14ac:dyDescent="0.2">
      <c r="B7024" s="2">
        <f ca="1"/>
        <v>0.27149462683113224</v>
      </c>
      <c r="O7024" s="2">
        <f ca="1"/>
        <v>-0.57097282046438191</v>
      </c>
      <c r="X7024" s="2">
        <f ca="1"/>
        <v>82.270945422182692</v>
      </c>
      <c r="AG7024" s="2">
        <f ca="1"/>
        <v>9.8639642818152629E-2</v>
      </c>
      <c r="AH7024" s="2" t="str">
        <f ca="1"/>
        <v>OK</v>
      </c>
    </row>
    <row r="7025" spans="2:34" x14ac:dyDescent="0.2">
      <c r="B7025" s="2">
        <f ca="1"/>
        <v>0.81776557399206906</v>
      </c>
      <c r="O7025" s="2">
        <f ca="1"/>
        <v>-2.1258296646830002</v>
      </c>
      <c r="X7025" s="2">
        <f ca="1"/>
        <v>68.310508735226193</v>
      </c>
      <c r="AG7025" s="2">
        <f ca="1"/>
        <v>0.90027809385200896</v>
      </c>
      <c r="AH7025" s="2" t="str">
        <f ca="1"/>
        <v>Bad</v>
      </c>
    </row>
    <row r="7026" spans="2:34" x14ac:dyDescent="0.2">
      <c r="B7026" s="2">
        <f ca="1"/>
        <v>0.18357722815351263</v>
      </c>
      <c r="O7026" s="2">
        <f ca="1"/>
        <v>-0.71337956082427567</v>
      </c>
      <c r="X7026" s="2">
        <f ca="1"/>
        <v>68.504599583469457</v>
      </c>
      <c r="AG7026" s="2">
        <f ca="1"/>
        <v>0.8008442247827201</v>
      </c>
      <c r="AH7026" s="2" t="str">
        <f ca="1"/>
        <v>Bad</v>
      </c>
    </row>
    <row r="7027" spans="2:34" x14ac:dyDescent="0.2">
      <c r="B7027" s="2">
        <f ca="1"/>
        <v>0.88239465546852114</v>
      </c>
      <c r="O7027" s="2">
        <f ca="1"/>
        <v>0.32250508287276103</v>
      </c>
      <c r="X7027" s="2">
        <f ca="1"/>
        <v>52.002202396473194</v>
      </c>
      <c r="AG7027" s="2">
        <f ca="1"/>
        <v>0.24426389171117724</v>
      </c>
      <c r="AH7027" s="2" t="str">
        <f ca="1"/>
        <v>OK</v>
      </c>
    </row>
    <row r="7028" spans="2:34" x14ac:dyDescent="0.2">
      <c r="B7028" s="2">
        <f ca="1"/>
        <v>0.46239840217031491</v>
      </c>
      <c r="O7028" s="2">
        <f ca="1"/>
        <v>-0.81393354159669307</v>
      </c>
      <c r="X7028" s="2">
        <f ca="1"/>
        <v>61.989022595321622</v>
      </c>
      <c r="AG7028" s="2">
        <f ca="1"/>
        <v>0.66824985045765528</v>
      </c>
      <c r="AH7028" s="2" t="str">
        <f ca="1"/>
        <v>Bad</v>
      </c>
    </row>
    <row r="7029" spans="2:34" x14ac:dyDescent="0.2">
      <c r="B7029" s="2">
        <f ca="1"/>
        <v>0.83400007188161651</v>
      </c>
      <c r="O7029" s="2">
        <f ca="1"/>
        <v>-1.1715000580052057</v>
      </c>
      <c r="X7029" s="2">
        <f ca="1"/>
        <v>37.921721363356369</v>
      </c>
      <c r="AG7029" s="2">
        <f ca="1"/>
        <v>0.41452496946008366</v>
      </c>
      <c r="AH7029" s="2" t="str">
        <f ca="1"/>
        <v>Bad</v>
      </c>
    </row>
    <row r="7030" spans="2:34" x14ac:dyDescent="0.2">
      <c r="B7030" s="2">
        <f ca="1"/>
        <v>0.48564917709305333</v>
      </c>
      <c r="O7030" s="2">
        <f ca="1"/>
        <v>0.3641709527786382</v>
      </c>
      <c r="X7030" s="2">
        <f ca="1"/>
        <v>32.601505661400083</v>
      </c>
      <c r="AG7030" s="2">
        <f ca="1"/>
        <v>0.81792347310565794</v>
      </c>
      <c r="AH7030" s="2" t="str">
        <f ca="1"/>
        <v>Bad</v>
      </c>
    </row>
    <row r="7031" spans="2:34" x14ac:dyDescent="0.2">
      <c r="B7031" s="2">
        <f ca="1"/>
        <v>0.42084718502884577</v>
      </c>
      <c r="O7031" s="2">
        <f ca="1"/>
        <v>0.15129111196053732</v>
      </c>
      <c r="X7031" s="2">
        <f ca="1"/>
        <v>23.05269172652865</v>
      </c>
      <c r="AG7031" s="2">
        <f ca="1"/>
        <v>0.42378080850841626</v>
      </c>
      <c r="AH7031" s="2" t="str">
        <f ca="1"/>
        <v>Bad</v>
      </c>
    </row>
    <row r="7032" spans="2:34" x14ac:dyDescent="0.2">
      <c r="B7032" s="2">
        <f ca="1"/>
        <v>0.17179958884756785</v>
      </c>
      <c r="O7032" s="2">
        <f ca="1"/>
        <v>-1.4223271575210354</v>
      </c>
      <c r="X7032" s="2">
        <f ca="1"/>
        <v>34.384732766269728</v>
      </c>
      <c r="AG7032" s="2">
        <f ca="1"/>
        <v>0.80017180290689316</v>
      </c>
      <c r="AH7032" s="2" t="str">
        <f ca="1"/>
        <v>Bad</v>
      </c>
    </row>
    <row r="7033" spans="2:34" x14ac:dyDescent="0.2">
      <c r="B7033" s="2">
        <f ca="1"/>
        <v>0.50139557588244776</v>
      </c>
      <c r="O7033" s="2">
        <f ca="1"/>
        <v>0.84189479718868643</v>
      </c>
      <c r="X7033" s="2">
        <f ca="1"/>
        <v>38.441023380457516</v>
      </c>
      <c r="AG7033" s="2">
        <f ca="1"/>
        <v>0.35303376160474254</v>
      </c>
      <c r="AH7033" s="2" t="str">
        <f ca="1"/>
        <v>OK</v>
      </c>
    </row>
    <row r="7034" spans="2:34" x14ac:dyDescent="0.2">
      <c r="B7034" s="2">
        <f ca="1"/>
        <v>0.15743722172844699</v>
      </c>
      <c r="O7034" s="2">
        <f ca="1"/>
        <v>-0.13835801483950227</v>
      </c>
      <c r="X7034" s="2">
        <f ca="1"/>
        <v>66.337239864467591</v>
      </c>
      <c r="AG7034" s="2">
        <f ca="1"/>
        <v>0.89404957195976253</v>
      </c>
      <c r="AH7034" s="2" t="str">
        <f ca="1"/>
        <v>Bad</v>
      </c>
    </row>
    <row r="7035" spans="2:34" x14ac:dyDescent="0.2">
      <c r="B7035" s="2">
        <f ca="1"/>
        <v>6.5003119745506099E-2</v>
      </c>
      <c r="O7035" s="2">
        <f ca="1"/>
        <v>0.97972326283604683</v>
      </c>
      <c r="X7035" s="2">
        <f ca="1"/>
        <v>36.443616142858509</v>
      </c>
      <c r="AG7035" s="2">
        <f ca="1"/>
        <v>4.3093732016816766E-3</v>
      </c>
      <c r="AH7035" s="2" t="str">
        <f ca="1"/>
        <v>Good</v>
      </c>
    </row>
    <row r="7036" spans="2:34" x14ac:dyDescent="0.2">
      <c r="B7036" s="2">
        <f ca="1"/>
        <v>0.46231426083713822</v>
      </c>
      <c r="O7036" s="2">
        <f ca="1"/>
        <v>1.3679285157785515</v>
      </c>
      <c r="X7036" s="2">
        <f ca="1"/>
        <v>51.060014834338823</v>
      </c>
      <c r="AG7036" s="2">
        <f ca="1"/>
        <v>0.63717684653751472</v>
      </c>
      <c r="AH7036" s="2" t="str">
        <f ca="1"/>
        <v>Bad</v>
      </c>
    </row>
    <row r="7037" spans="2:34" x14ac:dyDescent="0.2">
      <c r="B7037" s="2">
        <f ca="1"/>
        <v>0.62281089278255464</v>
      </c>
      <c r="O7037" s="2">
        <f ca="1"/>
        <v>-8.8101792787717001E-2</v>
      </c>
      <c r="X7037" s="2">
        <f ca="1"/>
        <v>26.375427417343289</v>
      </c>
      <c r="AG7037" s="2">
        <f ca="1"/>
        <v>5.2921385042308478E-2</v>
      </c>
      <c r="AH7037" s="2" t="str">
        <f ca="1"/>
        <v>OK</v>
      </c>
    </row>
    <row r="7038" spans="2:34" x14ac:dyDescent="0.2">
      <c r="B7038" s="2">
        <f ca="1"/>
        <v>0.82232296759787604</v>
      </c>
      <c r="O7038" s="2">
        <f ca="1"/>
        <v>-1.2999935550710577</v>
      </c>
      <c r="X7038" s="2">
        <f ca="1"/>
        <v>53.592812164784512</v>
      </c>
      <c r="AG7038" s="2">
        <f ca="1"/>
        <v>0.3697648541483014</v>
      </c>
      <c r="AH7038" s="2" t="str">
        <f ca="1"/>
        <v>OK</v>
      </c>
    </row>
    <row r="7039" spans="2:34" x14ac:dyDescent="0.2">
      <c r="B7039" s="2">
        <f ca="1"/>
        <v>0.56123610629438314</v>
      </c>
      <c r="O7039" s="2">
        <f ca="1"/>
        <v>0.33639610461908692</v>
      </c>
      <c r="X7039" s="2">
        <f ca="1"/>
        <v>64.932991322802479</v>
      </c>
      <c r="AG7039" s="2">
        <f ca="1"/>
        <v>0.27854314081269371</v>
      </c>
      <c r="AH7039" s="2" t="str">
        <f ca="1"/>
        <v>OK</v>
      </c>
    </row>
    <row r="7040" spans="2:34" x14ac:dyDescent="0.2">
      <c r="B7040" s="2">
        <f ca="1"/>
        <v>4.7539976085243962E-2</v>
      </c>
      <c r="O7040" s="2">
        <f ca="1"/>
        <v>-1.3959358569758102</v>
      </c>
      <c r="X7040" s="2">
        <f ca="1"/>
        <v>34.227545056338464</v>
      </c>
      <c r="AG7040" s="2">
        <f ca="1"/>
        <v>0.10942092619358079</v>
      </c>
      <c r="AH7040" s="2" t="str">
        <f ca="1"/>
        <v>OK</v>
      </c>
    </row>
    <row r="7041" spans="2:34" x14ac:dyDescent="0.2">
      <c r="B7041" s="2">
        <f ca="1"/>
        <v>0.55103821700960109</v>
      </c>
      <c r="O7041" s="2">
        <f ca="1"/>
        <v>1.6612651135539453</v>
      </c>
      <c r="X7041" s="2">
        <f ca="1"/>
        <v>35.98409641336562</v>
      </c>
      <c r="AG7041" s="2">
        <f ca="1"/>
        <v>0.16659820961357785</v>
      </c>
      <c r="AH7041" s="2" t="str">
        <f ca="1"/>
        <v>OK</v>
      </c>
    </row>
    <row r="7042" spans="2:34" x14ac:dyDescent="0.2">
      <c r="B7042" s="2">
        <f ca="1"/>
        <v>4.5401456850089339E-2</v>
      </c>
      <c r="O7042" s="2">
        <f ca="1"/>
        <v>-3.1172005199699586E-2</v>
      </c>
      <c r="X7042" s="2">
        <f ca="1"/>
        <v>58.486197934316017</v>
      </c>
      <c r="AG7042" s="2">
        <f ca="1"/>
        <v>0.50937511146612358</v>
      </c>
      <c r="AH7042" s="2" t="str">
        <f ca="1"/>
        <v>Bad</v>
      </c>
    </row>
    <row r="7043" spans="2:34" x14ac:dyDescent="0.2">
      <c r="B7043" s="2">
        <f ca="1"/>
        <v>0.2980551543367298</v>
      </c>
      <c r="O7043" s="2">
        <f ca="1"/>
        <v>-0.96288740908399995</v>
      </c>
      <c r="X7043" s="2">
        <f ca="1"/>
        <v>41.877478260204569</v>
      </c>
      <c r="AG7043" s="2">
        <f ca="1"/>
        <v>0.38262578337574205</v>
      </c>
      <c r="AH7043" s="2" t="str">
        <f ca="1"/>
        <v>OK</v>
      </c>
    </row>
    <row r="7044" spans="2:34" x14ac:dyDescent="0.2">
      <c r="B7044" s="2">
        <f ca="1"/>
        <v>0.64649579303904225</v>
      </c>
      <c r="O7044" s="2">
        <f ca="1"/>
        <v>-0.84010622579776073</v>
      </c>
      <c r="X7044" s="2">
        <f ca="1"/>
        <v>67.843027107524577</v>
      </c>
      <c r="AG7044" s="2">
        <f ca="1"/>
        <v>5.9639947388318459E-2</v>
      </c>
      <c r="AH7044" s="2" t="str">
        <f ca="1"/>
        <v>OK</v>
      </c>
    </row>
    <row r="7045" spans="2:34" x14ac:dyDescent="0.2">
      <c r="B7045" s="2">
        <f ca="1"/>
        <v>0.65906686919784718</v>
      </c>
      <c r="O7045" s="2">
        <f ca="1"/>
        <v>-0.58342012514689945</v>
      </c>
      <c r="X7045" s="2">
        <f ca="1"/>
        <v>45.214037526506338</v>
      </c>
      <c r="AG7045" s="2">
        <f ca="1"/>
        <v>0.35526688221698666</v>
      </c>
      <c r="AH7045" s="2" t="str">
        <f ca="1"/>
        <v>OK</v>
      </c>
    </row>
    <row r="7046" spans="2:34" x14ac:dyDescent="0.2">
      <c r="B7046" s="2">
        <f ca="1"/>
        <v>0.84946464126385646</v>
      </c>
      <c r="O7046" s="2">
        <f ca="1"/>
        <v>-0.40585126401165428</v>
      </c>
      <c r="X7046" s="2">
        <f ca="1"/>
        <v>67.150343975917778</v>
      </c>
      <c r="AG7046" s="2">
        <f ca="1"/>
        <v>0.24277780942875626</v>
      </c>
      <c r="AH7046" s="2" t="str">
        <f ca="1"/>
        <v>OK</v>
      </c>
    </row>
    <row r="7047" spans="2:34" x14ac:dyDescent="0.2">
      <c r="B7047" s="2">
        <f ca="1"/>
        <v>0.57816915175677885</v>
      </c>
      <c r="O7047" s="2">
        <f ca="1"/>
        <v>0.50137575873176021</v>
      </c>
      <c r="X7047" s="2">
        <f ca="1"/>
        <v>51.792153178063309</v>
      </c>
      <c r="AG7047" s="2">
        <f ca="1"/>
        <v>0.70260274061398142</v>
      </c>
      <c r="AH7047" s="2" t="str">
        <f ca="1"/>
        <v>Bad</v>
      </c>
    </row>
    <row r="7048" spans="2:34" x14ac:dyDescent="0.2">
      <c r="B7048" s="2">
        <f ca="1"/>
        <v>0.41021228318852088</v>
      </c>
      <c r="O7048" s="2">
        <f ca="1"/>
        <v>-1.8360741030353531</v>
      </c>
      <c r="X7048" s="2">
        <f ca="1"/>
        <v>40.543009434637398</v>
      </c>
      <c r="AG7048" s="2">
        <f ca="1"/>
        <v>0.52837016164947048</v>
      </c>
      <c r="AH7048" s="2" t="str">
        <f ca="1"/>
        <v>Bad</v>
      </c>
    </row>
    <row r="7049" spans="2:34" x14ac:dyDescent="0.2">
      <c r="B7049" s="2">
        <f ca="1"/>
        <v>0.83238773643191943</v>
      </c>
      <c r="O7049" s="2">
        <f ca="1"/>
        <v>-1.7631287448977668</v>
      </c>
      <c r="X7049" s="2">
        <f ca="1"/>
        <v>46.492517888765349</v>
      </c>
      <c r="AG7049" s="2">
        <f ca="1"/>
        <v>0.85298136221485366</v>
      </c>
      <c r="AH7049" s="2" t="str">
        <f ca="1"/>
        <v>Bad</v>
      </c>
    </row>
    <row r="7050" spans="2:34" x14ac:dyDescent="0.2">
      <c r="B7050" s="2">
        <f ca="1"/>
        <v>0.85298369501056071</v>
      </c>
      <c r="O7050" s="2">
        <f ca="1"/>
        <v>0.26897679352523829</v>
      </c>
      <c r="X7050" s="2">
        <f ca="1"/>
        <v>28.586778450841539</v>
      </c>
      <c r="AG7050" s="2">
        <f ca="1"/>
        <v>5.7459564675687025E-2</v>
      </c>
      <c r="AH7050" s="2" t="str">
        <f ca="1"/>
        <v>OK</v>
      </c>
    </row>
    <row r="7051" spans="2:34" x14ac:dyDescent="0.2">
      <c r="B7051" s="2">
        <f ca="1"/>
        <v>0.33942511285410282</v>
      </c>
      <c r="O7051" s="2">
        <f ca="1"/>
        <v>0.36728578588078992</v>
      </c>
      <c r="X7051" s="2">
        <f ca="1"/>
        <v>39.147511675119873</v>
      </c>
      <c r="AG7051" s="2">
        <f ca="1"/>
        <v>0.89411959502506266</v>
      </c>
      <c r="AH7051" s="2" t="str">
        <f ca="1"/>
        <v>Bad</v>
      </c>
    </row>
    <row r="7052" spans="2:34" x14ac:dyDescent="0.2">
      <c r="B7052" s="2">
        <f ca="1"/>
        <v>0.99256139096282014</v>
      </c>
      <c r="O7052" s="2">
        <f ca="1"/>
        <v>-0.65035320656628748</v>
      </c>
      <c r="X7052" s="2">
        <f ca="1"/>
        <v>49.952800510371766</v>
      </c>
      <c r="AG7052" s="2">
        <f ca="1"/>
        <v>0.86800184150293025</v>
      </c>
      <c r="AH7052" s="2" t="str">
        <f ca="1"/>
        <v>Bad</v>
      </c>
    </row>
    <row r="7053" spans="2:34" x14ac:dyDescent="0.2">
      <c r="B7053" s="2">
        <f ca="1"/>
        <v>0.50045395670495818</v>
      </c>
      <c r="O7053" s="2">
        <f ca="1"/>
        <v>-0.55906225979351576</v>
      </c>
      <c r="X7053" s="2">
        <f ca="1"/>
        <v>44.574019186603465</v>
      </c>
      <c r="AG7053" s="2">
        <f ca="1"/>
        <v>0.8160606780233115</v>
      </c>
      <c r="AH7053" s="2" t="str">
        <f ca="1"/>
        <v>Bad</v>
      </c>
    </row>
    <row r="7054" spans="2:34" x14ac:dyDescent="0.2">
      <c r="B7054" s="2">
        <f ca="1"/>
        <v>0.39058913516173144</v>
      </c>
      <c r="O7054" s="2">
        <f ca="1"/>
        <v>1.4850681860467116</v>
      </c>
      <c r="X7054" s="2">
        <f ca="1"/>
        <v>42.935140191407434</v>
      </c>
      <c r="AG7054" s="2">
        <f ca="1"/>
        <v>0.37438376835507525</v>
      </c>
      <c r="AH7054" s="2" t="str">
        <f ca="1"/>
        <v>OK</v>
      </c>
    </row>
    <row r="7055" spans="2:34" x14ac:dyDescent="0.2">
      <c r="B7055" s="2">
        <f ca="1"/>
        <v>0.89191408627739888</v>
      </c>
      <c r="O7055" s="2">
        <f ca="1"/>
        <v>-0.53747009012246749</v>
      </c>
      <c r="X7055" s="2">
        <f ca="1"/>
        <v>48.949580490658171</v>
      </c>
      <c r="AG7055" s="2">
        <f ca="1"/>
        <v>0.21554547301816829</v>
      </c>
      <c r="AH7055" s="2" t="str">
        <f ca="1"/>
        <v>OK</v>
      </c>
    </row>
    <row r="7056" spans="2:34" x14ac:dyDescent="0.2">
      <c r="B7056" s="2">
        <f ca="1"/>
        <v>0.60942516945196901</v>
      </c>
      <c r="O7056" s="2">
        <f ca="1"/>
        <v>0.23700826482824452</v>
      </c>
      <c r="X7056" s="2">
        <f ca="1"/>
        <v>71.996396919117231</v>
      </c>
      <c r="AG7056" s="2">
        <f ca="1"/>
        <v>0.30013329800900657</v>
      </c>
      <c r="AH7056" s="2" t="str">
        <f ca="1"/>
        <v>OK</v>
      </c>
    </row>
    <row r="7057" spans="2:34" x14ac:dyDescent="0.2">
      <c r="B7057" s="2">
        <f ca="1"/>
        <v>0.54515374919135229</v>
      </c>
      <c r="O7057" s="2">
        <f ca="1"/>
        <v>1.330967047816251</v>
      </c>
      <c r="X7057" s="2">
        <f ca="1"/>
        <v>52.23563706461227</v>
      </c>
      <c r="AG7057" s="2">
        <f ca="1"/>
        <v>0.16681006318935965</v>
      </c>
      <c r="AH7057" s="2" t="str">
        <f ca="1"/>
        <v>OK</v>
      </c>
    </row>
    <row r="7058" spans="2:34" x14ac:dyDescent="0.2">
      <c r="B7058" s="2">
        <f ca="1"/>
        <v>0.7331311547665349</v>
      </c>
      <c r="O7058" s="2">
        <f ca="1"/>
        <v>0.14918000053565453</v>
      </c>
      <c r="X7058" s="2">
        <f ca="1"/>
        <v>65.495281568988844</v>
      </c>
      <c r="AG7058" s="2">
        <f ca="1"/>
        <v>0.39154331329814962</v>
      </c>
      <c r="AH7058" s="2" t="str">
        <f ca="1"/>
        <v>OK</v>
      </c>
    </row>
    <row r="7059" spans="2:34" x14ac:dyDescent="0.2">
      <c r="B7059" s="2">
        <f ca="1"/>
        <v>0.17382431673674281</v>
      </c>
      <c r="O7059" s="2">
        <f ca="1"/>
        <v>-6.9162217335033555E-2</v>
      </c>
      <c r="X7059" s="2">
        <f ca="1"/>
        <v>46.918600475480254</v>
      </c>
      <c r="AG7059" s="2">
        <f ca="1"/>
        <v>0.7488346031608224</v>
      </c>
      <c r="AH7059" s="2" t="str">
        <f ca="1"/>
        <v>Bad</v>
      </c>
    </row>
    <row r="7060" spans="2:34" x14ac:dyDescent="0.2">
      <c r="B7060" s="2">
        <f ca="1"/>
        <v>0.42904051833619405</v>
      </c>
      <c r="O7060" s="2">
        <f ca="1"/>
        <v>-0.68831779226459955</v>
      </c>
      <c r="X7060" s="2">
        <f ca="1"/>
        <v>50.895840231026519</v>
      </c>
      <c r="AG7060" s="2">
        <f ca="1"/>
        <v>0.60890593200345888</v>
      </c>
      <c r="AH7060" s="2" t="str">
        <f ca="1"/>
        <v>Bad</v>
      </c>
    </row>
    <row r="7061" spans="2:34" x14ac:dyDescent="0.2">
      <c r="B7061" s="2">
        <f ca="1"/>
        <v>0.27219221379666036</v>
      </c>
      <c r="O7061" s="2">
        <f ca="1"/>
        <v>-0.5103600723418229</v>
      </c>
      <c r="X7061" s="2">
        <f ca="1"/>
        <v>37.913929711498881</v>
      </c>
      <c r="AG7061" s="2">
        <f ca="1"/>
        <v>6.8599572383041263E-3</v>
      </c>
      <c r="AH7061" s="2" t="str">
        <f ca="1"/>
        <v>Good</v>
      </c>
    </row>
    <row r="7062" spans="2:34" x14ac:dyDescent="0.2">
      <c r="B7062" s="2">
        <f ca="1"/>
        <v>0.29929560196845029</v>
      </c>
      <c r="O7062" s="2">
        <f ca="1"/>
        <v>1.0035470775826065</v>
      </c>
      <c r="X7062" s="2">
        <f ca="1"/>
        <v>48.180048041048586</v>
      </c>
      <c r="AG7062" s="2">
        <f ca="1"/>
        <v>0.12299944422193909</v>
      </c>
      <c r="AH7062" s="2" t="str">
        <f ca="1"/>
        <v>OK</v>
      </c>
    </row>
    <row r="7063" spans="2:34" x14ac:dyDescent="0.2">
      <c r="B7063" s="2">
        <f ca="1"/>
        <v>0.76801811186843105</v>
      </c>
      <c r="O7063" s="2">
        <f ca="1"/>
        <v>-1.254241105560099</v>
      </c>
      <c r="X7063" s="2">
        <f ca="1"/>
        <v>41.021070424523629</v>
      </c>
      <c r="AG7063" s="2">
        <f ca="1"/>
        <v>3.8906639326812931E-2</v>
      </c>
      <c r="AH7063" s="2" t="str">
        <f ca="1"/>
        <v>Good</v>
      </c>
    </row>
    <row r="7064" spans="2:34" x14ac:dyDescent="0.2">
      <c r="B7064" s="2">
        <f ca="1"/>
        <v>0.43704005091776943</v>
      </c>
      <c r="O7064" s="2">
        <f ca="1"/>
        <v>-0.72958596225041206</v>
      </c>
      <c r="X7064" s="2">
        <f ca="1"/>
        <v>54.814390507162742</v>
      </c>
      <c r="AG7064" s="2">
        <f ca="1"/>
        <v>0.75570932822638004</v>
      </c>
      <c r="AH7064" s="2" t="str">
        <f ca="1"/>
        <v>Bad</v>
      </c>
    </row>
    <row r="7065" spans="2:34" x14ac:dyDescent="0.2">
      <c r="B7065" s="2">
        <f ca="1"/>
        <v>0.7295528352965297</v>
      </c>
      <c r="O7065" s="2">
        <f ca="1"/>
        <v>5.5719094197551298E-2</v>
      </c>
      <c r="X7065" s="2">
        <f ca="1"/>
        <v>45.030672835996796</v>
      </c>
      <c r="AG7065" s="2">
        <f ca="1"/>
        <v>0.68256923840834505</v>
      </c>
      <c r="AH7065" s="2" t="str">
        <f ca="1"/>
        <v>Bad</v>
      </c>
    </row>
    <row r="7066" spans="2:34" x14ac:dyDescent="0.2">
      <c r="B7066" s="2">
        <f ca="1"/>
        <v>1.9239051635297599E-2</v>
      </c>
      <c r="O7066" s="2">
        <f ca="1"/>
        <v>0.22968633573720384</v>
      </c>
      <c r="X7066" s="2">
        <f ca="1"/>
        <v>30.476709544230637</v>
      </c>
      <c r="AG7066" s="2">
        <f ca="1"/>
        <v>0.97325621412456398</v>
      </c>
      <c r="AH7066" s="2" t="str">
        <f ca="1"/>
        <v>Bad</v>
      </c>
    </row>
    <row r="7067" spans="2:34" x14ac:dyDescent="0.2">
      <c r="B7067" s="2">
        <f ca="1"/>
        <v>0.34801100690254283</v>
      </c>
      <c r="O7067" s="2">
        <f ca="1"/>
        <v>-7.0271267979703275E-2</v>
      </c>
      <c r="X7067" s="2">
        <f ca="1"/>
        <v>78.297170691276889</v>
      </c>
      <c r="AG7067" s="2">
        <f ca="1"/>
        <v>0.89696580049387187</v>
      </c>
      <c r="AH7067" s="2" t="str">
        <f ca="1"/>
        <v>Bad</v>
      </c>
    </row>
    <row r="7068" spans="2:34" x14ac:dyDescent="0.2">
      <c r="B7068" s="2">
        <f ca="1"/>
        <v>0.38543595804064612</v>
      </c>
      <c r="O7068" s="2">
        <f ca="1"/>
        <v>-0.49006510092707667</v>
      </c>
      <c r="X7068" s="2">
        <f ca="1"/>
        <v>51.174556030020184</v>
      </c>
      <c r="AG7068" s="2">
        <f ca="1"/>
        <v>0.33733231743242054</v>
      </c>
      <c r="AH7068" s="2" t="str">
        <f ca="1"/>
        <v>OK</v>
      </c>
    </row>
    <row r="7069" spans="2:34" x14ac:dyDescent="0.2">
      <c r="B7069" s="2">
        <f ca="1"/>
        <v>0.59230985796089519</v>
      </c>
      <c r="O7069" s="2">
        <f ca="1"/>
        <v>0.45833912625113138</v>
      </c>
      <c r="X7069" s="2">
        <f ca="1"/>
        <v>61.602205747288508</v>
      </c>
      <c r="AG7069" s="2">
        <f ca="1"/>
        <v>0.19518445579287613</v>
      </c>
      <c r="AH7069" s="2" t="str">
        <f ca="1"/>
        <v>OK</v>
      </c>
    </row>
    <row r="7070" spans="2:34" x14ac:dyDescent="0.2">
      <c r="B7070" s="2">
        <f ca="1"/>
        <v>0.93951310355329842</v>
      </c>
      <c r="O7070" s="2">
        <f ca="1"/>
        <v>-0.63391637773229115</v>
      </c>
      <c r="X7070" s="2">
        <f ca="1"/>
        <v>60.915385433950171</v>
      </c>
      <c r="AG7070" s="2">
        <f ca="1"/>
        <v>0.21035205801738455</v>
      </c>
      <c r="AH7070" s="2" t="str">
        <f ca="1"/>
        <v>OK</v>
      </c>
    </row>
    <row r="7071" spans="2:34" x14ac:dyDescent="0.2">
      <c r="B7071" s="2">
        <f ca="1"/>
        <v>0.32561038391186536</v>
      </c>
      <c r="O7071" s="2">
        <f ca="1"/>
        <v>1.8715941813294534</v>
      </c>
      <c r="X7071" s="2">
        <f ca="1"/>
        <v>40.874590585942833</v>
      </c>
      <c r="AG7071" s="2">
        <f ca="1"/>
        <v>7.2825995077593131E-2</v>
      </c>
      <c r="AH7071" s="2" t="str">
        <f ca="1"/>
        <v>OK</v>
      </c>
    </row>
    <row r="7072" spans="2:34" x14ac:dyDescent="0.2">
      <c r="B7072" s="2">
        <f ca="1"/>
        <v>0.92914071952798905</v>
      </c>
      <c r="O7072" s="2">
        <f ca="1"/>
        <v>1.0127734961463783</v>
      </c>
      <c r="X7072" s="2">
        <f ca="1"/>
        <v>52.072573170186516</v>
      </c>
      <c r="AG7072" s="2">
        <f ca="1"/>
        <v>0.18802385618831785</v>
      </c>
      <c r="AH7072" s="2" t="str">
        <f ca="1"/>
        <v>OK</v>
      </c>
    </row>
    <row r="7073" spans="2:34" x14ac:dyDescent="0.2">
      <c r="B7073" s="2">
        <f ca="1"/>
        <v>0.71006112866020032</v>
      </c>
      <c r="O7073" s="2">
        <f ca="1"/>
        <v>0.81050886977166703</v>
      </c>
      <c r="X7073" s="2">
        <f ca="1"/>
        <v>35.308911065117307</v>
      </c>
      <c r="AG7073" s="2">
        <f ca="1"/>
        <v>0.15700376770337732</v>
      </c>
      <c r="AH7073" s="2" t="str">
        <f ca="1"/>
        <v>OK</v>
      </c>
    </row>
    <row r="7074" spans="2:34" x14ac:dyDescent="0.2">
      <c r="B7074" s="2">
        <f ca="1"/>
        <v>0.32947895739374111</v>
      </c>
      <c r="O7074" s="2">
        <f ca="1"/>
        <v>-4.0986246509872822E-2</v>
      </c>
      <c r="X7074" s="2">
        <f ca="1"/>
        <v>78.891606180053216</v>
      </c>
      <c r="AG7074" s="2">
        <f ca="1"/>
        <v>0.30892380891872362</v>
      </c>
      <c r="AH7074" s="2" t="str">
        <f ca="1"/>
        <v>OK</v>
      </c>
    </row>
    <row r="7075" spans="2:34" x14ac:dyDescent="0.2">
      <c r="B7075" s="2">
        <f ca="1"/>
        <v>0.59128114816660671</v>
      </c>
      <c r="O7075" s="2">
        <f ca="1"/>
        <v>0.16543722379606826</v>
      </c>
      <c r="X7075" s="2">
        <f ca="1"/>
        <v>61.15223458140364</v>
      </c>
      <c r="AG7075" s="2">
        <f ca="1"/>
        <v>0.58871156426421356</v>
      </c>
      <c r="AH7075" s="2" t="str">
        <f ca="1"/>
        <v>Bad</v>
      </c>
    </row>
    <row r="7076" spans="2:34" x14ac:dyDescent="0.2">
      <c r="B7076" s="2">
        <f ca="1"/>
        <v>0.97921043045327294</v>
      </c>
      <c r="O7076" s="2">
        <f ca="1"/>
        <v>-1.2394598203916161</v>
      </c>
      <c r="X7076" s="2">
        <f ca="1"/>
        <v>61.56863747917167</v>
      </c>
      <c r="AG7076" s="2">
        <f ca="1"/>
        <v>0.59639616301117893</v>
      </c>
      <c r="AH7076" s="2" t="str">
        <f ca="1"/>
        <v>Bad</v>
      </c>
    </row>
    <row r="7077" spans="2:34" x14ac:dyDescent="0.2">
      <c r="B7077" s="2">
        <f ca="1"/>
        <v>0.59006321829914254</v>
      </c>
      <c r="O7077" s="2">
        <f ca="1"/>
        <v>-1.9674343059333372</v>
      </c>
      <c r="X7077" s="2">
        <f ca="1"/>
        <v>35.704832392589466</v>
      </c>
      <c r="AG7077" s="2">
        <f ca="1"/>
        <v>0.93034164098897554</v>
      </c>
      <c r="AH7077" s="2" t="str">
        <f ca="1"/>
        <v>Bad</v>
      </c>
    </row>
    <row r="7078" spans="2:34" x14ac:dyDescent="0.2">
      <c r="B7078" s="2">
        <f ca="1"/>
        <v>0.80124261402352248</v>
      </c>
      <c r="O7078" s="2">
        <f ca="1"/>
        <v>-0.63531536805415201</v>
      </c>
      <c r="X7078" s="2">
        <f ca="1"/>
        <v>31.151126302503776</v>
      </c>
      <c r="AG7078" s="2">
        <f ca="1"/>
        <v>0.47306181309612927</v>
      </c>
      <c r="AH7078" s="2" t="str">
        <f ca="1"/>
        <v>Bad</v>
      </c>
    </row>
    <row r="7079" spans="2:34" x14ac:dyDescent="0.2">
      <c r="B7079" s="2">
        <f ca="1"/>
        <v>0.18442443179149959</v>
      </c>
      <c r="O7079" s="2">
        <f ca="1"/>
        <v>0.23325918998442297</v>
      </c>
      <c r="X7079" s="2">
        <f ca="1"/>
        <v>26.924945591005912</v>
      </c>
      <c r="AG7079" s="2">
        <f ca="1"/>
        <v>0.3875913295010569</v>
      </c>
      <c r="AH7079" s="2" t="str">
        <f ca="1"/>
        <v>OK</v>
      </c>
    </row>
    <row r="7080" spans="2:34" x14ac:dyDescent="0.2">
      <c r="B7080" s="2">
        <f ca="1"/>
        <v>0.15786464000006406</v>
      </c>
      <c r="O7080" s="2">
        <f ca="1"/>
        <v>-1.4410128222899161</v>
      </c>
      <c r="X7080" s="2">
        <f ca="1"/>
        <v>80.438181161741085</v>
      </c>
      <c r="AG7080" s="2">
        <f ca="1"/>
        <v>0.45972721701633401</v>
      </c>
      <c r="AH7080" s="2" t="str">
        <f ca="1"/>
        <v>Bad</v>
      </c>
    </row>
    <row r="7081" spans="2:34" x14ac:dyDescent="0.2">
      <c r="B7081" s="2">
        <f ca="1"/>
        <v>8.1146479597582921E-2</v>
      </c>
      <c r="O7081" s="2">
        <f ca="1"/>
        <v>0.56736609816857642</v>
      </c>
      <c r="X7081" s="2">
        <f ca="1"/>
        <v>71.462697211433934</v>
      </c>
      <c r="AG7081" s="2">
        <f ca="1"/>
        <v>0.5023524825858241</v>
      </c>
      <c r="AH7081" s="2" t="str">
        <f ca="1"/>
        <v>Bad</v>
      </c>
    </row>
    <row r="7082" spans="2:34" x14ac:dyDescent="0.2">
      <c r="B7082" s="2">
        <f ca="1"/>
        <v>3.8183530792152087E-2</v>
      </c>
      <c r="O7082" s="2">
        <f ca="1"/>
        <v>-2.4913593554933717</v>
      </c>
      <c r="X7082" s="2">
        <f ca="1"/>
        <v>39.382087539399485</v>
      </c>
      <c r="AG7082" s="2">
        <f ca="1"/>
        <v>0.4153525930598212</v>
      </c>
      <c r="AH7082" s="2" t="str">
        <f ca="1"/>
        <v>Bad</v>
      </c>
    </row>
    <row r="7083" spans="2:34" x14ac:dyDescent="0.2">
      <c r="B7083" s="2">
        <f ca="1"/>
        <v>0.85947008221360077</v>
      </c>
      <c r="O7083" s="2">
        <f ca="1"/>
        <v>0.96037555116324413</v>
      </c>
      <c r="X7083" s="2">
        <f ca="1"/>
        <v>51.126287842521734</v>
      </c>
      <c r="AG7083" s="2">
        <f ca="1"/>
        <v>0.75505292609364205</v>
      </c>
      <c r="AH7083" s="2" t="str">
        <f ca="1"/>
        <v>Bad</v>
      </c>
    </row>
    <row r="7084" spans="2:34" x14ac:dyDescent="0.2">
      <c r="B7084" s="2">
        <f ca="1"/>
        <v>0.73855895521653814</v>
      </c>
      <c r="O7084" s="2">
        <f ca="1"/>
        <v>0.43718566594897623</v>
      </c>
      <c r="X7084" s="2">
        <f ca="1"/>
        <v>61.207609533167698</v>
      </c>
      <c r="AG7084" s="2">
        <f ca="1"/>
        <v>0.55702996334686783</v>
      </c>
      <c r="AH7084" s="2" t="str">
        <f ca="1"/>
        <v>Bad</v>
      </c>
    </row>
    <row r="7085" spans="2:34" x14ac:dyDescent="0.2">
      <c r="B7085" s="2">
        <f ca="1"/>
        <v>0.27992278825865813</v>
      </c>
      <c r="O7085" s="2">
        <f ca="1"/>
        <v>1.4550021311343502</v>
      </c>
      <c r="X7085" s="2">
        <f ca="1"/>
        <v>37.763946932054147</v>
      </c>
      <c r="AG7085" s="2">
        <f ca="1"/>
        <v>0.80007213186119164</v>
      </c>
      <c r="AH7085" s="2" t="str">
        <f ca="1"/>
        <v>Bad</v>
      </c>
    </row>
    <row r="7086" spans="2:34" x14ac:dyDescent="0.2">
      <c r="B7086" s="2">
        <f ca="1"/>
        <v>0.34747710364051732</v>
      </c>
      <c r="O7086" s="2">
        <f ca="1"/>
        <v>0.26690411173870793</v>
      </c>
      <c r="X7086" s="2">
        <f ca="1"/>
        <v>55.027188264758692</v>
      </c>
      <c r="AG7086" s="2">
        <f ca="1"/>
        <v>0.55538521682984721</v>
      </c>
      <c r="AH7086" s="2" t="str">
        <f ca="1"/>
        <v>Bad</v>
      </c>
    </row>
    <row r="7087" spans="2:34" x14ac:dyDescent="0.2">
      <c r="B7087" s="2">
        <f ca="1"/>
        <v>0.97343811176763606</v>
      </c>
      <c r="O7087" s="2">
        <f ca="1"/>
        <v>0.82095324193080166</v>
      </c>
      <c r="X7087" s="2">
        <f ca="1"/>
        <v>46.727018405805644</v>
      </c>
      <c r="AG7087" s="2">
        <f ca="1"/>
        <v>0.10787428839253899</v>
      </c>
      <c r="AH7087" s="2" t="str">
        <f ca="1"/>
        <v>OK</v>
      </c>
    </row>
    <row r="7088" spans="2:34" x14ac:dyDescent="0.2">
      <c r="B7088" s="2">
        <f ca="1"/>
        <v>0.75798879861074275</v>
      </c>
      <c r="O7088" s="2">
        <f ca="1"/>
        <v>-0.97276496919093602</v>
      </c>
      <c r="X7088" s="2">
        <f ca="1"/>
        <v>57.312198461101474</v>
      </c>
      <c r="AG7088" s="2">
        <f ca="1"/>
        <v>0.40109894281737835</v>
      </c>
      <c r="AH7088" s="2" t="str">
        <f ca="1"/>
        <v>Bad</v>
      </c>
    </row>
    <row r="7089" spans="2:34" x14ac:dyDescent="0.2">
      <c r="B7089" s="2">
        <f ca="1"/>
        <v>0.4540179696795319</v>
      </c>
      <c r="O7089" s="2">
        <f ca="1"/>
        <v>1.0615096770365668</v>
      </c>
      <c r="X7089" s="2">
        <f ca="1"/>
        <v>45.717515310582577</v>
      </c>
      <c r="AG7089" s="2">
        <f ca="1"/>
        <v>0.32029230903970185</v>
      </c>
      <c r="AH7089" s="2" t="str">
        <f ca="1"/>
        <v>OK</v>
      </c>
    </row>
    <row r="7090" spans="2:34" x14ac:dyDescent="0.2">
      <c r="B7090" s="2">
        <f ca="1"/>
        <v>0.28616475537228014</v>
      </c>
      <c r="O7090" s="2">
        <f ca="1"/>
        <v>-1.256979671882561</v>
      </c>
      <c r="X7090" s="2">
        <f ca="1"/>
        <v>40.382201876448363</v>
      </c>
      <c r="AG7090" s="2">
        <f ca="1"/>
        <v>0.5227969759939417</v>
      </c>
      <c r="AH7090" s="2" t="str">
        <f ca="1"/>
        <v>Bad</v>
      </c>
    </row>
    <row r="7091" spans="2:34" x14ac:dyDescent="0.2">
      <c r="B7091" s="2">
        <f ca="1"/>
        <v>0.63191706264257697</v>
      </c>
      <c r="O7091" s="2">
        <f ca="1"/>
        <v>0.4625333887501159</v>
      </c>
      <c r="X7091" s="2">
        <f ca="1"/>
        <v>42.542937337637376</v>
      </c>
      <c r="AG7091" s="2">
        <f ca="1"/>
        <v>0.47617199031902291</v>
      </c>
      <c r="AH7091" s="2" t="str">
        <f ca="1"/>
        <v>Bad</v>
      </c>
    </row>
    <row r="7092" spans="2:34" x14ac:dyDescent="0.2">
      <c r="B7092" s="2">
        <f ca="1"/>
        <v>2.8340492584428612E-2</v>
      </c>
      <c r="O7092" s="2">
        <f ca="1"/>
        <v>-1.3925575598875071</v>
      </c>
      <c r="X7092" s="2">
        <f ca="1"/>
        <v>48.680697615906453</v>
      </c>
      <c r="AG7092" s="2">
        <f ca="1"/>
        <v>0.42620124033758588</v>
      </c>
      <c r="AH7092" s="2" t="str">
        <f ca="1"/>
        <v>Bad</v>
      </c>
    </row>
    <row r="7093" spans="2:34" x14ac:dyDescent="0.2">
      <c r="B7093" s="2">
        <f ca="1"/>
        <v>0.96396787418042851</v>
      </c>
      <c r="O7093" s="2">
        <f ca="1"/>
        <v>0.24251449725795596</v>
      </c>
      <c r="X7093" s="2">
        <f ca="1"/>
        <v>43.63754949251549</v>
      </c>
      <c r="AG7093" s="2">
        <f ca="1"/>
        <v>0.88357621205751125</v>
      </c>
      <c r="AH7093" s="2" t="str">
        <f ca="1"/>
        <v>Bad</v>
      </c>
    </row>
    <row r="7094" spans="2:34" x14ac:dyDescent="0.2">
      <c r="B7094" s="2">
        <f ca="1"/>
        <v>0.24294353029667226</v>
      </c>
      <c r="O7094" s="2">
        <f ca="1"/>
        <v>1.3027113040418241</v>
      </c>
      <c r="X7094" s="2">
        <f ca="1"/>
        <v>53.643051549531762</v>
      </c>
      <c r="AG7094" s="2">
        <f ca="1"/>
        <v>0.85386017502112033</v>
      </c>
      <c r="AH7094" s="2" t="str">
        <f ca="1"/>
        <v>Bad</v>
      </c>
    </row>
    <row r="7095" spans="2:34" x14ac:dyDescent="0.2">
      <c r="B7095" s="2">
        <f ca="1"/>
        <v>0.34843779682863318</v>
      </c>
      <c r="O7095" s="2">
        <f ca="1"/>
        <v>-6.9668412628976686E-3</v>
      </c>
      <c r="X7095" s="2">
        <f ca="1"/>
        <v>43.297415898376919</v>
      </c>
      <c r="AG7095" s="2">
        <f ca="1"/>
        <v>3.4405784479841994E-2</v>
      </c>
      <c r="AH7095" s="2" t="str">
        <f ca="1"/>
        <v>Good</v>
      </c>
    </row>
    <row r="7096" spans="2:34" x14ac:dyDescent="0.2">
      <c r="B7096" s="2">
        <f ca="1"/>
        <v>0.14310669526509945</v>
      </c>
      <c r="O7096" s="2">
        <f ca="1"/>
        <v>1.3055354636152412</v>
      </c>
      <c r="X7096" s="2">
        <f ca="1"/>
        <v>39.782094789486081</v>
      </c>
      <c r="AG7096" s="2">
        <f ca="1"/>
        <v>0.17607188383922945</v>
      </c>
      <c r="AH7096" s="2" t="str">
        <f ca="1"/>
        <v>OK</v>
      </c>
    </row>
    <row r="7097" spans="2:34" x14ac:dyDescent="0.2">
      <c r="B7097" s="2">
        <f ca="1"/>
        <v>0.92013874734930812</v>
      </c>
      <c r="O7097" s="2">
        <f ca="1"/>
        <v>0.38193819249271305</v>
      </c>
      <c r="X7097" s="2">
        <f ca="1"/>
        <v>69.180239003105854</v>
      </c>
      <c r="AG7097" s="2">
        <f ca="1"/>
        <v>0.12616768939001011</v>
      </c>
      <c r="AH7097" s="2" t="str">
        <f ca="1"/>
        <v>OK</v>
      </c>
    </row>
    <row r="7098" spans="2:34" x14ac:dyDescent="0.2">
      <c r="B7098" s="2">
        <f ca="1"/>
        <v>0.497774491632484</v>
      </c>
      <c r="O7098" s="2">
        <f ca="1"/>
        <v>2.4029842863010704E-2</v>
      </c>
      <c r="X7098" s="2">
        <f ca="1"/>
        <v>56.937071553545437</v>
      </c>
      <c r="AG7098" s="2">
        <f ca="1"/>
        <v>0.52770922214265581</v>
      </c>
      <c r="AH7098" s="2" t="str">
        <f ca="1"/>
        <v>Bad</v>
      </c>
    </row>
    <row r="7099" spans="2:34" x14ac:dyDescent="0.2">
      <c r="B7099" s="2">
        <f ca="1"/>
        <v>8.8811600793028855E-2</v>
      </c>
      <c r="O7099" s="2">
        <f ca="1"/>
        <v>0.2503151976615301</v>
      </c>
      <c r="X7099" s="2">
        <f ca="1"/>
        <v>48.176507590312177</v>
      </c>
      <c r="AG7099" s="2">
        <f ca="1"/>
        <v>0.15543248773655027</v>
      </c>
      <c r="AH7099" s="2" t="str">
        <f ca="1"/>
        <v>OK</v>
      </c>
    </row>
    <row r="7100" spans="2:34" x14ac:dyDescent="0.2">
      <c r="B7100" s="2">
        <f ca="1"/>
        <v>0.43165572061648882</v>
      </c>
      <c r="O7100" s="2">
        <f ca="1"/>
        <v>-0.7543536813713636</v>
      </c>
      <c r="X7100" s="2">
        <f ca="1"/>
        <v>43.322125303533817</v>
      </c>
      <c r="AG7100" s="2">
        <f ca="1"/>
        <v>0.12351987996324421</v>
      </c>
      <c r="AH7100" s="2" t="str">
        <f ca="1"/>
        <v>OK</v>
      </c>
    </row>
    <row r="7101" spans="2:34" x14ac:dyDescent="0.2">
      <c r="B7101" s="2">
        <f ca="1"/>
        <v>0.62346608996246644</v>
      </c>
      <c r="O7101" s="2">
        <f ca="1"/>
        <v>0.79097892655428115</v>
      </c>
      <c r="X7101" s="2">
        <f ca="1"/>
        <v>63.044420019820507</v>
      </c>
      <c r="AG7101" s="2">
        <f ca="1"/>
        <v>0.44777927776501691</v>
      </c>
      <c r="AH7101" s="2" t="str">
        <f ca="1"/>
        <v>Bad</v>
      </c>
    </row>
    <row r="7102" spans="2:34" x14ac:dyDescent="0.2">
      <c r="B7102" s="2">
        <f ca="1"/>
        <v>0.12550063747903084</v>
      </c>
      <c r="O7102" s="2">
        <f ca="1"/>
        <v>2.1797908188124988</v>
      </c>
      <c r="X7102" s="2">
        <f ca="1"/>
        <v>31.793058408302009</v>
      </c>
      <c r="AG7102" s="2">
        <f ca="1"/>
        <v>0.48016538198219494</v>
      </c>
      <c r="AH7102" s="2" t="str">
        <f ca="1"/>
        <v>Bad</v>
      </c>
    </row>
    <row r="7103" spans="2:34" x14ac:dyDescent="0.2">
      <c r="B7103" s="2">
        <f ca="1"/>
        <v>0.80199168214579752</v>
      </c>
      <c r="O7103" s="2">
        <f ca="1"/>
        <v>-0.38818610366371015</v>
      </c>
      <c r="X7103" s="2">
        <f ca="1"/>
        <v>60.001458352464951</v>
      </c>
      <c r="AG7103" s="2">
        <f ca="1"/>
        <v>0.83896395546053304</v>
      </c>
      <c r="AH7103" s="2" t="str">
        <f ca="1"/>
        <v>Bad</v>
      </c>
    </row>
    <row r="7104" spans="2:34" x14ac:dyDescent="0.2">
      <c r="B7104" s="2">
        <f ca="1"/>
        <v>0.52719789149938823</v>
      </c>
      <c r="O7104" s="2">
        <f ca="1"/>
        <v>-0.90878403420142351</v>
      </c>
      <c r="X7104" s="2">
        <f ca="1"/>
        <v>69.040153625887356</v>
      </c>
      <c r="AG7104" s="2">
        <f ca="1"/>
        <v>9.4059120858931422E-2</v>
      </c>
      <c r="AH7104" s="2" t="str">
        <f ca="1"/>
        <v>OK</v>
      </c>
    </row>
    <row r="7105" spans="2:34" x14ac:dyDescent="0.2">
      <c r="B7105" s="2">
        <f ca="1"/>
        <v>0.34281768901762044</v>
      </c>
      <c r="O7105" s="2">
        <f ca="1"/>
        <v>-0.6030656934296853</v>
      </c>
      <c r="X7105" s="2">
        <f ca="1"/>
        <v>39.064847675065288</v>
      </c>
      <c r="AG7105" s="2">
        <f ca="1"/>
        <v>0.82041418352089868</v>
      </c>
      <c r="AH7105" s="2" t="str">
        <f ca="1"/>
        <v>Bad</v>
      </c>
    </row>
    <row r="7106" spans="2:34" x14ac:dyDescent="0.2">
      <c r="B7106" s="2">
        <f ca="1"/>
        <v>0.92007865837430747</v>
      </c>
      <c r="O7106" s="2">
        <f ca="1"/>
        <v>-1.1347544919236427</v>
      </c>
      <c r="X7106" s="2">
        <f ca="1"/>
        <v>64.7749885031985</v>
      </c>
      <c r="AG7106" s="2">
        <f ca="1"/>
        <v>0.44182687888027394</v>
      </c>
      <c r="AH7106" s="2" t="str">
        <f ca="1"/>
        <v>Bad</v>
      </c>
    </row>
    <row r="7107" spans="2:34" x14ac:dyDescent="0.2">
      <c r="B7107" s="2">
        <f ca="1"/>
        <v>0.26445500880238426</v>
      </c>
      <c r="O7107" s="2">
        <f ca="1"/>
        <v>-1.0385828935135524</v>
      </c>
      <c r="X7107" s="2">
        <f ca="1"/>
        <v>42.620302653974065</v>
      </c>
      <c r="AG7107" s="2">
        <f ca="1"/>
        <v>0.73564064752098179</v>
      </c>
      <c r="AH7107" s="2" t="str">
        <f ca="1"/>
        <v>Bad</v>
      </c>
    </row>
    <row r="7108" spans="2:34" x14ac:dyDescent="0.2">
      <c r="B7108" s="2">
        <f ca="1"/>
        <v>0.53510706027026811</v>
      </c>
      <c r="O7108" s="2">
        <f ca="1"/>
        <v>-0.12318556069836577</v>
      </c>
      <c r="X7108" s="2">
        <f ca="1"/>
        <v>60.358815601433271</v>
      </c>
      <c r="AG7108" s="2">
        <f ca="1"/>
        <v>0.14991716877539574</v>
      </c>
      <c r="AH7108" s="2" t="str">
        <f ca="1"/>
        <v>OK</v>
      </c>
    </row>
    <row r="7109" spans="2:34" x14ac:dyDescent="0.2">
      <c r="B7109" s="2">
        <f ca="1"/>
        <v>0.44374075083541697</v>
      </c>
      <c r="O7109" s="2">
        <f ca="1"/>
        <v>-0.43077444082668903</v>
      </c>
      <c r="X7109" s="2">
        <f ca="1"/>
        <v>71.009563784817814</v>
      </c>
      <c r="AG7109" s="2">
        <f ca="1"/>
        <v>1.8379960716614407E-2</v>
      </c>
      <c r="AH7109" s="2" t="str">
        <f ca="1"/>
        <v>Good</v>
      </c>
    </row>
    <row r="7110" spans="2:34" x14ac:dyDescent="0.2">
      <c r="B7110" s="2">
        <f ca="1"/>
        <v>0.12681647335062163</v>
      </c>
      <c r="O7110" s="2">
        <f ca="1"/>
        <v>-0.80584404314158165</v>
      </c>
      <c r="X7110" s="2">
        <f ca="1"/>
        <v>38.915662325209219</v>
      </c>
      <c r="AG7110" s="2">
        <f ca="1"/>
        <v>0.71859832139659363</v>
      </c>
      <c r="AH7110" s="2" t="str">
        <f ca="1"/>
        <v>Bad</v>
      </c>
    </row>
    <row r="7111" spans="2:34" x14ac:dyDescent="0.2">
      <c r="B7111" s="2">
        <f ca="1"/>
        <v>0.27063479539843072</v>
      </c>
      <c r="O7111" s="2">
        <f ca="1"/>
        <v>1.4464526582455419</v>
      </c>
      <c r="X7111" s="2">
        <f ca="1"/>
        <v>74.726607474511709</v>
      </c>
      <c r="AG7111" s="2">
        <f ca="1"/>
        <v>0.68696585450346981</v>
      </c>
      <c r="AH7111" s="2" t="str">
        <f ca="1"/>
        <v>Bad</v>
      </c>
    </row>
    <row r="7112" spans="2:34" x14ac:dyDescent="0.2">
      <c r="B7112" s="2">
        <f ca="1"/>
        <v>0.27571660791466179</v>
      </c>
      <c r="O7112" s="2">
        <f ca="1"/>
        <v>0.8201331658674228</v>
      </c>
      <c r="X7112" s="2">
        <f ca="1"/>
        <v>46.857454228417296</v>
      </c>
      <c r="AG7112" s="2">
        <f ca="1"/>
        <v>2.1416135715004447E-3</v>
      </c>
      <c r="AH7112" s="2" t="str">
        <f ca="1"/>
        <v>Good</v>
      </c>
    </row>
    <row r="7113" spans="2:34" x14ac:dyDescent="0.2">
      <c r="B7113" s="2">
        <f ca="1"/>
        <v>0.85943236730192374</v>
      </c>
      <c r="O7113" s="2">
        <f ca="1"/>
        <v>0.48728405941772757</v>
      </c>
      <c r="X7113" s="2">
        <f ca="1"/>
        <v>44.387388164528225</v>
      </c>
      <c r="AG7113" s="2">
        <f ca="1"/>
        <v>0.14145367939295661</v>
      </c>
      <c r="AH7113" s="2" t="str">
        <f ca="1"/>
        <v>OK</v>
      </c>
    </row>
    <row r="7114" spans="2:34" x14ac:dyDescent="0.2">
      <c r="B7114" s="2">
        <f ca="1"/>
        <v>0.94888157745371005</v>
      </c>
      <c r="O7114" s="2">
        <f ca="1"/>
        <v>-0.50592611192738968</v>
      </c>
      <c r="X7114" s="2">
        <f ca="1"/>
        <v>67.17862322147262</v>
      </c>
      <c r="AG7114" s="2">
        <f ca="1"/>
        <v>0.47953403526269889</v>
      </c>
      <c r="AH7114" s="2" t="str">
        <f ca="1"/>
        <v>Bad</v>
      </c>
    </row>
    <row r="7115" spans="2:34" x14ac:dyDescent="0.2">
      <c r="B7115" s="2">
        <f ca="1"/>
        <v>0.31944303781123096</v>
      </c>
      <c r="O7115" s="2">
        <f ca="1"/>
        <v>1.9754897528710331</v>
      </c>
      <c r="X7115" s="2">
        <f ca="1"/>
        <v>62.293146816765692</v>
      </c>
      <c r="AG7115" s="2">
        <f ca="1"/>
        <v>0.57659392740903059</v>
      </c>
      <c r="AH7115" s="2" t="str">
        <f ca="1"/>
        <v>Bad</v>
      </c>
    </row>
    <row r="7116" spans="2:34" x14ac:dyDescent="0.2">
      <c r="B7116" s="2">
        <f ca="1"/>
        <v>0.2298803410416359</v>
      </c>
      <c r="O7116" s="2">
        <f ca="1"/>
        <v>-4.1253157629882756E-2</v>
      </c>
      <c r="X7116" s="2">
        <f ca="1"/>
        <v>68.296865799205122</v>
      </c>
      <c r="AG7116" s="2">
        <f ca="1"/>
        <v>6.110777071935547E-2</v>
      </c>
      <c r="AH7116" s="2" t="str">
        <f ca="1"/>
        <v>OK</v>
      </c>
    </row>
    <row r="7117" spans="2:34" x14ac:dyDescent="0.2">
      <c r="B7117" s="2">
        <f ca="1"/>
        <v>0.44422553260717024</v>
      </c>
      <c r="O7117" s="2">
        <f ca="1"/>
        <v>-0.1805094480847757</v>
      </c>
      <c r="X7117" s="2">
        <f ca="1"/>
        <v>41.080404450987082</v>
      </c>
      <c r="AG7117" s="2">
        <f ca="1"/>
        <v>0.52133849280712274</v>
      </c>
      <c r="AH7117" s="2" t="str">
        <f ca="1"/>
        <v>Bad</v>
      </c>
    </row>
    <row r="7118" spans="2:34" x14ac:dyDescent="0.2">
      <c r="B7118" s="2">
        <f ca="1"/>
        <v>0.29968025319890801</v>
      </c>
      <c r="O7118" s="2">
        <f ca="1"/>
        <v>1.1553537877923761</v>
      </c>
      <c r="X7118" s="2">
        <f ca="1"/>
        <v>56.406717624710645</v>
      </c>
      <c r="AG7118" s="2">
        <f ca="1"/>
        <v>0.12490026732468151</v>
      </c>
      <c r="AH7118" s="2" t="str">
        <f ca="1"/>
        <v>OK</v>
      </c>
    </row>
    <row r="7119" spans="2:34" x14ac:dyDescent="0.2">
      <c r="B7119" s="2">
        <f ca="1"/>
        <v>5.779885936472251E-2</v>
      </c>
      <c r="O7119" s="2">
        <f ca="1"/>
        <v>0.71143819569307787</v>
      </c>
      <c r="X7119" s="2">
        <f ca="1"/>
        <v>47.414835347427207</v>
      </c>
      <c r="AG7119" s="2">
        <f ca="1"/>
        <v>0.65852844074029115</v>
      </c>
      <c r="AH7119" s="2" t="str">
        <f ca="1"/>
        <v>Bad</v>
      </c>
    </row>
    <row r="7120" spans="2:34" x14ac:dyDescent="0.2">
      <c r="B7120" s="2">
        <f ca="1"/>
        <v>0.17218773506098728</v>
      </c>
      <c r="O7120" s="2">
        <f ca="1"/>
        <v>1.3373152555620345</v>
      </c>
      <c r="X7120" s="2">
        <f ca="1"/>
        <v>57.801519125819496</v>
      </c>
      <c r="AG7120" s="2">
        <f ca="1"/>
        <v>0.64553596918433875</v>
      </c>
      <c r="AH7120" s="2" t="str">
        <f ca="1"/>
        <v>Bad</v>
      </c>
    </row>
    <row r="7121" spans="2:34" x14ac:dyDescent="0.2">
      <c r="B7121" s="2">
        <f ca="1"/>
        <v>5.4020604663751914E-2</v>
      </c>
      <c r="O7121" s="2">
        <f ca="1"/>
        <v>-0.32402670545744</v>
      </c>
      <c r="X7121" s="2">
        <f ca="1"/>
        <v>22.886541363924916</v>
      </c>
      <c r="AG7121" s="2">
        <f ca="1"/>
        <v>0.23936707024336834</v>
      </c>
      <c r="AH7121" s="2" t="str">
        <f ca="1"/>
        <v>OK</v>
      </c>
    </row>
    <row r="7122" spans="2:34" x14ac:dyDescent="0.2">
      <c r="B7122" s="2">
        <f ca="1"/>
        <v>0.77572789369618178</v>
      </c>
      <c r="O7122" s="2">
        <f ca="1"/>
        <v>-0.13006854122667277</v>
      </c>
      <c r="X7122" s="2">
        <f ca="1"/>
        <v>30.777640469229461</v>
      </c>
      <c r="AG7122" s="2">
        <f ca="1"/>
        <v>6.8668220006173897E-2</v>
      </c>
      <c r="AH7122" s="2" t="str">
        <f ca="1"/>
        <v>OK</v>
      </c>
    </row>
    <row r="7123" spans="2:34" x14ac:dyDescent="0.2">
      <c r="B7123" s="2">
        <f ca="1"/>
        <v>0.30923248279507942</v>
      </c>
      <c r="O7123" s="2">
        <f ca="1"/>
        <v>-1.3891288742446504</v>
      </c>
      <c r="X7123" s="2">
        <f ca="1"/>
        <v>55.005875179220816</v>
      </c>
      <c r="AG7123" s="2">
        <f ca="1"/>
        <v>0.95382924416792636</v>
      </c>
      <c r="AH7123" s="2" t="str">
        <f ca="1"/>
        <v>Bad</v>
      </c>
    </row>
    <row r="7124" spans="2:34" x14ac:dyDescent="0.2">
      <c r="B7124" s="2">
        <f ca="1"/>
        <v>0.40259510182020808</v>
      </c>
      <c r="O7124" s="2">
        <f ca="1"/>
        <v>-1.7733242878820827</v>
      </c>
      <c r="X7124" s="2">
        <f ca="1"/>
        <v>49.811260969742797</v>
      </c>
      <c r="AG7124" s="2">
        <f ca="1"/>
        <v>0.2080938836951951</v>
      </c>
      <c r="AH7124" s="2" t="str">
        <f ca="1"/>
        <v>OK</v>
      </c>
    </row>
    <row r="7125" spans="2:34" x14ac:dyDescent="0.2">
      <c r="B7125" s="2">
        <f ca="1"/>
        <v>0.54553446358162727</v>
      </c>
      <c r="O7125" s="2">
        <f ca="1"/>
        <v>-0.39934291843378633</v>
      </c>
      <c r="X7125" s="2">
        <f ca="1"/>
        <v>24.77106005153545</v>
      </c>
      <c r="AG7125" s="2">
        <f ca="1"/>
        <v>0.88530253613076226</v>
      </c>
      <c r="AH7125" s="2" t="str">
        <f ca="1"/>
        <v>Bad</v>
      </c>
    </row>
    <row r="7126" spans="2:34" x14ac:dyDescent="0.2">
      <c r="B7126" s="2">
        <f ca="1"/>
        <v>0.35210113328879111</v>
      </c>
      <c r="O7126" s="2">
        <f ca="1"/>
        <v>-1.2598247318618887</v>
      </c>
      <c r="X7126" s="2">
        <f ca="1"/>
        <v>57.453512843797583</v>
      </c>
      <c r="AG7126" s="2">
        <f ca="1"/>
        <v>0.29330386189762647</v>
      </c>
      <c r="AH7126" s="2" t="str">
        <f ca="1"/>
        <v>OK</v>
      </c>
    </row>
    <row r="7127" spans="2:34" x14ac:dyDescent="0.2">
      <c r="B7127" s="2">
        <f ca="1"/>
        <v>0.30756653061048378</v>
      </c>
      <c r="O7127" s="2">
        <f ca="1"/>
        <v>1.6865830995852689</v>
      </c>
      <c r="X7127" s="2">
        <f ca="1"/>
        <v>41.73581848441021</v>
      </c>
      <c r="AG7127" s="2">
        <f ca="1"/>
        <v>0.7219089685752631</v>
      </c>
      <c r="AH7127" s="2" t="str">
        <f ca="1"/>
        <v>Bad</v>
      </c>
    </row>
    <row r="7128" spans="2:34" x14ac:dyDescent="0.2">
      <c r="B7128" s="2">
        <f ca="1"/>
        <v>0.93328815599513404</v>
      </c>
      <c r="O7128" s="2">
        <f ca="1"/>
        <v>-0.91298168316297446</v>
      </c>
      <c r="X7128" s="2">
        <f ca="1"/>
        <v>58.168631081434214</v>
      </c>
      <c r="AG7128" s="2">
        <f ca="1"/>
        <v>0.32450399291398191</v>
      </c>
      <c r="AH7128" s="2" t="str">
        <f ca="1"/>
        <v>OK</v>
      </c>
    </row>
    <row r="7129" spans="2:34" x14ac:dyDescent="0.2">
      <c r="B7129" s="2">
        <f ca="1"/>
        <v>0.54962714098365262</v>
      </c>
      <c r="O7129" s="2">
        <f ca="1"/>
        <v>0.60012180510454671</v>
      </c>
      <c r="X7129" s="2">
        <f ca="1"/>
        <v>42.140168875548262</v>
      </c>
      <c r="AG7129" s="2">
        <f ca="1"/>
        <v>1.0033299628923409E-2</v>
      </c>
      <c r="AH7129" s="2" t="str">
        <f ca="1"/>
        <v>Good</v>
      </c>
    </row>
    <row r="7130" spans="2:34" x14ac:dyDescent="0.2">
      <c r="B7130" s="2">
        <f ca="1"/>
        <v>0.13418818346143535</v>
      </c>
      <c r="O7130" s="2">
        <f ca="1"/>
        <v>1.1047547688344765</v>
      </c>
      <c r="X7130" s="2">
        <f ca="1"/>
        <v>41.121301179106524</v>
      </c>
      <c r="AG7130" s="2">
        <f ca="1"/>
        <v>9.8021177397638048E-3</v>
      </c>
      <c r="AH7130" s="2" t="str">
        <f ca="1"/>
        <v>Good</v>
      </c>
    </row>
    <row r="7131" spans="2:34" x14ac:dyDescent="0.2">
      <c r="B7131" s="2">
        <f ca="1"/>
        <v>0.11595362630612582</v>
      </c>
      <c r="O7131" s="2">
        <f ca="1"/>
        <v>-1.446240179702629</v>
      </c>
      <c r="X7131" s="2">
        <f ca="1"/>
        <v>52.562254978229639</v>
      </c>
      <c r="AG7131" s="2">
        <f ca="1"/>
        <v>0.35434256400589748</v>
      </c>
      <c r="AH7131" s="2" t="str">
        <f ca="1"/>
        <v>OK</v>
      </c>
    </row>
    <row r="7132" spans="2:34" x14ac:dyDescent="0.2">
      <c r="B7132" s="2">
        <f ca="1"/>
        <v>0.24275344369926355</v>
      </c>
      <c r="O7132" s="2">
        <f ca="1"/>
        <v>-1.0907729560175423</v>
      </c>
      <c r="X7132" s="2">
        <f ca="1"/>
        <v>28.697295439314026</v>
      </c>
      <c r="AG7132" s="2">
        <f ca="1"/>
        <v>0.9339055005587007</v>
      </c>
      <c r="AH7132" s="2" t="str">
        <f ca="1"/>
        <v>Bad</v>
      </c>
    </row>
    <row r="7133" spans="2:34" x14ac:dyDescent="0.2">
      <c r="B7133" s="2">
        <f ca="1"/>
        <v>0.978413551899878</v>
      </c>
      <c r="O7133" s="2">
        <f ca="1"/>
        <v>0.43862084279566416</v>
      </c>
      <c r="X7133" s="2">
        <f ca="1"/>
        <v>62.165481752475827</v>
      </c>
      <c r="AG7133" s="2">
        <f ca="1"/>
        <v>0.70496846324717755</v>
      </c>
      <c r="AH7133" s="2" t="str">
        <f ca="1"/>
        <v>Bad</v>
      </c>
    </row>
    <row r="7134" spans="2:34" x14ac:dyDescent="0.2">
      <c r="B7134" s="2">
        <f ca="1"/>
        <v>0.8360039231683567</v>
      </c>
      <c r="O7134" s="2">
        <f ca="1"/>
        <v>0.36191365963615829</v>
      </c>
      <c r="X7134" s="2">
        <f ca="1"/>
        <v>73.281967986428512</v>
      </c>
      <c r="AG7134" s="2">
        <f ca="1"/>
        <v>0.96155932488790041</v>
      </c>
      <c r="AH7134" s="2" t="str">
        <f ca="1"/>
        <v>Bad</v>
      </c>
    </row>
    <row r="7135" spans="2:34" x14ac:dyDescent="0.2">
      <c r="B7135" s="2">
        <f ca="1"/>
        <v>0.22332597372552399</v>
      </c>
      <c r="O7135" s="2">
        <f ca="1"/>
        <v>0.47501813501616291</v>
      </c>
      <c r="X7135" s="2">
        <f ca="1"/>
        <v>62.662070893544879</v>
      </c>
      <c r="AG7135" s="2">
        <f ca="1"/>
        <v>0.77360911297905388</v>
      </c>
      <c r="AH7135" s="2" t="str">
        <f ca="1"/>
        <v>Bad</v>
      </c>
    </row>
    <row r="7136" spans="2:34" x14ac:dyDescent="0.2">
      <c r="B7136" s="2">
        <f ca="1"/>
        <v>0.87434178758865433</v>
      </c>
      <c r="O7136" s="2">
        <f ca="1"/>
        <v>0.53662373869989499</v>
      </c>
      <c r="X7136" s="2">
        <f ca="1"/>
        <v>62.614349544527968</v>
      </c>
      <c r="AG7136" s="2">
        <f ca="1"/>
        <v>0.82957594777854538</v>
      </c>
      <c r="AH7136" s="2" t="str">
        <f ca="1"/>
        <v>Bad</v>
      </c>
    </row>
    <row r="7137" spans="2:34" x14ac:dyDescent="0.2">
      <c r="B7137" s="2">
        <f ca="1"/>
        <v>0.55223522789436741</v>
      </c>
      <c r="O7137" s="2">
        <f ca="1"/>
        <v>1.3236108198420642</v>
      </c>
      <c r="X7137" s="2">
        <f ca="1"/>
        <v>58.033062672183242</v>
      </c>
      <c r="AG7137" s="2">
        <f ca="1"/>
        <v>0.24426139448467699</v>
      </c>
      <c r="AH7137" s="2" t="str">
        <f ca="1"/>
        <v>OK</v>
      </c>
    </row>
    <row r="7138" spans="2:34" x14ac:dyDescent="0.2">
      <c r="B7138" s="2">
        <f ca="1"/>
        <v>0.68592997994861782</v>
      </c>
      <c r="O7138" s="2">
        <f ca="1"/>
        <v>-1.0758248954061302</v>
      </c>
      <c r="X7138" s="2">
        <f ca="1"/>
        <v>54.7469434907213</v>
      </c>
      <c r="AG7138" s="2">
        <f ca="1"/>
        <v>0.55833154319739053</v>
      </c>
      <c r="AH7138" s="2" t="str">
        <f ca="1"/>
        <v>Bad</v>
      </c>
    </row>
    <row r="7139" spans="2:34" x14ac:dyDescent="0.2">
      <c r="B7139" s="2">
        <f ca="1"/>
        <v>0.56079618399550601</v>
      </c>
      <c r="O7139" s="2">
        <f ca="1"/>
        <v>-0.79109448424613649</v>
      </c>
      <c r="X7139" s="2">
        <f ca="1"/>
        <v>35.555653311191001</v>
      </c>
      <c r="AG7139" s="2">
        <f ca="1"/>
        <v>0.35358477511890984</v>
      </c>
      <c r="AH7139" s="2" t="str">
        <f ca="1"/>
        <v>OK</v>
      </c>
    </row>
    <row r="7140" spans="2:34" x14ac:dyDescent="0.2">
      <c r="B7140" s="2">
        <f ca="1"/>
        <v>0.38479308890023489</v>
      </c>
      <c r="O7140" s="2">
        <f ca="1"/>
        <v>-1.7256869080402797</v>
      </c>
      <c r="X7140" s="2">
        <f ca="1"/>
        <v>65.938295135925955</v>
      </c>
      <c r="AG7140" s="2">
        <f ca="1"/>
        <v>0.52758766653063627</v>
      </c>
      <c r="AH7140" s="2" t="str">
        <f ca="1"/>
        <v>Bad</v>
      </c>
    </row>
    <row r="7141" spans="2:34" x14ac:dyDescent="0.2">
      <c r="B7141" s="2">
        <f ca="1"/>
        <v>0.24823618986384277</v>
      </c>
      <c r="O7141" s="2">
        <f ca="1"/>
        <v>5.0683522966102526E-2</v>
      </c>
      <c r="X7141" s="2">
        <f ca="1"/>
        <v>48.801650853499304</v>
      </c>
      <c r="AG7141" s="2">
        <f ca="1"/>
        <v>0.42652982391003258</v>
      </c>
      <c r="AH7141" s="2" t="str">
        <f ca="1"/>
        <v>Bad</v>
      </c>
    </row>
    <row r="7142" spans="2:34" x14ac:dyDescent="0.2">
      <c r="B7142" s="2">
        <f ca="1"/>
        <v>0.21574373471879893</v>
      </c>
      <c r="O7142" s="2">
        <f ca="1"/>
        <v>-0.36570732237381959</v>
      </c>
      <c r="X7142" s="2">
        <f ca="1"/>
        <v>31.10556555413504</v>
      </c>
      <c r="AG7142" s="2">
        <f ca="1"/>
        <v>0.91461648309486687</v>
      </c>
      <c r="AH7142" s="2" t="str">
        <f ca="1"/>
        <v>Bad</v>
      </c>
    </row>
    <row r="7143" spans="2:34" x14ac:dyDescent="0.2">
      <c r="B7143" s="2">
        <f ca="1"/>
        <v>0.13067232625160696</v>
      </c>
      <c r="O7143" s="2">
        <f ca="1"/>
        <v>-0.8138627873290557</v>
      </c>
      <c r="X7143" s="2">
        <f ca="1"/>
        <v>48.180853203839796</v>
      </c>
      <c r="AG7143" s="2">
        <f ca="1"/>
        <v>0.63391372434583193</v>
      </c>
      <c r="AH7143" s="2" t="str">
        <f ca="1"/>
        <v>Bad</v>
      </c>
    </row>
    <row r="7144" spans="2:34" x14ac:dyDescent="0.2">
      <c r="B7144" s="2">
        <f ca="1"/>
        <v>0.77469256779651752</v>
      </c>
      <c r="O7144" s="2">
        <f ca="1"/>
        <v>-0.53363844433328833</v>
      </c>
      <c r="X7144" s="2">
        <f ca="1"/>
        <v>65.752935774425737</v>
      </c>
      <c r="AG7144" s="2">
        <f ca="1"/>
        <v>0.88084420742501024</v>
      </c>
      <c r="AH7144" s="2" t="str">
        <f ca="1"/>
        <v>Bad</v>
      </c>
    </row>
    <row r="7145" spans="2:34" x14ac:dyDescent="0.2">
      <c r="B7145" s="2">
        <f ca="1"/>
        <v>1.7011494497704671E-2</v>
      </c>
      <c r="O7145" s="2">
        <f ca="1"/>
        <v>0.61417193932790215</v>
      </c>
      <c r="X7145" s="2">
        <f ca="1"/>
        <v>33.181234319220522</v>
      </c>
      <c r="AG7145" s="2">
        <f ca="1"/>
        <v>0.69083053580802511</v>
      </c>
      <c r="AH7145" s="2" t="str">
        <f ca="1"/>
        <v>Bad</v>
      </c>
    </row>
    <row r="7146" spans="2:34" x14ac:dyDescent="0.2">
      <c r="B7146" s="2">
        <f ca="1"/>
        <v>0.67701155609281205</v>
      </c>
      <c r="O7146" s="2">
        <f ca="1"/>
        <v>1.1174771791090978</v>
      </c>
      <c r="X7146" s="2">
        <f ca="1"/>
        <v>48.786490929175301</v>
      </c>
      <c r="AG7146" s="2">
        <f ca="1"/>
        <v>0.59182807152526618</v>
      </c>
      <c r="AH7146" s="2" t="str">
        <f ca="1"/>
        <v>Bad</v>
      </c>
    </row>
    <row r="7147" spans="2:34" x14ac:dyDescent="0.2">
      <c r="B7147" s="2">
        <f ca="1"/>
        <v>0.7220090194807296</v>
      </c>
      <c r="O7147" s="2">
        <f ca="1"/>
        <v>-1.5831643016132724</v>
      </c>
      <c r="X7147" s="2">
        <f ca="1"/>
        <v>66.160904823499706</v>
      </c>
      <c r="AG7147" s="2">
        <f ca="1"/>
        <v>0.37043053634203638</v>
      </c>
      <c r="AH7147" s="2" t="str">
        <f ca="1"/>
        <v>OK</v>
      </c>
    </row>
    <row r="7148" spans="2:34" x14ac:dyDescent="0.2">
      <c r="B7148" s="2">
        <f ca="1"/>
        <v>0.10420333946909022</v>
      </c>
      <c r="O7148" s="2">
        <f ca="1"/>
        <v>-0.12067418809086589</v>
      </c>
      <c r="X7148" s="2">
        <f ca="1"/>
        <v>39.069787210835152</v>
      </c>
      <c r="AG7148" s="2">
        <f ca="1"/>
        <v>0.67590689956414529</v>
      </c>
      <c r="AH7148" s="2" t="str">
        <f ca="1"/>
        <v>Bad</v>
      </c>
    </row>
    <row r="7149" spans="2:34" x14ac:dyDescent="0.2">
      <c r="B7149" s="2">
        <f ca="1"/>
        <v>0.46029821391872594</v>
      </c>
      <c r="O7149" s="2">
        <f ca="1"/>
        <v>-0.98897113998228947</v>
      </c>
      <c r="X7149" s="2">
        <f ca="1"/>
        <v>49.955852427866468</v>
      </c>
      <c r="AG7149" s="2">
        <f ca="1"/>
        <v>0.75944776891580212</v>
      </c>
      <c r="AH7149" s="2" t="str">
        <f ca="1"/>
        <v>Bad</v>
      </c>
    </row>
    <row r="7150" spans="2:34" x14ac:dyDescent="0.2">
      <c r="B7150" s="2">
        <f ca="1"/>
        <v>0.92550134333514911</v>
      </c>
      <c r="O7150" s="2">
        <f ca="1"/>
        <v>-2.2430675043513881</v>
      </c>
      <c r="X7150" s="2">
        <f ca="1"/>
        <v>73.528162735374565</v>
      </c>
      <c r="AG7150" s="2">
        <f ca="1"/>
        <v>0.56214281395404742</v>
      </c>
      <c r="AH7150" s="2" t="str">
        <f ca="1"/>
        <v>Bad</v>
      </c>
    </row>
    <row r="7151" spans="2:34" x14ac:dyDescent="0.2">
      <c r="B7151" s="2">
        <f ca="1"/>
        <v>0.18036948302735323</v>
      </c>
      <c r="O7151" s="2">
        <f ca="1"/>
        <v>-0.81410034177223423</v>
      </c>
      <c r="X7151" s="2">
        <f ca="1"/>
        <v>36.633937679562564</v>
      </c>
      <c r="AG7151" s="2">
        <f ca="1"/>
        <v>0.734227309886196</v>
      </c>
      <c r="AH7151" s="2" t="str">
        <f ca="1"/>
        <v>Bad</v>
      </c>
    </row>
    <row r="7152" spans="2:34" x14ac:dyDescent="0.2">
      <c r="B7152" s="2">
        <f ca="1"/>
        <v>0.57519590603775561</v>
      </c>
      <c r="O7152" s="2">
        <f ca="1"/>
        <v>0.94412408941580162</v>
      </c>
      <c r="X7152" s="2">
        <f ca="1"/>
        <v>34.782119064099689</v>
      </c>
      <c r="AG7152" s="2">
        <f ca="1"/>
        <v>0.76785724593418969</v>
      </c>
      <c r="AH7152" s="2" t="str">
        <f ca="1"/>
        <v>Bad</v>
      </c>
    </row>
    <row r="7153" spans="2:34" x14ac:dyDescent="0.2">
      <c r="B7153" s="2">
        <f ca="1"/>
        <v>0.29649959034522433</v>
      </c>
      <c r="O7153" s="2">
        <f ca="1"/>
        <v>-0.21139645529126277</v>
      </c>
      <c r="X7153" s="2">
        <f ca="1"/>
        <v>67.309808823983673</v>
      </c>
      <c r="AG7153" s="2">
        <f ca="1"/>
        <v>0.75058497445163108</v>
      </c>
      <c r="AH7153" s="2" t="str">
        <f ca="1"/>
        <v>Bad</v>
      </c>
    </row>
    <row r="7154" spans="2:34" x14ac:dyDescent="0.2">
      <c r="B7154" s="2">
        <f ca="1"/>
        <v>0.23396121607333131</v>
      </c>
      <c r="O7154" s="2">
        <f ca="1"/>
        <v>-1.2249526061718943</v>
      </c>
      <c r="X7154" s="2">
        <f ca="1"/>
        <v>66.157750886182455</v>
      </c>
      <c r="AG7154" s="2">
        <f ca="1"/>
        <v>0.56771420022206542</v>
      </c>
      <c r="AH7154" s="2" t="str">
        <f ca="1"/>
        <v>Bad</v>
      </c>
    </row>
    <row r="7155" spans="2:34" x14ac:dyDescent="0.2">
      <c r="B7155" s="2">
        <f ca="1"/>
        <v>0.52537432704641485</v>
      </c>
      <c r="O7155" s="2">
        <f ca="1"/>
        <v>0.89758824804468684</v>
      </c>
      <c r="X7155" s="2">
        <f ca="1"/>
        <v>47.079905777987953</v>
      </c>
      <c r="AG7155" s="2">
        <f ca="1"/>
        <v>5.3611851936787858E-2</v>
      </c>
      <c r="AH7155" s="2" t="str">
        <f ca="1"/>
        <v>OK</v>
      </c>
    </row>
    <row r="7156" spans="2:34" x14ac:dyDescent="0.2">
      <c r="B7156" s="2">
        <f ca="1"/>
        <v>5.3178885794111785E-2</v>
      </c>
      <c r="O7156" s="2">
        <f ca="1"/>
        <v>0.18654924357990146</v>
      </c>
      <c r="X7156" s="2">
        <f ca="1"/>
        <v>70.121600963147046</v>
      </c>
      <c r="AG7156" s="2">
        <f ca="1"/>
        <v>0.80933942732518704</v>
      </c>
      <c r="AH7156" s="2" t="str">
        <f ca="1"/>
        <v>Bad</v>
      </c>
    </row>
    <row r="7157" spans="2:34" x14ac:dyDescent="0.2">
      <c r="B7157" s="2">
        <f ca="1"/>
        <v>0.5341959008780881</v>
      </c>
      <c r="O7157" s="2">
        <f ca="1"/>
        <v>0.15835008152880115</v>
      </c>
      <c r="X7157" s="2">
        <f ca="1"/>
        <v>57.623121674843205</v>
      </c>
      <c r="AG7157" s="2">
        <f ca="1"/>
        <v>0.85400456998022234</v>
      </c>
      <c r="AH7157" s="2" t="str">
        <f ca="1"/>
        <v>Bad</v>
      </c>
    </row>
    <row r="7158" spans="2:34" x14ac:dyDescent="0.2">
      <c r="B7158" s="2">
        <f ca="1"/>
        <v>0.5901808236732784</v>
      </c>
      <c r="O7158" s="2">
        <f ca="1"/>
        <v>1.1555918799249545</v>
      </c>
      <c r="X7158" s="2">
        <f ca="1"/>
        <v>36.340171279334761</v>
      </c>
      <c r="AG7158" s="2">
        <f ca="1"/>
        <v>0.94814406579485722</v>
      </c>
      <c r="AH7158" s="2" t="str">
        <f ca="1"/>
        <v>Bad</v>
      </c>
    </row>
    <row r="7159" spans="2:34" x14ac:dyDescent="0.2">
      <c r="B7159" s="2">
        <f ca="1"/>
        <v>0.80149843236242946</v>
      </c>
      <c r="O7159" s="2">
        <f ca="1"/>
        <v>-0.81845165515842322</v>
      </c>
      <c r="X7159" s="2">
        <f ca="1"/>
        <v>55.944143939018574</v>
      </c>
      <c r="AG7159" s="2">
        <f ca="1"/>
        <v>0.90125007950851965</v>
      </c>
      <c r="AH7159" s="2" t="str">
        <f ca="1"/>
        <v>Bad</v>
      </c>
    </row>
    <row r="7160" spans="2:34" x14ac:dyDescent="0.2">
      <c r="B7160" s="2">
        <f ca="1"/>
        <v>0.15801710061944352</v>
      </c>
      <c r="O7160" s="2">
        <f ca="1"/>
        <v>-0.82253915701093638</v>
      </c>
      <c r="X7160" s="2">
        <f ca="1"/>
        <v>48.273753821220488</v>
      </c>
      <c r="AG7160" s="2">
        <f ca="1"/>
        <v>0.58478119033903897</v>
      </c>
      <c r="AH7160" s="2" t="str">
        <f ca="1"/>
        <v>Bad</v>
      </c>
    </row>
    <row r="7161" spans="2:34" x14ac:dyDescent="0.2">
      <c r="B7161" s="2">
        <f ca="1"/>
        <v>0.33096258240181675</v>
      </c>
      <c r="O7161" s="2">
        <f ca="1"/>
        <v>-0.72414718754120333</v>
      </c>
      <c r="X7161" s="2">
        <f ca="1"/>
        <v>49.586422628035216</v>
      </c>
      <c r="AG7161" s="2">
        <f ca="1"/>
        <v>0.92463362658462533</v>
      </c>
      <c r="AH7161" s="2" t="str">
        <f ca="1"/>
        <v>Bad</v>
      </c>
    </row>
    <row r="7162" spans="2:34" x14ac:dyDescent="0.2">
      <c r="B7162" s="2">
        <f ca="1"/>
        <v>0.22122375749605583</v>
      </c>
      <c r="O7162" s="2">
        <f ca="1"/>
        <v>-0.30974630799931185</v>
      </c>
      <c r="X7162" s="2">
        <f ca="1"/>
        <v>46.053106640172111</v>
      </c>
      <c r="AG7162" s="2">
        <f ca="1"/>
        <v>0.84713711082320464</v>
      </c>
      <c r="AH7162" s="2" t="str">
        <f ca="1"/>
        <v>Bad</v>
      </c>
    </row>
    <row r="7163" spans="2:34" x14ac:dyDescent="0.2">
      <c r="B7163" s="2">
        <f ca="1"/>
        <v>0.44857131237714687</v>
      </c>
      <c r="O7163" s="2">
        <f ca="1"/>
        <v>0.25862532554080864</v>
      </c>
      <c r="X7163" s="2">
        <f ca="1"/>
        <v>63.503846956501057</v>
      </c>
      <c r="AG7163" s="2">
        <f ca="1"/>
        <v>0.76532330450184993</v>
      </c>
      <c r="AH7163" s="2" t="str">
        <f ca="1"/>
        <v>Bad</v>
      </c>
    </row>
    <row r="7164" spans="2:34" x14ac:dyDescent="0.2">
      <c r="B7164" s="2">
        <f ca="1"/>
        <v>0.27336796209817749</v>
      </c>
      <c r="O7164" s="2">
        <f ca="1"/>
        <v>-1.3280993206499485</v>
      </c>
      <c r="X7164" s="2">
        <f ca="1"/>
        <v>87.326178525094221</v>
      </c>
      <c r="AG7164" s="2">
        <f ca="1"/>
        <v>0.64507813673506353</v>
      </c>
      <c r="AH7164" s="2" t="str">
        <f ca="1"/>
        <v>Bad</v>
      </c>
    </row>
    <row r="7165" spans="2:34" x14ac:dyDescent="0.2">
      <c r="B7165" s="2">
        <f ca="1"/>
        <v>0.38408510202218915</v>
      </c>
      <c r="O7165" s="2">
        <f ca="1"/>
        <v>1.700731655231565</v>
      </c>
      <c r="X7165" s="2">
        <f ca="1"/>
        <v>23.474818927184316</v>
      </c>
      <c r="AG7165" s="2">
        <f ca="1"/>
        <v>0.51492122444429933</v>
      </c>
      <c r="AH7165" s="2" t="str">
        <f ca="1"/>
        <v>Bad</v>
      </c>
    </row>
    <row r="7166" spans="2:34" x14ac:dyDescent="0.2">
      <c r="B7166" s="2">
        <f ca="1"/>
        <v>0.67759323562748008</v>
      </c>
      <c r="O7166" s="2">
        <f ca="1"/>
        <v>0.35893035951735813</v>
      </c>
      <c r="X7166" s="2">
        <f ca="1"/>
        <v>24.116539614823822</v>
      </c>
      <c r="AG7166" s="2">
        <f ca="1"/>
        <v>0.60158093649647304</v>
      </c>
      <c r="AH7166" s="2" t="str">
        <f ca="1"/>
        <v>Bad</v>
      </c>
    </row>
    <row r="7167" spans="2:34" x14ac:dyDescent="0.2">
      <c r="B7167" s="2">
        <f ca="1"/>
        <v>0.58347346596770522</v>
      </c>
      <c r="O7167" s="2">
        <f ca="1"/>
        <v>-0.80369687952889468</v>
      </c>
      <c r="X7167" s="2">
        <f ca="1"/>
        <v>42.127456053381202</v>
      </c>
      <c r="AG7167" s="2">
        <f ca="1"/>
        <v>0.49030743927289921</v>
      </c>
      <c r="AH7167" s="2" t="str">
        <f ca="1"/>
        <v>Bad</v>
      </c>
    </row>
    <row r="7168" spans="2:34" x14ac:dyDescent="0.2">
      <c r="B7168" s="2">
        <f ca="1"/>
        <v>0.95360232523878841</v>
      </c>
      <c r="O7168" s="2">
        <f ca="1"/>
        <v>1.674304410171213</v>
      </c>
      <c r="X7168" s="2">
        <f ca="1"/>
        <v>35.491797565378661</v>
      </c>
      <c r="AG7168" s="2">
        <f ca="1"/>
        <v>6.0040240107940734E-2</v>
      </c>
      <c r="AH7168" s="2" t="str">
        <f ca="1"/>
        <v>OK</v>
      </c>
    </row>
    <row r="7169" spans="2:34" x14ac:dyDescent="0.2">
      <c r="B7169" s="2">
        <f ca="1"/>
        <v>0.43185205732832999</v>
      </c>
      <c r="O7169" s="2">
        <f ca="1"/>
        <v>-0.17431741140394169</v>
      </c>
      <c r="X7169" s="2">
        <f ca="1"/>
        <v>58.248723520806429</v>
      </c>
      <c r="AG7169" s="2">
        <f ca="1"/>
        <v>0.5460555798622917</v>
      </c>
      <c r="AH7169" s="2" t="str">
        <f ca="1"/>
        <v>Bad</v>
      </c>
    </row>
    <row r="7170" spans="2:34" x14ac:dyDescent="0.2">
      <c r="B7170" s="2">
        <f ca="1"/>
        <v>4.6896613506744567E-2</v>
      </c>
      <c r="O7170" s="2">
        <f ca="1"/>
        <v>-0.58399579839770055</v>
      </c>
      <c r="X7170" s="2">
        <f ca="1"/>
        <v>25.601210020948972</v>
      </c>
      <c r="AG7170" s="2">
        <f ca="1"/>
        <v>0.44142968914341574</v>
      </c>
      <c r="AH7170" s="2" t="str">
        <f ca="1"/>
        <v>Bad</v>
      </c>
    </row>
    <row r="7171" spans="2:34" x14ac:dyDescent="0.2">
      <c r="B7171" s="2">
        <f ca="1"/>
        <v>0.48182052818521171</v>
      </c>
      <c r="O7171" s="2">
        <f ca="1"/>
        <v>1.763108182936145</v>
      </c>
      <c r="X7171" s="2">
        <f ca="1"/>
        <v>52.014343613493139</v>
      </c>
      <c r="AG7171" s="2">
        <f ca="1"/>
        <v>0.52341004128157964</v>
      </c>
      <c r="AH7171" s="2" t="str">
        <f ca="1"/>
        <v>Bad</v>
      </c>
    </row>
    <row r="7172" spans="2:34" x14ac:dyDescent="0.2">
      <c r="B7172" s="2">
        <f ca="1"/>
        <v>0.59585128262248621</v>
      </c>
      <c r="O7172" s="2">
        <f ca="1"/>
        <v>2.8294399983084164E-2</v>
      </c>
      <c r="X7172" s="2">
        <f ca="1"/>
        <v>85.232843129038031</v>
      </c>
      <c r="AG7172" s="2">
        <f ca="1"/>
        <v>0.92697542789659626</v>
      </c>
      <c r="AH7172" s="2" t="str">
        <f ca="1"/>
        <v>Bad</v>
      </c>
    </row>
    <row r="7173" spans="2:34" x14ac:dyDescent="0.2">
      <c r="B7173" s="2">
        <f ca="1"/>
        <v>0.6515744639914649</v>
      </c>
      <c r="O7173" s="2">
        <f ca="1"/>
        <v>0.84921525093952122</v>
      </c>
      <c r="X7173" s="2">
        <f ca="1"/>
        <v>60.299073222344276</v>
      </c>
      <c r="AG7173" s="2">
        <f ca="1"/>
        <v>0.86999599123584059</v>
      </c>
      <c r="AH7173" s="2" t="str">
        <f ca="1"/>
        <v>Bad</v>
      </c>
    </row>
    <row r="7174" spans="2:34" x14ac:dyDescent="0.2">
      <c r="B7174" s="2">
        <f ca="1"/>
        <v>0.55494376057505823</v>
      </c>
      <c r="O7174" s="2">
        <f ca="1"/>
        <v>-1.7948462205036773</v>
      </c>
      <c r="X7174" s="2">
        <f ca="1"/>
        <v>35.496817348787211</v>
      </c>
      <c r="AG7174" s="2">
        <f ca="1"/>
        <v>0.95990220708066243</v>
      </c>
      <c r="AH7174" s="2" t="str">
        <f ca="1"/>
        <v>Bad</v>
      </c>
    </row>
    <row r="7175" spans="2:34" x14ac:dyDescent="0.2">
      <c r="B7175" s="2">
        <f ca="1"/>
        <v>0.21779129431019828</v>
      </c>
      <c r="O7175" s="2">
        <f ca="1"/>
        <v>-0.37128296713313208</v>
      </c>
      <c r="X7175" s="2">
        <f ca="1"/>
        <v>72.052652187531564</v>
      </c>
      <c r="AG7175" s="2">
        <f ca="1"/>
        <v>0.48334803460336562</v>
      </c>
      <c r="AH7175" s="2" t="str">
        <f ca="1"/>
        <v>Bad</v>
      </c>
    </row>
    <row r="7176" spans="2:34" x14ac:dyDescent="0.2">
      <c r="B7176" s="2">
        <f ca="1"/>
        <v>0.79709071580121016</v>
      </c>
      <c r="O7176" s="2">
        <f ca="1"/>
        <v>-1.8216299858583789</v>
      </c>
      <c r="X7176" s="2">
        <f ca="1"/>
        <v>48.867221246207748</v>
      </c>
      <c r="AG7176" s="2">
        <f ca="1"/>
        <v>0.9134932095071957</v>
      </c>
      <c r="AH7176" s="2" t="str">
        <f ca="1"/>
        <v>Bad</v>
      </c>
    </row>
    <row r="7177" spans="2:34" x14ac:dyDescent="0.2">
      <c r="B7177" s="2">
        <f ca="1"/>
        <v>0.50283955943899872</v>
      </c>
      <c r="O7177" s="2">
        <f ca="1"/>
        <v>0.50548518785259</v>
      </c>
      <c r="X7177" s="2">
        <f ca="1"/>
        <v>42.142421654729809</v>
      </c>
      <c r="AG7177" s="2">
        <f ca="1"/>
        <v>0.89951446020882209</v>
      </c>
      <c r="AH7177" s="2" t="str">
        <f ca="1"/>
        <v>Bad</v>
      </c>
    </row>
    <row r="7178" spans="2:34" x14ac:dyDescent="0.2">
      <c r="B7178" s="2">
        <f ca="1"/>
        <v>7.2114015069758342E-2</v>
      </c>
      <c r="O7178" s="2">
        <f ca="1"/>
        <v>0.89627549140238227</v>
      </c>
      <c r="X7178" s="2">
        <f ca="1"/>
        <v>35.182770355660331</v>
      </c>
      <c r="AG7178" s="2">
        <f ca="1"/>
        <v>0.92211088472373626</v>
      </c>
      <c r="AH7178" s="2" t="str">
        <f ca="1"/>
        <v>Bad</v>
      </c>
    </row>
    <row r="7179" spans="2:34" x14ac:dyDescent="0.2">
      <c r="B7179" s="2">
        <f ca="1"/>
        <v>0.12853426636080933</v>
      </c>
      <c r="O7179" s="2">
        <f ca="1"/>
        <v>0.60116885511880402</v>
      </c>
      <c r="X7179" s="2">
        <f ca="1"/>
        <v>75.347056862210252</v>
      </c>
      <c r="AG7179" s="2">
        <f ca="1"/>
        <v>0.6279055953973407</v>
      </c>
      <c r="AH7179" s="2" t="str">
        <f ca="1"/>
        <v>Bad</v>
      </c>
    </row>
    <row r="7180" spans="2:34" x14ac:dyDescent="0.2">
      <c r="B7180" s="2">
        <f ca="1"/>
        <v>0.46354415436208574</v>
      </c>
      <c r="O7180" s="2">
        <f ca="1"/>
        <v>0.52550921628202973</v>
      </c>
      <c r="X7180" s="2">
        <f ca="1"/>
        <v>41.254394856908448</v>
      </c>
      <c r="AG7180" s="2">
        <f ca="1"/>
        <v>0.86196450428959404</v>
      </c>
      <c r="AH7180" s="2" t="str">
        <f ca="1"/>
        <v>Bad</v>
      </c>
    </row>
    <row r="7181" spans="2:34" x14ac:dyDescent="0.2">
      <c r="B7181" s="2">
        <f ca="1"/>
        <v>0.7709030067521272</v>
      </c>
      <c r="O7181" s="2">
        <f ca="1"/>
        <v>1.0467155012859071</v>
      </c>
      <c r="X7181" s="2">
        <f ca="1"/>
        <v>34.243440941816544</v>
      </c>
      <c r="AG7181" s="2">
        <f ca="1"/>
        <v>0.46469923048478834</v>
      </c>
      <c r="AH7181" s="2" t="str">
        <f ca="1"/>
        <v>Bad</v>
      </c>
    </row>
    <row r="7182" spans="2:34" x14ac:dyDescent="0.2">
      <c r="B7182" s="2">
        <f ca="1"/>
        <v>0.6634471207450956</v>
      </c>
      <c r="O7182" s="2">
        <f ca="1"/>
        <v>-0.32165898066128912</v>
      </c>
      <c r="X7182" s="2">
        <f ca="1"/>
        <v>41.704152305028693</v>
      </c>
      <c r="AG7182" s="2">
        <f ca="1"/>
        <v>0.54354709779925225</v>
      </c>
      <c r="AH7182" s="2" t="str">
        <f ca="1"/>
        <v>Bad</v>
      </c>
    </row>
    <row r="7183" spans="2:34" x14ac:dyDescent="0.2">
      <c r="B7183" s="2">
        <f ca="1"/>
        <v>0.70416776783572566</v>
      </c>
      <c r="O7183" s="2">
        <f ca="1"/>
        <v>0.16786941505445704</v>
      </c>
      <c r="X7183" s="2">
        <f ca="1"/>
        <v>70.085005787565649</v>
      </c>
      <c r="AG7183" s="2">
        <f ca="1"/>
        <v>0.55614409965108558</v>
      </c>
      <c r="AH7183" s="2" t="str">
        <f ca="1"/>
        <v>Bad</v>
      </c>
    </row>
    <row r="7184" spans="2:34" x14ac:dyDescent="0.2">
      <c r="B7184" s="2">
        <f ca="1"/>
        <v>0.16535059866318957</v>
      </c>
      <c r="O7184" s="2">
        <f ca="1"/>
        <v>0.60371525481455912</v>
      </c>
      <c r="X7184" s="2">
        <f ca="1"/>
        <v>60.645495287098441</v>
      </c>
      <c r="AG7184" s="2">
        <f ca="1"/>
        <v>0.50048379995701509</v>
      </c>
      <c r="AH7184" s="2" t="str">
        <f ca="1"/>
        <v>Bad</v>
      </c>
    </row>
    <row r="7185" spans="2:34" x14ac:dyDescent="0.2">
      <c r="B7185" s="2">
        <f ca="1"/>
        <v>0.28220072662453033</v>
      </c>
      <c r="O7185" s="2">
        <f ca="1"/>
        <v>-0.25636492659132221</v>
      </c>
      <c r="X7185" s="2">
        <f ca="1"/>
        <v>49.434713527371599</v>
      </c>
      <c r="AG7185" s="2">
        <f ca="1"/>
        <v>0.77962215250577249</v>
      </c>
      <c r="AH7185" s="2" t="str">
        <f ca="1"/>
        <v>Bad</v>
      </c>
    </row>
    <row r="7186" spans="2:34" x14ac:dyDescent="0.2">
      <c r="B7186" s="2">
        <f ca="1"/>
        <v>0.68962235167258235</v>
      </c>
      <c r="O7186" s="2">
        <f ca="1"/>
        <v>0.49977152347850007</v>
      </c>
      <c r="X7186" s="2">
        <f ca="1"/>
        <v>46.705098282146366</v>
      </c>
      <c r="AG7186" s="2">
        <f ca="1"/>
        <v>0.11387135688714656</v>
      </c>
      <c r="AH7186" s="2" t="str">
        <f ca="1"/>
        <v>OK</v>
      </c>
    </row>
    <row r="7187" spans="2:34" x14ac:dyDescent="0.2">
      <c r="B7187" s="2">
        <f ca="1"/>
        <v>0.46013395976282845</v>
      </c>
      <c r="O7187" s="2">
        <f ca="1"/>
        <v>0.29559097244137816</v>
      </c>
      <c r="X7187" s="2">
        <f ca="1"/>
        <v>58.152760633327489</v>
      </c>
      <c r="AG7187" s="2">
        <f ca="1"/>
        <v>0.34529446293797905</v>
      </c>
      <c r="AH7187" s="2" t="str">
        <f ca="1"/>
        <v>OK</v>
      </c>
    </row>
    <row r="7188" spans="2:34" x14ac:dyDescent="0.2">
      <c r="B7188" s="2">
        <f ca="1"/>
        <v>0.23932413398785624</v>
      </c>
      <c r="O7188" s="2">
        <f ca="1"/>
        <v>-1.1281789677957557</v>
      </c>
      <c r="X7188" s="2">
        <f ca="1"/>
        <v>58.172937909488226</v>
      </c>
      <c r="AG7188" s="2">
        <f ca="1"/>
        <v>0.59519370550246853</v>
      </c>
      <c r="AH7188" s="2" t="str">
        <f ca="1"/>
        <v>Bad</v>
      </c>
    </row>
    <row r="7189" spans="2:34" x14ac:dyDescent="0.2">
      <c r="B7189" s="2">
        <f ca="1"/>
        <v>0.43985177101963058</v>
      </c>
      <c r="O7189" s="2">
        <f ca="1"/>
        <v>0.45292664127570548</v>
      </c>
      <c r="X7189" s="2">
        <f ca="1"/>
        <v>77.040162469948498</v>
      </c>
      <c r="AG7189" s="2">
        <f ca="1"/>
        <v>0.63882467074636495</v>
      </c>
      <c r="AH7189" s="2" t="str">
        <f ca="1"/>
        <v>Bad</v>
      </c>
    </row>
    <row r="7190" spans="2:34" x14ac:dyDescent="0.2">
      <c r="B7190" s="2">
        <f ca="1"/>
        <v>0.7737395939113112</v>
      </c>
      <c r="O7190" s="2">
        <f ca="1"/>
        <v>-5.0843394271783221E-2</v>
      </c>
      <c r="X7190" s="2">
        <f ca="1"/>
        <v>31.678115072674309</v>
      </c>
      <c r="AG7190" s="2">
        <f ca="1"/>
        <v>0.64433207200293774</v>
      </c>
      <c r="AH7190" s="2" t="str">
        <f ca="1"/>
        <v>Bad</v>
      </c>
    </row>
    <row r="7191" spans="2:34" x14ac:dyDescent="0.2">
      <c r="B7191" s="2">
        <f ca="1"/>
        <v>0.13808222147492066</v>
      </c>
      <c r="O7191" s="2">
        <f ca="1"/>
        <v>1.7128399068156575</v>
      </c>
      <c r="X7191" s="2">
        <f ca="1"/>
        <v>32.730795380002846</v>
      </c>
      <c r="AG7191" s="2">
        <f ca="1"/>
        <v>3.3847369053072063E-2</v>
      </c>
      <c r="AH7191" s="2" t="str">
        <f ca="1"/>
        <v>Good</v>
      </c>
    </row>
    <row r="7192" spans="2:34" x14ac:dyDescent="0.2">
      <c r="B7192" s="2">
        <f ca="1"/>
        <v>0.76223150071820389</v>
      </c>
      <c r="O7192" s="2">
        <f ca="1"/>
        <v>-2.2789378010524755</v>
      </c>
      <c r="X7192" s="2">
        <f ca="1"/>
        <v>22.820539395913855</v>
      </c>
      <c r="AG7192" s="2">
        <f ca="1"/>
        <v>0.28784346269150074</v>
      </c>
      <c r="AH7192" s="2" t="str">
        <f ca="1"/>
        <v>OK</v>
      </c>
    </row>
    <row r="7193" spans="2:34" x14ac:dyDescent="0.2">
      <c r="B7193" s="2">
        <f ca="1"/>
        <v>0.49757942735173777</v>
      </c>
      <c r="O7193" s="2">
        <f ca="1"/>
        <v>-0.51169926487048145</v>
      </c>
      <c r="X7193" s="2">
        <f ca="1"/>
        <v>35.068831060992196</v>
      </c>
      <c r="AG7193" s="2">
        <f ca="1"/>
        <v>0.29251183219270627</v>
      </c>
      <c r="AH7193" s="2" t="str">
        <f ca="1"/>
        <v>OK</v>
      </c>
    </row>
    <row r="7194" spans="2:34" x14ac:dyDescent="0.2">
      <c r="B7194" s="2">
        <f ca="1"/>
        <v>0.30087809837071133</v>
      </c>
      <c r="O7194" s="2">
        <f ca="1"/>
        <v>0.8337712836352249</v>
      </c>
      <c r="X7194" s="2">
        <f ca="1"/>
        <v>66.515880986847719</v>
      </c>
      <c r="AG7194" s="2">
        <f ca="1"/>
        <v>0.78676233370374038</v>
      </c>
      <c r="AH7194" s="2" t="str">
        <f ca="1"/>
        <v>Bad</v>
      </c>
    </row>
    <row r="7195" spans="2:34" x14ac:dyDescent="0.2">
      <c r="B7195" s="2">
        <f ca="1"/>
        <v>6.6922364476685869E-2</v>
      </c>
      <c r="O7195" s="2">
        <f ca="1"/>
        <v>-1.2964360713153835</v>
      </c>
      <c r="X7195" s="2">
        <f ca="1"/>
        <v>51.705684242516206</v>
      </c>
      <c r="AG7195" s="2">
        <f ca="1"/>
        <v>0.50270522604422063</v>
      </c>
      <c r="AH7195" s="2" t="str">
        <f ca="1"/>
        <v>Bad</v>
      </c>
    </row>
    <row r="7196" spans="2:34" x14ac:dyDescent="0.2">
      <c r="B7196" s="2">
        <f ca="1"/>
        <v>0.41653434511166187</v>
      </c>
      <c r="O7196" s="2">
        <f ca="1"/>
        <v>-0.42271111640004189</v>
      </c>
      <c r="X7196" s="2">
        <f ca="1"/>
        <v>36.511811872081559</v>
      </c>
      <c r="AG7196" s="2">
        <f ca="1"/>
        <v>0.29710273696458156</v>
      </c>
      <c r="AH7196" s="2" t="str">
        <f ca="1"/>
        <v>OK</v>
      </c>
    </row>
    <row r="7197" spans="2:34" x14ac:dyDescent="0.2">
      <c r="B7197" s="2">
        <f ca="1"/>
        <v>5.0814540944876807E-2</v>
      </c>
      <c r="O7197" s="2">
        <f ca="1"/>
        <v>0.1034290272644106</v>
      </c>
      <c r="X7197" s="2">
        <f ca="1"/>
        <v>51.820299377019445</v>
      </c>
      <c r="AG7197" s="2">
        <f ca="1"/>
        <v>0.93315765202670797</v>
      </c>
      <c r="AH7197" s="2" t="str">
        <f ca="1"/>
        <v>Bad</v>
      </c>
    </row>
    <row r="7198" spans="2:34" x14ac:dyDescent="0.2">
      <c r="B7198" s="2">
        <f ca="1"/>
        <v>0.56981627364414056</v>
      </c>
      <c r="O7198" s="2">
        <f ca="1"/>
        <v>-5.7289596769796974E-2</v>
      </c>
      <c r="X7198" s="2">
        <f ca="1"/>
        <v>50.899360729831251</v>
      </c>
      <c r="AG7198" s="2">
        <f ca="1"/>
        <v>0.6683691664850242</v>
      </c>
      <c r="AH7198" s="2" t="str">
        <f ca="1"/>
        <v>Bad</v>
      </c>
    </row>
    <row r="7199" spans="2:34" x14ac:dyDescent="0.2">
      <c r="B7199" s="2">
        <f ca="1"/>
        <v>0.69907913114686515</v>
      </c>
      <c r="O7199" s="2">
        <f ca="1"/>
        <v>0.37789066518750886</v>
      </c>
      <c r="X7199" s="2">
        <f ca="1"/>
        <v>47.789098306576392</v>
      </c>
      <c r="AG7199" s="2">
        <f ca="1"/>
        <v>0.35901827012428011</v>
      </c>
      <c r="AH7199" s="2" t="str">
        <f ca="1"/>
        <v>OK</v>
      </c>
    </row>
    <row r="7200" spans="2:34" x14ac:dyDescent="0.2">
      <c r="B7200" s="2">
        <f ca="1"/>
        <v>0.52736622514210718</v>
      </c>
      <c r="O7200" s="2">
        <f ca="1"/>
        <v>0.3194355713965662</v>
      </c>
      <c r="X7200" s="2">
        <f ca="1"/>
        <v>59.756434893184213</v>
      </c>
      <c r="AG7200" s="2">
        <f ca="1"/>
        <v>5.6965227441124089E-2</v>
      </c>
      <c r="AH7200" s="2" t="str">
        <f ca="1"/>
        <v>OK</v>
      </c>
    </row>
    <row r="7201" spans="2:34" x14ac:dyDescent="0.2">
      <c r="B7201" s="2">
        <f ca="1"/>
        <v>0.33540446838251636</v>
      </c>
      <c r="O7201" s="2">
        <f ca="1"/>
        <v>-1.5325492748421323</v>
      </c>
      <c r="X7201" s="2">
        <f ca="1"/>
        <v>24.950908923188294</v>
      </c>
      <c r="AG7201" s="2">
        <f ca="1"/>
        <v>0.39151018593868425</v>
      </c>
      <c r="AH7201" s="2" t="str">
        <f ca="1"/>
        <v>OK</v>
      </c>
    </row>
    <row r="7202" spans="2:34" x14ac:dyDescent="0.2">
      <c r="B7202" s="2">
        <f ca="1"/>
        <v>4.3935856941866192E-2</v>
      </c>
      <c r="O7202" s="2">
        <f ca="1"/>
        <v>0.14138866249486043</v>
      </c>
      <c r="X7202" s="2">
        <f ca="1"/>
        <v>31.567345483116863</v>
      </c>
      <c r="AG7202" s="2">
        <f ca="1"/>
        <v>0.11226286332282132</v>
      </c>
      <c r="AH7202" s="2" t="str">
        <f ca="1"/>
        <v>OK</v>
      </c>
    </row>
    <row r="7203" spans="2:34" x14ac:dyDescent="0.2">
      <c r="B7203" s="2">
        <f ca="1"/>
        <v>0.54875933720884218</v>
      </c>
      <c r="O7203" s="2">
        <f ca="1"/>
        <v>-1.6849645537018048</v>
      </c>
      <c r="X7203" s="2">
        <f ca="1"/>
        <v>36.789333476815187</v>
      </c>
      <c r="AG7203" s="2">
        <f ca="1"/>
        <v>0.86529074692531927</v>
      </c>
      <c r="AH7203" s="2" t="str">
        <f ca="1"/>
        <v>Bad</v>
      </c>
    </row>
    <row r="7204" spans="2:34" x14ac:dyDescent="0.2">
      <c r="B7204" s="2">
        <f ca="1"/>
        <v>0.77385238024128511</v>
      </c>
      <c r="O7204" s="2">
        <f ca="1"/>
        <v>0.20247925240761014</v>
      </c>
      <c r="X7204" s="2">
        <f ca="1"/>
        <v>61.1347558345335</v>
      </c>
      <c r="AG7204" s="2">
        <f ca="1"/>
        <v>0.91887635302315962</v>
      </c>
      <c r="AH7204" s="2" t="str">
        <f ca="1"/>
        <v>Bad</v>
      </c>
    </row>
    <row r="7205" spans="2:34" x14ac:dyDescent="0.2">
      <c r="B7205" s="2">
        <f ca="1"/>
        <v>0.56545392710941522</v>
      </c>
      <c r="O7205" s="2">
        <f ca="1"/>
        <v>1.1420848124553744</v>
      </c>
      <c r="X7205" s="2">
        <f ca="1"/>
        <v>46.954871040590895</v>
      </c>
      <c r="AG7205" s="2">
        <f ca="1"/>
        <v>0.1441182301493833</v>
      </c>
      <c r="AH7205" s="2" t="str">
        <f ca="1"/>
        <v>OK</v>
      </c>
    </row>
    <row r="7206" spans="2:34" x14ac:dyDescent="0.2">
      <c r="B7206" s="2">
        <f ca="1"/>
        <v>0.93283787483117586</v>
      </c>
      <c r="O7206" s="2">
        <f ca="1"/>
        <v>-0.44672228810873427</v>
      </c>
      <c r="X7206" s="2">
        <f ca="1"/>
        <v>54.409511871119136</v>
      </c>
      <c r="AG7206" s="2">
        <f ca="1"/>
        <v>0.46711899909617949</v>
      </c>
      <c r="AH7206" s="2" t="str">
        <f ca="1"/>
        <v>Bad</v>
      </c>
    </row>
    <row r="7207" spans="2:34" x14ac:dyDescent="0.2">
      <c r="B7207" s="2">
        <f ca="1"/>
        <v>0.85454245350152114</v>
      </c>
      <c r="O7207" s="2">
        <f ca="1"/>
        <v>0.4900492785623502</v>
      </c>
      <c r="X7207" s="2">
        <f ca="1"/>
        <v>31.953722224403837</v>
      </c>
      <c r="AG7207" s="2">
        <f ca="1"/>
        <v>0.50411274154809038</v>
      </c>
      <c r="AH7207" s="2" t="str">
        <f ca="1"/>
        <v>Bad</v>
      </c>
    </row>
    <row r="7208" spans="2:34" x14ac:dyDescent="0.2">
      <c r="B7208" s="2">
        <f ca="1"/>
        <v>0.12058846350367869</v>
      </c>
      <c r="O7208" s="2">
        <f ca="1"/>
        <v>-0.35819379382134336</v>
      </c>
      <c r="X7208" s="2">
        <f ca="1"/>
        <v>66.494388975987476</v>
      </c>
      <c r="AG7208" s="2">
        <f ca="1"/>
        <v>0.43564091363040713</v>
      </c>
      <c r="AH7208" s="2" t="str">
        <f ca="1"/>
        <v>Bad</v>
      </c>
    </row>
    <row r="7209" spans="2:34" x14ac:dyDescent="0.2">
      <c r="B7209" s="2">
        <f ca="1"/>
        <v>0.84803173207318427</v>
      </c>
      <c r="O7209" s="2">
        <f ca="1"/>
        <v>-0.52147524428960956</v>
      </c>
      <c r="X7209" s="2">
        <f ca="1"/>
        <v>83.725204947226487</v>
      </c>
      <c r="AG7209" s="2">
        <f ca="1"/>
        <v>0.85674746660895029</v>
      </c>
      <c r="AH7209" s="2" t="str">
        <f ca="1"/>
        <v>Bad</v>
      </c>
    </row>
    <row r="7210" spans="2:34" x14ac:dyDescent="0.2">
      <c r="B7210" s="2">
        <f ca="1"/>
        <v>0.32164598842655789</v>
      </c>
      <c r="O7210" s="2">
        <f ca="1"/>
        <v>1.5681571679318973</v>
      </c>
      <c r="X7210" s="2">
        <f ca="1"/>
        <v>48.331653715034541</v>
      </c>
      <c r="AG7210" s="2">
        <f ca="1"/>
        <v>0.5363713704180153</v>
      </c>
      <c r="AH7210" s="2" t="str">
        <f ca="1"/>
        <v>Bad</v>
      </c>
    </row>
    <row r="7211" spans="2:34" x14ac:dyDescent="0.2">
      <c r="B7211" s="2">
        <f ca="1"/>
        <v>0.13742960529342052</v>
      </c>
      <c r="O7211" s="2">
        <f ca="1"/>
        <v>-7.6628689784283763E-2</v>
      </c>
      <c r="X7211" s="2">
        <f ca="1"/>
        <v>39.687377435775694</v>
      </c>
      <c r="AG7211" s="2">
        <f ca="1"/>
        <v>3.2455863343090474E-2</v>
      </c>
      <c r="AH7211" s="2" t="str">
        <f ca="1"/>
        <v>Good</v>
      </c>
    </row>
    <row r="7212" spans="2:34" x14ac:dyDescent="0.2">
      <c r="B7212" s="2">
        <f ca="1"/>
        <v>0.53824442434892705</v>
      </c>
      <c r="O7212" s="2">
        <f ca="1"/>
        <v>0.3213304478671804</v>
      </c>
      <c r="X7212" s="2">
        <f ca="1"/>
        <v>39.979144806466046</v>
      </c>
      <c r="AG7212" s="2">
        <f ca="1"/>
        <v>0.15009911919006402</v>
      </c>
      <c r="AH7212" s="2" t="str">
        <f ca="1"/>
        <v>OK</v>
      </c>
    </row>
    <row r="7213" spans="2:34" x14ac:dyDescent="0.2">
      <c r="B7213" s="2">
        <f ca="1"/>
        <v>0.37399593281414489</v>
      </c>
      <c r="O7213" s="2">
        <f ca="1"/>
        <v>0.48681925760495165</v>
      </c>
      <c r="X7213" s="2">
        <f ca="1"/>
        <v>93.568884081414083</v>
      </c>
      <c r="AG7213" s="2">
        <f ca="1"/>
        <v>0.6238257207039688</v>
      </c>
      <c r="AH7213" s="2" t="str">
        <f ca="1"/>
        <v>Bad</v>
      </c>
    </row>
    <row r="7214" spans="2:34" x14ac:dyDescent="0.2">
      <c r="B7214" s="2">
        <f ca="1"/>
        <v>8.2237221764045465E-2</v>
      </c>
      <c r="O7214" s="2">
        <f ca="1"/>
        <v>-1.2361182964252497</v>
      </c>
      <c r="X7214" s="2">
        <f ca="1"/>
        <v>39.175715781911741</v>
      </c>
      <c r="AG7214" s="2">
        <f ca="1"/>
        <v>0.51248971086917017</v>
      </c>
      <c r="AH7214" s="2" t="str">
        <f ca="1"/>
        <v>Bad</v>
      </c>
    </row>
    <row r="7215" spans="2:34" x14ac:dyDescent="0.2">
      <c r="B7215" s="2">
        <f ca="1"/>
        <v>0.59824725007304891</v>
      </c>
      <c r="O7215" s="2">
        <f ca="1"/>
        <v>1.1574247030151055</v>
      </c>
      <c r="X7215" s="2">
        <f ca="1"/>
        <v>51.087082425144466</v>
      </c>
      <c r="AG7215" s="2">
        <f ca="1"/>
        <v>0.81610952840186912</v>
      </c>
      <c r="AH7215" s="2" t="str">
        <f ca="1"/>
        <v>Bad</v>
      </c>
    </row>
    <row r="7216" spans="2:34" x14ac:dyDescent="0.2">
      <c r="B7216" s="2">
        <f ca="1"/>
        <v>0.73095954563811172</v>
      </c>
      <c r="O7216" s="2">
        <f ca="1"/>
        <v>0.51965176208497321</v>
      </c>
      <c r="X7216" s="2">
        <f ca="1"/>
        <v>18.249873916963857</v>
      </c>
      <c r="AG7216" s="2">
        <f ca="1"/>
        <v>0.34337750786295906</v>
      </c>
      <c r="AH7216" s="2" t="str">
        <f ca="1"/>
        <v>OK</v>
      </c>
    </row>
    <row r="7217" spans="2:34" x14ac:dyDescent="0.2">
      <c r="B7217" s="2">
        <f ca="1"/>
        <v>0.68672125191285249</v>
      </c>
      <c r="O7217" s="2">
        <f ca="1"/>
        <v>-0.96649702995555675</v>
      </c>
      <c r="X7217" s="2">
        <f ca="1"/>
        <v>34.021683104528513</v>
      </c>
      <c r="AG7217" s="2">
        <f ca="1"/>
        <v>0.24126029393955117</v>
      </c>
      <c r="AH7217" s="2" t="str">
        <f ca="1"/>
        <v>OK</v>
      </c>
    </row>
    <row r="7218" spans="2:34" x14ac:dyDescent="0.2">
      <c r="B7218" s="2">
        <f ca="1"/>
        <v>7.2682167216659987E-2</v>
      </c>
      <c r="O7218" s="2">
        <f ca="1"/>
        <v>0.26170414404643993</v>
      </c>
      <c r="X7218" s="2">
        <f ca="1"/>
        <v>43.145039785949564</v>
      </c>
      <c r="AG7218" s="2">
        <f ca="1"/>
        <v>0.89873383168151233</v>
      </c>
      <c r="AH7218" s="2" t="str">
        <f ca="1"/>
        <v>Bad</v>
      </c>
    </row>
    <row r="7219" spans="2:34" x14ac:dyDescent="0.2">
      <c r="B7219" s="2">
        <f ca="1"/>
        <v>0.43681360636005762</v>
      </c>
      <c r="O7219" s="2">
        <f ca="1"/>
        <v>0.30804313573022679</v>
      </c>
      <c r="X7219" s="2">
        <f ca="1"/>
        <v>60.476073596651034</v>
      </c>
      <c r="AG7219" s="2">
        <f ca="1"/>
        <v>0.58689729276118752</v>
      </c>
      <c r="AH7219" s="2" t="str">
        <f ca="1"/>
        <v>Bad</v>
      </c>
    </row>
    <row r="7220" spans="2:34" x14ac:dyDescent="0.2">
      <c r="B7220" s="2">
        <f ca="1"/>
        <v>0.88386330616630659</v>
      </c>
      <c r="O7220" s="2">
        <f ca="1"/>
        <v>-1.4636442615727507</v>
      </c>
      <c r="X7220" s="2">
        <f ca="1"/>
        <v>57.767553316260909</v>
      </c>
      <c r="AG7220" s="2">
        <f ca="1"/>
        <v>0.56909971095129275</v>
      </c>
      <c r="AH7220" s="2" t="str">
        <f ca="1"/>
        <v>Bad</v>
      </c>
    </row>
    <row r="7221" spans="2:34" x14ac:dyDescent="0.2">
      <c r="B7221" s="2">
        <f ca="1"/>
        <v>0.1983591367175066</v>
      </c>
      <c r="O7221" s="2">
        <f ca="1"/>
        <v>-0.98877379198912008</v>
      </c>
      <c r="X7221" s="2">
        <f ca="1"/>
        <v>59.377284454218319</v>
      </c>
      <c r="AG7221" s="2">
        <f ca="1"/>
        <v>0.43188240818432888</v>
      </c>
      <c r="AH7221" s="2" t="str">
        <f ca="1"/>
        <v>Bad</v>
      </c>
    </row>
    <row r="7222" spans="2:34" x14ac:dyDescent="0.2">
      <c r="B7222" s="2">
        <f ca="1"/>
        <v>0.83870401137076755</v>
      </c>
      <c r="O7222" s="2">
        <f ca="1"/>
        <v>-0.58771878903046382</v>
      </c>
      <c r="X7222" s="2">
        <f ca="1"/>
        <v>62.195934342968684</v>
      </c>
      <c r="AG7222" s="2">
        <f ca="1"/>
        <v>0.43456128264742344</v>
      </c>
      <c r="AH7222" s="2" t="str">
        <f ca="1"/>
        <v>Bad</v>
      </c>
    </row>
    <row r="7223" spans="2:34" x14ac:dyDescent="0.2">
      <c r="B7223" s="2">
        <f ca="1"/>
        <v>0.47346318560282175</v>
      </c>
      <c r="O7223" s="2">
        <f ca="1"/>
        <v>0.96985938831917062</v>
      </c>
      <c r="X7223" s="2">
        <f ca="1"/>
        <v>44.586626915965617</v>
      </c>
      <c r="AG7223" s="2">
        <f ca="1"/>
        <v>0.65606243110873352</v>
      </c>
      <c r="AH7223" s="2" t="str">
        <f ca="1"/>
        <v>Bad</v>
      </c>
    </row>
    <row r="7224" spans="2:34" x14ac:dyDescent="0.2">
      <c r="B7224" s="2">
        <f ca="1"/>
        <v>0.44949340719539399</v>
      </c>
      <c r="O7224" s="2">
        <f ca="1"/>
        <v>-1.1538413872673368</v>
      </c>
      <c r="X7224" s="2">
        <f ca="1"/>
        <v>46.994992879213093</v>
      </c>
      <c r="AG7224" s="2">
        <f ca="1"/>
        <v>0.44832870861304142</v>
      </c>
      <c r="AH7224" s="2" t="str">
        <f ca="1"/>
        <v>Bad</v>
      </c>
    </row>
    <row r="7225" spans="2:34" x14ac:dyDescent="0.2">
      <c r="B7225" s="2">
        <f ca="1"/>
        <v>8.7485346727631752E-2</v>
      </c>
      <c r="O7225" s="2">
        <f ca="1"/>
        <v>0.90449647622586571</v>
      </c>
      <c r="X7225" s="2">
        <f ca="1"/>
        <v>51.146214352848745</v>
      </c>
      <c r="AG7225" s="2">
        <f ca="1"/>
        <v>0.67372675948826988</v>
      </c>
      <c r="AH7225" s="2" t="str">
        <f ca="1"/>
        <v>Bad</v>
      </c>
    </row>
    <row r="7226" spans="2:34" x14ac:dyDescent="0.2">
      <c r="B7226" s="2">
        <f ca="1"/>
        <v>2.0698380928988014E-2</v>
      </c>
      <c r="O7226" s="2">
        <f ca="1"/>
        <v>0.99658918085193915</v>
      </c>
      <c r="X7226" s="2">
        <f ca="1"/>
        <v>47.610091396610635</v>
      </c>
      <c r="AG7226" s="2">
        <f ca="1"/>
        <v>0.70927594115612003</v>
      </c>
      <c r="AH7226" s="2" t="str">
        <f ca="1"/>
        <v>Bad</v>
      </c>
    </row>
    <row r="7227" spans="2:34" x14ac:dyDescent="0.2">
      <c r="B7227" s="2">
        <f ca="1"/>
        <v>0.7498761879292406</v>
      </c>
      <c r="O7227" s="2">
        <f ca="1"/>
        <v>0.25668138778080979</v>
      </c>
      <c r="X7227" s="2">
        <f ca="1"/>
        <v>45.511773835686505</v>
      </c>
      <c r="AG7227" s="2">
        <f ca="1"/>
        <v>0.53386224427938767</v>
      </c>
      <c r="AH7227" s="2" t="str">
        <f ca="1"/>
        <v>Bad</v>
      </c>
    </row>
    <row r="7228" spans="2:34" x14ac:dyDescent="0.2">
      <c r="B7228" s="2">
        <f ca="1"/>
        <v>0.32792040297019964</v>
      </c>
      <c r="O7228" s="2">
        <f ca="1"/>
        <v>-1.2611290901177412</v>
      </c>
      <c r="X7228" s="2">
        <f ca="1"/>
        <v>43.609138554829059</v>
      </c>
      <c r="AG7228" s="2">
        <f ca="1"/>
        <v>0.96336728648311087</v>
      </c>
      <c r="AH7228" s="2" t="str">
        <f ca="1"/>
        <v>Bad</v>
      </c>
    </row>
    <row r="7229" spans="2:34" x14ac:dyDescent="0.2">
      <c r="B7229" s="2">
        <f ca="1"/>
        <v>0.78374641208261098</v>
      </c>
      <c r="O7229" s="2">
        <f ca="1"/>
        <v>0.172329625278833</v>
      </c>
      <c r="X7229" s="2">
        <f ca="1"/>
        <v>44.515473873413818</v>
      </c>
      <c r="AG7229" s="2">
        <f ca="1"/>
        <v>0.71891959784043191</v>
      </c>
      <c r="AH7229" s="2" t="str">
        <f ca="1"/>
        <v>Bad</v>
      </c>
    </row>
    <row r="7230" spans="2:34" x14ac:dyDescent="0.2">
      <c r="B7230" s="2">
        <f ca="1"/>
        <v>0.24045600822185853</v>
      </c>
      <c r="O7230" s="2">
        <f ca="1"/>
        <v>0.40263307285830358</v>
      </c>
      <c r="X7230" s="2">
        <f ca="1"/>
        <v>66.798908875143951</v>
      </c>
      <c r="AG7230" s="2">
        <f ca="1"/>
        <v>0.45738481176764978</v>
      </c>
      <c r="AH7230" s="2" t="str">
        <f ca="1"/>
        <v>Bad</v>
      </c>
    </row>
    <row r="7231" spans="2:34" x14ac:dyDescent="0.2">
      <c r="B7231" s="2">
        <f ca="1"/>
        <v>0.5802321014910039</v>
      </c>
      <c r="O7231" s="2">
        <f ca="1"/>
        <v>0.16500761561040708</v>
      </c>
      <c r="X7231" s="2">
        <f ca="1"/>
        <v>36.137542917839838</v>
      </c>
      <c r="AG7231" s="2">
        <f ca="1"/>
        <v>4.2961464705679075E-2</v>
      </c>
      <c r="AH7231" s="2" t="str">
        <f ca="1"/>
        <v>Good</v>
      </c>
    </row>
    <row r="7232" spans="2:34" x14ac:dyDescent="0.2">
      <c r="B7232" s="2">
        <f ca="1"/>
        <v>5.0957933653472676E-3</v>
      </c>
      <c r="O7232" s="2">
        <f ca="1"/>
        <v>1.2613555295795262</v>
      </c>
      <c r="X7232" s="2">
        <f ca="1"/>
        <v>46.445406205777289</v>
      </c>
      <c r="AG7232" s="2">
        <f ca="1"/>
        <v>0.36041961360887065</v>
      </c>
      <c r="AH7232" s="2" t="str">
        <f ca="1"/>
        <v>OK</v>
      </c>
    </row>
    <row r="7233" spans="2:34" x14ac:dyDescent="0.2">
      <c r="B7233" s="2">
        <f ca="1"/>
        <v>0.16950563103594973</v>
      </c>
      <c r="O7233" s="2">
        <f ca="1"/>
        <v>-1.5550367025647847</v>
      </c>
      <c r="X7233" s="2">
        <f ca="1"/>
        <v>54.274198982282485</v>
      </c>
      <c r="AG7233" s="2">
        <f ca="1"/>
        <v>0.58032434261946086</v>
      </c>
      <c r="AH7233" s="2" t="str">
        <f ca="1"/>
        <v>Bad</v>
      </c>
    </row>
    <row r="7234" spans="2:34" x14ac:dyDescent="0.2">
      <c r="B7234" s="2">
        <f ca="1"/>
        <v>0.45423547041307577</v>
      </c>
      <c r="O7234" s="2">
        <f ca="1"/>
        <v>-1.6482728716587358</v>
      </c>
      <c r="X7234" s="2">
        <f ca="1"/>
        <v>40.242784305945023</v>
      </c>
      <c r="AG7234" s="2">
        <f ca="1"/>
        <v>0.49610498845644946</v>
      </c>
      <c r="AH7234" s="2" t="str">
        <f ca="1"/>
        <v>Bad</v>
      </c>
    </row>
    <row r="7235" spans="2:34" x14ac:dyDescent="0.2">
      <c r="B7235" s="2">
        <f ca="1"/>
        <v>0.50059004550532049</v>
      </c>
      <c r="O7235" s="2">
        <f ca="1"/>
        <v>-1.4744296395426213</v>
      </c>
      <c r="X7235" s="2">
        <f ca="1"/>
        <v>36.844654965725184</v>
      </c>
      <c r="AG7235" s="2">
        <f ca="1"/>
        <v>0.81447903501673591</v>
      </c>
      <c r="AH7235" s="2" t="str">
        <f ca="1"/>
        <v>Bad</v>
      </c>
    </row>
    <row r="7236" spans="2:34" x14ac:dyDescent="0.2">
      <c r="B7236" s="2">
        <f ca="1"/>
        <v>0.7084854314964053</v>
      </c>
      <c r="O7236" s="2">
        <f ca="1"/>
        <v>-0.41846632560739455</v>
      </c>
      <c r="X7236" s="2">
        <f ca="1"/>
        <v>54.463077821641761</v>
      </c>
      <c r="AG7236" s="2">
        <f ca="1"/>
        <v>0.41459315910597061</v>
      </c>
      <c r="AH7236" s="2" t="str">
        <f ca="1"/>
        <v>Bad</v>
      </c>
    </row>
    <row r="7237" spans="2:34" x14ac:dyDescent="0.2">
      <c r="B7237" s="2">
        <f ca="1"/>
        <v>0.11786779115538026</v>
      </c>
      <c r="O7237" s="2">
        <f ca="1"/>
        <v>1.2658899680328672</v>
      </c>
      <c r="X7237" s="2">
        <f ca="1"/>
        <v>47.647030223029326</v>
      </c>
      <c r="AG7237" s="2">
        <f ca="1"/>
        <v>8.0112320129788417E-2</v>
      </c>
      <c r="AH7237" s="2" t="str">
        <f ca="1"/>
        <v>OK</v>
      </c>
    </row>
    <row r="7238" spans="2:34" x14ac:dyDescent="0.2">
      <c r="B7238" s="2">
        <f ca="1"/>
        <v>0.16840011692958989</v>
      </c>
      <c r="O7238" s="2">
        <f ca="1"/>
        <v>-0.11300644282587613</v>
      </c>
      <c r="X7238" s="2">
        <f ca="1"/>
        <v>54.543373539161365</v>
      </c>
      <c r="AG7238" s="2">
        <f ca="1"/>
        <v>0.2809118359197933</v>
      </c>
      <c r="AH7238" s="2" t="str">
        <f ca="1"/>
        <v>OK</v>
      </c>
    </row>
    <row r="7239" spans="2:34" x14ac:dyDescent="0.2">
      <c r="B7239" s="2">
        <f ca="1"/>
        <v>0.666311328453703</v>
      </c>
      <c r="O7239" s="2">
        <f ca="1"/>
        <v>-0.25701595438126207</v>
      </c>
      <c r="X7239" s="2">
        <f ca="1"/>
        <v>54.829558392085488</v>
      </c>
      <c r="AG7239" s="2">
        <f ca="1"/>
        <v>0.23545307797384951</v>
      </c>
      <c r="AH7239" s="2" t="str">
        <f ca="1"/>
        <v>OK</v>
      </c>
    </row>
    <row r="7240" spans="2:34" x14ac:dyDescent="0.2">
      <c r="B7240" s="2">
        <f ca="1"/>
        <v>0.91569420435521387</v>
      </c>
      <c r="O7240" s="2">
        <f ca="1"/>
        <v>0.2491685676779781</v>
      </c>
      <c r="X7240" s="2">
        <f ca="1"/>
        <v>34.954117298960135</v>
      </c>
      <c r="AG7240" s="2">
        <f ca="1"/>
        <v>0.25114159060859742</v>
      </c>
      <c r="AH7240" s="2" t="str">
        <f ca="1"/>
        <v>OK</v>
      </c>
    </row>
    <row r="7241" spans="2:34" x14ac:dyDescent="0.2">
      <c r="B7241" s="2">
        <f ca="1"/>
        <v>0.55862107796354921</v>
      </c>
      <c r="O7241" s="2">
        <f ca="1"/>
        <v>-0.25935373710439152</v>
      </c>
      <c r="X7241" s="2">
        <f ca="1"/>
        <v>78.714682283990285</v>
      </c>
      <c r="AG7241" s="2">
        <f ca="1"/>
        <v>0.76270203316146068</v>
      </c>
      <c r="AH7241" s="2" t="str">
        <f ca="1"/>
        <v>Bad</v>
      </c>
    </row>
    <row r="7242" spans="2:34" x14ac:dyDescent="0.2">
      <c r="B7242" s="2">
        <f ca="1"/>
        <v>6.1737758195569148E-2</v>
      </c>
      <c r="O7242" s="2">
        <f ca="1"/>
        <v>0.79526982678631519</v>
      </c>
      <c r="X7242" s="2">
        <f ca="1"/>
        <v>55.441709082354848</v>
      </c>
      <c r="AG7242" s="2">
        <f ca="1"/>
        <v>0.62792661163482966</v>
      </c>
      <c r="AH7242" s="2" t="str">
        <f ca="1"/>
        <v>Bad</v>
      </c>
    </row>
    <row r="7243" spans="2:34" x14ac:dyDescent="0.2">
      <c r="B7243" s="2">
        <f ca="1"/>
        <v>0.67064202179500487</v>
      </c>
      <c r="O7243" s="2">
        <f ca="1"/>
        <v>-0.26374573712016153</v>
      </c>
      <c r="X7243" s="2">
        <f ca="1"/>
        <v>56.850305001517057</v>
      </c>
      <c r="AG7243" s="2">
        <f ca="1"/>
        <v>0.24739976546401077</v>
      </c>
      <c r="AH7243" s="2" t="str">
        <f ca="1"/>
        <v>OK</v>
      </c>
    </row>
    <row r="7244" spans="2:34" x14ac:dyDescent="0.2">
      <c r="B7244" s="2">
        <f ca="1"/>
        <v>0.75830287606835278</v>
      </c>
      <c r="O7244" s="2">
        <f ca="1"/>
        <v>2.3964638984330682</v>
      </c>
      <c r="X7244" s="2">
        <f ca="1"/>
        <v>52.814089027960222</v>
      </c>
      <c r="AG7244" s="2">
        <f ca="1"/>
        <v>0.70351927428571681</v>
      </c>
      <c r="AH7244" s="2" t="str">
        <f ca="1"/>
        <v>Bad</v>
      </c>
    </row>
    <row r="7245" spans="2:34" x14ac:dyDescent="0.2">
      <c r="B7245" s="2">
        <f ca="1"/>
        <v>0.40888698396091816</v>
      </c>
      <c r="O7245" s="2">
        <f ca="1"/>
        <v>-1.2891600286351952</v>
      </c>
      <c r="X7245" s="2">
        <f ca="1"/>
        <v>48.565203624504292</v>
      </c>
      <c r="AG7245" s="2">
        <f ca="1"/>
        <v>0.41336925455052653</v>
      </c>
      <c r="AH7245" s="2" t="str">
        <f ca="1"/>
        <v>Bad</v>
      </c>
    </row>
    <row r="7246" spans="2:34" x14ac:dyDescent="0.2">
      <c r="B7246" s="2">
        <f ca="1"/>
        <v>0.2282179408016225</v>
      </c>
      <c r="O7246" s="2">
        <f ca="1"/>
        <v>-1.7061767820271661</v>
      </c>
      <c r="X7246" s="2">
        <f ca="1"/>
        <v>50.838484927569816</v>
      </c>
      <c r="AG7246" s="2">
        <f ca="1"/>
        <v>0.59048969611827196</v>
      </c>
      <c r="AH7246" s="2" t="str">
        <f ca="1"/>
        <v>Bad</v>
      </c>
    </row>
    <row r="7247" spans="2:34" x14ac:dyDescent="0.2">
      <c r="B7247" s="2">
        <f ca="1"/>
        <v>0.51274564908940334</v>
      </c>
      <c r="O7247" s="2">
        <f ca="1"/>
        <v>-0.34865693889779265</v>
      </c>
      <c r="X7247" s="2">
        <f ca="1"/>
        <v>50.925911493750498</v>
      </c>
      <c r="AG7247" s="2">
        <f ca="1"/>
        <v>0.72359707539284224</v>
      </c>
      <c r="AH7247" s="2" t="str">
        <f ca="1"/>
        <v>Bad</v>
      </c>
    </row>
    <row r="7248" spans="2:34" x14ac:dyDescent="0.2">
      <c r="B7248" s="2">
        <f ca="1"/>
        <v>0.42559190050730744</v>
      </c>
      <c r="O7248" s="2">
        <f ca="1"/>
        <v>-1.1451985848431454</v>
      </c>
      <c r="X7248" s="2">
        <f ca="1"/>
        <v>66.117568011810107</v>
      </c>
      <c r="AG7248" s="2">
        <f ca="1"/>
        <v>0.75489067299447554</v>
      </c>
      <c r="AH7248" s="2" t="str">
        <f ca="1"/>
        <v>Bad</v>
      </c>
    </row>
    <row r="7249" spans="2:34" x14ac:dyDescent="0.2">
      <c r="B7249" s="2">
        <f ca="1"/>
        <v>0.30287475211596671</v>
      </c>
      <c r="O7249" s="2">
        <f ca="1"/>
        <v>-2.7202758797094866</v>
      </c>
      <c r="X7249" s="2">
        <f ca="1"/>
        <v>38.148697889734947</v>
      </c>
      <c r="AG7249" s="2">
        <f ca="1"/>
        <v>0.7430349546333177</v>
      </c>
      <c r="AH7249" s="2" t="str">
        <f ca="1"/>
        <v>Bad</v>
      </c>
    </row>
    <row r="7250" spans="2:34" x14ac:dyDescent="0.2">
      <c r="B7250" s="2">
        <f ca="1"/>
        <v>0.2938314005370255</v>
      </c>
      <c r="O7250" s="2">
        <f ca="1"/>
        <v>7.8847948902672216E-2</v>
      </c>
      <c r="X7250" s="2">
        <f ca="1"/>
        <v>58.470169548384149</v>
      </c>
      <c r="AG7250" s="2">
        <f ca="1"/>
        <v>0.3218948082973232</v>
      </c>
      <c r="AH7250" s="2" t="str">
        <f ca="1"/>
        <v>OK</v>
      </c>
    </row>
    <row r="7251" spans="2:34" x14ac:dyDescent="0.2">
      <c r="B7251" s="2">
        <f ca="1"/>
        <v>0.96777787698213324</v>
      </c>
      <c r="O7251" s="2">
        <f ca="1"/>
        <v>-1.3172192754909648</v>
      </c>
      <c r="X7251" s="2">
        <f ca="1"/>
        <v>30.079761574933237</v>
      </c>
      <c r="AG7251" s="2">
        <f ca="1"/>
        <v>0.52320517718710002</v>
      </c>
      <c r="AH7251" s="2" t="str">
        <f ca="1"/>
        <v>Bad</v>
      </c>
    </row>
    <row r="7252" spans="2:34" x14ac:dyDescent="0.2">
      <c r="B7252" s="2">
        <f ca="1"/>
        <v>0.95145183708760328</v>
      </c>
      <c r="O7252" s="2">
        <f ca="1"/>
        <v>0.41673072501228337</v>
      </c>
      <c r="X7252" s="2">
        <f ca="1"/>
        <v>20.908360699779962</v>
      </c>
      <c r="AG7252" s="2">
        <f ca="1"/>
        <v>0.25225329411383401</v>
      </c>
      <c r="AH7252" s="2" t="str">
        <f ca="1"/>
        <v>OK</v>
      </c>
    </row>
    <row r="7253" spans="2:34" x14ac:dyDescent="0.2">
      <c r="B7253" s="2">
        <f ca="1"/>
        <v>9.6727392738720219E-2</v>
      </c>
      <c r="O7253" s="2">
        <f ca="1"/>
        <v>3.2697690838282792E-2</v>
      </c>
      <c r="X7253" s="2">
        <f ca="1"/>
        <v>40.133062168066218</v>
      </c>
      <c r="AG7253" s="2">
        <f ca="1"/>
        <v>8.9105134660473206E-2</v>
      </c>
      <c r="AH7253" s="2" t="str">
        <f ca="1"/>
        <v>OK</v>
      </c>
    </row>
    <row r="7254" spans="2:34" x14ac:dyDescent="0.2">
      <c r="B7254" s="2">
        <f ca="1"/>
        <v>0.10508754869070325</v>
      </c>
      <c r="O7254" s="2">
        <f ca="1"/>
        <v>-0.48253665195249146</v>
      </c>
      <c r="X7254" s="2">
        <f ca="1"/>
        <v>25.724991617452865</v>
      </c>
      <c r="AG7254" s="2">
        <f ca="1"/>
        <v>0.44912431650639251</v>
      </c>
      <c r="AH7254" s="2" t="str">
        <f ca="1"/>
        <v>Bad</v>
      </c>
    </row>
    <row r="7255" spans="2:34" x14ac:dyDescent="0.2">
      <c r="B7255" s="2">
        <f ca="1"/>
        <v>0.85256902834986992</v>
      </c>
      <c r="O7255" s="2">
        <f ca="1"/>
        <v>-0.76051835662091027</v>
      </c>
      <c r="X7255" s="2">
        <f ca="1"/>
        <v>40.323690339835061</v>
      </c>
      <c r="AG7255" s="2">
        <f ca="1"/>
        <v>0.79056584906423089</v>
      </c>
      <c r="AH7255" s="2" t="str">
        <f ca="1"/>
        <v>Bad</v>
      </c>
    </row>
    <row r="7256" spans="2:34" x14ac:dyDescent="0.2">
      <c r="B7256" s="2">
        <f ca="1"/>
        <v>0.25758976998334959</v>
      </c>
      <c r="O7256" s="2">
        <f ca="1"/>
        <v>-1.209191226730931</v>
      </c>
      <c r="X7256" s="2">
        <f ca="1"/>
        <v>25.623680384988738</v>
      </c>
      <c r="AG7256" s="2">
        <f ca="1"/>
        <v>0.98622984944646874</v>
      </c>
      <c r="AH7256" s="2" t="str">
        <f ca="1"/>
        <v>Bad</v>
      </c>
    </row>
    <row r="7257" spans="2:34" x14ac:dyDescent="0.2">
      <c r="B7257" s="2">
        <f ca="1"/>
        <v>0.49842845529496316</v>
      </c>
      <c r="O7257" s="2">
        <f ca="1"/>
        <v>-0.76959705908177167</v>
      </c>
      <c r="X7257" s="2">
        <f ca="1"/>
        <v>35.227587283764379</v>
      </c>
      <c r="AG7257" s="2">
        <f ca="1"/>
        <v>0.48327291498931024</v>
      </c>
      <c r="AH7257" s="2" t="str">
        <f ca="1"/>
        <v>Bad</v>
      </c>
    </row>
    <row r="7258" spans="2:34" x14ac:dyDescent="0.2">
      <c r="B7258" s="2">
        <f ca="1"/>
        <v>0.96040609109987929</v>
      </c>
      <c r="O7258" s="2">
        <f ca="1"/>
        <v>6.5466817729579366E-2</v>
      </c>
      <c r="X7258" s="2">
        <f ca="1"/>
        <v>32.230378171867613</v>
      </c>
      <c r="AG7258" s="2">
        <f ca="1"/>
        <v>0.25572763228758233</v>
      </c>
      <c r="AH7258" s="2" t="str">
        <f ca="1"/>
        <v>OK</v>
      </c>
    </row>
    <row r="7259" spans="2:34" x14ac:dyDescent="0.2">
      <c r="B7259" s="2">
        <f ca="1"/>
        <v>0.10873013770119755</v>
      </c>
      <c r="O7259" s="2">
        <f ca="1"/>
        <v>0.75575190375766066</v>
      </c>
      <c r="X7259" s="2">
        <f ca="1"/>
        <v>35.216384062945025</v>
      </c>
      <c r="AG7259" s="2">
        <f ca="1"/>
        <v>0.52404497913123227</v>
      </c>
      <c r="AH7259" s="2" t="str">
        <f ca="1"/>
        <v>Bad</v>
      </c>
    </row>
    <row r="7260" spans="2:34" x14ac:dyDescent="0.2">
      <c r="B7260" s="2">
        <f ca="1"/>
        <v>0.54197196371221246</v>
      </c>
      <c r="O7260" s="2">
        <f ca="1"/>
        <v>-1.1584104113357578</v>
      </c>
      <c r="X7260" s="2">
        <f ca="1"/>
        <v>40.711099842490491</v>
      </c>
      <c r="AG7260" s="2">
        <f ca="1"/>
        <v>0.74806614044647857</v>
      </c>
      <c r="AH7260" s="2" t="str">
        <f ca="1"/>
        <v>Bad</v>
      </c>
    </row>
    <row r="7261" spans="2:34" x14ac:dyDescent="0.2">
      <c r="B7261" s="2">
        <f ca="1"/>
        <v>5.5856807280100895E-2</v>
      </c>
      <c r="O7261" s="2">
        <f ca="1"/>
        <v>0.38800532323308912</v>
      </c>
      <c r="X7261" s="2">
        <f ca="1"/>
        <v>37.61620785211359</v>
      </c>
      <c r="AG7261" s="2">
        <f ca="1"/>
        <v>0.29763860478707072</v>
      </c>
      <c r="AH7261" s="2" t="str">
        <f ca="1"/>
        <v>OK</v>
      </c>
    </row>
    <row r="7262" spans="2:34" x14ac:dyDescent="0.2">
      <c r="B7262" s="2">
        <f ca="1"/>
        <v>0.79362828482434522</v>
      </c>
      <c r="O7262" s="2">
        <f ca="1"/>
        <v>1.7193073813499047</v>
      </c>
      <c r="X7262" s="2">
        <f ca="1"/>
        <v>38.9514089172879</v>
      </c>
      <c r="AG7262" s="2">
        <f ca="1"/>
        <v>0.14798005088769406</v>
      </c>
      <c r="AH7262" s="2" t="str">
        <f ca="1"/>
        <v>OK</v>
      </c>
    </row>
    <row r="7263" spans="2:34" x14ac:dyDescent="0.2">
      <c r="B7263" s="2">
        <f ca="1"/>
        <v>0.2508353844354736</v>
      </c>
      <c r="O7263" s="2">
        <f ca="1"/>
        <v>-0.47062761356631894</v>
      </c>
      <c r="X7263" s="2">
        <f ca="1"/>
        <v>63.612514477493235</v>
      </c>
      <c r="AG7263" s="2">
        <f ca="1"/>
        <v>0.99064889349391017</v>
      </c>
      <c r="AH7263" s="2" t="str">
        <f ca="1"/>
        <v>Bad</v>
      </c>
    </row>
    <row r="7264" spans="2:34" x14ac:dyDescent="0.2">
      <c r="B7264" s="2">
        <f ca="1"/>
        <v>0.40361205469697881</v>
      </c>
      <c r="O7264" s="2">
        <f ca="1"/>
        <v>-0.50318200101004296</v>
      </c>
      <c r="X7264" s="2">
        <f ca="1"/>
        <v>67.132159474460039</v>
      </c>
      <c r="AG7264" s="2">
        <f ca="1"/>
        <v>0.48492329349344199</v>
      </c>
      <c r="AH7264" s="2" t="str">
        <f ca="1"/>
        <v>Bad</v>
      </c>
    </row>
    <row r="7265" spans="2:34" x14ac:dyDescent="0.2">
      <c r="B7265" s="2">
        <f ca="1"/>
        <v>0.80099516313084118</v>
      </c>
      <c r="O7265" s="2">
        <f ca="1"/>
        <v>0.5688669758305126</v>
      </c>
      <c r="X7265" s="2">
        <f ca="1"/>
        <v>26.76023032369816</v>
      </c>
      <c r="AG7265" s="2">
        <f ca="1"/>
        <v>0.65133764679677553</v>
      </c>
      <c r="AH7265" s="2" t="str">
        <f ca="1"/>
        <v>Bad</v>
      </c>
    </row>
    <row r="7266" spans="2:34" x14ac:dyDescent="0.2">
      <c r="B7266" s="2">
        <f ca="1"/>
        <v>0.85839843391986581</v>
      </c>
      <c r="O7266" s="2">
        <f ca="1"/>
        <v>-0.965386240019107</v>
      </c>
      <c r="X7266" s="2">
        <f ca="1"/>
        <v>43.621152733105959</v>
      </c>
      <c r="AG7266" s="2">
        <f ca="1"/>
        <v>8.0342470817829081E-3</v>
      </c>
      <c r="AH7266" s="2" t="str">
        <f ca="1"/>
        <v>Good</v>
      </c>
    </row>
    <row r="7267" spans="2:34" x14ac:dyDescent="0.2">
      <c r="B7267" s="2">
        <f ca="1"/>
        <v>0.90362896193852094</v>
      </c>
      <c r="O7267" s="2">
        <f ca="1"/>
        <v>-8.9761831664471908E-2</v>
      </c>
      <c r="X7267" s="2">
        <f ca="1"/>
        <v>43.689747566526421</v>
      </c>
      <c r="AG7267" s="2">
        <f ca="1"/>
        <v>0.85945506037419239</v>
      </c>
      <c r="AH7267" s="2" t="str">
        <f ca="1"/>
        <v>Bad</v>
      </c>
    </row>
    <row r="7268" spans="2:34" x14ac:dyDescent="0.2">
      <c r="B7268" s="2">
        <f ca="1"/>
        <v>4.6496574631705645E-2</v>
      </c>
      <c r="O7268" s="2">
        <f ca="1"/>
        <v>1.3536734021691206</v>
      </c>
      <c r="X7268" s="2">
        <f ca="1"/>
        <v>43.250408434463111</v>
      </c>
      <c r="AG7268" s="2">
        <f ca="1"/>
        <v>0.59705518188197426</v>
      </c>
      <c r="AH7268" s="2" t="str">
        <f ca="1"/>
        <v>Bad</v>
      </c>
    </row>
    <row r="7269" spans="2:34" x14ac:dyDescent="0.2">
      <c r="B7269" s="2">
        <f ca="1"/>
        <v>0.15193043543840856</v>
      </c>
      <c r="O7269" s="2">
        <f ca="1"/>
        <v>1.2277478399110826</v>
      </c>
      <c r="X7269" s="2">
        <f ca="1"/>
        <v>58.072663269802504</v>
      </c>
      <c r="AG7269" s="2">
        <f ca="1"/>
        <v>0.5916732221600387</v>
      </c>
      <c r="AH7269" s="2" t="str">
        <f ca="1"/>
        <v>Bad</v>
      </c>
    </row>
    <row r="7270" spans="2:34" x14ac:dyDescent="0.2">
      <c r="B7270" s="2">
        <f ca="1"/>
        <v>0.37241836492475455</v>
      </c>
      <c r="O7270" s="2">
        <f ca="1"/>
        <v>1.0128202210722508</v>
      </c>
      <c r="X7270" s="2">
        <f ca="1"/>
        <v>76.388456966198234</v>
      </c>
      <c r="AG7270" s="2">
        <f ca="1"/>
        <v>0.66016879763404379</v>
      </c>
      <c r="AH7270" s="2" t="str">
        <f ca="1"/>
        <v>Bad</v>
      </c>
    </row>
    <row r="7271" spans="2:34" x14ac:dyDescent="0.2">
      <c r="B7271" s="2">
        <f ca="1"/>
        <v>0.93792865461802699</v>
      </c>
      <c r="O7271" s="2">
        <f ca="1"/>
        <v>0.73181258512654401</v>
      </c>
      <c r="X7271" s="2">
        <f ca="1"/>
        <v>87.968528196783708</v>
      </c>
      <c r="AG7271" s="2">
        <f ca="1"/>
        <v>0.82525783711802925</v>
      </c>
      <c r="AH7271" s="2" t="str">
        <f ca="1"/>
        <v>Bad</v>
      </c>
    </row>
    <row r="7272" spans="2:34" x14ac:dyDescent="0.2">
      <c r="B7272" s="2">
        <f ca="1"/>
        <v>0.95134502200201387</v>
      </c>
      <c r="O7272" s="2">
        <f ca="1"/>
        <v>0.59339548217953508</v>
      </c>
      <c r="X7272" s="2">
        <f ca="1"/>
        <v>53.606628354517404</v>
      </c>
      <c r="AG7272" s="2">
        <f ca="1"/>
        <v>0.61926641867766441</v>
      </c>
      <c r="AH7272" s="2" t="str">
        <f ca="1"/>
        <v>Bad</v>
      </c>
    </row>
    <row r="7273" spans="2:34" x14ac:dyDescent="0.2">
      <c r="B7273" s="2">
        <f ca="1"/>
        <v>0.64100847238713876</v>
      </c>
      <c r="O7273" s="2">
        <f ca="1"/>
        <v>0.48505913748700291</v>
      </c>
      <c r="X7273" s="2">
        <f ca="1"/>
        <v>60.420932554043091</v>
      </c>
      <c r="AG7273" s="2">
        <f ca="1"/>
        <v>0.10881353368266655</v>
      </c>
      <c r="AH7273" s="2" t="str">
        <f ca="1"/>
        <v>OK</v>
      </c>
    </row>
    <row r="7274" spans="2:34" x14ac:dyDescent="0.2">
      <c r="B7274" s="2">
        <f ca="1"/>
        <v>0.22867520204344816</v>
      </c>
      <c r="O7274" s="2">
        <f ca="1"/>
        <v>-0.75466493375897159</v>
      </c>
      <c r="X7274" s="2">
        <f ca="1"/>
        <v>67.19868560219156</v>
      </c>
      <c r="AG7274" s="2">
        <f ca="1"/>
        <v>0.71191523514868549</v>
      </c>
      <c r="AH7274" s="2" t="str">
        <f ca="1"/>
        <v>Bad</v>
      </c>
    </row>
    <row r="7275" spans="2:34" x14ac:dyDescent="0.2">
      <c r="B7275" s="2">
        <f ca="1"/>
        <v>0.99460278568335503</v>
      </c>
      <c r="O7275" s="2">
        <f ca="1"/>
        <v>2.5247544454834778</v>
      </c>
      <c r="X7275" s="2">
        <f ca="1"/>
        <v>60.909976742235145</v>
      </c>
      <c r="AG7275" s="2">
        <f ca="1"/>
        <v>0.34185327118475706</v>
      </c>
      <c r="AH7275" s="2" t="str">
        <f ca="1"/>
        <v>OK</v>
      </c>
    </row>
    <row r="7276" spans="2:34" x14ac:dyDescent="0.2">
      <c r="B7276" s="2">
        <f ca="1"/>
        <v>0.54889170743370186</v>
      </c>
      <c r="O7276" s="2">
        <f ca="1"/>
        <v>-0.63869758770265905</v>
      </c>
      <c r="X7276" s="2">
        <f ca="1"/>
        <v>36.624075585725429</v>
      </c>
      <c r="AG7276" s="2">
        <f ca="1"/>
        <v>2.5777546822087993E-2</v>
      </c>
      <c r="AH7276" s="2" t="str">
        <f ca="1"/>
        <v>Good</v>
      </c>
    </row>
    <row r="7277" spans="2:34" x14ac:dyDescent="0.2">
      <c r="B7277" s="2">
        <f ca="1"/>
        <v>0.42316119776841687</v>
      </c>
      <c r="O7277" s="2">
        <f ca="1"/>
        <v>0.35795083843718412</v>
      </c>
      <c r="X7277" s="2">
        <f ca="1"/>
        <v>42.350328093220185</v>
      </c>
      <c r="AG7277" s="2">
        <f ca="1"/>
        <v>0.23105788182240539</v>
      </c>
      <c r="AH7277" s="2" t="str">
        <f ca="1"/>
        <v>OK</v>
      </c>
    </row>
    <row r="7278" spans="2:34" x14ac:dyDescent="0.2">
      <c r="B7278" s="2">
        <f ca="1"/>
        <v>0.46866880996845595</v>
      </c>
      <c r="O7278" s="2">
        <f ca="1"/>
        <v>0.26646901584826233</v>
      </c>
      <c r="X7278" s="2">
        <f ca="1"/>
        <v>54.623003997386938</v>
      </c>
      <c r="AG7278" s="2">
        <f ca="1"/>
        <v>0.40992760030611608</v>
      </c>
      <c r="AH7278" s="2" t="str">
        <f ca="1"/>
        <v>Bad</v>
      </c>
    </row>
    <row r="7279" spans="2:34" x14ac:dyDescent="0.2">
      <c r="B7279" s="2">
        <f ca="1"/>
        <v>0.37051836639568458</v>
      </c>
      <c r="O7279" s="2">
        <f ca="1"/>
        <v>4.9617329707500532E-2</v>
      </c>
      <c r="X7279" s="2">
        <f ca="1"/>
        <v>40.362500546653031</v>
      </c>
      <c r="AG7279" s="2">
        <f ca="1"/>
        <v>0.12062048714933971</v>
      </c>
      <c r="AH7279" s="2" t="str">
        <f ca="1"/>
        <v>OK</v>
      </c>
    </row>
    <row r="7280" spans="2:34" x14ac:dyDescent="0.2">
      <c r="B7280" s="2">
        <f ca="1"/>
        <v>0.68608694381760782</v>
      </c>
      <c r="O7280" s="2">
        <f ca="1"/>
        <v>1.0141237447719744</v>
      </c>
      <c r="X7280" s="2">
        <f ca="1"/>
        <v>57.004134759623057</v>
      </c>
      <c r="AG7280" s="2">
        <f ca="1"/>
        <v>0.67441832282115155</v>
      </c>
      <c r="AH7280" s="2" t="str">
        <f ca="1"/>
        <v>Bad</v>
      </c>
    </row>
    <row r="7281" spans="2:34" x14ac:dyDescent="0.2">
      <c r="B7281" s="2">
        <f ca="1"/>
        <v>0.71654402241183246</v>
      </c>
      <c r="O7281" s="2">
        <f ca="1"/>
        <v>0.8763349486054316</v>
      </c>
      <c r="X7281" s="2">
        <f ca="1"/>
        <v>54.27396289540831</v>
      </c>
      <c r="AG7281" s="2">
        <f ca="1"/>
        <v>0.39745935522049525</v>
      </c>
      <c r="AH7281" s="2" t="str">
        <f ca="1"/>
        <v>OK</v>
      </c>
    </row>
    <row r="7282" spans="2:34" x14ac:dyDescent="0.2">
      <c r="B7282" s="2">
        <f ca="1"/>
        <v>0.5896441792973568</v>
      </c>
      <c r="O7282" s="2">
        <f ca="1"/>
        <v>-0.82739985861079746</v>
      </c>
      <c r="X7282" s="2">
        <f ca="1"/>
        <v>55.785451379250773</v>
      </c>
      <c r="AG7282" s="2">
        <f ca="1"/>
        <v>0.14573972783921341</v>
      </c>
      <c r="AH7282" s="2" t="str">
        <f ca="1"/>
        <v>OK</v>
      </c>
    </row>
    <row r="7283" spans="2:34" x14ac:dyDescent="0.2">
      <c r="B7283" s="2">
        <f ca="1"/>
        <v>0.73193170894623649</v>
      </c>
      <c r="O7283" s="2">
        <f ca="1"/>
        <v>2.0142662529528286</v>
      </c>
      <c r="X7283" s="2">
        <f ca="1"/>
        <v>42.481166577973113</v>
      </c>
      <c r="AG7283" s="2">
        <f ca="1"/>
        <v>0.40483386318801462</v>
      </c>
      <c r="AH7283" s="2" t="str">
        <f ca="1"/>
        <v>Bad</v>
      </c>
    </row>
    <row r="7284" spans="2:34" x14ac:dyDescent="0.2">
      <c r="B7284" s="2">
        <f ca="1"/>
        <v>4.7635867438813984E-2</v>
      </c>
      <c r="O7284" s="2">
        <f ca="1"/>
        <v>3.8555219772984588E-2</v>
      </c>
      <c r="X7284" s="2">
        <f ca="1"/>
        <v>45.721287871362961</v>
      </c>
      <c r="AG7284" s="2">
        <f ca="1"/>
        <v>0.63408959616815275</v>
      </c>
      <c r="AH7284" s="2" t="str">
        <f ca="1"/>
        <v>Bad</v>
      </c>
    </row>
    <row r="7285" spans="2:34" x14ac:dyDescent="0.2">
      <c r="B7285" s="2">
        <f ca="1"/>
        <v>0.10547687059174304</v>
      </c>
      <c r="O7285" s="2">
        <f ca="1"/>
        <v>0.72753025251632142</v>
      </c>
      <c r="X7285" s="2">
        <f ca="1"/>
        <v>46.89603101688369</v>
      </c>
      <c r="AG7285" s="2">
        <f ca="1"/>
        <v>0.54851930358514522</v>
      </c>
      <c r="AH7285" s="2" t="str">
        <f ca="1"/>
        <v>Bad</v>
      </c>
    </row>
    <row r="7286" spans="2:34" x14ac:dyDescent="0.2">
      <c r="B7286" s="2">
        <f ca="1"/>
        <v>0.56513600264794372</v>
      </c>
      <c r="O7286" s="2">
        <f ca="1"/>
        <v>1.4710908274085526</v>
      </c>
      <c r="X7286" s="2">
        <f ca="1"/>
        <v>59.992907726463869</v>
      </c>
      <c r="AG7286" s="2">
        <f ca="1"/>
        <v>0.44807792848007355</v>
      </c>
      <c r="AH7286" s="2" t="str">
        <f ca="1"/>
        <v>Bad</v>
      </c>
    </row>
    <row r="7287" spans="2:34" x14ac:dyDescent="0.2">
      <c r="B7287" s="2">
        <f ca="1"/>
        <v>0.87695463140679109</v>
      </c>
      <c r="O7287" s="2">
        <f ca="1"/>
        <v>-1.1884459058137811</v>
      </c>
      <c r="X7287" s="2">
        <f ca="1"/>
        <v>37.967267985537752</v>
      </c>
      <c r="AG7287" s="2">
        <f ca="1"/>
        <v>0.72933835132288771</v>
      </c>
      <c r="AH7287" s="2" t="str">
        <f ca="1"/>
        <v>Bad</v>
      </c>
    </row>
    <row r="7288" spans="2:34" x14ac:dyDescent="0.2">
      <c r="B7288" s="2">
        <f ca="1"/>
        <v>0.30626353583211974</v>
      </c>
      <c r="O7288" s="2">
        <f ca="1"/>
        <v>6.4268387915372885E-2</v>
      </c>
      <c r="X7288" s="2">
        <f ca="1"/>
        <v>59.612343317739899</v>
      </c>
      <c r="AG7288" s="2">
        <f ca="1"/>
        <v>0.47905209782428337</v>
      </c>
      <c r="AH7288" s="2" t="str">
        <f ca="1"/>
        <v>Bad</v>
      </c>
    </row>
    <row r="7289" spans="2:34" x14ac:dyDescent="0.2">
      <c r="B7289" s="2">
        <f ca="1"/>
        <v>0.21793425702223423</v>
      </c>
      <c r="O7289" s="2">
        <f ca="1"/>
        <v>-9.8264208345227894E-2</v>
      </c>
      <c r="X7289" s="2">
        <f ca="1"/>
        <v>86.880387747349559</v>
      </c>
      <c r="AG7289" s="2">
        <f ca="1"/>
        <v>0.89969156017037077</v>
      </c>
      <c r="AH7289" s="2" t="str">
        <f ca="1"/>
        <v>Bad</v>
      </c>
    </row>
    <row r="7290" spans="2:34" x14ac:dyDescent="0.2">
      <c r="B7290" s="2">
        <f ca="1"/>
        <v>0.37347307016886266</v>
      </c>
      <c r="O7290" s="2">
        <f ca="1"/>
        <v>8.0410231685286715E-2</v>
      </c>
      <c r="X7290" s="2">
        <f ca="1"/>
        <v>38.393500320120857</v>
      </c>
      <c r="AG7290" s="2">
        <f ca="1"/>
        <v>0.11837838841317261</v>
      </c>
      <c r="AH7290" s="2" t="str">
        <f ca="1"/>
        <v>OK</v>
      </c>
    </row>
    <row r="7291" spans="2:34" x14ac:dyDescent="0.2">
      <c r="B7291" s="2">
        <f ca="1"/>
        <v>0.62754694730517468</v>
      </c>
      <c r="O7291" s="2">
        <f ca="1"/>
        <v>1.4732705936321788</v>
      </c>
      <c r="X7291" s="2">
        <f ca="1"/>
        <v>37.103553879274514</v>
      </c>
      <c r="AG7291" s="2">
        <f ca="1"/>
        <v>0.72192369974071724</v>
      </c>
      <c r="AH7291" s="2" t="str">
        <f ca="1"/>
        <v>Bad</v>
      </c>
    </row>
    <row r="7292" spans="2:34" x14ac:dyDescent="0.2">
      <c r="B7292" s="2">
        <f ca="1"/>
        <v>0.30990618487357313</v>
      </c>
      <c r="O7292" s="2">
        <f ca="1"/>
        <v>1.2803142045200255E-2</v>
      </c>
      <c r="X7292" s="2">
        <f ca="1"/>
        <v>52.460390382589431</v>
      </c>
      <c r="AG7292" s="2">
        <f ca="1"/>
        <v>0.12053908873006036</v>
      </c>
      <c r="AH7292" s="2" t="str">
        <f ca="1"/>
        <v>OK</v>
      </c>
    </row>
    <row r="7293" spans="2:34" x14ac:dyDescent="0.2">
      <c r="B7293" s="2">
        <f ca="1"/>
        <v>0.60336994677681322</v>
      </c>
      <c r="O7293" s="2">
        <f ca="1"/>
        <v>0.28430136159524744</v>
      </c>
      <c r="X7293" s="2">
        <f ca="1"/>
        <v>81.455068758470674</v>
      </c>
      <c r="AG7293" s="2">
        <f ca="1"/>
        <v>0.27913742629717597</v>
      </c>
      <c r="AH7293" s="2" t="str">
        <f ca="1"/>
        <v>OK</v>
      </c>
    </row>
    <row r="7294" spans="2:34" x14ac:dyDescent="0.2">
      <c r="B7294" s="2">
        <f ca="1"/>
        <v>0.97921502543593975</v>
      </c>
      <c r="O7294" s="2">
        <f ca="1"/>
        <v>-1.0902684258442386</v>
      </c>
      <c r="X7294" s="2">
        <f ca="1"/>
        <v>42.68538639729254</v>
      </c>
      <c r="AG7294" s="2">
        <f ca="1"/>
        <v>0.15312812955643529</v>
      </c>
      <c r="AH7294" s="2" t="str">
        <f ca="1"/>
        <v>OK</v>
      </c>
    </row>
    <row r="7295" spans="2:34" x14ac:dyDescent="0.2">
      <c r="B7295" s="2">
        <f ca="1"/>
        <v>0.56907021815313974</v>
      </c>
      <c r="O7295" s="2">
        <f ca="1"/>
        <v>0.34329732856281547</v>
      </c>
      <c r="X7295" s="2">
        <f ca="1"/>
        <v>60.944498242338426</v>
      </c>
      <c r="AG7295" s="2">
        <f ca="1"/>
        <v>0.10088701760331165</v>
      </c>
      <c r="AH7295" s="2" t="str">
        <f ca="1"/>
        <v>OK</v>
      </c>
    </row>
    <row r="7296" spans="2:34" x14ac:dyDescent="0.2">
      <c r="B7296" s="2">
        <f ca="1"/>
        <v>0.49502734177459118</v>
      </c>
      <c r="O7296" s="2">
        <f ca="1"/>
        <v>-2.2022168786782257</v>
      </c>
      <c r="X7296" s="2">
        <f ca="1"/>
        <v>55.18257640193751</v>
      </c>
      <c r="AG7296" s="2">
        <f ca="1"/>
        <v>0.65472160082139652</v>
      </c>
      <c r="AH7296" s="2" t="str">
        <f ca="1"/>
        <v>Bad</v>
      </c>
    </row>
    <row r="7297" spans="2:34" x14ac:dyDescent="0.2">
      <c r="B7297" s="2">
        <f ca="1"/>
        <v>0.4589036889642748</v>
      </c>
      <c r="O7297" s="2">
        <f ca="1"/>
        <v>1.103722873926746</v>
      </c>
      <c r="X7297" s="2">
        <f ca="1"/>
        <v>63.901793013383454</v>
      </c>
      <c r="AG7297" s="2">
        <f ca="1"/>
        <v>8.2678859569724317E-2</v>
      </c>
      <c r="AH7297" s="2" t="str">
        <f ca="1"/>
        <v>OK</v>
      </c>
    </row>
    <row r="7298" spans="2:34" x14ac:dyDescent="0.2">
      <c r="B7298" s="2">
        <f ca="1"/>
        <v>0.84213002012756255</v>
      </c>
      <c r="O7298" s="2">
        <f ca="1"/>
        <v>-0.48069350088892476</v>
      </c>
      <c r="X7298" s="2">
        <f ca="1"/>
        <v>36.535513525840045</v>
      </c>
      <c r="AG7298" s="2">
        <f ca="1"/>
        <v>0.44925425542184239</v>
      </c>
      <c r="AH7298" s="2" t="str">
        <f ca="1"/>
        <v>Bad</v>
      </c>
    </row>
    <row r="7299" spans="2:34" x14ac:dyDescent="0.2">
      <c r="B7299" s="2">
        <f ca="1"/>
        <v>0.73776949667464686</v>
      </c>
      <c r="O7299" s="2">
        <f ca="1"/>
        <v>9.9247106942782923E-2</v>
      </c>
      <c r="X7299" s="2">
        <f ca="1"/>
        <v>31.520387882185762</v>
      </c>
      <c r="AG7299" s="2">
        <f ca="1"/>
        <v>0.98735587304187433</v>
      </c>
      <c r="AH7299" s="2" t="str">
        <f ca="1"/>
        <v>Bad</v>
      </c>
    </row>
    <row r="7300" spans="2:34" x14ac:dyDescent="0.2">
      <c r="B7300" s="2">
        <f ca="1"/>
        <v>0.32771161770506607</v>
      </c>
      <c r="O7300" s="2">
        <f ca="1"/>
        <v>0.1454521884645418</v>
      </c>
      <c r="X7300" s="2">
        <f ca="1"/>
        <v>65.477296781472972</v>
      </c>
      <c r="AG7300" s="2">
        <f ca="1"/>
        <v>0.90135252419889555</v>
      </c>
      <c r="AH7300" s="2" t="str">
        <f ca="1"/>
        <v>Bad</v>
      </c>
    </row>
    <row r="7301" spans="2:34" x14ac:dyDescent="0.2">
      <c r="B7301" s="2">
        <f ca="1"/>
        <v>0.28573751723231644</v>
      </c>
      <c r="O7301" s="2">
        <f ca="1"/>
        <v>-0.97159199633348836</v>
      </c>
      <c r="X7301" s="2">
        <f ca="1"/>
        <v>48.586017432294774</v>
      </c>
      <c r="AG7301" s="2">
        <f ca="1"/>
        <v>0.60851600251154947</v>
      </c>
      <c r="AH7301" s="2" t="str">
        <f ca="1"/>
        <v>Bad</v>
      </c>
    </row>
    <row r="7302" spans="2:34" x14ac:dyDescent="0.2">
      <c r="B7302" s="2">
        <f ca="1"/>
        <v>0.59856659470948759</v>
      </c>
      <c r="O7302" s="2">
        <f ca="1"/>
        <v>-0.65127884044740836</v>
      </c>
      <c r="X7302" s="2">
        <f ca="1"/>
        <v>48.607032453493346</v>
      </c>
      <c r="AG7302" s="2">
        <f ca="1"/>
        <v>0.25013122879622474</v>
      </c>
      <c r="AH7302" s="2" t="str">
        <f ca="1"/>
        <v>OK</v>
      </c>
    </row>
    <row r="7303" spans="2:34" x14ac:dyDescent="0.2">
      <c r="B7303" s="2">
        <f ca="1"/>
        <v>0.32511496377057747</v>
      </c>
      <c r="O7303" s="2">
        <f ca="1"/>
        <v>-2.0657607463342988</v>
      </c>
      <c r="X7303" s="2">
        <f ca="1"/>
        <v>36.937620949322351</v>
      </c>
      <c r="AG7303" s="2">
        <f ca="1"/>
        <v>0.36732315508331626</v>
      </c>
      <c r="AH7303" s="2" t="str">
        <f ca="1"/>
        <v>OK</v>
      </c>
    </row>
    <row r="7304" spans="2:34" x14ac:dyDescent="0.2">
      <c r="B7304" s="2">
        <f ca="1"/>
        <v>0.12014528472676322</v>
      </c>
      <c r="O7304" s="2">
        <f ca="1"/>
        <v>-2.0623938461362927</v>
      </c>
      <c r="X7304" s="2">
        <f ca="1"/>
        <v>62.745804648086448</v>
      </c>
      <c r="AG7304" s="2">
        <f ca="1"/>
        <v>0.51882413372300173</v>
      </c>
      <c r="AH7304" s="2" t="str">
        <f ca="1"/>
        <v>Bad</v>
      </c>
    </row>
    <row r="7305" spans="2:34" x14ac:dyDescent="0.2">
      <c r="B7305" s="2">
        <f ca="1"/>
        <v>0.72782593158275821</v>
      </c>
      <c r="O7305" s="2">
        <f ca="1"/>
        <v>-0.79007496021670742</v>
      </c>
      <c r="X7305" s="2">
        <f ca="1"/>
        <v>59.308758272061269</v>
      </c>
      <c r="AG7305" s="2">
        <f ca="1"/>
        <v>4.573411317973175E-2</v>
      </c>
      <c r="AH7305" s="2" t="str">
        <f ca="1"/>
        <v>Good</v>
      </c>
    </row>
    <row r="7306" spans="2:34" x14ac:dyDescent="0.2">
      <c r="B7306" s="2">
        <f ca="1"/>
        <v>0.8518631819787672</v>
      </c>
      <c r="O7306" s="2">
        <f ca="1"/>
        <v>1.3533380521904381</v>
      </c>
      <c r="X7306" s="2">
        <f ca="1"/>
        <v>27.674929606542751</v>
      </c>
      <c r="AG7306" s="2">
        <f ca="1"/>
        <v>0.2431983450245534</v>
      </c>
      <c r="AH7306" s="2" t="str">
        <f ca="1"/>
        <v>OK</v>
      </c>
    </row>
    <row r="7307" spans="2:34" x14ac:dyDescent="0.2">
      <c r="B7307" s="2">
        <f ca="1"/>
        <v>0.13202367775910262</v>
      </c>
      <c r="O7307" s="2">
        <f ca="1"/>
        <v>-1.0576157628910541</v>
      </c>
      <c r="X7307" s="2">
        <f ca="1"/>
        <v>52.202914326350232</v>
      </c>
      <c r="AG7307" s="2">
        <f ca="1"/>
        <v>0.29535500216311705</v>
      </c>
      <c r="AH7307" s="2" t="str">
        <f ca="1"/>
        <v>OK</v>
      </c>
    </row>
    <row r="7308" spans="2:34" x14ac:dyDescent="0.2">
      <c r="B7308" s="2">
        <f ca="1"/>
        <v>0.84421304318495149</v>
      </c>
      <c r="O7308" s="2">
        <f ca="1"/>
        <v>1.1891450125247618</v>
      </c>
      <c r="X7308" s="2">
        <f ca="1"/>
        <v>65.732217473989763</v>
      </c>
      <c r="AG7308" s="2">
        <f ca="1"/>
        <v>0.28910445103837268</v>
      </c>
      <c r="AH7308" s="2" t="str">
        <f ca="1"/>
        <v>OK</v>
      </c>
    </row>
    <row r="7309" spans="2:34" x14ac:dyDescent="0.2">
      <c r="B7309" s="2">
        <f ca="1"/>
        <v>0.47257193926955443</v>
      </c>
      <c r="O7309" s="2">
        <f ca="1"/>
        <v>-0.58441508766551542</v>
      </c>
      <c r="X7309" s="2">
        <f ca="1"/>
        <v>50.385434985098655</v>
      </c>
      <c r="AG7309" s="2">
        <f ca="1"/>
        <v>0.92788462833075824</v>
      </c>
      <c r="AH7309" s="2" t="str">
        <f ca="1"/>
        <v>Bad</v>
      </c>
    </row>
    <row r="7310" spans="2:34" x14ac:dyDescent="0.2">
      <c r="B7310" s="2">
        <f ca="1"/>
        <v>0.48613769495483905</v>
      </c>
      <c r="O7310" s="2">
        <f ca="1"/>
        <v>-0.46477548524263407</v>
      </c>
      <c r="X7310" s="2">
        <f ca="1"/>
        <v>28.520319927247542</v>
      </c>
      <c r="AG7310" s="2">
        <f ca="1"/>
        <v>0.26707729686232984</v>
      </c>
      <c r="AH7310" s="2" t="str">
        <f ca="1"/>
        <v>OK</v>
      </c>
    </row>
    <row r="7311" spans="2:34" x14ac:dyDescent="0.2">
      <c r="B7311" s="2">
        <f ca="1"/>
        <v>0.56722014907492868</v>
      </c>
      <c r="O7311" s="2">
        <f ca="1"/>
        <v>0.65735916970510477</v>
      </c>
      <c r="X7311" s="2">
        <f ca="1"/>
        <v>49.734143777287215</v>
      </c>
      <c r="AG7311" s="2">
        <f ca="1"/>
        <v>0.44175752252001144</v>
      </c>
      <c r="AH7311" s="2" t="str">
        <f ca="1"/>
        <v>Bad</v>
      </c>
    </row>
    <row r="7312" spans="2:34" x14ac:dyDescent="0.2">
      <c r="B7312" s="2">
        <f ca="1"/>
        <v>0.75867374212494632</v>
      </c>
      <c r="O7312" s="2">
        <f ca="1"/>
        <v>0.55898241425512585</v>
      </c>
      <c r="X7312" s="2">
        <f ca="1"/>
        <v>28.157578091506377</v>
      </c>
      <c r="AG7312" s="2">
        <f ca="1"/>
        <v>0.3784485430230049</v>
      </c>
      <c r="AH7312" s="2" t="str">
        <f ca="1"/>
        <v>OK</v>
      </c>
    </row>
    <row r="7313" spans="2:34" x14ac:dyDescent="0.2">
      <c r="B7313" s="2">
        <f ca="1"/>
        <v>0.44308436170434318</v>
      </c>
      <c r="O7313" s="2">
        <f ca="1"/>
        <v>0.76247504381808728</v>
      </c>
      <c r="X7313" s="2">
        <f ca="1"/>
        <v>49.930427824484326</v>
      </c>
      <c r="AG7313" s="2">
        <f ca="1"/>
        <v>0.18947945057161064</v>
      </c>
      <c r="AH7313" s="2" t="str">
        <f ca="1"/>
        <v>OK</v>
      </c>
    </row>
    <row r="7314" spans="2:34" x14ac:dyDescent="0.2">
      <c r="B7314" s="2">
        <f ca="1"/>
        <v>0.26682860044318724</v>
      </c>
      <c r="O7314" s="2">
        <f ca="1"/>
        <v>-0.53571636779631449</v>
      </c>
      <c r="X7314" s="2">
        <f ca="1"/>
        <v>49.778407985880861</v>
      </c>
      <c r="AG7314" s="2">
        <f ca="1"/>
        <v>0.5141641404581403</v>
      </c>
      <c r="AH7314" s="2" t="str">
        <f ca="1"/>
        <v>Bad</v>
      </c>
    </row>
    <row r="7315" spans="2:34" x14ac:dyDescent="0.2">
      <c r="B7315" s="2">
        <f ca="1"/>
        <v>0.13660070558478377</v>
      </c>
      <c r="O7315" s="2">
        <f ca="1"/>
        <v>1.061572738304003</v>
      </c>
      <c r="X7315" s="2">
        <f ca="1"/>
        <v>41.783777679271729</v>
      </c>
      <c r="AG7315" s="2">
        <f ca="1"/>
        <v>0.20872461836891176</v>
      </c>
      <c r="AH7315" s="2" t="str">
        <f ca="1"/>
        <v>OK</v>
      </c>
    </row>
    <row r="7316" spans="2:34" x14ac:dyDescent="0.2">
      <c r="B7316" s="2">
        <f ca="1"/>
        <v>0.37150271608911778</v>
      </c>
      <c r="O7316" s="2">
        <f ca="1"/>
        <v>-0.6241439199409955</v>
      </c>
      <c r="X7316" s="2">
        <f ca="1"/>
        <v>40.945757597468955</v>
      </c>
      <c r="AG7316" s="2">
        <f ca="1"/>
        <v>9.3757758957325521E-2</v>
      </c>
      <c r="AH7316" s="2" t="str">
        <f ca="1"/>
        <v>OK</v>
      </c>
    </row>
    <row r="7317" spans="2:34" x14ac:dyDescent="0.2">
      <c r="B7317" s="2">
        <f ca="1"/>
        <v>0.68218164267062642</v>
      </c>
      <c r="O7317" s="2">
        <f ca="1"/>
        <v>-2.486996779267006</v>
      </c>
      <c r="X7317" s="2">
        <f ca="1"/>
        <v>70.696006443835145</v>
      </c>
      <c r="AG7317" s="2">
        <f ca="1"/>
        <v>8.5715052640651379E-2</v>
      </c>
      <c r="AH7317" s="2" t="str">
        <f ca="1"/>
        <v>OK</v>
      </c>
    </row>
    <row r="7318" spans="2:34" x14ac:dyDescent="0.2">
      <c r="B7318" s="2">
        <f ca="1"/>
        <v>0.5816311474723721</v>
      </c>
      <c r="O7318" s="2">
        <f ca="1"/>
        <v>0.99279343467614312</v>
      </c>
      <c r="X7318" s="2">
        <f ca="1"/>
        <v>56.845674184103665</v>
      </c>
      <c r="AG7318" s="2">
        <f ca="1"/>
        <v>0.76547949161620243</v>
      </c>
      <c r="AH7318" s="2" t="str">
        <f ca="1"/>
        <v>Bad</v>
      </c>
    </row>
    <row r="7319" spans="2:34" x14ac:dyDescent="0.2">
      <c r="B7319" s="2">
        <f ca="1"/>
        <v>0.56839441108652289</v>
      </c>
      <c r="O7319" s="2">
        <f ca="1"/>
        <v>6.1623995464033923E-2</v>
      </c>
      <c r="X7319" s="2">
        <f ca="1"/>
        <v>35.078893883698306</v>
      </c>
      <c r="AG7319" s="2">
        <f ca="1"/>
        <v>0.61507990348221475</v>
      </c>
      <c r="AH7319" s="2" t="str">
        <f ca="1"/>
        <v>Bad</v>
      </c>
    </row>
    <row r="7320" spans="2:34" x14ac:dyDescent="0.2">
      <c r="B7320" s="2">
        <f ca="1"/>
        <v>0.68728436490026801</v>
      </c>
      <c r="O7320" s="2">
        <f ca="1"/>
        <v>2.0026326284904075</v>
      </c>
      <c r="X7320" s="2">
        <f ca="1"/>
        <v>52.559641913270767</v>
      </c>
      <c r="AG7320" s="2">
        <f ca="1"/>
        <v>6.3292408355044572E-2</v>
      </c>
      <c r="AH7320" s="2" t="str">
        <f ca="1"/>
        <v>OK</v>
      </c>
    </row>
    <row r="7321" spans="2:34" x14ac:dyDescent="0.2">
      <c r="B7321" s="2">
        <f ca="1"/>
        <v>0.80522096469677273</v>
      </c>
      <c r="O7321" s="2">
        <f ca="1"/>
        <v>-2.0269547643617094</v>
      </c>
      <c r="X7321" s="2">
        <f ca="1"/>
        <v>52.351277074988836</v>
      </c>
      <c r="AG7321" s="2">
        <f ca="1"/>
        <v>0.44426520906084077</v>
      </c>
      <c r="AH7321" s="2" t="str">
        <f ca="1"/>
        <v>Bad</v>
      </c>
    </row>
    <row r="7322" spans="2:34" x14ac:dyDescent="0.2">
      <c r="B7322" s="2">
        <f ca="1"/>
        <v>0.45127047983651192</v>
      </c>
      <c r="O7322" s="2">
        <f ca="1"/>
        <v>1.781517498823397</v>
      </c>
      <c r="X7322" s="2">
        <f ca="1"/>
        <v>49.424872144942441</v>
      </c>
      <c r="AG7322" s="2">
        <f ca="1"/>
        <v>0.61381482139555366</v>
      </c>
      <c r="AH7322" s="2" t="str">
        <f ca="1"/>
        <v>Bad</v>
      </c>
    </row>
    <row r="7323" spans="2:34" x14ac:dyDescent="0.2">
      <c r="B7323" s="2">
        <f ca="1"/>
        <v>0.34219093182798077</v>
      </c>
      <c r="O7323" s="2">
        <f ca="1"/>
        <v>-0.2623033179752427</v>
      </c>
      <c r="X7323" s="2">
        <f ca="1"/>
        <v>63.110562369147601</v>
      </c>
      <c r="AG7323" s="2">
        <f ca="1"/>
        <v>0.78771694886939647</v>
      </c>
      <c r="AH7323" s="2" t="str">
        <f ca="1"/>
        <v>Bad</v>
      </c>
    </row>
    <row r="7324" spans="2:34" x14ac:dyDescent="0.2">
      <c r="B7324" s="2">
        <f ca="1"/>
        <v>2.7541568803051142E-2</v>
      </c>
      <c r="O7324" s="2">
        <f ca="1"/>
        <v>-0.738978356925588</v>
      </c>
      <c r="X7324" s="2">
        <f ca="1"/>
        <v>46.796678150627429</v>
      </c>
      <c r="AG7324" s="2">
        <f ca="1"/>
        <v>4.8859635203092111E-2</v>
      </c>
      <c r="AH7324" s="2" t="str">
        <f ca="1"/>
        <v>Good</v>
      </c>
    </row>
    <row r="7325" spans="2:34" x14ac:dyDescent="0.2">
      <c r="B7325" s="2">
        <f ca="1"/>
        <v>1.6836011950397634E-2</v>
      </c>
      <c r="O7325" s="2">
        <f ca="1"/>
        <v>-0.47408258715403395</v>
      </c>
      <c r="X7325" s="2">
        <f ca="1"/>
        <v>55.634008169505492</v>
      </c>
      <c r="AG7325" s="2">
        <f ca="1"/>
        <v>0.4602657224524429</v>
      </c>
      <c r="AH7325" s="2" t="str">
        <f ca="1"/>
        <v>Bad</v>
      </c>
    </row>
    <row r="7326" spans="2:34" x14ac:dyDescent="0.2">
      <c r="B7326" s="2">
        <f ca="1"/>
        <v>1.9446630920138874E-2</v>
      </c>
      <c r="O7326" s="2">
        <f ca="1"/>
        <v>-0.52535499866173896</v>
      </c>
      <c r="X7326" s="2">
        <f ca="1"/>
        <v>36.12746942282525</v>
      </c>
      <c r="AG7326" s="2">
        <f ca="1"/>
        <v>0.8651402918462745</v>
      </c>
      <c r="AH7326" s="2" t="str">
        <f ca="1"/>
        <v>Bad</v>
      </c>
    </row>
    <row r="7327" spans="2:34" x14ac:dyDescent="0.2">
      <c r="B7327" s="2">
        <f ca="1"/>
        <v>0.99360575170539134</v>
      </c>
      <c r="O7327" s="2">
        <f ca="1"/>
        <v>-0.35227077054673062</v>
      </c>
      <c r="X7327" s="2">
        <f ca="1"/>
        <v>41.520644114765844</v>
      </c>
      <c r="AG7327" s="2">
        <f ca="1"/>
        <v>0.37783444745652117</v>
      </c>
      <c r="AH7327" s="2" t="str">
        <f ca="1"/>
        <v>OK</v>
      </c>
    </row>
    <row r="7328" spans="2:34" x14ac:dyDescent="0.2">
      <c r="B7328" s="2">
        <f ca="1"/>
        <v>0.19750811584011996</v>
      </c>
      <c r="O7328" s="2">
        <f ca="1"/>
        <v>0.87388484352081841</v>
      </c>
      <c r="X7328" s="2">
        <f ca="1"/>
        <v>17.654227685121519</v>
      </c>
      <c r="AG7328" s="2">
        <f ca="1"/>
        <v>0.34405563158731778</v>
      </c>
      <c r="AH7328" s="2" t="str">
        <f ca="1"/>
        <v>OK</v>
      </c>
    </row>
    <row r="7329" spans="2:34" x14ac:dyDescent="0.2">
      <c r="B7329" s="2">
        <f ca="1"/>
        <v>0.42861260698886938</v>
      </c>
      <c r="O7329" s="2">
        <f ca="1"/>
        <v>0.31463388847440543</v>
      </c>
      <c r="X7329" s="2">
        <f ca="1"/>
        <v>28.407254906528927</v>
      </c>
      <c r="AG7329" s="2">
        <f ca="1"/>
        <v>0.34358336034839598</v>
      </c>
      <c r="AH7329" s="2" t="str">
        <f ca="1"/>
        <v>OK</v>
      </c>
    </row>
    <row r="7330" spans="2:34" x14ac:dyDescent="0.2">
      <c r="B7330" s="2">
        <f ca="1"/>
        <v>0.58857862270984129</v>
      </c>
      <c r="O7330" s="2">
        <f ca="1"/>
        <v>-0.46898406817309746</v>
      </c>
      <c r="X7330" s="2">
        <f ca="1"/>
        <v>58.346331259864002</v>
      </c>
      <c r="AG7330" s="2">
        <f ca="1"/>
        <v>0.99089038015999797</v>
      </c>
      <c r="AH7330" s="2" t="str">
        <f ca="1"/>
        <v>Bad</v>
      </c>
    </row>
    <row r="7331" spans="2:34" x14ac:dyDescent="0.2">
      <c r="B7331" s="2">
        <f ca="1"/>
        <v>0.83654438919276175</v>
      </c>
      <c r="O7331" s="2">
        <f ca="1"/>
        <v>-0.59689866421654025</v>
      </c>
      <c r="X7331" s="2">
        <f ca="1"/>
        <v>32.887978186999163</v>
      </c>
      <c r="AG7331" s="2">
        <f ca="1"/>
        <v>0.35016973750867231</v>
      </c>
      <c r="AH7331" s="2" t="str">
        <f ca="1"/>
        <v>OK</v>
      </c>
    </row>
    <row r="7332" spans="2:34" x14ac:dyDescent="0.2">
      <c r="B7332" s="2">
        <f ca="1"/>
        <v>0.70741693864558308</v>
      </c>
      <c r="O7332" s="2">
        <f ca="1"/>
        <v>-1.363462239690158E-2</v>
      </c>
      <c r="X7332" s="2">
        <f ca="1"/>
        <v>54.171432738694627</v>
      </c>
      <c r="AG7332" s="2">
        <f ca="1"/>
        <v>0.91024928746101241</v>
      </c>
      <c r="AH7332" s="2" t="str">
        <f ca="1"/>
        <v>Bad</v>
      </c>
    </row>
    <row r="7333" spans="2:34" x14ac:dyDescent="0.2">
      <c r="B7333" s="2">
        <f ca="1"/>
        <v>0.29298490156803059</v>
      </c>
      <c r="O7333" s="2">
        <f ca="1"/>
        <v>0.7483659272831138</v>
      </c>
      <c r="X7333" s="2">
        <f ca="1"/>
        <v>73.862664774220846</v>
      </c>
      <c r="AG7333" s="2">
        <f ca="1"/>
        <v>0.74258326146715437</v>
      </c>
      <c r="AH7333" s="2" t="str">
        <f ca="1"/>
        <v>Bad</v>
      </c>
    </row>
    <row r="7334" spans="2:34" x14ac:dyDescent="0.2">
      <c r="B7334" s="2">
        <f ca="1"/>
        <v>0.5892889968828503</v>
      </c>
      <c r="O7334" s="2">
        <f ca="1"/>
        <v>0.32736234851836749</v>
      </c>
      <c r="X7334" s="2">
        <f ca="1"/>
        <v>50.149716830478908</v>
      </c>
      <c r="AG7334" s="2">
        <f ca="1"/>
        <v>3.2893520749793792E-2</v>
      </c>
      <c r="AH7334" s="2" t="str">
        <f ca="1"/>
        <v>Good</v>
      </c>
    </row>
    <row r="7335" spans="2:34" x14ac:dyDescent="0.2">
      <c r="B7335" s="2">
        <f ca="1"/>
        <v>0.59701690818105391</v>
      </c>
      <c r="O7335" s="2">
        <f ca="1"/>
        <v>-0.29466113039826702</v>
      </c>
      <c r="X7335" s="2">
        <f ca="1"/>
        <v>55.2812579789585</v>
      </c>
      <c r="AG7335" s="2">
        <f ca="1"/>
        <v>0.94387815566029865</v>
      </c>
      <c r="AH7335" s="2" t="str">
        <f ca="1"/>
        <v>Bad</v>
      </c>
    </row>
    <row r="7336" spans="2:34" x14ac:dyDescent="0.2">
      <c r="B7336" s="2">
        <f ca="1"/>
        <v>0.95776575124145058</v>
      </c>
      <c r="O7336" s="2">
        <f ca="1"/>
        <v>-3.9954094904299823E-3</v>
      </c>
      <c r="X7336" s="2">
        <f ca="1"/>
        <v>51.086773499922096</v>
      </c>
      <c r="AG7336" s="2">
        <f ca="1"/>
        <v>4.9618286964618452E-2</v>
      </c>
      <c r="AH7336" s="2" t="str">
        <f ca="1"/>
        <v>Good</v>
      </c>
    </row>
    <row r="7337" spans="2:34" x14ac:dyDescent="0.2">
      <c r="B7337" s="2">
        <f ca="1"/>
        <v>0.88374563754883306</v>
      </c>
      <c r="O7337" s="2">
        <f ca="1"/>
        <v>-0.4704083304574061</v>
      </c>
      <c r="X7337" s="2">
        <f ca="1"/>
        <v>38.985470793834921</v>
      </c>
      <c r="AG7337" s="2">
        <f ca="1"/>
        <v>0.93231777864158616</v>
      </c>
      <c r="AH7337" s="2" t="str">
        <f ca="1"/>
        <v>Bad</v>
      </c>
    </row>
    <row r="7338" spans="2:34" x14ac:dyDescent="0.2">
      <c r="B7338" s="2">
        <f ca="1"/>
        <v>0.83035330642598715</v>
      </c>
      <c r="O7338" s="2">
        <f ca="1"/>
        <v>2.7295817416932322</v>
      </c>
      <c r="X7338" s="2">
        <f ca="1"/>
        <v>36.11578761764725</v>
      </c>
      <c r="AG7338" s="2">
        <f ca="1"/>
        <v>0.60944499955300935</v>
      </c>
      <c r="AH7338" s="2" t="str">
        <f ca="1"/>
        <v>Bad</v>
      </c>
    </row>
    <row r="7339" spans="2:34" x14ac:dyDescent="0.2">
      <c r="B7339" s="2">
        <f ca="1"/>
        <v>0.2466393884015432</v>
      </c>
      <c r="O7339" s="2">
        <f ca="1"/>
        <v>0.1921966054223066</v>
      </c>
      <c r="X7339" s="2">
        <f ca="1"/>
        <v>52.342657275613512</v>
      </c>
      <c r="AG7339" s="2">
        <f ca="1"/>
        <v>0.39925549728412979</v>
      </c>
      <c r="AH7339" s="2" t="str">
        <f ca="1"/>
        <v>OK</v>
      </c>
    </row>
    <row r="7340" spans="2:34" x14ac:dyDescent="0.2">
      <c r="B7340" s="2">
        <f ca="1"/>
        <v>0.97814795171337598</v>
      </c>
      <c r="O7340" s="2">
        <f ca="1"/>
        <v>-0.47083869096287906</v>
      </c>
      <c r="X7340" s="2">
        <f ca="1"/>
        <v>35.273297756624096</v>
      </c>
      <c r="AG7340" s="2">
        <f ca="1"/>
        <v>0.35473260696208175</v>
      </c>
      <c r="AH7340" s="2" t="str">
        <f ca="1"/>
        <v>OK</v>
      </c>
    </row>
    <row r="7341" spans="2:34" x14ac:dyDescent="0.2">
      <c r="B7341" s="2">
        <f ca="1"/>
        <v>0.66797425361594187</v>
      </c>
      <c r="O7341" s="2">
        <f ca="1"/>
        <v>1.1508004693038361</v>
      </c>
      <c r="X7341" s="2">
        <f ca="1"/>
        <v>51.64170386234052</v>
      </c>
      <c r="AG7341" s="2">
        <f ca="1"/>
        <v>0.79528746625198732</v>
      </c>
      <c r="AH7341" s="2" t="str">
        <f ca="1"/>
        <v>Bad</v>
      </c>
    </row>
    <row r="7342" spans="2:34" x14ac:dyDescent="0.2">
      <c r="B7342" s="2">
        <f ca="1"/>
        <v>0.11414937118324797</v>
      </c>
      <c r="O7342" s="2">
        <f ca="1"/>
        <v>-1.2693322505020233</v>
      </c>
      <c r="X7342" s="2">
        <f ca="1"/>
        <v>76.283115103966722</v>
      </c>
      <c r="AG7342" s="2">
        <f ca="1"/>
        <v>0.68341643363386884</v>
      </c>
      <c r="AH7342" s="2" t="str">
        <f ca="1"/>
        <v>Bad</v>
      </c>
    </row>
    <row r="7343" spans="2:34" x14ac:dyDescent="0.2">
      <c r="B7343" s="2">
        <f ca="1"/>
        <v>0.7016295712314411</v>
      </c>
      <c r="O7343" s="2">
        <f ca="1"/>
        <v>1.1042035967163233</v>
      </c>
      <c r="X7343" s="2">
        <f ca="1"/>
        <v>33.82288245195641</v>
      </c>
      <c r="AG7343" s="2">
        <f ca="1"/>
        <v>0.52029150392382517</v>
      </c>
      <c r="AH7343" s="2" t="str">
        <f ca="1"/>
        <v>Bad</v>
      </c>
    </row>
    <row r="7344" spans="2:34" x14ac:dyDescent="0.2">
      <c r="B7344" s="2">
        <f ca="1"/>
        <v>0.75594674938653772</v>
      </c>
      <c r="O7344" s="2">
        <f ca="1"/>
        <v>-0.8295128330221454</v>
      </c>
      <c r="X7344" s="2">
        <f ca="1"/>
        <v>51.709720172758587</v>
      </c>
      <c r="AG7344" s="2">
        <f ca="1"/>
        <v>0.39591738392064935</v>
      </c>
      <c r="AH7344" s="2" t="str">
        <f ca="1"/>
        <v>OK</v>
      </c>
    </row>
    <row r="7345" spans="2:34" x14ac:dyDescent="0.2">
      <c r="B7345" s="2">
        <f ca="1"/>
        <v>3.7386412661893909E-2</v>
      </c>
      <c r="O7345" s="2">
        <f ca="1"/>
        <v>-3.1373114677958093E-2</v>
      </c>
      <c r="X7345" s="2">
        <f ca="1"/>
        <v>60.239104203362061</v>
      </c>
      <c r="AG7345" s="2">
        <f ca="1"/>
        <v>0.47997472141082853</v>
      </c>
      <c r="AH7345" s="2" t="str">
        <f ca="1"/>
        <v>Bad</v>
      </c>
    </row>
    <row r="7346" spans="2:34" x14ac:dyDescent="0.2">
      <c r="B7346" s="2">
        <f ca="1"/>
        <v>0.13593211039236142</v>
      </c>
      <c r="O7346" s="2">
        <f ca="1"/>
        <v>1.5753423458445812</v>
      </c>
      <c r="X7346" s="2">
        <f ca="1"/>
        <v>39.659339366573036</v>
      </c>
      <c r="AG7346" s="2">
        <f ca="1"/>
        <v>0.94713145124702525</v>
      </c>
      <c r="AH7346" s="2" t="str">
        <f ca="1"/>
        <v>Bad</v>
      </c>
    </row>
    <row r="7347" spans="2:34" x14ac:dyDescent="0.2">
      <c r="B7347" s="2">
        <f ca="1"/>
        <v>0.616108513518834</v>
      </c>
      <c r="O7347" s="2">
        <f ca="1"/>
        <v>0.56420822690930428</v>
      </c>
      <c r="X7347" s="2">
        <f ca="1"/>
        <v>32.451385970174947</v>
      </c>
      <c r="AG7347" s="2">
        <f ca="1"/>
        <v>6.5027768227618354E-2</v>
      </c>
      <c r="AH7347" s="2" t="str">
        <f ca="1"/>
        <v>OK</v>
      </c>
    </row>
    <row r="7348" spans="2:34" x14ac:dyDescent="0.2">
      <c r="B7348" s="2">
        <f ca="1"/>
        <v>0.93584983345333583</v>
      </c>
      <c r="O7348" s="2">
        <f ca="1"/>
        <v>-1.4915915003667408</v>
      </c>
      <c r="X7348" s="2">
        <f ca="1"/>
        <v>42.393925054264514</v>
      </c>
      <c r="AG7348" s="2">
        <f ca="1"/>
        <v>1.0636639017408411E-2</v>
      </c>
      <c r="AH7348" s="2" t="str">
        <f ca="1"/>
        <v>Good</v>
      </c>
    </row>
    <row r="7349" spans="2:34" x14ac:dyDescent="0.2">
      <c r="B7349" s="2">
        <f ca="1"/>
        <v>0.95400699593445593</v>
      </c>
      <c r="O7349" s="2">
        <f ca="1"/>
        <v>-7.7262103462185537E-3</v>
      </c>
      <c r="X7349" s="2">
        <f ca="1"/>
        <v>72.460718314992604</v>
      </c>
      <c r="AG7349" s="2">
        <f ca="1"/>
        <v>0.75899325544457819</v>
      </c>
      <c r="AH7349" s="2" t="str">
        <f ca="1"/>
        <v>Bad</v>
      </c>
    </row>
    <row r="7350" spans="2:34" x14ac:dyDescent="0.2">
      <c r="B7350" s="2">
        <f ca="1"/>
        <v>0.97420273876709751</v>
      </c>
      <c r="O7350" s="2">
        <f ca="1"/>
        <v>-0.76407065526660845</v>
      </c>
      <c r="X7350" s="2">
        <f ca="1"/>
        <v>34.660059520950107</v>
      </c>
      <c r="AG7350" s="2">
        <f ca="1"/>
        <v>3.2334615808654821E-2</v>
      </c>
      <c r="AH7350" s="2" t="str">
        <f ca="1"/>
        <v>Good</v>
      </c>
    </row>
    <row r="7351" spans="2:34" x14ac:dyDescent="0.2">
      <c r="B7351" s="2">
        <f ca="1"/>
        <v>7.8445443624942435E-2</v>
      </c>
      <c r="O7351" s="2">
        <f ca="1"/>
        <v>1.259424106321317</v>
      </c>
      <c r="X7351" s="2">
        <f ca="1"/>
        <v>57.656859808378869</v>
      </c>
      <c r="AG7351" s="2">
        <f ca="1"/>
        <v>0.50576765074889751</v>
      </c>
      <c r="AH7351" s="2" t="str">
        <f ca="1"/>
        <v>Bad</v>
      </c>
    </row>
    <row r="7352" spans="2:34" x14ac:dyDescent="0.2">
      <c r="B7352" s="2">
        <f ca="1"/>
        <v>0.15710985292719393</v>
      </c>
      <c r="O7352" s="2">
        <f ca="1"/>
        <v>0.13157540898469194</v>
      </c>
      <c r="X7352" s="2">
        <f ca="1"/>
        <v>43.684333794935242</v>
      </c>
      <c r="AG7352" s="2">
        <f ca="1"/>
        <v>0.44836272547348099</v>
      </c>
      <c r="AH7352" s="2" t="str">
        <f ca="1"/>
        <v>Bad</v>
      </c>
    </row>
    <row r="7353" spans="2:34" x14ac:dyDescent="0.2">
      <c r="B7353" s="2">
        <f ca="1"/>
        <v>0.3387555413369161</v>
      </c>
      <c r="O7353" s="2">
        <f ca="1"/>
        <v>-0.69467735534774211</v>
      </c>
      <c r="X7353" s="2">
        <f ca="1"/>
        <v>57.938696197204592</v>
      </c>
      <c r="AG7353" s="2">
        <f ca="1"/>
        <v>0.84876555954080901</v>
      </c>
      <c r="AH7353" s="2" t="str">
        <f ca="1"/>
        <v>Bad</v>
      </c>
    </row>
    <row r="7354" spans="2:34" x14ac:dyDescent="0.2">
      <c r="B7354" s="2">
        <f ca="1"/>
        <v>0.16951996409440295</v>
      </c>
      <c r="O7354" s="2">
        <f ca="1"/>
        <v>-0.39549722789174085</v>
      </c>
      <c r="X7354" s="2">
        <f ca="1"/>
        <v>60.701826918503308</v>
      </c>
      <c r="AG7354" s="2">
        <f ca="1"/>
        <v>0.14617453551612347</v>
      </c>
      <c r="AH7354" s="2" t="str">
        <f ca="1"/>
        <v>OK</v>
      </c>
    </row>
    <row r="7355" spans="2:34" x14ac:dyDescent="0.2">
      <c r="B7355" s="2">
        <f ca="1"/>
        <v>0.8023185530082293</v>
      </c>
      <c r="O7355" s="2">
        <f ca="1"/>
        <v>-0.89063590779506008</v>
      </c>
      <c r="X7355" s="2">
        <f ca="1"/>
        <v>62.166705739466067</v>
      </c>
      <c r="AG7355" s="2">
        <f ca="1"/>
        <v>0.61580283940151004</v>
      </c>
      <c r="AH7355" s="2" t="str">
        <f ca="1"/>
        <v>Bad</v>
      </c>
    </row>
    <row r="7356" spans="2:34" x14ac:dyDescent="0.2">
      <c r="B7356" s="2">
        <f ca="1"/>
        <v>0.62849718168593127</v>
      </c>
      <c r="O7356" s="2">
        <f ca="1"/>
        <v>2.5283614138625383</v>
      </c>
      <c r="X7356" s="2">
        <f ca="1"/>
        <v>62.57452783058865</v>
      </c>
      <c r="AG7356" s="2">
        <f ca="1"/>
        <v>0.28835085292676577</v>
      </c>
      <c r="AH7356" s="2" t="str">
        <f ca="1"/>
        <v>OK</v>
      </c>
    </row>
    <row r="7357" spans="2:34" x14ac:dyDescent="0.2">
      <c r="B7357" s="2">
        <f ca="1"/>
        <v>0.66639502320906452</v>
      </c>
      <c r="O7357" s="2">
        <f ca="1"/>
        <v>0.19126178844304081</v>
      </c>
      <c r="X7357" s="2">
        <f ca="1"/>
        <v>52.673515276014271</v>
      </c>
      <c r="AG7357" s="2">
        <f ca="1"/>
        <v>0.94875619488211083</v>
      </c>
      <c r="AH7357" s="2" t="str">
        <f ca="1"/>
        <v>Bad</v>
      </c>
    </row>
    <row r="7358" spans="2:34" x14ac:dyDescent="0.2">
      <c r="B7358" s="2">
        <f ca="1"/>
        <v>0.33545545120565334</v>
      </c>
      <c r="O7358" s="2">
        <f ca="1"/>
        <v>0.44732170817362449</v>
      </c>
      <c r="X7358" s="2">
        <f ca="1"/>
        <v>60.609854346060985</v>
      </c>
      <c r="AG7358" s="2">
        <f ca="1"/>
        <v>0.14439422746263109</v>
      </c>
      <c r="AH7358" s="2" t="str">
        <f ca="1"/>
        <v>OK</v>
      </c>
    </row>
    <row r="7359" spans="2:34" x14ac:dyDescent="0.2">
      <c r="B7359" s="2">
        <f ca="1"/>
        <v>0.37115036781529831</v>
      </c>
      <c r="O7359" s="2">
        <f ca="1"/>
        <v>-0.36964365126524279</v>
      </c>
      <c r="X7359" s="2">
        <f ca="1"/>
        <v>44.198070614963058</v>
      </c>
      <c r="AG7359" s="2">
        <f ca="1"/>
        <v>0.89608608805572931</v>
      </c>
      <c r="AH7359" s="2" t="str">
        <f ca="1"/>
        <v>Bad</v>
      </c>
    </row>
    <row r="7360" spans="2:34" x14ac:dyDescent="0.2">
      <c r="B7360" s="2">
        <f ca="1"/>
        <v>0.13560172610843768</v>
      </c>
      <c r="O7360" s="2">
        <f ca="1"/>
        <v>-1.196177579638251</v>
      </c>
      <c r="X7360" s="2">
        <f ca="1"/>
        <v>42.660139971048025</v>
      </c>
      <c r="AG7360" s="2">
        <f ca="1"/>
        <v>0.83290029487840811</v>
      </c>
      <c r="AH7360" s="2" t="str">
        <f ca="1"/>
        <v>Bad</v>
      </c>
    </row>
    <row r="7361" spans="2:34" x14ac:dyDescent="0.2">
      <c r="B7361" s="2">
        <f ca="1"/>
        <v>0.46375126719120585</v>
      </c>
      <c r="O7361" s="2">
        <f ca="1"/>
        <v>-0.80378139139645832</v>
      </c>
      <c r="X7361" s="2">
        <f ca="1"/>
        <v>31.43764114259389</v>
      </c>
      <c r="AG7361" s="2">
        <f ca="1"/>
        <v>0.39334551381710003</v>
      </c>
      <c r="AH7361" s="2" t="str">
        <f ca="1"/>
        <v>OK</v>
      </c>
    </row>
    <row r="7362" spans="2:34" x14ac:dyDescent="0.2">
      <c r="B7362" s="2">
        <f ca="1"/>
        <v>0.30127726356309381</v>
      </c>
      <c r="O7362" s="2">
        <f ca="1"/>
        <v>0.46947211358310581</v>
      </c>
      <c r="X7362" s="2">
        <f ca="1"/>
        <v>43.787338296800485</v>
      </c>
      <c r="AG7362" s="2">
        <f ca="1"/>
        <v>0.17806514517546468</v>
      </c>
      <c r="AH7362" s="2" t="str">
        <f ca="1"/>
        <v>OK</v>
      </c>
    </row>
    <row r="7363" spans="2:34" x14ac:dyDescent="0.2">
      <c r="B7363" s="2">
        <f ca="1"/>
        <v>0.35601113226394054</v>
      </c>
      <c r="O7363" s="2">
        <f ca="1"/>
        <v>-0.44874356018955325</v>
      </c>
      <c r="X7363" s="2">
        <f ca="1"/>
        <v>35.276229040105498</v>
      </c>
      <c r="AG7363" s="2">
        <f ca="1"/>
        <v>0.37679015368378854</v>
      </c>
      <c r="AH7363" s="2" t="str">
        <f ca="1"/>
        <v>OK</v>
      </c>
    </row>
    <row r="7364" spans="2:34" x14ac:dyDescent="0.2">
      <c r="B7364" s="2">
        <f ca="1"/>
        <v>0.26216486047743959</v>
      </c>
      <c r="O7364" s="2">
        <f ca="1"/>
        <v>-2.0095352457287898</v>
      </c>
      <c r="X7364" s="2">
        <f ca="1"/>
        <v>23.643100023605079</v>
      </c>
      <c r="AG7364" s="2">
        <f ca="1"/>
        <v>0.32046841236293089</v>
      </c>
      <c r="AH7364" s="2" t="str">
        <f ca="1"/>
        <v>OK</v>
      </c>
    </row>
    <row r="7365" spans="2:34" x14ac:dyDescent="0.2">
      <c r="B7365" s="2">
        <f ca="1"/>
        <v>0.17925262739730807</v>
      </c>
      <c r="O7365" s="2">
        <f ca="1"/>
        <v>1.2080016864893355</v>
      </c>
      <c r="X7365" s="2">
        <f ca="1"/>
        <v>61.254114013544822</v>
      </c>
      <c r="AG7365" s="2">
        <f ca="1"/>
        <v>0.37739220128724105</v>
      </c>
      <c r="AH7365" s="2" t="str">
        <f ca="1"/>
        <v>OK</v>
      </c>
    </row>
    <row r="7366" spans="2:34" x14ac:dyDescent="0.2">
      <c r="B7366" s="2">
        <f ca="1"/>
        <v>0.49467956917362721</v>
      </c>
      <c r="O7366" s="2">
        <f ca="1"/>
        <v>4.8306358156043658E-2</v>
      </c>
      <c r="X7366" s="2">
        <f ca="1"/>
        <v>64.594241288296956</v>
      </c>
      <c r="AG7366" s="2">
        <f ca="1"/>
        <v>0.57117731800150451</v>
      </c>
      <c r="AH7366" s="2" t="str">
        <f ca="1"/>
        <v>Bad</v>
      </c>
    </row>
    <row r="7367" spans="2:34" x14ac:dyDescent="0.2">
      <c r="B7367" s="2">
        <f ca="1"/>
        <v>0.9060313448775732</v>
      </c>
      <c r="O7367" s="2">
        <f ca="1"/>
        <v>6.1282041358755805E-2</v>
      </c>
      <c r="X7367" s="2">
        <f ca="1"/>
        <v>44.898282214748818</v>
      </c>
      <c r="AG7367" s="2">
        <f ca="1"/>
        <v>0.47144430074570365</v>
      </c>
      <c r="AH7367" s="2" t="str">
        <f ca="1"/>
        <v>Bad</v>
      </c>
    </row>
    <row r="7368" spans="2:34" x14ac:dyDescent="0.2">
      <c r="B7368" s="2">
        <f ca="1"/>
        <v>0.84248705172364646</v>
      </c>
      <c r="O7368" s="2">
        <f ca="1"/>
        <v>-1.1567524842950172</v>
      </c>
      <c r="X7368" s="2">
        <f ca="1"/>
        <v>63.611139547343541</v>
      </c>
      <c r="AG7368" s="2">
        <f ca="1"/>
        <v>0.94174711329108507</v>
      </c>
      <c r="AH7368" s="2" t="str">
        <f ca="1"/>
        <v>Bad</v>
      </c>
    </row>
    <row r="7369" spans="2:34" x14ac:dyDescent="0.2">
      <c r="B7369" s="2">
        <f ca="1"/>
        <v>0.5517960502424093</v>
      </c>
      <c r="O7369" s="2">
        <f ca="1"/>
        <v>1.6021076127831351</v>
      </c>
      <c r="X7369" s="2">
        <f ca="1"/>
        <v>31.895222686584162</v>
      </c>
      <c r="AG7369" s="2">
        <f ca="1"/>
        <v>0.1286193165378029</v>
      </c>
      <c r="AH7369" s="2" t="str">
        <f ca="1"/>
        <v>OK</v>
      </c>
    </row>
    <row r="7370" spans="2:34" x14ac:dyDescent="0.2">
      <c r="B7370" s="2">
        <f ca="1"/>
        <v>0.29302867321427506</v>
      </c>
      <c r="O7370" s="2">
        <f ca="1"/>
        <v>-0.45503619604933443</v>
      </c>
      <c r="X7370" s="2">
        <f ca="1"/>
        <v>92.979918349175563</v>
      </c>
      <c r="AG7370" s="2">
        <f ca="1"/>
        <v>0.26045800294076793</v>
      </c>
      <c r="AH7370" s="2" t="str">
        <f ca="1"/>
        <v>OK</v>
      </c>
    </row>
    <row r="7371" spans="2:34" x14ac:dyDescent="0.2">
      <c r="B7371" s="2">
        <f ca="1"/>
        <v>0.45895016077773598</v>
      </c>
      <c r="O7371" s="2">
        <f ca="1"/>
        <v>0.75973892064039084</v>
      </c>
      <c r="X7371" s="2">
        <f ca="1"/>
        <v>39.09703622410661</v>
      </c>
      <c r="AG7371" s="2">
        <f ca="1"/>
        <v>0.81377708605826493</v>
      </c>
      <c r="AH7371" s="2" t="str">
        <f ca="1"/>
        <v>Bad</v>
      </c>
    </row>
    <row r="7372" spans="2:34" x14ac:dyDescent="0.2">
      <c r="B7372" s="2">
        <f ca="1"/>
        <v>0.71626115200533014</v>
      </c>
      <c r="O7372" s="2">
        <f ca="1"/>
        <v>0.85435563294773798</v>
      </c>
      <c r="X7372" s="2">
        <f ca="1"/>
        <v>39.365407430294169</v>
      </c>
      <c r="AG7372" s="2">
        <f ca="1"/>
        <v>0.27565445570893288</v>
      </c>
      <c r="AH7372" s="2" t="str">
        <f ca="1"/>
        <v>OK</v>
      </c>
    </row>
    <row r="7373" spans="2:34" x14ac:dyDescent="0.2">
      <c r="B7373" s="2">
        <f ca="1"/>
        <v>0.82135576046928538</v>
      </c>
      <c r="O7373" s="2">
        <f ca="1"/>
        <v>-0.56825442085335842</v>
      </c>
      <c r="X7373" s="2">
        <f ca="1"/>
        <v>50.783282722384612</v>
      </c>
      <c r="AG7373" s="2">
        <f ca="1"/>
        <v>0.29502984213493577</v>
      </c>
      <c r="AH7373" s="2" t="str">
        <f ca="1"/>
        <v>OK</v>
      </c>
    </row>
    <row r="7374" spans="2:34" x14ac:dyDescent="0.2">
      <c r="B7374" s="2">
        <f ca="1"/>
        <v>0.30222015077214093</v>
      </c>
      <c r="O7374" s="2">
        <f ca="1"/>
        <v>0.32487676944205018</v>
      </c>
      <c r="X7374" s="2">
        <f ca="1"/>
        <v>50.057627383290047</v>
      </c>
      <c r="AG7374" s="2">
        <f ca="1"/>
        <v>0.35603656314717869</v>
      </c>
      <c r="AH7374" s="2" t="str">
        <f ca="1"/>
        <v>OK</v>
      </c>
    </row>
    <row r="7375" spans="2:34" x14ac:dyDescent="0.2">
      <c r="B7375" s="2">
        <f ca="1"/>
        <v>0.93963316736215496</v>
      </c>
      <c r="O7375" s="2">
        <f ca="1"/>
        <v>0.73652162406948363</v>
      </c>
      <c r="X7375" s="2">
        <f ca="1"/>
        <v>71.218065583764471</v>
      </c>
      <c r="AG7375" s="2">
        <f ca="1"/>
        <v>0.31901717225738446</v>
      </c>
      <c r="AH7375" s="2" t="str">
        <f ca="1"/>
        <v>OK</v>
      </c>
    </row>
    <row r="7376" spans="2:34" x14ac:dyDescent="0.2">
      <c r="B7376" s="2">
        <f ca="1"/>
        <v>0.45053694633442687</v>
      </c>
      <c r="O7376" s="2">
        <f ca="1"/>
        <v>-2.6170734103677407</v>
      </c>
      <c r="X7376" s="2">
        <f ca="1"/>
        <v>55.307836934266163</v>
      </c>
      <c r="AG7376" s="2">
        <f ca="1"/>
        <v>0.62227938646311132</v>
      </c>
      <c r="AH7376" s="2" t="str">
        <f ca="1"/>
        <v>Bad</v>
      </c>
    </row>
    <row r="7377" spans="2:34" x14ac:dyDescent="0.2">
      <c r="B7377" s="2">
        <f ca="1"/>
        <v>0.135698048610148</v>
      </c>
      <c r="O7377" s="2">
        <f ca="1"/>
        <v>-0.96767643086958499</v>
      </c>
      <c r="X7377" s="2">
        <f ca="1"/>
        <v>37.142117078178998</v>
      </c>
      <c r="AG7377" s="2">
        <f ca="1"/>
        <v>0.67813541205295613</v>
      </c>
      <c r="AH7377" s="2" t="str">
        <f ca="1"/>
        <v>Bad</v>
      </c>
    </row>
    <row r="7378" spans="2:34" x14ac:dyDescent="0.2">
      <c r="B7378" s="2">
        <f ca="1"/>
        <v>0.29824647495790302</v>
      </c>
      <c r="O7378" s="2">
        <f ca="1"/>
        <v>-0.22927019531392417</v>
      </c>
      <c r="X7378" s="2">
        <f ca="1"/>
        <v>31.304518260248948</v>
      </c>
      <c r="AG7378" s="2">
        <f ca="1"/>
        <v>0.48861048144457353</v>
      </c>
      <c r="AH7378" s="2" t="str">
        <f ca="1"/>
        <v>Bad</v>
      </c>
    </row>
    <row r="7379" spans="2:34" x14ac:dyDescent="0.2">
      <c r="B7379" s="2">
        <f ca="1"/>
        <v>2.3799346197388216E-2</v>
      </c>
      <c r="O7379" s="2">
        <f ca="1"/>
        <v>0.49140590047983512</v>
      </c>
      <c r="X7379" s="2">
        <f ca="1"/>
        <v>58.323561292299992</v>
      </c>
      <c r="AG7379" s="2">
        <f ca="1"/>
        <v>0.36661783969776307</v>
      </c>
      <c r="AH7379" s="2" t="str">
        <f ca="1"/>
        <v>OK</v>
      </c>
    </row>
    <row r="7380" spans="2:34" x14ac:dyDescent="0.2">
      <c r="B7380" s="2">
        <f ca="1"/>
        <v>0.44726831082616103</v>
      </c>
      <c r="O7380" s="2">
        <f ca="1"/>
        <v>-1.6764226589753979</v>
      </c>
      <c r="X7380" s="2">
        <f ca="1"/>
        <v>52.539126572503051</v>
      </c>
      <c r="AG7380" s="2">
        <f ca="1"/>
        <v>0.32251103150776883</v>
      </c>
      <c r="AH7380" s="2" t="str">
        <f ca="1"/>
        <v>OK</v>
      </c>
    </row>
    <row r="7381" spans="2:34" x14ac:dyDescent="0.2">
      <c r="B7381" s="2">
        <f ca="1"/>
        <v>0.75926015427508764</v>
      </c>
      <c r="O7381" s="2">
        <f ca="1"/>
        <v>-0.58672663301174999</v>
      </c>
      <c r="X7381" s="2">
        <f ca="1"/>
        <v>59.0041458357328</v>
      </c>
      <c r="AG7381" s="2">
        <f ca="1"/>
        <v>0.12087946567042174</v>
      </c>
      <c r="AH7381" s="2" t="str">
        <f ca="1"/>
        <v>OK</v>
      </c>
    </row>
    <row r="7382" spans="2:34" x14ac:dyDescent="0.2">
      <c r="B7382" s="2">
        <f ca="1"/>
        <v>0.27693104670749324</v>
      </c>
      <c r="O7382" s="2">
        <f ca="1"/>
        <v>0.36842910073608048</v>
      </c>
      <c r="X7382" s="2">
        <f ca="1"/>
        <v>38.169568919261472</v>
      </c>
      <c r="AG7382" s="2">
        <f ca="1"/>
        <v>0.79678070402583856</v>
      </c>
      <c r="AH7382" s="2" t="str">
        <f ca="1"/>
        <v>Bad</v>
      </c>
    </row>
    <row r="7383" spans="2:34" x14ac:dyDescent="0.2">
      <c r="B7383" s="2">
        <f ca="1"/>
        <v>0.36194586466752754</v>
      </c>
      <c r="O7383" s="2">
        <f ca="1"/>
        <v>-0.78459978994059454</v>
      </c>
      <c r="X7383" s="2">
        <f ca="1"/>
        <v>45.427573176243953</v>
      </c>
      <c r="AG7383" s="2">
        <f ca="1"/>
        <v>0.65083513200660614</v>
      </c>
      <c r="AH7383" s="2" t="str">
        <f ca="1"/>
        <v>Bad</v>
      </c>
    </row>
    <row r="7384" spans="2:34" x14ac:dyDescent="0.2">
      <c r="B7384" s="2">
        <f ca="1"/>
        <v>0.80332667060685936</v>
      </c>
      <c r="O7384" s="2">
        <f ca="1"/>
        <v>0.26446156913341951</v>
      </c>
      <c r="X7384" s="2">
        <f ca="1"/>
        <v>26.389691469359864</v>
      </c>
      <c r="AG7384" s="2">
        <f ca="1"/>
        <v>0.11224280309825363</v>
      </c>
      <c r="AH7384" s="2" t="str">
        <f ca="1"/>
        <v>OK</v>
      </c>
    </row>
    <row r="7385" spans="2:34" x14ac:dyDescent="0.2">
      <c r="B7385" s="2">
        <f ca="1"/>
        <v>0.97286932225411649</v>
      </c>
      <c r="O7385" s="2">
        <f ca="1"/>
        <v>-0.50308581890574788</v>
      </c>
      <c r="X7385" s="2">
        <f ca="1"/>
        <v>36.314078664522697</v>
      </c>
      <c r="AG7385" s="2">
        <f ca="1"/>
        <v>0.16244379986911994</v>
      </c>
      <c r="AH7385" s="2" t="str">
        <f ca="1"/>
        <v>OK</v>
      </c>
    </row>
    <row r="7386" spans="2:34" x14ac:dyDescent="0.2">
      <c r="B7386" s="2">
        <f ca="1"/>
        <v>0.54813561625224749</v>
      </c>
      <c r="O7386" s="2">
        <f ca="1"/>
        <v>-0.57877990688085434</v>
      </c>
      <c r="X7386" s="2">
        <f ca="1"/>
        <v>18.155765057680107</v>
      </c>
      <c r="AG7386" s="2">
        <f ca="1"/>
        <v>0.27863543576473937</v>
      </c>
      <c r="AH7386" s="2" t="str">
        <f ca="1"/>
        <v>OK</v>
      </c>
    </row>
    <row r="7387" spans="2:34" x14ac:dyDescent="0.2">
      <c r="B7387" s="2">
        <f ca="1"/>
        <v>0.99342753590529775</v>
      </c>
      <c r="O7387" s="2">
        <f ca="1"/>
        <v>2.0203491684936687</v>
      </c>
      <c r="X7387" s="2">
        <f ca="1"/>
        <v>29.338778226587216</v>
      </c>
      <c r="AG7387" s="2">
        <f ca="1"/>
        <v>0.89394317489073805</v>
      </c>
      <c r="AH7387" s="2" t="str">
        <f ca="1"/>
        <v>Bad</v>
      </c>
    </row>
    <row r="7388" spans="2:34" x14ac:dyDescent="0.2">
      <c r="B7388" s="2">
        <f ca="1"/>
        <v>0.25689855678855555</v>
      </c>
      <c r="O7388" s="2">
        <f ca="1"/>
        <v>-0.98908195077520333</v>
      </c>
      <c r="X7388" s="2">
        <f ca="1"/>
        <v>36.584960153356043</v>
      </c>
      <c r="AG7388" s="2">
        <f ca="1"/>
        <v>0.48823307712877106</v>
      </c>
      <c r="AH7388" s="2" t="str">
        <f ca="1"/>
        <v>Bad</v>
      </c>
    </row>
    <row r="7389" spans="2:34" x14ac:dyDescent="0.2">
      <c r="B7389" s="2">
        <f ca="1"/>
        <v>0.56100111823716237</v>
      </c>
      <c r="O7389" s="2">
        <f ca="1"/>
        <v>0.4119838808563106</v>
      </c>
      <c r="X7389" s="2">
        <f ca="1"/>
        <v>49.289200143239391</v>
      </c>
      <c r="AG7389" s="2">
        <f ca="1"/>
        <v>0.92181506725434703</v>
      </c>
      <c r="AH7389" s="2" t="str">
        <f ca="1"/>
        <v>Bad</v>
      </c>
    </row>
    <row r="7390" spans="2:34" x14ac:dyDescent="0.2">
      <c r="B7390" s="2">
        <f ca="1"/>
        <v>0.56811362032078172</v>
      </c>
      <c r="O7390" s="2">
        <f ca="1"/>
        <v>0.12541286612749797</v>
      </c>
      <c r="X7390" s="2">
        <f ca="1"/>
        <v>55.326158237532439</v>
      </c>
      <c r="AG7390" s="2">
        <f ca="1"/>
        <v>0.10988594607987245</v>
      </c>
      <c r="AH7390" s="2" t="str">
        <f ca="1"/>
        <v>OK</v>
      </c>
    </row>
    <row r="7391" spans="2:34" x14ac:dyDescent="0.2">
      <c r="B7391" s="2">
        <f ca="1"/>
        <v>0.29772158880192245</v>
      </c>
      <c r="O7391" s="2">
        <f ca="1"/>
        <v>-0.66045973092232602</v>
      </c>
      <c r="X7391" s="2">
        <f ca="1"/>
        <v>52.278692500497272</v>
      </c>
      <c r="AG7391" s="2">
        <f ca="1"/>
        <v>0.79197218241346579</v>
      </c>
      <c r="AH7391" s="2" t="str">
        <f ca="1"/>
        <v>Bad</v>
      </c>
    </row>
    <row r="7392" spans="2:34" x14ac:dyDescent="0.2">
      <c r="B7392" s="2">
        <f ca="1"/>
        <v>3.8911727365799509E-2</v>
      </c>
      <c r="O7392" s="2">
        <f ca="1"/>
        <v>-1.1248236238356524</v>
      </c>
      <c r="X7392" s="2">
        <f ca="1"/>
        <v>34.821295631658515</v>
      </c>
      <c r="AG7392" s="2">
        <f ca="1"/>
        <v>0.22860291080825812</v>
      </c>
      <c r="AH7392" s="2" t="str">
        <f ca="1"/>
        <v>OK</v>
      </c>
    </row>
    <row r="7393" spans="2:34" x14ac:dyDescent="0.2">
      <c r="B7393" s="2">
        <f ca="1"/>
        <v>0.3800868014784704</v>
      </c>
      <c r="O7393" s="2">
        <f ca="1"/>
        <v>6.6317343497785453E-2</v>
      </c>
      <c r="X7393" s="2">
        <f ca="1"/>
        <v>25.729807178282012</v>
      </c>
      <c r="AG7393" s="2">
        <f ca="1"/>
        <v>0.82930948133396187</v>
      </c>
      <c r="AH7393" s="2" t="str">
        <f ca="1"/>
        <v>Bad</v>
      </c>
    </row>
    <row r="7394" spans="2:34" x14ac:dyDescent="0.2">
      <c r="B7394" s="2">
        <f ca="1"/>
        <v>0.45074178341938409</v>
      </c>
      <c r="O7394" s="2">
        <f ca="1"/>
        <v>0.43587969744376903</v>
      </c>
      <c r="X7394" s="2">
        <f ca="1"/>
        <v>81.350718725929184</v>
      </c>
      <c r="AG7394" s="2">
        <f ca="1"/>
        <v>0.36480352729485399</v>
      </c>
      <c r="AH7394" s="2" t="str">
        <f ca="1"/>
        <v>OK</v>
      </c>
    </row>
    <row r="7395" spans="2:34" x14ac:dyDescent="0.2">
      <c r="B7395" s="2">
        <f ca="1"/>
        <v>0.98690941818684363</v>
      </c>
      <c r="O7395" s="2">
        <f ca="1"/>
        <v>0.11646652547938416</v>
      </c>
      <c r="X7395" s="2">
        <f ca="1"/>
        <v>69.377805395927169</v>
      </c>
      <c r="AG7395" s="2">
        <f ca="1"/>
        <v>0.47444068010808182</v>
      </c>
      <c r="AH7395" s="2" t="str">
        <f ca="1"/>
        <v>Bad</v>
      </c>
    </row>
    <row r="7396" spans="2:34" x14ac:dyDescent="0.2">
      <c r="B7396" s="2">
        <f ca="1"/>
        <v>0.12225763167092785</v>
      </c>
      <c r="O7396" s="2">
        <f ca="1"/>
        <v>2.1688979231181582</v>
      </c>
      <c r="X7396" s="2">
        <f ca="1"/>
        <v>73.054839183750403</v>
      </c>
      <c r="AG7396" s="2">
        <f ca="1"/>
        <v>2.6336670245963978E-2</v>
      </c>
      <c r="AH7396" s="2" t="str">
        <f ca="1"/>
        <v>Good</v>
      </c>
    </row>
    <row r="7397" spans="2:34" x14ac:dyDescent="0.2">
      <c r="B7397" s="2">
        <f ca="1"/>
        <v>0.41871657102294502</v>
      </c>
      <c r="O7397" s="2">
        <f ca="1"/>
        <v>1.3633678719228808</v>
      </c>
      <c r="X7397" s="2">
        <f ca="1"/>
        <v>50.320957060752029</v>
      </c>
      <c r="AG7397" s="2">
        <f ca="1"/>
        <v>0.67202401722912941</v>
      </c>
      <c r="AH7397" s="2" t="str">
        <f ca="1"/>
        <v>Bad</v>
      </c>
    </row>
    <row r="7398" spans="2:34" x14ac:dyDescent="0.2">
      <c r="B7398" s="2">
        <f ca="1"/>
        <v>0.62315563612718061</v>
      </c>
      <c r="O7398" s="2">
        <f ca="1"/>
        <v>0.68992287017616671</v>
      </c>
      <c r="X7398" s="2">
        <f ca="1"/>
        <v>36.382599877117741</v>
      </c>
      <c r="AG7398" s="2">
        <f ca="1"/>
        <v>0.98698726601537512</v>
      </c>
      <c r="AH7398" s="2" t="str">
        <f ca="1"/>
        <v>Bad</v>
      </c>
    </row>
    <row r="7399" spans="2:34" x14ac:dyDescent="0.2">
      <c r="B7399" s="2">
        <f ca="1"/>
        <v>7.5203270343183748E-2</v>
      </c>
      <c r="O7399" s="2">
        <f ca="1"/>
        <v>-9.914881942261039E-2</v>
      </c>
      <c r="X7399" s="2">
        <f ca="1"/>
        <v>72.2917839059226</v>
      </c>
      <c r="AG7399" s="2">
        <f ca="1"/>
        <v>0.15627421651547269</v>
      </c>
      <c r="AH7399" s="2" t="str">
        <f ca="1"/>
        <v>OK</v>
      </c>
    </row>
    <row r="7400" spans="2:34" x14ac:dyDescent="0.2">
      <c r="B7400" s="2">
        <f ca="1"/>
        <v>0.20259803545761801</v>
      </c>
      <c r="O7400" s="2">
        <f ca="1"/>
        <v>2.1294209190580182</v>
      </c>
      <c r="X7400" s="2">
        <f ca="1"/>
        <v>28.217439990169652</v>
      </c>
      <c r="AG7400" s="2">
        <f ca="1"/>
        <v>0.54933138989594665</v>
      </c>
      <c r="AH7400" s="2" t="str">
        <f ca="1"/>
        <v>Bad</v>
      </c>
    </row>
    <row r="7401" spans="2:34" x14ac:dyDescent="0.2">
      <c r="B7401" s="2">
        <f ca="1"/>
        <v>0.47366637747947271</v>
      </c>
      <c r="O7401" s="2">
        <f ca="1"/>
        <v>0.21271631695255963</v>
      </c>
      <c r="X7401" s="2">
        <f ca="1"/>
        <v>32.205076274313583</v>
      </c>
      <c r="AG7401" s="2">
        <f ca="1"/>
        <v>8.7170535198473731E-2</v>
      </c>
      <c r="AH7401" s="2" t="str">
        <f ca="1"/>
        <v>OK</v>
      </c>
    </row>
    <row r="7402" spans="2:34" x14ac:dyDescent="0.2">
      <c r="B7402" s="2">
        <f ca="1"/>
        <v>0.33282334254320944</v>
      </c>
      <c r="O7402" s="2">
        <f ca="1"/>
        <v>-1.2040089505182918</v>
      </c>
      <c r="X7402" s="2">
        <f ca="1"/>
        <v>47.329844646832569</v>
      </c>
      <c r="AG7402" s="2">
        <f ca="1"/>
        <v>0.64066296494010988</v>
      </c>
      <c r="AH7402" s="2" t="str">
        <f ca="1"/>
        <v>Bad</v>
      </c>
    </row>
    <row r="7403" spans="2:34" x14ac:dyDescent="0.2">
      <c r="B7403" s="2">
        <f ca="1"/>
        <v>0.7422992891808875</v>
      </c>
      <c r="O7403" s="2">
        <f ca="1"/>
        <v>1.7197014349200639</v>
      </c>
      <c r="X7403" s="2">
        <f ca="1"/>
        <v>41.241020502982423</v>
      </c>
      <c r="AG7403" s="2">
        <f ca="1"/>
        <v>0.91649332137716089</v>
      </c>
      <c r="AH7403" s="2" t="str">
        <f ca="1"/>
        <v>Bad</v>
      </c>
    </row>
    <row r="7404" spans="2:34" x14ac:dyDescent="0.2">
      <c r="B7404" s="2">
        <f ca="1"/>
        <v>0.57431744870769497</v>
      </c>
      <c r="O7404" s="2">
        <f ca="1"/>
        <v>-0.83700251803769199</v>
      </c>
      <c r="X7404" s="2">
        <f ca="1"/>
        <v>40.346115521692916</v>
      </c>
      <c r="AG7404" s="2">
        <f ca="1"/>
        <v>0.59302676552825595</v>
      </c>
      <c r="AH7404" s="2" t="str">
        <f ca="1"/>
        <v>Bad</v>
      </c>
    </row>
    <row r="7405" spans="2:34" x14ac:dyDescent="0.2">
      <c r="B7405" s="2">
        <f ca="1"/>
        <v>0.61587774573926946</v>
      </c>
      <c r="O7405" s="2">
        <f ca="1"/>
        <v>-1.7381322130109651</v>
      </c>
      <c r="X7405" s="2">
        <f ca="1"/>
        <v>53.116920551414111</v>
      </c>
      <c r="AG7405" s="2">
        <f ca="1"/>
        <v>9.4626649136815288E-3</v>
      </c>
      <c r="AH7405" s="2" t="str">
        <f ca="1"/>
        <v>Good</v>
      </c>
    </row>
    <row r="7406" spans="2:34" x14ac:dyDescent="0.2">
      <c r="B7406" s="2">
        <f ca="1"/>
        <v>0.84791044938494387</v>
      </c>
      <c r="O7406" s="2">
        <f ca="1"/>
        <v>-1.5371943528396694</v>
      </c>
      <c r="X7406" s="2">
        <f ca="1"/>
        <v>35.464768306087372</v>
      </c>
      <c r="AG7406" s="2">
        <f ca="1"/>
        <v>0.39215526021464098</v>
      </c>
      <c r="AH7406" s="2" t="str">
        <f ca="1"/>
        <v>OK</v>
      </c>
    </row>
    <row r="7407" spans="2:34" x14ac:dyDescent="0.2">
      <c r="B7407" s="2">
        <f ca="1"/>
        <v>0.74450905227780728</v>
      </c>
      <c r="O7407" s="2">
        <f ca="1"/>
        <v>-1.3286940202912016</v>
      </c>
      <c r="X7407" s="2">
        <f ca="1"/>
        <v>39.261805663309836</v>
      </c>
      <c r="AG7407" s="2">
        <f ca="1"/>
        <v>0.43233870215922132</v>
      </c>
      <c r="AH7407" s="2" t="str">
        <f ca="1"/>
        <v>Bad</v>
      </c>
    </row>
    <row r="7408" spans="2:34" x14ac:dyDescent="0.2">
      <c r="B7408" s="2">
        <f ca="1"/>
        <v>0.56678128156759522</v>
      </c>
      <c r="O7408" s="2">
        <f ca="1"/>
        <v>0.27721105903735349</v>
      </c>
      <c r="X7408" s="2">
        <f ca="1"/>
        <v>16.556161617009781</v>
      </c>
      <c r="AG7408" s="2">
        <f ca="1"/>
        <v>0.40973512431020964</v>
      </c>
      <c r="AH7408" s="2" t="str">
        <f ca="1"/>
        <v>Bad</v>
      </c>
    </row>
    <row r="7409" spans="2:34" x14ac:dyDescent="0.2">
      <c r="B7409" s="2">
        <f ca="1"/>
        <v>0.45976285305167464</v>
      </c>
      <c r="O7409" s="2">
        <f ca="1"/>
        <v>-0.32228119894225105</v>
      </c>
      <c r="X7409" s="2">
        <f ca="1"/>
        <v>75.952031446759335</v>
      </c>
      <c r="AG7409" s="2">
        <f ca="1"/>
        <v>0.77950645077660785</v>
      </c>
      <c r="AH7409" s="2" t="str">
        <f ca="1"/>
        <v>Bad</v>
      </c>
    </row>
    <row r="7410" spans="2:34" x14ac:dyDescent="0.2">
      <c r="B7410" s="2">
        <f ca="1"/>
        <v>0.47472465747066228</v>
      </c>
      <c r="O7410" s="2">
        <f ca="1"/>
        <v>1.0792721090340185E-2</v>
      </c>
      <c r="X7410" s="2">
        <f ca="1"/>
        <v>74.440618442541549</v>
      </c>
      <c r="AG7410" s="2">
        <f ca="1"/>
        <v>0.84445263410250315</v>
      </c>
      <c r="AH7410" s="2" t="str">
        <f ca="1"/>
        <v>Bad</v>
      </c>
    </row>
    <row r="7411" spans="2:34" x14ac:dyDescent="0.2">
      <c r="B7411" s="2">
        <f ca="1"/>
        <v>0.690189593286892</v>
      </c>
      <c r="O7411" s="2">
        <f ca="1"/>
        <v>-0.43760710526353197</v>
      </c>
      <c r="X7411" s="2">
        <f ca="1"/>
        <v>51.704679337677575</v>
      </c>
      <c r="AG7411" s="2">
        <f ca="1"/>
        <v>0.58481032370098851</v>
      </c>
      <c r="AH7411" s="2" t="str">
        <f ca="1"/>
        <v>Bad</v>
      </c>
    </row>
    <row r="7412" spans="2:34" x14ac:dyDescent="0.2">
      <c r="B7412" s="2">
        <f ca="1"/>
        <v>0.54205166204145194</v>
      </c>
      <c r="O7412" s="2">
        <f ca="1"/>
        <v>-0.47148215525039067</v>
      </c>
      <c r="X7412" s="2">
        <f ca="1"/>
        <v>74.712445377604809</v>
      </c>
      <c r="AG7412" s="2">
        <f ca="1"/>
        <v>0.61039755080167368</v>
      </c>
      <c r="AH7412" s="2" t="str">
        <f ca="1"/>
        <v>Bad</v>
      </c>
    </row>
    <row r="7413" spans="2:34" x14ac:dyDescent="0.2">
      <c r="B7413" s="2">
        <f ca="1"/>
        <v>0.41411684101860691</v>
      </c>
      <c r="O7413" s="2">
        <f ca="1"/>
        <v>-1.062026596662863</v>
      </c>
      <c r="X7413" s="2">
        <f ca="1"/>
        <v>43.215183582800321</v>
      </c>
      <c r="AG7413" s="2">
        <f ca="1"/>
        <v>0.71926326892362225</v>
      </c>
      <c r="AH7413" s="2" t="str">
        <f ca="1"/>
        <v>Bad</v>
      </c>
    </row>
    <row r="7414" spans="2:34" x14ac:dyDescent="0.2">
      <c r="B7414" s="2">
        <f ca="1"/>
        <v>0.30104794042952787</v>
      </c>
      <c r="O7414" s="2">
        <f ca="1"/>
        <v>0.16829720211133364</v>
      </c>
      <c r="X7414" s="2">
        <f ca="1"/>
        <v>50.264697895662316</v>
      </c>
      <c r="AG7414" s="2">
        <f ca="1"/>
        <v>2.7955219973348155E-2</v>
      </c>
      <c r="AH7414" s="2" t="str">
        <f ca="1"/>
        <v>Good</v>
      </c>
    </row>
    <row r="7415" spans="2:34" x14ac:dyDescent="0.2">
      <c r="B7415" s="2">
        <f ca="1"/>
        <v>0.79962497204961358</v>
      </c>
      <c r="O7415" s="2">
        <f ca="1"/>
        <v>1.6809405009916352</v>
      </c>
      <c r="X7415" s="2">
        <f ca="1"/>
        <v>45.064774066562336</v>
      </c>
      <c r="AG7415" s="2">
        <f ca="1"/>
        <v>0.80295865216499518</v>
      </c>
      <c r="AH7415" s="2" t="str">
        <f ca="1"/>
        <v>Bad</v>
      </c>
    </row>
    <row r="7416" spans="2:34" x14ac:dyDescent="0.2">
      <c r="B7416" s="2">
        <f ca="1"/>
        <v>0.55029714261569662</v>
      </c>
      <c r="O7416" s="2">
        <f ca="1"/>
        <v>-2.194420549702385</v>
      </c>
      <c r="X7416" s="2">
        <f ca="1"/>
        <v>39.465818078098309</v>
      </c>
      <c r="AG7416" s="2">
        <f ca="1"/>
        <v>3.2214850287682895E-2</v>
      </c>
      <c r="AH7416" s="2" t="str">
        <f ca="1"/>
        <v>Good</v>
      </c>
    </row>
    <row r="7417" spans="2:34" x14ac:dyDescent="0.2">
      <c r="B7417" s="2">
        <f ca="1"/>
        <v>0.18798846174771677</v>
      </c>
      <c r="O7417" s="2">
        <f ca="1"/>
        <v>-0.21214641248813448</v>
      </c>
      <c r="X7417" s="2">
        <f ca="1"/>
        <v>50.23823867738372</v>
      </c>
      <c r="AG7417" s="2">
        <f ca="1"/>
        <v>0.68924161193328781</v>
      </c>
      <c r="AH7417" s="2" t="str">
        <f ca="1"/>
        <v>Bad</v>
      </c>
    </row>
    <row r="7418" spans="2:34" x14ac:dyDescent="0.2">
      <c r="B7418" s="2">
        <f ca="1"/>
        <v>7.319936955605999E-2</v>
      </c>
      <c r="O7418" s="2">
        <f ca="1"/>
        <v>-1.1708773966436916</v>
      </c>
      <c r="X7418" s="2">
        <f ca="1"/>
        <v>51.014489713502314</v>
      </c>
      <c r="AG7418" s="2">
        <f ca="1"/>
        <v>0.35676385002628486</v>
      </c>
      <c r="AH7418" s="2" t="str">
        <f ca="1"/>
        <v>OK</v>
      </c>
    </row>
    <row r="7419" spans="2:34" x14ac:dyDescent="0.2">
      <c r="B7419" s="2">
        <f ca="1"/>
        <v>0.138363752922259</v>
      </c>
      <c r="O7419" s="2">
        <f ca="1"/>
        <v>1.8713499216454532</v>
      </c>
      <c r="X7419" s="2">
        <f ca="1"/>
        <v>46.311342272501498</v>
      </c>
      <c r="AG7419" s="2">
        <f ca="1"/>
        <v>4.9938844339763477E-2</v>
      </c>
      <c r="AH7419" s="2" t="str">
        <f ca="1"/>
        <v>Good</v>
      </c>
    </row>
    <row r="7420" spans="2:34" x14ac:dyDescent="0.2">
      <c r="B7420" s="2">
        <f ca="1"/>
        <v>7.6837492608128555E-2</v>
      </c>
      <c r="O7420" s="2">
        <f ca="1"/>
        <v>3.0206518236120865</v>
      </c>
      <c r="X7420" s="2">
        <f ca="1"/>
        <v>61.018837059853624</v>
      </c>
      <c r="AG7420" s="2">
        <f ca="1"/>
        <v>0.1216791594572062</v>
      </c>
      <c r="AH7420" s="2" t="str">
        <f ca="1"/>
        <v>OK</v>
      </c>
    </row>
    <row r="7421" spans="2:34" x14ac:dyDescent="0.2">
      <c r="B7421" s="2">
        <f ca="1"/>
        <v>0.72364725608644798</v>
      </c>
      <c r="O7421" s="2">
        <f ca="1"/>
        <v>-1.1788222011547131</v>
      </c>
      <c r="X7421" s="2">
        <f ca="1"/>
        <v>22.806785561383741</v>
      </c>
      <c r="AG7421" s="2">
        <f ca="1"/>
        <v>8.1238678158720656E-2</v>
      </c>
      <c r="AH7421" s="2" t="str">
        <f ca="1"/>
        <v>OK</v>
      </c>
    </row>
    <row r="7422" spans="2:34" x14ac:dyDescent="0.2">
      <c r="B7422" s="2">
        <f ca="1"/>
        <v>0.50525207720030685</v>
      </c>
      <c r="O7422" s="2">
        <f ca="1"/>
        <v>9.0420420799358997E-2</v>
      </c>
      <c r="X7422" s="2">
        <f ca="1"/>
        <v>65.343375254317962</v>
      </c>
      <c r="AG7422" s="2">
        <f ca="1"/>
        <v>0.12885212685815928</v>
      </c>
      <c r="AH7422" s="2" t="str">
        <f ca="1"/>
        <v>OK</v>
      </c>
    </row>
    <row r="7423" spans="2:34" x14ac:dyDescent="0.2">
      <c r="B7423" s="2">
        <f ca="1"/>
        <v>0.81939095179037724</v>
      </c>
      <c r="O7423" s="2">
        <f ca="1"/>
        <v>0.79935963110091313</v>
      </c>
      <c r="X7423" s="2">
        <f ca="1"/>
        <v>41.084817106357256</v>
      </c>
      <c r="AG7423" s="2">
        <f ca="1"/>
        <v>0.67168040350067004</v>
      </c>
      <c r="AH7423" s="2" t="str">
        <f ca="1"/>
        <v>Bad</v>
      </c>
    </row>
    <row r="7424" spans="2:34" x14ac:dyDescent="0.2">
      <c r="B7424" s="2">
        <f ca="1"/>
        <v>0.43245397539508135</v>
      </c>
      <c r="O7424" s="2">
        <f ca="1"/>
        <v>-7.6144321402971865E-2</v>
      </c>
      <c r="X7424" s="2">
        <f ca="1"/>
        <v>61.850724719004702</v>
      </c>
      <c r="AG7424" s="2">
        <f ca="1"/>
        <v>0.83466522480173055</v>
      </c>
      <c r="AH7424" s="2" t="str">
        <f ca="1"/>
        <v>Bad</v>
      </c>
    </row>
    <row r="7425" spans="2:34" x14ac:dyDescent="0.2">
      <c r="B7425" s="2">
        <f ca="1"/>
        <v>0.11341120465826915</v>
      </c>
      <c r="O7425" s="2">
        <f ca="1"/>
        <v>-4.7266299845195564E-2</v>
      </c>
      <c r="X7425" s="2">
        <f ca="1"/>
        <v>24.546178719328665</v>
      </c>
      <c r="AG7425" s="2">
        <f ca="1"/>
        <v>0.88110352120275426</v>
      </c>
      <c r="AH7425" s="2" t="str">
        <f ca="1"/>
        <v>Bad</v>
      </c>
    </row>
    <row r="7426" spans="2:34" x14ac:dyDescent="0.2">
      <c r="B7426" s="2">
        <f ca="1"/>
        <v>2.6712418072964983E-3</v>
      </c>
      <c r="O7426" s="2">
        <f ca="1"/>
        <v>-0.62688520345011556</v>
      </c>
      <c r="X7426" s="2">
        <f ca="1"/>
        <v>45.104549897593429</v>
      </c>
      <c r="AG7426" s="2">
        <f ca="1"/>
        <v>0.96739311975296549</v>
      </c>
      <c r="AH7426" s="2" t="str">
        <f ca="1"/>
        <v>Bad</v>
      </c>
    </row>
    <row r="7427" spans="2:34" x14ac:dyDescent="0.2">
      <c r="B7427" s="2">
        <f ca="1"/>
        <v>0.50499400256728766</v>
      </c>
      <c r="O7427" s="2">
        <f ca="1"/>
        <v>0.50965775641554267</v>
      </c>
      <c r="X7427" s="2">
        <f ca="1"/>
        <v>51.225974957931932</v>
      </c>
      <c r="AG7427" s="2">
        <f ca="1"/>
        <v>0.55851218126303581</v>
      </c>
      <c r="AH7427" s="2" t="str">
        <f ca="1"/>
        <v>Bad</v>
      </c>
    </row>
    <row r="7428" spans="2:34" x14ac:dyDescent="0.2">
      <c r="B7428" s="2">
        <f ca="1"/>
        <v>0.50929411539913239</v>
      </c>
      <c r="O7428" s="2">
        <f ca="1"/>
        <v>1.8354199714995838</v>
      </c>
      <c r="X7428" s="2">
        <f ca="1"/>
        <v>37.850175801859123</v>
      </c>
      <c r="AG7428" s="2">
        <f ca="1"/>
        <v>0.82661334711163192</v>
      </c>
      <c r="AH7428" s="2" t="str">
        <f ca="1"/>
        <v>Bad</v>
      </c>
    </row>
    <row r="7429" spans="2:34" x14ac:dyDescent="0.2">
      <c r="B7429" s="2">
        <f ca="1"/>
        <v>5.4404842262298247E-2</v>
      </c>
      <c r="O7429" s="2">
        <f ca="1"/>
        <v>0.8834479677270255</v>
      </c>
      <c r="X7429" s="2">
        <f ca="1"/>
        <v>42.293911363793569</v>
      </c>
      <c r="AG7429" s="2">
        <f ca="1"/>
        <v>0.51305671057904711</v>
      </c>
      <c r="AH7429" s="2" t="str">
        <f ca="1"/>
        <v>Bad</v>
      </c>
    </row>
    <row r="7430" spans="2:34" x14ac:dyDescent="0.2">
      <c r="B7430" s="2">
        <f ca="1"/>
        <v>0.86386885512555289</v>
      </c>
      <c r="O7430" s="2">
        <f ca="1"/>
        <v>0.10863019820203827</v>
      </c>
      <c r="X7430" s="2">
        <f ca="1"/>
        <v>52.5482281557288</v>
      </c>
      <c r="AG7430" s="2">
        <f ca="1"/>
        <v>0.13418168513846362</v>
      </c>
      <c r="AH7430" s="2" t="str">
        <f ca="1"/>
        <v>OK</v>
      </c>
    </row>
    <row r="7431" spans="2:34" x14ac:dyDescent="0.2">
      <c r="B7431" s="2">
        <f ca="1"/>
        <v>4.2873099186312214E-2</v>
      </c>
      <c r="O7431" s="2">
        <f ca="1"/>
        <v>-1.2041129074570633</v>
      </c>
      <c r="X7431" s="2">
        <f ca="1"/>
        <v>50.559164182376925</v>
      </c>
      <c r="AG7431" s="2">
        <f ca="1"/>
        <v>0.3438679424140012</v>
      </c>
      <c r="AH7431" s="2" t="str">
        <f ca="1"/>
        <v>OK</v>
      </c>
    </row>
    <row r="7432" spans="2:34" x14ac:dyDescent="0.2">
      <c r="B7432" s="2">
        <f ca="1"/>
        <v>5.1568189881521231E-3</v>
      </c>
      <c r="O7432" s="2">
        <f ca="1"/>
        <v>-1.3027697131987201</v>
      </c>
      <c r="X7432" s="2">
        <f ca="1"/>
        <v>35.850348280849659</v>
      </c>
      <c r="AG7432" s="2">
        <f ca="1"/>
        <v>0.83940449938584849</v>
      </c>
      <c r="AH7432" s="2" t="str">
        <f ca="1"/>
        <v>Bad</v>
      </c>
    </row>
    <row r="7433" spans="2:34" x14ac:dyDescent="0.2">
      <c r="B7433" s="2">
        <f ca="1"/>
        <v>0.63060224558284261</v>
      </c>
      <c r="O7433" s="2">
        <f ca="1"/>
        <v>-0.91994190854156299</v>
      </c>
      <c r="X7433" s="2">
        <f ca="1"/>
        <v>28.62594898298191</v>
      </c>
      <c r="AG7433" s="2">
        <f ca="1"/>
        <v>0.7137975813655093</v>
      </c>
      <c r="AH7433" s="2" t="str">
        <f ca="1"/>
        <v>Bad</v>
      </c>
    </row>
    <row r="7434" spans="2:34" x14ac:dyDescent="0.2">
      <c r="B7434" s="2">
        <f ca="1"/>
        <v>0.38733345530822261</v>
      </c>
      <c r="O7434" s="2">
        <f ca="1"/>
        <v>1.0533917534046222</v>
      </c>
      <c r="X7434" s="2">
        <f ca="1"/>
        <v>69.398172259130291</v>
      </c>
      <c r="AG7434" s="2">
        <f ca="1"/>
        <v>0.45368790152516603</v>
      </c>
      <c r="AH7434" s="2" t="str">
        <f ca="1"/>
        <v>Bad</v>
      </c>
    </row>
    <row r="7435" spans="2:34" x14ac:dyDescent="0.2">
      <c r="B7435" s="2">
        <f ca="1"/>
        <v>0.60752674483475611</v>
      </c>
      <c r="O7435" s="2">
        <f ca="1"/>
        <v>-0.89585114952471856</v>
      </c>
      <c r="X7435" s="2">
        <f ca="1"/>
        <v>49.403851714571402</v>
      </c>
      <c r="AG7435" s="2">
        <f ca="1"/>
        <v>0.83078579786231344</v>
      </c>
      <c r="AH7435" s="2" t="str">
        <f ca="1"/>
        <v>Bad</v>
      </c>
    </row>
    <row r="7436" spans="2:34" x14ac:dyDescent="0.2">
      <c r="B7436" s="2">
        <f ca="1"/>
        <v>0.6430304966335596</v>
      </c>
      <c r="O7436" s="2">
        <f ca="1"/>
        <v>1.8780548916075661</v>
      </c>
      <c r="X7436" s="2">
        <f ca="1"/>
        <v>61.17784554738072</v>
      </c>
      <c r="AG7436" s="2">
        <f ca="1"/>
        <v>0.45437816351620852</v>
      </c>
      <c r="AH7436" s="2" t="str">
        <f ca="1"/>
        <v>Bad</v>
      </c>
    </row>
    <row r="7437" spans="2:34" x14ac:dyDescent="0.2">
      <c r="B7437" s="2">
        <f ca="1"/>
        <v>0.6062582017111724</v>
      </c>
      <c r="O7437" s="2">
        <f ca="1"/>
        <v>-0.45255821502474852</v>
      </c>
      <c r="X7437" s="2">
        <f ca="1"/>
        <v>47.210093407990364</v>
      </c>
      <c r="AG7437" s="2">
        <f ca="1"/>
        <v>0.67019803813117829</v>
      </c>
      <c r="AH7437" s="2" t="str">
        <f ca="1"/>
        <v>Bad</v>
      </c>
    </row>
    <row r="7438" spans="2:34" x14ac:dyDescent="0.2">
      <c r="B7438" s="2">
        <f ca="1"/>
        <v>0.12766157637704056</v>
      </c>
      <c r="O7438" s="2">
        <f ca="1"/>
        <v>-0.12321862879281074</v>
      </c>
      <c r="X7438" s="2">
        <f ca="1"/>
        <v>25.771309315548553</v>
      </c>
      <c r="AG7438" s="2">
        <f ca="1"/>
        <v>0.78361766568811109</v>
      </c>
      <c r="AH7438" s="2" t="str">
        <f ca="1"/>
        <v>Bad</v>
      </c>
    </row>
    <row r="7439" spans="2:34" x14ac:dyDescent="0.2">
      <c r="B7439" s="2">
        <f ca="1"/>
        <v>0.35203276652500803</v>
      </c>
      <c r="O7439" s="2">
        <f ca="1"/>
        <v>1.0845636818446547</v>
      </c>
      <c r="X7439" s="2">
        <f ca="1"/>
        <v>82.592540552156848</v>
      </c>
      <c r="AG7439" s="2">
        <f ca="1"/>
        <v>0.37140457674590621</v>
      </c>
      <c r="AH7439" s="2" t="str">
        <f ca="1"/>
        <v>OK</v>
      </c>
    </row>
    <row r="7440" spans="2:34" x14ac:dyDescent="0.2">
      <c r="B7440" s="2">
        <f ca="1"/>
        <v>0.65723288152056991</v>
      </c>
      <c r="O7440" s="2">
        <f ca="1"/>
        <v>0.35395480281856229</v>
      </c>
      <c r="X7440" s="2">
        <f ca="1"/>
        <v>46.618297258929566</v>
      </c>
      <c r="AG7440" s="2">
        <f ca="1"/>
        <v>0.50942727423295397</v>
      </c>
      <c r="AH7440" s="2" t="str">
        <f ca="1"/>
        <v>Bad</v>
      </c>
    </row>
    <row r="7441" spans="2:34" x14ac:dyDescent="0.2">
      <c r="B7441" s="2">
        <f ca="1"/>
        <v>0.37730620879811072</v>
      </c>
      <c r="O7441" s="2">
        <f ca="1"/>
        <v>1.1312894728242621E-3</v>
      </c>
      <c r="X7441" s="2">
        <f ca="1"/>
        <v>35.990006396749351</v>
      </c>
      <c r="AG7441" s="2">
        <f ca="1"/>
        <v>0.92083965022839398</v>
      </c>
      <c r="AH7441" s="2" t="str">
        <f ca="1"/>
        <v>Bad</v>
      </c>
    </row>
    <row r="7442" spans="2:34" x14ac:dyDescent="0.2">
      <c r="B7442" s="2">
        <f ca="1"/>
        <v>0.64356350146755181</v>
      </c>
      <c r="O7442" s="2">
        <f ca="1"/>
        <v>-0.96902491802679014</v>
      </c>
      <c r="X7442" s="2">
        <f ca="1"/>
        <v>23.854406017375553</v>
      </c>
      <c r="AG7442" s="2">
        <f ca="1"/>
        <v>0.80442707217882092</v>
      </c>
      <c r="AH7442" s="2" t="str">
        <f ca="1"/>
        <v>Bad</v>
      </c>
    </row>
    <row r="7443" spans="2:34" x14ac:dyDescent="0.2">
      <c r="B7443" s="2">
        <f ca="1"/>
        <v>0.25151383540639793</v>
      </c>
      <c r="O7443" s="2">
        <f ca="1"/>
        <v>0.68280127515978606</v>
      </c>
      <c r="X7443" s="2">
        <f ca="1"/>
        <v>53.535776263922095</v>
      </c>
      <c r="AG7443" s="2">
        <f ca="1"/>
        <v>0.72018663900042279</v>
      </c>
      <c r="AH7443" s="2" t="str">
        <f ca="1"/>
        <v>Bad</v>
      </c>
    </row>
    <row r="7444" spans="2:34" x14ac:dyDescent="0.2">
      <c r="B7444" s="2">
        <f ca="1"/>
        <v>0.66375198563724869</v>
      </c>
      <c r="O7444" s="2">
        <f ca="1"/>
        <v>0.47685449964024296</v>
      </c>
      <c r="X7444" s="2">
        <f ca="1"/>
        <v>56.448207174539036</v>
      </c>
      <c r="AG7444" s="2">
        <f ca="1"/>
        <v>0.98286677372528675</v>
      </c>
      <c r="AH7444" s="2" t="str">
        <f ca="1"/>
        <v>Bad</v>
      </c>
    </row>
    <row r="7445" spans="2:34" x14ac:dyDescent="0.2">
      <c r="B7445" s="2">
        <f ca="1"/>
        <v>2.1362418183636045E-2</v>
      </c>
      <c r="O7445" s="2">
        <f ca="1"/>
        <v>0.86568694237168686</v>
      </c>
      <c r="X7445" s="2">
        <f ca="1"/>
        <v>37.391532915687719</v>
      </c>
      <c r="AG7445" s="2">
        <f ca="1"/>
        <v>0.22992711239734764</v>
      </c>
      <c r="AH7445" s="2" t="str">
        <f ca="1"/>
        <v>OK</v>
      </c>
    </row>
    <row r="7446" spans="2:34" x14ac:dyDescent="0.2">
      <c r="B7446" s="2">
        <f ca="1"/>
        <v>9.151117528972863E-2</v>
      </c>
      <c r="O7446" s="2">
        <f ca="1"/>
        <v>-0.3993748735689242</v>
      </c>
      <c r="X7446" s="2">
        <f ca="1"/>
        <v>57.924645775775112</v>
      </c>
      <c r="AG7446" s="2">
        <f ca="1"/>
        <v>0.53260718961658982</v>
      </c>
      <c r="AH7446" s="2" t="str">
        <f ca="1"/>
        <v>Bad</v>
      </c>
    </row>
    <row r="7447" spans="2:34" x14ac:dyDescent="0.2">
      <c r="B7447" s="2">
        <f ca="1"/>
        <v>0.24587004163850579</v>
      </c>
      <c r="O7447" s="2">
        <f ca="1"/>
        <v>0.37660408536219958</v>
      </c>
      <c r="X7447" s="2">
        <f ca="1"/>
        <v>40.586600094082108</v>
      </c>
      <c r="AG7447" s="2">
        <f ca="1"/>
        <v>0.73366523344602164</v>
      </c>
      <c r="AH7447" s="2" t="str">
        <f ca="1"/>
        <v>Bad</v>
      </c>
    </row>
    <row r="7448" spans="2:34" x14ac:dyDescent="0.2">
      <c r="B7448" s="2">
        <f ca="1"/>
        <v>0.82557864388900626</v>
      </c>
      <c r="O7448" s="2">
        <f ca="1"/>
        <v>-1.7785835467725155</v>
      </c>
      <c r="X7448" s="2">
        <f ca="1"/>
        <v>74.509729498922141</v>
      </c>
      <c r="AG7448" s="2">
        <f ca="1"/>
        <v>0.16750890382434624</v>
      </c>
      <c r="AH7448" s="2" t="str">
        <f ca="1"/>
        <v>OK</v>
      </c>
    </row>
    <row r="7449" spans="2:34" x14ac:dyDescent="0.2">
      <c r="B7449" s="2">
        <f ca="1"/>
        <v>0.90913464716657089</v>
      </c>
      <c r="O7449" s="2">
        <f ca="1"/>
        <v>-2.071788615512991</v>
      </c>
      <c r="X7449" s="2">
        <f ca="1"/>
        <v>39.196213234648383</v>
      </c>
      <c r="AG7449" s="2">
        <f ca="1"/>
        <v>0.50193237102710198</v>
      </c>
      <c r="AH7449" s="2" t="str">
        <f ca="1"/>
        <v>Bad</v>
      </c>
    </row>
    <row r="7450" spans="2:34" x14ac:dyDescent="0.2">
      <c r="B7450" s="2">
        <f ca="1"/>
        <v>0.63500596655992103</v>
      </c>
      <c r="O7450" s="2">
        <f ca="1"/>
        <v>0.53075557660419403</v>
      </c>
      <c r="X7450" s="2">
        <f ca="1"/>
        <v>45.29877137847788</v>
      </c>
      <c r="AG7450" s="2">
        <f ca="1"/>
        <v>0.18905764549809989</v>
      </c>
      <c r="AH7450" s="2" t="str">
        <f ca="1"/>
        <v>OK</v>
      </c>
    </row>
    <row r="7451" spans="2:34" x14ac:dyDescent="0.2">
      <c r="B7451" s="2">
        <f ca="1"/>
        <v>0.76035913136861399</v>
      </c>
      <c r="O7451" s="2">
        <f ca="1"/>
        <v>-0.62254007373011711</v>
      </c>
      <c r="X7451" s="2">
        <f ca="1"/>
        <v>82.956638488035537</v>
      </c>
      <c r="AG7451" s="2">
        <f ca="1"/>
        <v>0.4690528426454037</v>
      </c>
      <c r="AH7451" s="2" t="str">
        <f ca="1"/>
        <v>Bad</v>
      </c>
    </row>
    <row r="7452" spans="2:34" x14ac:dyDescent="0.2">
      <c r="B7452" s="2">
        <f ca="1"/>
        <v>0.32002914150721651</v>
      </c>
      <c r="O7452" s="2">
        <f ca="1"/>
        <v>-0.75621867443098068</v>
      </c>
      <c r="X7452" s="2">
        <f ca="1"/>
        <v>48.248980458636922</v>
      </c>
      <c r="AG7452" s="2">
        <f ca="1"/>
        <v>0.80411245668658649</v>
      </c>
      <c r="AH7452" s="2" t="str">
        <f ca="1"/>
        <v>Bad</v>
      </c>
    </row>
    <row r="7453" spans="2:34" x14ac:dyDescent="0.2">
      <c r="B7453" s="2">
        <f ca="1"/>
        <v>0.15064998871017621</v>
      </c>
      <c r="O7453" s="2">
        <f ca="1"/>
        <v>0.71521422528286727</v>
      </c>
      <c r="X7453" s="2">
        <f ca="1"/>
        <v>42.165142316229392</v>
      </c>
      <c r="AG7453" s="2">
        <f ca="1"/>
        <v>0.9844454791871784</v>
      </c>
      <c r="AH7453" s="2" t="str">
        <f ca="1"/>
        <v>Bad</v>
      </c>
    </row>
    <row r="7454" spans="2:34" x14ac:dyDescent="0.2">
      <c r="B7454" s="2">
        <f ca="1"/>
        <v>0.27253374323475166</v>
      </c>
      <c r="O7454" s="2">
        <f ca="1"/>
        <v>0.38005680240863715</v>
      </c>
      <c r="X7454" s="2">
        <f ca="1"/>
        <v>25.237342581951463</v>
      </c>
      <c r="AG7454" s="2">
        <f ca="1"/>
        <v>0.9686547618457797</v>
      </c>
      <c r="AH7454" s="2" t="str">
        <f ca="1"/>
        <v>Bad</v>
      </c>
    </row>
    <row r="7455" spans="2:34" x14ac:dyDescent="0.2">
      <c r="B7455" s="2">
        <f ca="1"/>
        <v>0.49485999480751475</v>
      </c>
      <c r="O7455" s="2">
        <f ca="1"/>
        <v>0.55775847714011184</v>
      </c>
      <c r="X7455" s="2">
        <f ca="1"/>
        <v>55.783275572755301</v>
      </c>
      <c r="AG7455" s="2">
        <f ca="1"/>
        <v>0.32170012037981288</v>
      </c>
      <c r="AH7455" s="2" t="str">
        <f ca="1"/>
        <v>OK</v>
      </c>
    </row>
    <row r="7456" spans="2:34" x14ac:dyDescent="0.2">
      <c r="B7456" s="2">
        <f ca="1"/>
        <v>0.13683457757241357</v>
      </c>
      <c r="O7456" s="2">
        <f ca="1"/>
        <v>-1.8384512428435114</v>
      </c>
      <c r="X7456" s="2">
        <f ca="1"/>
        <v>47.22742353224902</v>
      </c>
      <c r="AG7456" s="2">
        <f ca="1"/>
        <v>0.8692528070828669</v>
      </c>
      <c r="AH7456" s="2" t="str">
        <f ca="1"/>
        <v>Bad</v>
      </c>
    </row>
    <row r="7457" spans="2:34" x14ac:dyDescent="0.2">
      <c r="B7457" s="2">
        <f ca="1"/>
        <v>0.72644064853193879</v>
      </c>
      <c r="O7457" s="2">
        <f ca="1"/>
        <v>-0.19605902132901487</v>
      </c>
      <c r="X7457" s="2">
        <f ca="1"/>
        <v>100.52882161533822</v>
      </c>
      <c r="AG7457" s="2">
        <f ca="1"/>
        <v>0.33528434800483042</v>
      </c>
      <c r="AH7457" s="2" t="str">
        <f ca="1"/>
        <v>OK</v>
      </c>
    </row>
    <row r="7458" spans="2:34" x14ac:dyDescent="0.2">
      <c r="B7458" s="2">
        <f ca="1"/>
        <v>0.62482080867266832</v>
      </c>
      <c r="O7458" s="2">
        <f ca="1"/>
        <v>0.22226876158020972</v>
      </c>
      <c r="X7458" s="2">
        <f ca="1"/>
        <v>64.511914543404117</v>
      </c>
      <c r="AG7458" s="2">
        <f ca="1"/>
        <v>0.54295815861719143</v>
      </c>
      <c r="AH7458" s="2" t="str">
        <f ca="1"/>
        <v>Bad</v>
      </c>
    </row>
    <row r="7459" spans="2:34" x14ac:dyDescent="0.2">
      <c r="B7459" s="2">
        <f ca="1"/>
        <v>0.65306194367106429</v>
      </c>
      <c r="O7459" s="2">
        <f ca="1"/>
        <v>0.35142278571938984</v>
      </c>
      <c r="X7459" s="2">
        <f ca="1"/>
        <v>53.340368656986961</v>
      </c>
      <c r="AG7459" s="2">
        <f ca="1"/>
        <v>0.37038059509703691</v>
      </c>
      <c r="AH7459" s="2" t="str">
        <f ca="1"/>
        <v>OK</v>
      </c>
    </row>
    <row r="7460" spans="2:34" x14ac:dyDescent="0.2">
      <c r="B7460" s="2">
        <f ca="1"/>
        <v>0.17470324655478131</v>
      </c>
      <c r="O7460" s="2">
        <f ca="1"/>
        <v>-0.72110272787958662</v>
      </c>
      <c r="X7460" s="2">
        <f ca="1"/>
        <v>82.904560481636352</v>
      </c>
      <c r="AG7460" s="2">
        <f ca="1"/>
        <v>0.99145550157790741</v>
      </c>
      <c r="AH7460" s="2" t="str">
        <f ca="1"/>
        <v>Bad</v>
      </c>
    </row>
    <row r="7461" spans="2:34" x14ac:dyDescent="0.2">
      <c r="B7461" s="2">
        <f ca="1"/>
        <v>0.45621116180872834</v>
      </c>
      <c r="O7461" s="2">
        <f ca="1"/>
        <v>-0.14846257640147362</v>
      </c>
      <c r="X7461" s="2">
        <f ca="1"/>
        <v>58.156374968620668</v>
      </c>
      <c r="AG7461" s="2">
        <f ca="1"/>
        <v>0.275843270529047</v>
      </c>
      <c r="AH7461" s="2" t="str">
        <f ca="1"/>
        <v>OK</v>
      </c>
    </row>
    <row r="7462" spans="2:34" x14ac:dyDescent="0.2">
      <c r="B7462" s="2">
        <f ca="1"/>
        <v>0.465700027963031</v>
      </c>
      <c r="O7462" s="2">
        <f ca="1"/>
        <v>-0.60627275249335</v>
      </c>
      <c r="X7462" s="2">
        <f ca="1"/>
        <v>51.772005235683835</v>
      </c>
      <c r="AG7462" s="2">
        <f ca="1"/>
        <v>0.96057090618368624</v>
      </c>
      <c r="AH7462" s="2" t="str">
        <f ca="1"/>
        <v>Bad</v>
      </c>
    </row>
    <row r="7463" spans="2:34" x14ac:dyDescent="0.2">
      <c r="B7463" s="2">
        <f ca="1"/>
        <v>0.90032049451611162</v>
      </c>
      <c r="O7463" s="2">
        <f ca="1"/>
        <v>0.54643560877976383</v>
      </c>
      <c r="X7463" s="2">
        <f ca="1"/>
        <v>49.538152350607227</v>
      </c>
      <c r="AG7463" s="2">
        <f ca="1"/>
        <v>9.388076069560225E-2</v>
      </c>
      <c r="AH7463" s="2" t="str">
        <f ca="1"/>
        <v>OK</v>
      </c>
    </row>
    <row r="7464" spans="2:34" x14ac:dyDescent="0.2">
      <c r="B7464" s="2">
        <f ca="1"/>
        <v>0.97902893815985403</v>
      </c>
      <c r="O7464" s="2">
        <f ca="1"/>
        <v>-1.5443490138321032</v>
      </c>
      <c r="X7464" s="2">
        <f ca="1"/>
        <v>45.403482060874254</v>
      </c>
      <c r="AG7464" s="2">
        <f ca="1"/>
        <v>0.22489839845286896</v>
      </c>
      <c r="AH7464" s="2" t="str">
        <f ca="1"/>
        <v>OK</v>
      </c>
    </row>
    <row r="7465" spans="2:34" x14ac:dyDescent="0.2">
      <c r="B7465" s="2">
        <f ca="1"/>
        <v>0.85717350116142965</v>
      </c>
      <c r="O7465" s="2">
        <f ca="1"/>
        <v>0.30473643480835899</v>
      </c>
      <c r="X7465" s="2">
        <f ca="1"/>
        <v>54.749474731972597</v>
      </c>
      <c r="AG7465" s="2">
        <f ca="1"/>
        <v>9.2140794508706048E-3</v>
      </c>
      <c r="AH7465" s="2" t="str">
        <f ca="1"/>
        <v>Good</v>
      </c>
    </row>
    <row r="7466" spans="2:34" x14ac:dyDescent="0.2">
      <c r="B7466" s="2">
        <f ca="1"/>
        <v>0.84250795037759252</v>
      </c>
      <c r="O7466" s="2">
        <f ca="1"/>
        <v>-0.60622260375744308</v>
      </c>
      <c r="X7466" s="2">
        <f ca="1"/>
        <v>35.307626568845201</v>
      </c>
      <c r="AG7466" s="2">
        <f ca="1"/>
        <v>0.16776195505288016</v>
      </c>
      <c r="AH7466" s="2" t="str">
        <f ca="1"/>
        <v>OK</v>
      </c>
    </row>
    <row r="7467" spans="2:34" x14ac:dyDescent="0.2">
      <c r="B7467" s="2">
        <f ca="1"/>
        <v>0.14006251991830232</v>
      </c>
      <c r="O7467" s="2">
        <f ca="1"/>
        <v>2.2064353514484143</v>
      </c>
      <c r="X7467" s="2">
        <f ca="1"/>
        <v>54.870712199032987</v>
      </c>
      <c r="AG7467" s="2">
        <f ca="1"/>
        <v>0.24544605039349787</v>
      </c>
      <c r="AH7467" s="2" t="str">
        <f ca="1"/>
        <v>OK</v>
      </c>
    </row>
    <row r="7468" spans="2:34" x14ac:dyDescent="0.2">
      <c r="B7468" s="2">
        <f ca="1"/>
        <v>0.60085738858738869</v>
      </c>
      <c r="O7468" s="2">
        <f ca="1"/>
        <v>-0.51937457527812392</v>
      </c>
      <c r="X7468" s="2">
        <f ca="1"/>
        <v>47.351441058070314</v>
      </c>
      <c r="AG7468" s="2">
        <f ca="1"/>
        <v>6.5847345057594486E-2</v>
      </c>
      <c r="AH7468" s="2" t="str">
        <f ca="1"/>
        <v>OK</v>
      </c>
    </row>
    <row r="7469" spans="2:34" x14ac:dyDescent="0.2">
      <c r="B7469" s="2">
        <f ca="1"/>
        <v>0.25786666204343578</v>
      </c>
      <c r="O7469" s="2">
        <f ca="1"/>
        <v>0.11855056824539596</v>
      </c>
      <c r="X7469" s="2">
        <f ca="1"/>
        <v>56.485225505354492</v>
      </c>
      <c r="AG7469" s="2">
        <f ca="1"/>
        <v>0.3607693333235471</v>
      </c>
      <c r="AH7469" s="2" t="str">
        <f ca="1"/>
        <v>OK</v>
      </c>
    </row>
    <row r="7470" spans="2:34" x14ac:dyDescent="0.2">
      <c r="B7470" s="2">
        <f ca="1"/>
        <v>0.2836253359967098</v>
      </c>
      <c r="O7470" s="2">
        <f ca="1"/>
        <v>-0.6334694458960779</v>
      </c>
      <c r="X7470" s="2">
        <f ca="1"/>
        <v>60.035177176585961</v>
      </c>
      <c r="AG7470" s="2">
        <f ca="1"/>
        <v>0.63741758880026267</v>
      </c>
      <c r="AH7470" s="2" t="str">
        <f ca="1"/>
        <v>Bad</v>
      </c>
    </row>
    <row r="7471" spans="2:34" x14ac:dyDescent="0.2">
      <c r="B7471" s="2">
        <f ca="1"/>
        <v>0.22585171047604802</v>
      </c>
      <c r="O7471" s="2">
        <f ca="1"/>
        <v>0.23131104061335872</v>
      </c>
      <c r="X7471" s="2">
        <f ca="1"/>
        <v>73.759169098322644</v>
      </c>
      <c r="AG7471" s="2">
        <f ca="1"/>
        <v>0.9137709980128248</v>
      </c>
      <c r="AH7471" s="2" t="str">
        <f ca="1"/>
        <v>Bad</v>
      </c>
    </row>
    <row r="7472" spans="2:34" x14ac:dyDescent="0.2">
      <c r="B7472" s="2">
        <f ca="1"/>
        <v>0.1400119023904689</v>
      </c>
      <c r="O7472" s="2">
        <f ca="1"/>
        <v>-1.2721141290905826</v>
      </c>
      <c r="X7472" s="2">
        <f ca="1"/>
        <v>33.408428114230759</v>
      </c>
      <c r="AG7472" s="2">
        <f ca="1"/>
        <v>0.83680212219184735</v>
      </c>
      <c r="AH7472" s="2" t="str">
        <f ca="1"/>
        <v>Bad</v>
      </c>
    </row>
    <row r="7473" spans="2:34" x14ac:dyDescent="0.2">
      <c r="B7473" s="2">
        <f ca="1"/>
        <v>0.78861459059131733</v>
      </c>
      <c r="O7473" s="2">
        <f ca="1"/>
        <v>-7.1812843166611925E-3</v>
      </c>
      <c r="X7473" s="2">
        <f ca="1"/>
        <v>29.878815809412504</v>
      </c>
      <c r="AG7473" s="2">
        <f ca="1"/>
        <v>0.1089985635768258</v>
      </c>
      <c r="AH7473" s="2" t="str">
        <f ca="1"/>
        <v>OK</v>
      </c>
    </row>
    <row r="7474" spans="2:34" x14ac:dyDescent="0.2">
      <c r="B7474" s="2">
        <f ca="1"/>
        <v>7.9844455042838991E-2</v>
      </c>
      <c r="O7474" s="2">
        <f ca="1"/>
        <v>1.9896965308307927E-2</v>
      </c>
      <c r="X7474" s="2">
        <f ca="1"/>
        <v>85.622770603471125</v>
      </c>
      <c r="AG7474" s="2">
        <f ca="1"/>
        <v>0.58435288056389223</v>
      </c>
      <c r="AH7474" s="2" t="str">
        <f ca="1"/>
        <v>Bad</v>
      </c>
    </row>
    <row r="7475" spans="2:34" x14ac:dyDescent="0.2">
      <c r="B7475" s="2">
        <f ca="1"/>
        <v>0.25603886058972036</v>
      </c>
      <c r="O7475" s="2">
        <f ca="1"/>
        <v>3.2934125274110541E-2</v>
      </c>
      <c r="X7475" s="2">
        <f ca="1"/>
        <v>33.068992512127686</v>
      </c>
      <c r="AG7475" s="2">
        <f ca="1"/>
        <v>4.6149484106053684E-2</v>
      </c>
      <c r="AH7475" s="2" t="str">
        <f ca="1"/>
        <v>Good</v>
      </c>
    </row>
    <row r="7476" spans="2:34" x14ac:dyDescent="0.2">
      <c r="B7476" s="2">
        <f ca="1"/>
        <v>0.6088206104057452</v>
      </c>
      <c r="O7476" s="2">
        <f ca="1"/>
        <v>-0.46463666938171061</v>
      </c>
      <c r="X7476" s="2">
        <f ca="1"/>
        <v>65.527327051818602</v>
      </c>
      <c r="AG7476" s="2">
        <f ca="1"/>
        <v>0.65770014405857857</v>
      </c>
      <c r="AH7476" s="2" t="str">
        <f ca="1"/>
        <v>Bad</v>
      </c>
    </row>
    <row r="7477" spans="2:34" x14ac:dyDescent="0.2">
      <c r="B7477" s="2">
        <f ca="1"/>
        <v>0.15599244386029887</v>
      </c>
      <c r="O7477" s="2">
        <f ca="1"/>
        <v>1.0632699459790937</v>
      </c>
      <c r="X7477" s="2">
        <f ca="1"/>
        <v>58.442452174782638</v>
      </c>
      <c r="AG7477" s="2">
        <f ca="1"/>
        <v>0.26449639871758834</v>
      </c>
      <c r="AH7477" s="2" t="str">
        <f ca="1"/>
        <v>OK</v>
      </c>
    </row>
    <row r="7478" spans="2:34" x14ac:dyDescent="0.2">
      <c r="B7478" s="2">
        <f ca="1"/>
        <v>0.5704304840839276</v>
      </c>
      <c r="O7478" s="2">
        <f ca="1"/>
        <v>-1.9261467497248046</v>
      </c>
      <c r="X7478" s="2">
        <f ca="1"/>
        <v>50.144930507864544</v>
      </c>
      <c r="AG7478" s="2">
        <f ca="1"/>
        <v>0.71917472960812923</v>
      </c>
      <c r="AH7478" s="2" t="str">
        <f ca="1"/>
        <v>Bad</v>
      </c>
    </row>
    <row r="7479" spans="2:34" x14ac:dyDescent="0.2">
      <c r="B7479" s="2">
        <f ca="1"/>
        <v>0.54403009190670204</v>
      </c>
      <c r="O7479" s="2">
        <f ca="1"/>
        <v>1.3498340986484541</v>
      </c>
      <c r="X7479" s="2">
        <f ca="1"/>
        <v>51.050410227399396</v>
      </c>
      <c r="AG7479" s="2">
        <f ca="1"/>
        <v>0.17889328827111295</v>
      </c>
      <c r="AH7479" s="2" t="str">
        <f ca="1"/>
        <v>OK</v>
      </c>
    </row>
    <row r="7480" spans="2:34" x14ac:dyDescent="0.2">
      <c r="B7480" s="2">
        <f ca="1"/>
        <v>0.34104413655817267</v>
      </c>
      <c r="O7480" s="2">
        <f ca="1"/>
        <v>0.44156003941413668</v>
      </c>
      <c r="X7480" s="2">
        <f ca="1"/>
        <v>58.479995257222164</v>
      </c>
      <c r="AG7480" s="2">
        <f ca="1"/>
        <v>0.91286451160240434</v>
      </c>
      <c r="AH7480" s="2" t="str">
        <f ca="1"/>
        <v>Bad</v>
      </c>
    </row>
    <row r="7481" spans="2:34" x14ac:dyDescent="0.2">
      <c r="B7481" s="2">
        <f ca="1"/>
        <v>6.4956824503097366E-3</v>
      </c>
      <c r="O7481" s="2">
        <f ca="1"/>
        <v>0.66408849017262173</v>
      </c>
      <c r="X7481" s="2">
        <f ca="1"/>
        <v>76.199679604181199</v>
      </c>
      <c r="AG7481" s="2">
        <f ca="1"/>
        <v>0.72166002036810584</v>
      </c>
      <c r="AH7481" s="2" t="str">
        <f ca="1"/>
        <v>Bad</v>
      </c>
    </row>
    <row r="7482" spans="2:34" x14ac:dyDescent="0.2">
      <c r="B7482" s="2">
        <f ca="1"/>
        <v>0.27288360050576155</v>
      </c>
      <c r="O7482" s="2">
        <f ca="1"/>
        <v>-0.57629406250753124</v>
      </c>
      <c r="X7482" s="2">
        <f ca="1"/>
        <v>40.916235794321551</v>
      </c>
      <c r="AG7482" s="2">
        <f ca="1"/>
        <v>0.87891423001715929</v>
      </c>
      <c r="AH7482" s="2" t="str">
        <f ca="1"/>
        <v>Bad</v>
      </c>
    </row>
    <row r="7483" spans="2:34" x14ac:dyDescent="0.2">
      <c r="B7483" s="2">
        <f ca="1"/>
        <v>0.50297373912219245</v>
      </c>
      <c r="O7483" s="2">
        <f ca="1"/>
        <v>0.13634078482003117</v>
      </c>
      <c r="X7483" s="2">
        <f ca="1"/>
        <v>42.412546469411126</v>
      </c>
      <c r="AG7483" s="2">
        <f ca="1"/>
        <v>0.10944015625260595</v>
      </c>
      <c r="AH7483" s="2" t="str">
        <f ca="1"/>
        <v>OK</v>
      </c>
    </row>
    <row r="7484" spans="2:34" x14ac:dyDescent="0.2">
      <c r="B7484" s="2">
        <f ca="1"/>
        <v>0.89412093969254447</v>
      </c>
      <c r="O7484" s="2">
        <f ca="1"/>
        <v>0.78656009653893977</v>
      </c>
      <c r="X7484" s="2">
        <f ca="1"/>
        <v>59.955136812960525</v>
      </c>
      <c r="AG7484" s="2">
        <f ca="1"/>
        <v>0.57607731107570692</v>
      </c>
      <c r="AH7484" s="2" t="str">
        <f ca="1"/>
        <v>Bad</v>
      </c>
    </row>
    <row r="7485" spans="2:34" x14ac:dyDescent="0.2">
      <c r="B7485" s="2">
        <f ca="1"/>
        <v>6.2823376407154186E-2</v>
      </c>
      <c r="O7485" s="2">
        <f ca="1"/>
        <v>-0.80381326043570955</v>
      </c>
      <c r="X7485" s="2">
        <f ca="1"/>
        <v>61.017346929769076</v>
      </c>
      <c r="AG7485" s="2">
        <f ca="1"/>
        <v>0.58357537575643259</v>
      </c>
      <c r="AH7485" s="2" t="str">
        <f ca="1"/>
        <v>Bad</v>
      </c>
    </row>
    <row r="7486" spans="2:34" x14ac:dyDescent="0.2">
      <c r="B7486" s="2">
        <f ca="1"/>
        <v>0.33570910338938065</v>
      </c>
      <c r="O7486" s="2">
        <f ca="1"/>
        <v>-2.1689220096676936</v>
      </c>
      <c r="X7486" s="2">
        <f ca="1"/>
        <v>27.564955755017586</v>
      </c>
      <c r="AG7486" s="2">
        <f ca="1"/>
        <v>0.77599068569678087</v>
      </c>
      <c r="AH7486" s="2" t="str">
        <f ca="1"/>
        <v>Bad</v>
      </c>
    </row>
    <row r="7487" spans="2:34" x14ac:dyDescent="0.2">
      <c r="B7487" s="2">
        <f ca="1"/>
        <v>0.96620348100183118</v>
      </c>
      <c r="O7487" s="2">
        <f ca="1"/>
        <v>0.56285984374343712</v>
      </c>
      <c r="X7487" s="2">
        <f ca="1"/>
        <v>74.242995752988193</v>
      </c>
      <c r="AG7487" s="2">
        <f ca="1"/>
        <v>0.2429170344531455</v>
      </c>
      <c r="AH7487" s="2" t="str">
        <f ca="1"/>
        <v>OK</v>
      </c>
    </row>
    <row r="7488" spans="2:34" x14ac:dyDescent="0.2">
      <c r="B7488" s="2">
        <f ca="1"/>
        <v>0.46406716995836517</v>
      </c>
      <c r="O7488" s="2">
        <f ca="1"/>
        <v>0.76822209180449375</v>
      </c>
      <c r="X7488" s="2">
        <f ca="1"/>
        <v>24.904776684060877</v>
      </c>
      <c r="AG7488" s="2">
        <f ca="1"/>
        <v>0.98632407693615964</v>
      </c>
      <c r="AH7488" s="2" t="str">
        <f ca="1"/>
        <v>Bad</v>
      </c>
    </row>
    <row r="7489" spans="2:34" x14ac:dyDescent="0.2">
      <c r="B7489" s="2">
        <f ca="1"/>
        <v>0.46382442781207245</v>
      </c>
      <c r="O7489" s="2">
        <f ca="1"/>
        <v>-8.709691797477942E-2</v>
      </c>
      <c r="X7489" s="2">
        <f ca="1"/>
        <v>60.967118556066524</v>
      </c>
      <c r="AG7489" s="2">
        <f ca="1"/>
        <v>0.69708123352210971</v>
      </c>
      <c r="AH7489" s="2" t="str">
        <f ca="1"/>
        <v>Bad</v>
      </c>
    </row>
    <row r="7490" spans="2:34" x14ac:dyDescent="0.2">
      <c r="B7490" s="2">
        <f ca="1"/>
        <v>0.59068289539633323</v>
      </c>
      <c r="O7490" s="2">
        <f ca="1"/>
        <v>0.29500597065685474</v>
      </c>
      <c r="X7490" s="2">
        <f ca="1"/>
        <v>79.526677273250527</v>
      </c>
      <c r="AG7490" s="2">
        <f ca="1"/>
        <v>0.94889065346009005</v>
      </c>
      <c r="AH7490" s="2" t="str">
        <f ca="1"/>
        <v>Bad</v>
      </c>
    </row>
    <row r="7491" spans="2:34" x14ac:dyDescent="0.2">
      <c r="B7491" s="2">
        <f ca="1"/>
        <v>0.71920981168088627</v>
      </c>
      <c r="O7491" s="2">
        <f ca="1"/>
        <v>1.1387990019155965</v>
      </c>
      <c r="X7491" s="2">
        <f ca="1"/>
        <v>78.670065327126522</v>
      </c>
      <c r="AG7491" s="2">
        <f ca="1"/>
        <v>5.5036483965458016E-2</v>
      </c>
      <c r="AH7491" s="2" t="str">
        <f ca="1"/>
        <v>OK</v>
      </c>
    </row>
    <row r="7492" spans="2:34" x14ac:dyDescent="0.2">
      <c r="B7492" s="2">
        <f ca="1"/>
        <v>0.54880843511082755</v>
      </c>
      <c r="O7492" s="2">
        <f ca="1"/>
        <v>0.17705918375973256</v>
      </c>
      <c r="X7492" s="2">
        <f ca="1"/>
        <v>23.987048956433988</v>
      </c>
      <c r="AG7492" s="2">
        <f ca="1"/>
        <v>0.97644469555269198</v>
      </c>
      <c r="AH7492" s="2" t="str">
        <f ca="1"/>
        <v>Bad</v>
      </c>
    </row>
    <row r="7493" spans="2:34" x14ac:dyDescent="0.2">
      <c r="B7493" s="2">
        <f ca="1"/>
        <v>0.8731729492154805</v>
      </c>
      <c r="O7493" s="2">
        <f ca="1"/>
        <v>-0.90036627564949523</v>
      </c>
      <c r="X7493" s="2">
        <f ca="1"/>
        <v>46.857608784400426</v>
      </c>
      <c r="AG7493" s="2">
        <f ca="1"/>
        <v>0.49582673622206075</v>
      </c>
      <c r="AH7493" s="2" t="str">
        <f ca="1"/>
        <v>Bad</v>
      </c>
    </row>
    <row r="7494" spans="2:34" x14ac:dyDescent="0.2">
      <c r="B7494" s="2">
        <f ca="1"/>
        <v>0.16319395393794589</v>
      </c>
      <c r="O7494" s="2">
        <f ca="1"/>
        <v>1.4877809300337383</v>
      </c>
      <c r="X7494" s="2">
        <f ca="1"/>
        <v>49.736972569498946</v>
      </c>
      <c r="AG7494" s="2">
        <f ca="1"/>
        <v>0.44657271802248832</v>
      </c>
      <c r="AH7494" s="2" t="str">
        <f ca="1"/>
        <v>Bad</v>
      </c>
    </row>
    <row r="7495" spans="2:34" x14ac:dyDescent="0.2">
      <c r="B7495" s="2">
        <f ca="1"/>
        <v>0.52439892157050649</v>
      </c>
      <c r="O7495" s="2">
        <f ca="1"/>
        <v>0.15672640660829235</v>
      </c>
      <c r="X7495" s="2">
        <f ca="1"/>
        <v>49.130617843742144</v>
      </c>
      <c r="AG7495" s="2">
        <f ca="1"/>
        <v>0.96233248960777051</v>
      </c>
      <c r="AH7495" s="2" t="str">
        <f ca="1"/>
        <v>Bad</v>
      </c>
    </row>
    <row r="7496" spans="2:34" x14ac:dyDescent="0.2">
      <c r="B7496" s="2">
        <f ca="1"/>
        <v>0.44129392881746909</v>
      </c>
      <c r="O7496" s="2">
        <f ca="1"/>
        <v>0.37068103102701588</v>
      </c>
      <c r="X7496" s="2">
        <f ca="1"/>
        <v>26.584743657015263</v>
      </c>
      <c r="AG7496" s="2">
        <f ca="1"/>
        <v>0.62232106880103633</v>
      </c>
      <c r="AH7496" s="2" t="str">
        <f ca="1"/>
        <v>Bad</v>
      </c>
    </row>
    <row r="7497" spans="2:34" x14ac:dyDescent="0.2">
      <c r="B7497" s="2">
        <f ca="1"/>
        <v>0.98048673444819379</v>
      </c>
      <c r="O7497" s="2">
        <f ca="1"/>
        <v>-0.52606476123109325</v>
      </c>
      <c r="X7497" s="2">
        <f ca="1"/>
        <v>70.603660689981851</v>
      </c>
      <c r="AG7497" s="2">
        <f ca="1"/>
        <v>0.39400531998788346</v>
      </c>
      <c r="AH7497" s="2" t="str">
        <f ca="1"/>
        <v>OK</v>
      </c>
    </row>
    <row r="7498" spans="2:34" x14ac:dyDescent="0.2">
      <c r="B7498" s="2">
        <f ca="1"/>
        <v>0.7273898661794187</v>
      </c>
      <c r="O7498" s="2">
        <f ca="1"/>
        <v>-0.69798921312954365</v>
      </c>
      <c r="X7498" s="2">
        <f ca="1"/>
        <v>32.808618907264915</v>
      </c>
      <c r="AG7498" s="2">
        <f ca="1"/>
        <v>0.57999385631564482</v>
      </c>
      <c r="AH7498" s="2" t="str">
        <f ca="1"/>
        <v>Bad</v>
      </c>
    </row>
    <row r="7499" spans="2:34" x14ac:dyDescent="0.2">
      <c r="B7499" s="2">
        <f ca="1"/>
        <v>0.77735028837723363</v>
      </c>
      <c r="O7499" s="2">
        <f ca="1"/>
        <v>-1.242814944742598</v>
      </c>
      <c r="X7499" s="2">
        <f ca="1"/>
        <v>44.980337170165008</v>
      </c>
      <c r="AG7499" s="2">
        <f ca="1"/>
        <v>0.42583575693843323</v>
      </c>
      <c r="AH7499" s="2" t="str">
        <f ca="1"/>
        <v>Bad</v>
      </c>
    </row>
    <row r="7500" spans="2:34" x14ac:dyDescent="0.2">
      <c r="B7500" s="2">
        <f ca="1"/>
        <v>7.5492841045353032E-2</v>
      </c>
      <c r="O7500" s="2">
        <f ca="1"/>
        <v>-1.4187726538043086</v>
      </c>
      <c r="X7500" s="2">
        <f ca="1"/>
        <v>29.475414419522934</v>
      </c>
      <c r="AG7500" s="2">
        <f ca="1"/>
        <v>0.97597370287857244</v>
      </c>
      <c r="AH7500" s="2" t="str">
        <f ca="1"/>
        <v>Bad</v>
      </c>
    </row>
    <row r="7501" spans="2:34" x14ac:dyDescent="0.2">
      <c r="B7501" s="2">
        <f ca="1"/>
        <v>0.48414473641311973</v>
      </c>
      <c r="O7501" s="2">
        <f ca="1"/>
        <v>-1.3283793186489876</v>
      </c>
      <c r="X7501" s="2">
        <f ca="1"/>
        <v>44.97104615834408</v>
      </c>
      <c r="AG7501" s="2">
        <f ca="1"/>
        <v>0.89691946040596693</v>
      </c>
      <c r="AH7501" s="2" t="str">
        <f ca="1"/>
        <v>Bad</v>
      </c>
    </row>
    <row r="7502" spans="2:34" x14ac:dyDescent="0.2">
      <c r="B7502" s="2">
        <f ca="1"/>
        <v>0.33515139620894319</v>
      </c>
      <c r="O7502" s="2">
        <f ca="1"/>
        <v>-2.5876607436916883</v>
      </c>
      <c r="X7502" s="2">
        <f ca="1"/>
        <v>36.154189322847429</v>
      </c>
      <c r="AG7502" s="2">
        <f ca="1"/>
        <v>0.97920878574236969</v>
      </c>
      <c r="AH7502" s="2" t="str">
        <f ca="1"/>
        <v>Bad</v>
      </c>
    </row>
    <row r="7503" spans="2:34" x14ac:dyDescent="0.2">
      <c r="B7503" s="2">
        <f ca="1"/>
        <v>9.9780370920040218E-2</v>
      </c>
      <c r="O7503" s="2">
        <f ca="1"/>
        <v>-5.2191337950057828E-2</v>
      </c>
      <c r="X7503" s="2">
        <f ca="1"/>
        <v>68.213500789756779</v>
      </c>
      <c r="AG7503" s="2">
        <f ca="1"/>
        <v>0.45119869242415001</v>
      </c>
      <c r="AH7503" s="2" t="str">
        <f ca="1"/>
        <v>Bad</v>
      </c>
    </row>
    <row r="7504" spans="2:34" x14ac:dyDescent="0.2">
      <c r="B7504" s="2">
        <f ca="1"/>
        <v>0.19475701504871279</v>
      </c>
      <c r="O7504" s="2">
        <f ca="1"/>
        <v>-0.19042493289612894</v>
      </c>
      <c r="X7504" s="2">
        <f ca="1"/>
        <v>36.126127790959018</v>
      </c>
      <c r="AG7504" s="2">
        <f ca="1"/>
        <v>0.11408101626500122</v>
      </c>
      <c r="AH7504" s="2" t="str">
        <f ca="1"/>
        <v>OK</v>
      </c>
    </row>
    <row r="7505" spans="2:34" x14ac:dyDescent="0.2">
      <c r="B7505" s="2">
        <f ca="1"/>
        <v>0.78481522623094224</v>
      </c>
      <c r="O7505" s="2">
        <f ca="1"/>
        <v>1.8506885356529537</v>
      </c>
      <c r="X7505" s="2">
        <f ca="1"/>
        <v>43.410369095876014</v>
      </c>
      <c r="AG7505" s="2">
        <f ca="1"/>
        <v>0.20828420800269964</v>
      </c>
      <c r="AH7505" s="2" t="str">
        <f ca="1"/>
        <v>OK</v>
      </c>
    </row>
    <row r="7506" spans="2:34" x14ac:dyDescent="0.2">
      <c r="B7506" s="2">
        <f ca="1"/>
        <v>0.18677604398658554</v>
      </c>
      <c r="O7506" s="2">
        <f ca="1"/>
        <v>-2.2578926947862552</v>
      </c>
      <c r="X7506" s="2">
        <f ca="1"/>
        <v>53.576276256734332</v>
      </c>
      <c r="AG7506" s="2">
        <f ca="1"/>
        <v>0.57972346665609886</v>
      </c>
      <c r="AH7506" s="2" t="str">
        <f ca="1"/>
        <v>Bad</v>
      </c>
    </row>
    <row r="7507" spans="2:34" x14ac:dyDescent="0.2">
      <c r="B7507" s="2">
        <f ca="1"/>
        <v>0.48713380321909483</v>
      </c>
      <c r="O7507" s="2">
        <f ca="1"/>
        <v>-0.21639890763670613</v>
      </c>
      <c r="X7507" s="2">
        <f ca="1"/>
        <v>81.135996795663985</v>
      </c>
      <c r="AG7507" s="2">
        <f ca="1"/>
        <v>0.6849616018533693</v>
      </c>
      <c r="AH7507" s="2" t="str">
        <f ca="1"/>
        <v>Bad</v>
      </c>
    </row>
    <row r="7508" spans="2:34" x14ac:dyDescent="0.2">
      <c r="B7508" s="2">
        <f ca="1"/>
        <v>0.32371228730847368</v>
      </c>
      <c r="O7508" s="2">
        <f ca="1"/>
        <v>-6.1799466000848138E-3</v>
      </c>
      <c r="X7508" s="2">
        <f ca="1"/>
        <v>43.32390743003559</v>
      </c>
      <c r="AG7508" s="2">
        <f ca="1"/>
        <v>9.3852136193028013E-2</v>
      </c>
      <c r="AH7508" s="2" t="str">
        <f ca="1"/>
        <v>OK</v>
      </c>
    </row>
    <row r="7509" spans="2:34" x14ac:dyDescent="0.2">
      <c r="B7509" s="2">
        <f ca="1"/>
        <v>0.80178524423811526</v>
      </c>
      <c r="O7509" s="2">
        <f ca="1"/>
        <v>-0.48586238319317676</v>
      </c>
      <c r="X7509" s="2">
        <f ca="1"/>
        <v>31.837275784209339</v>
      </c>
      <c r="AG7509" s="2">
        <f ca="1"/>
        <v>0.48625385573706748</v>
      </c>
      <c r="AH7509" s="2" t="str">
        <f ca="1"/>
        <v>Bad</v>
      </c>
    </row>
    <row r="7510" spans="2:34" x14ac:dyDescent="0.2">
      <c r="B7510" s="2">
        <f ca="1"/>
        <v>0.92352612312311244</v>
      </c>
      <c r="O7510" s="2">
        <f ca="1"/>
        <v>0.34453440728751639</v>
      </c>
      <c r="X7510" s="2">
        <f ca="1"/>
        <v>66.212017505290518</v>
      </c>
      <c r="AG7510" s="2">
        <f ca="1"/>
        <v>0.11490283793442702</v>
      </c>
      <c r="AH7510" s="2" t="str">
        <f ca="1"/>
        <v>OK</v>
      </c>
    </row>
    <row r="7511" spans="2:34" x14ac:dyDescent="0.2">
      <c r="B7511" s="2">
        <f ca="1"/>
        <v>0.37363086135390766</v>
      </c>
      <c r="O7511" s="2">
        <f ca="1"/>
        <v>-0.25202053005999653</v>
      </c>
      <c r="X7511" s="2">
        <f ca="1"/>
        <v>60.544591924700967</v>
      </c>
      <c r="AG7511" s="2">
        <f ca="1"/>
        <v>0.43845471071899245</v>
      </c>
      <c r="AH7511" s="2" t="str">
        <f ca="1"/>
        <v>Bad</v>
      </c>
    </row>
    <row r="7512" spans="2:34" x14ac:dyDescent="0.2">
      <c r="B7512" s="2">
        <f ca="1"/>
        <v>0.61423141419365779</v>
      </c>
      <c r="O7512" s="2">
        <f ca="1"/>
        <v>0.65777311835541274</v>
      </c>
      <c r="X7512" s="2">
        <f ca="1"/>
        <v>19.390719177580362</v>
      </c>
      <c r="AG7512" s="2">
        <f ca="1"/>
        <v>0.24006387712949095</v>
      </c>
      <c r="AH7512" s="2" t="str">
        <f ca="1"/>
        <v>OK</v>
      </c>
    </row>
    <row r="7513" spans="2:34" x14ac:dyDescent="0.2">
      <c r="B7513" s="2">
        <f ca="1"/>
        <v>0.60576715927703018</v>
      </c>
      <c r="O7513" s="2">
        <f ca="1"/>
        <v>-0.7818933652801503</v>
      </c>
      <c r="X7513" s="2">
        <f ca="1"/>
        <v>46.783072941929177</v>
      </c>
      <c r="AG7513" s="2">
        <f ca="1"/>
        <v>0.23102850973080069</v>
      </c>
      <c r="AH7513" s="2" t="str">
        <f ca="1"/>
        <v>OK</v>
      </c>
    </row>
    <row r="7514" spans="2:34" x14ac:dyDescent="0.2">
      <c r="B7514" s="2">
        <f ca="1"/>
        <v>0.71173526456669345</v>
      </c>
      <c r="O7514" s="2">
        <f ca="1"/>
        <v>1.1296439318764253</v>
      </c>
      <c r="X7514" s="2">
        <f ca="1"/>
        <v>33.69591929634386</v>
      </c>
      <c r="AG7514" s="2">
        <f ca="1"/>
        <v>0.93726805904320765</v>
      </c>
      <c r="AH7514" s="2" t="str">
        <f ca="1"/>
        <v>Bad</v>
      </c>
    </row>
    <row r="7515" spans="2:34" x14ac:dyDescent="0.2">
      <c r="B7515" s="2">
        <f ca="1"/>
        <v>0.60489746678251022</v>
      </c>
      <c r="O7515" s="2">
        <f ca="1"/>
        <v>-0.21360443053083744</v>
      </c>
      <c r="X7515" s="2">
        <f ca="1"/>
        <v>24.487215914196359</v>
      </c>
      <c r="AG7515" s="2">
        <f ca="1"/>
        <v>0.43058780601949231</v>
      </c>
      <c r="AH7515" s="2" t="str">
        <f ca="1"/>
        <v>Bad</v>
      </c>
    </row>
    <row r="7516" spans="2:34" x14ac:dyDescent="0.2">
      <c r="B7516" s="2">
        <f ca="1"/>
        <v>3.5499278393482214E-2</v>
      </c>
      <c r="O7516" s="2">
        <f ca="1"/>
        <v>-0.2543168372815785</v>
      </c>
      <c r="X7516" s="2">
        <f ca="1"/>
        <v>47.379454120357195</v>
      </c>
      <c r="AG7516" s="2">
        <f ca="1"/>
        <v>0.90518763952067416</v>
      </c>
      <c r="AH7516" s="2" t="str">
        <f ca="1"/>
        <v>Bad</v>
      </c>
    </row>
    <row r="7517" spans="2:34" x14ac:dyDescent="0.2">
      <c r="B7517" s="2">
        <f ca="1"/>
        <v>0.71678211097093358</v>
      </c>
      <c r="O7517" s="2">
        <f ca="1"/>
        <v>-0.51011308525887045</v>
      </c>
      <c r="X7517" s="2">
        <f ca="1"/>
        <v>41.535751899556757</v>
      </c>
      <c r="AG7517" s="2">
        <f ca="1"/>
        <v>0.63831761362656292</v>
      </c>
      <c r="AH7517" s="2" t="str">
        <f ca="1"/>
        <v>Bad</v>
      </c>
    </row>
    <row r="7518" spans="2:34" x14ac:dyDescent="0.2">
      <c r="B7518" s="2">
        <f ca="1"/>
        <v>0.54546416664406694</v>
      </c>
      <c r="O7518" s="2">
        <f ca="1"/>
        <v>-6.5681285899705455E-2</v>
      </c>
      <c r="X7518" s="2">
        <f ca="1"/>
        <v>64.054634402441025</v>
      </c>
      <c r="AG7518" s="2">
        <f ca="1"/>
        <v>0.33524375458559952</v>
      </c>
      <c r="AH7518" s="2" t="str">
        <f ca="1"/>
        <v>OK</v>
      </c>
    </row>
    <row r="7519" spans="2:34" x14ac:dyDescent="0.2">
      <c r="B7519" s="2">
        <f ca="1"/>
        <v>0.80795858483868921</v>
      </c>
      <c r="O7519" s="2">
        <f ca="1"/>
        <v>-1.6806372159037317</v>
      </c>
      <c r="X7519" s="2">
        <f ca="1"/>
        <v>47.896899011889118</v>
      </c>
      <c r="AG7519" s="2">
        <f ca="1"/>
        <v>0.80882990143936406</v>
      </c>
      <c r="AH7519" s="2" t="str">
        <f ca="1"/>
        <v>Bad</v>
      </c>
    </row>
    <row r="7520" spans="2:34" x14ac:dyDescent="0.2">
      <c r="B7520" s="2">
        <f ca="1"/>
        <v>0.57355234335180483</v>
      </c>
      <c r="O7520" s="2">
        <f ca="1"/>
        <v>0.31096957125609703</v>
      </c>
      <c r="X7520" s="2">
        <f ca="1"/>
        <v>35.240536799915503</v>
      </c>
      <c r="AG7520" s="2">
        <f ca="1"/>
        <v>0.97244250193312642</v>
      </c>
      <c r="AH7520" s="2" t="str">
        <f ca="1"/>
        <v>Bad</v>
      </c>
    </row>
    <row r="7521" spans="2:34" x14ac:dyDescent="0.2">
      <c r="B7521" s="2">
        <f ca="1"/>
        <v>5.8244887653153166E-2</v>
      </c>
      <c r="O7521" s="2">
        <f ca="1"/>
        <v>-0.54377196802845662</v>
      </c>
      <c r="X7521" s="2">
        <f ca="1"/>
        <v>41.141133100248638</v>
      </c>
      <c r="AG7521" s="2">
        <f ca="1"/>
        <v>0.8225212336236587</v>
      </c>
      <c r="AH7521" s="2" t="str">
        <f ca="1"/>
        <v>Bad</v>
      </c>
    </row>
    <row r="7522" spans="2:34" x14ac:dyDescent="0.2">
      <c r="B7522" s="2">
        <f ca="1"/>
        <v>0.37341191548862218</v>
      </c>
      <c r="O7522" s="2">
        <f ca="1"/>
        <v>-0.62183902407549962</v>
      </c>
      <c r="X7522" s="2">
        <f ca="1"/>
        <v>74.355572377669546</v>
      </c>
      <c r="AG7522" s="2">
        <f ca="1"/>
        <v>0.8630879548746504</v>
      </c>
      <c r="AH7522" s="2" t="str">
        <f ca="1"/>
        <v>Bad</v>
      </c>
    </row>
    <row r="7523" spans="2:34" x14ac:dyDescent="0.2">
      <c r="B7523" s="2">
        <f ca="1"/>
        <v>4.0357508224915906E-2</v>
      </c>
      <c r="O7523" s="2">
        <f ca="1"/>
        <v>5.4359579311088271E-3</v>
      </c>
      <c r="X7523" s="2">
        <f ca="1"/>
        <v>44.443281796931061</v>
      </c>
      <c r="AG7523" s="2">
        <f ca="1"/>
        <v>0.8599382847779049</v>
      </c>
      <c r="AH7523" s="2" t="str">
        <f ca="1"/>
        <v>Bad</v>
      </c>
    </row>
    <row r="7524" spans="2:34" x14ac:dyDescent="0.2">
      <c r="B7524" s="2">
        <f ca="1"/>
        <v>0.95318091489045731</v>
      </c>
      <c r="O7524" s="2">
        <f ca="1"/>
        <v>0.4773970704962669</v>
      </c>
      <c r="X7524" s="2">
        <f ca="1"/>
        <v>34.000670994358387</v>
      </c>
      <c r="AG7524" s="2">
        <f ca="1"/>
        <v>0.6699499833871978</v>
      </c>
      <c r="AH7524" s="2" t="str">
        <f ca="1"/>
        <v>Bad</v>
      </c>
    </row>
    <row r="7525" spans="2:34" x14ac:dyDescent="0.2">
      <c r="B7525" s="2">
        <f ca="1"/>
        <v>0.41360863213750987</v>
      </c>
      <c r="O7525" s="2">
        <f ca="1"/>
        <v>-0.16469479082179891</v>
      </c>
      <c r="X7525" s="2">
        <f ca="1"/>
        <v>47.619845150850459</v>
      </c>
      <c r="AG7525" s="2">
        <f ca="1"/>
        <v>0.33906171957959774</v>
      </c>
      <c r="AH7525" s="2" t="str">
        <f ca="1"/>
        <v>OK</v>
      </c>
    </row>
    <row r="7526" spans="2:34" x14ac:dyDescent="0.2">
      <c r="B7526" s="2">
        <f ca="1"/>
        <v>0.58563891007909219</v>
      </c>
      <c r="O7526" s="2">
        <f ca="1"/>
        <v>-1.2166141107545569</v>
      </c>
      <c r="X7526" s="2">
        <f ca="1"/>
        <v>49.221509420003542</v>
      </c>
      <c r="AG7526" s="2">
        <f ca="1"/>
        <v>0.37626174740711082</v>
      </c>
      <c r="AH7526" s="2" t="str">
        <f ca="1"/>
        <v>OK</v>
      </c>
    </row>
    <row r="7527" spans="2:34" x14ac:dyDescent="0.2">
      <c r="B7527" s="2">
        <f ca="1"/>
        <v>0.96940406179132999</v>
      </c>
      <c r="O7527" s="2">
        <f ca="1"/>
        <v>0.55580138447513328</v>
      </c>
      <c r="X7527" s="2">
        <f ca="1"/>
        <v>52.582227590206173</v>
      </c>
      <c r="AG7527" s="2">
        <f ca="1"/>
        <v>0.40715544787580416</v>
      </c>
      <c r="AH7527" s="2" t="str">
        <f ca="1"/>
        <v>Bad</v>
      </c>
    </row>
    <row r="7528" spans="2:34" x14ac:dyDescent="0.2">
      <c r="B7528" s="2">
        <f ca="1"/>
        <v>0.52369048648069461</v>
      </c>
      <c r="O7528" s="2">
        <f ca="1"/>
        <v>-0.63082248678597586</v>
      </c>
      <c r="X7528" s="2">
        <f ca="1"/>
        <v>52.174623830902576</v>
      </c>
      <c r="AG7528" s="2">
        <f ca="1"/>
        <v>0.46381805715701097</v>
      </c>
      <c r="AH7528" s="2" t="str">
        <f ca="1"/>
        <v>Bad</v>
      </c>
    </row>
    <row r="7529" spans="2:34" x14ac:dyDescent="0.2">
      <c r="B7529" s="2">
        <f ca="1"/>
        <v>0.62806458956447941</v>
      </c>
      <c r="O7529" s="2">
        <f ca="1"/>
        <v>-0.73912974759639105</v>
      </c>
      <c r="X7529" s="2">
        <f ca="1"/>
        <v>29.260460563925466</v>
      </c>
      <c r="AG7529" s="2">
        <f ca="1"/>
        <v>0.19792452875768274</v>
      </c>
      <c r="AH7529" s="2" t="str">
        <f ca="1"/>
        <v>OK</v>
      </c>
    </row>
    <row r="7530" spans="2:34" x14ac:dyDescent="0.2">
      <c r="B7530" s="2">
        <f ca="1"/>
        <v>0.78147148321011684</v>
      </c>
      <c r="O7530" s="2">
        <f ca="1"/>
        <v>-0.26727884391145879</v>
      </c>
      <c r="X7530" s="2">
        <f ca="1"/>
        <v>47.646783108952285</v>
      </c>
      <c r="AG7530" s="2">
        <f ca="1"/>
        <v>0.51742457115572349</v>
      </c>
      <c r="AH7530" s="2" t="str">
        <f ca="1"/>
        <v>Bad</v>
      </c>
    </row>
    <row r="7531" spans="2:34" x14ac:dyDescent="0.2">
      <c r="B7531" s="2">
        <f ca="1"/>
        <v>0.44404992975665714</v>
      </c>
      <c r="O7531" s="2">
        <f ca="1"/>
        <v>0.39972148430353199</v>
      </c>
      <c r="X7531" s="2">
        <f ca="1"/>
        <v>63.89461181016096</v>
      </c>
      <c r="AG7531" s="2">
        <f ca="1"/>
        <v>0.49807766131860998</v>
      </c>
      <c r="AH7531" s="2" t="str">
        <f ca="1"/>
        <v>Bad</v>
      </c>
    </row>
    <row r="7532" spans="2:34" x14ac:dyDescent="0.2">
      <c r="B7532" s="2">
        <f ca="1"/>
        <v>0.77075902228558757</v>
      </c>
      <c r="O7532" s="2">
        <f ca="1"/>
        <v>-0.24060134491192922</v>
      </c>
      <c r="X7532" s="2">
        <f ca="1"/>
        <v>23.100547712091924</v>
      </c>
      <c r="AG7532" s="2">
        <f ca="1"/>
        <v>5.5092217232759255E-2</v>
      </c>
      <c r="AH7532" s="2" t="str">
        <f ca="1"/>
        <v>OK</v>
      </c>
    </row>
    <row r="7533" spans="2:34" x14ac:dyDescent="0.2">
      <c r="B7533" s="2">
        <f ca="1"/>
        <v>0.33912904225631935</v>
      </c>
      <c r="O7533" s="2">
        <f ca="1"/>
        <v>-0.17957699604951699</v>
      </c>
      <c r="X7533" s="2">
        <f ca="1"/>
        <v>58.346640316935833</v>
      </c>
      <c r="AG7533" s="2">
        <f ca="1"/>
        <v>0.96700612826751264</v>
      </c>
      <c r="AH7533" s="2" t="str">
        <f ca="1"/>
        <v>Bad</v>
      </c>
    </row>
    <row r="7534" spans="2:34" x14ac:dyDescent="0.2">
      <c r="B7534" s="2">
        <f ca="1"/>
        <v>7.4117959655029431E-2</v>
      </c>
      <c r="O7534" s="2">
        <f ca="1"/>
        <v>-0.47894655927952423</v>
      </c>
      <c r="X7534" s="2">
        <f ca="1"/>
        <v>43.952096743286184</v>
      </c>
      <c r="AG7534" s="2">
        <f ca="1"/>
        <v>0.57601713889850914</v>
      </c>
      <c r="AH7534" s="2" t="str">
        <f ca="1"/>
        <v>Bad</v>
      </c>
    </row>
    <row r="7535" spans="2:34" x14ac:dyDescent="0.2">
      <c r="B7535" s="2">
        <f ca="1"/>
        <v>0.72536414938212035</v>
      </c>
      <c r="O7535" s="2">
        <f ca="1"/>
        <v>-1.2289918324202118</v>
      </c>
      <c r="X7535" s="2">
        <f ca="1"/>
        <v>38.0799569873531</v>
      </c>
      <c r="AG7535" s="2">
        <f ca="1"/>
        <v>0.46630282550767888</v>
      </c>
      <c r="AH7535" s="2" t="str">
        <f ca="1"/>
        <v>Bad</v>
      </c>
    </row>
    <row r="7536" spans="2:34" x14ac:dyDescent="0.2">
      <c r="B7536" s="2">
        <f ca="1"/>
        <v>0.79022227338461892</v>
      </c>
      <c r="O7536" s="2">
        <f ca="1"/>
        <v>1.7547352336174753</v>
      </c>
      <c r="X7536" s="2">
        <f ca="1"/>
        <v>58.408323187381448</v>
      </c>
      <c r="AG7536" s="2">
        <f ca="1"/>
        <v>0.75956472024415356</v>
      </c>
      <c r="AH7536" s="2" t="str">
        <f ca="1"/>
        <v>Bad</v>
      </c>
    </row>
    <row r="7537" spans="2:34" x14ac:dyDescent="0.2">
      <c r="B7537" s="2">
        <f ca="1"/>
        <v>0.58445644940349872</v>
      </c>
      <c r="O7537" s="2">
        <f ca="1"/>
        <v>1.6193878235368102</v>
      </c>
      <c r="X7537" s="2">
        <f ca="1"/>
        <v>69.277596114116179</v>
      </c>
      <c r="AG7537" s="2">
        <f ca="1"/>
        <v>0.49183283311623027</v>
      </c>
      <c r="AH7537" s="2" t="str">
        <f ca="1"/>
        <v>Bad</v>
      </c>
    </row>
    <row r="7538" spans="2:34" x14ac:dyDescent="0.2">
      <c r="B7538" s="2">
        <f ca="1"/>
        <v>0.66965219587297864</v>
      </c>
      <c r="O7538" s="2">
        <f ca="1"/>
        <v>0.87583005002400571</v>
      </c>
      <c r="X7538" s="2">
        <f ca="1"/>
        <v>76.585464679968823</v>
      </c>
      <c r="AG7538" s="2">
        <f ca="1"/>
        <v>0.76882094890640285</v>
      </c>
      <c r="AH7538" s="2" t="str">
        <f ca="1"/>
        <v>Bad</v>
      </c>
    </row>
    <row r="7539" spans="2:34" x14ac:dyDescent="0.2">
      <c r="B7539" s="2">
        <f ca="1"/>
        <v>0.8428720384434667</v>
      </c>
      <c r="O7539" s="2">
        <f ca="1"/>
        <v>-0.72404052091279336</v>
      </c>
      <c r="X7539" s="2">
        <f ca="1"/>
        <v>61.771888460637498</v>
      </c>
      <c r="AG7539" s="2">
        <f ca="1"/>
        <v>0.11799376071348044</v>
      </c>
      <c r="AH7539" s="2" t="str">
        <f ca="1"/>
        <v>OK</v>
      </c>
    </row>
    <row r="7540" spans="2:34" x14ac:dyDescent="0.2">
      <c r="B7540" s="2">
        <f ca="1"/>
        <v>5.5224510984962505E-2</v>
      </c>
      <c r="O7540" s="2">
        <f ca="1"/>
        <v>-0.31713863958105876</v>
      </c>
      <c r="X7540" s="2">
        <f ca="1"/>
        <v>58.298176043301346</v>
      </c>
      <c r="AG7540" s="2">
        <f ca="1"/>
        <v>0.48202950280532075</v>
      </c>
      <c r="AH7540" s="2" t="str">
        <f ca="1"/>
        <v>Bad</v>
      </c>
    </row>
    <row r="7541" spans="2:34" x14ac:dyDescent="0.2">
      <c r="B7541" s="2">
        <f ca="1"/>
        <v>0.78546751385091351</v>
      </c>
      <c r="O7541" s="2">
        <f ca="1"/>
        <v>-0.55812026633458067</v>
      </c>
      <c r="X7541" s="2">
        <f ca="1"/>
        <v>42.150407252873393</v>
      </c>
      <c r="AG7541" s="2">
        <f ca="1"/>
        <v>0.92757015125496922</v>
      </c>
      <c r="AH7541" s="2" t="str">
        <f ca="1"/>
        <v>Bad</v>
      </c>
    </row>
    <row r="7542" spans="2:34" x14ac:dyDescent="0.2">
      <c r="B7542" s="2">
        <f ca="1"/>
        <v>0.79479509749702926</v>
      </c>
      <c r="O7542" s="2">
        <f ca="1"/>
        <v>1.6618016308058403</v>
      </c>
      <c r="X7542" s="2">
        <f ca="1"/>
        <v>46.124461564677929</v>
      </c>
      <c r="AG7542" s="2">
        <f ca="1"/>
        <v>0.28587115096635296</v>
      </c>
      <c r="AH7542" s="2" t="str">
        <f ca="1"/>
        <v>OK</v>
      </c>
    </row>
    <row r="7543" spans="2:34" x14ac:dyDescent="0.2">
      <c r="B7543" s="2">
        <f ca="1"/>
        <v>0.60473172028884936</v>
      </c>
      <c r="O7543" s="2">
        <f ca="1"/>
        <v>-6.8041142205438346E-2</v>
      </c>
      <c r="X7543" s="2">
        <f ca="1"/>
        <v>37.682696062896866</v>
      </c>
      <c r="AG7543" s="2">
        <f ca="1"/>
        <v>0.58769598398143641</v>
      </c>
      <c r="AH7543" s="2" t="str">
        <f ca="1"/>
        <v>Bad</v>
      </c>
    </row>
    <row r="7544" spans="2:34" x14ac:dyDescent="0.2">
      <c r="B7544" s="2">
        <f ca="1"/>
        <v>0.34473760961392652</v>
      </c>
      <c r="O7544" s="2">
        <f ca="1"/>
        <v>-2.0734924536249735</v>
      </c>
      <c r="X7544" s="2">
        <f ca="1"/>
        <v>81.796216949721568</v>
      </c>
      <c r="AG7544" s="2">
        <f ca="1"/>
        <v>0.21908639736413171</v>
      </c>
      <c r="AH7544" s="2" t="str">
        <f ca="1"/>
        <v>OK</v>
      </c>
    </row>
    <row r="7545" spans="2:34" x14ac:dyDescent="0.2">
      <c r="B7545" s="2">
        <f ca="1"/>
        <v>0.25017106026856695</v>
      </c>
      <c r="O7545" s="2">
        <f ca="1"/>
        <v>0.71553024492448791</v>
      </c>
      <c r="X7545" s="2">
        <f ca="1"/>
        <v>56.883677746903942</v>
      </c>
      <c r="AG7545" s="2">
        <f ca="1"/>
        <v>0.68582744357106784</v>
      </c>
      <c r="AH7545" s="2" t="str">
        <f ca="1"/>
        <v>Bad</v>
      </c>
    </row>
    <row r="7546" spans="2:34" x14ac:dyDescent="0.2">
      <c r="B7546" s="2">
        <f ca="1"/>
        <v>0.95973235067568763</v>
      </c>
      <c r="O7546" s="2">
        <f ca="1"/>
        <v>0.53562986410460189</v>
      </c>
      <c r="X7546" s="2">
        <f ca="1"/>
        <v>37.731022367945791</v>
      </c>
      <c r="AG7546" s="2">
        <f ca="1"/>
        <v>0.57862298481592456</v>
      </c>
      <c r="AH7546" s="2" t="str">
        <f ca="1"/>
        <v>Bad</v>
      </c>
    </row>
    <row r="7547" spans="2:34" x14ac:dyDescent="0.2">
      <c r="B7547" s="2">
        <f ca="1"/>
        <v>0.80528032914752057</v>
      </c>
      <c r="O7547" s="2">
        <f ca="1"/>
        <v>1.5312805742333939</v>
      </c>
      <c r="X7547" s="2">
        <f ca="1"/>
        <v>63.531108282353287</v>
      </c>
      <c r="AG7547" s="2">
        <f ca="1"/>
        <v>0.26290046877907125</v>
      </c>
      <c r="AH7547" s="2" t="str">
        <f ca="1"/>
        <v>OK</v>
      </c>
    </row>
    <row r="7548" spans="2:34" x14ac:dyDescent="0.2">
      <c r="B7548" s="2">
        <f ca="1"/>
        <v>0.20072616262366116</v>
      </c>
      <c r="O7548" s="2">
        <f ca="1"/>
        <v>-0.74380353145811529</v>
      </c>
      <c r="X7548" s="2">
        <f ca="1"/>
        <v>51.87904013574073</v>
      </c>
      <c r="AG7548" s="2">
        <f ca="1"/>
        <v>1.1805859350998649E-2</v>
      </c>
      <c r="AH7548" s="2" t="str">
        <f ca="1"/>
        <v>Good</v>
      </c>
    </row>
    <row r="7549" spans="2:34" x14ac:dyDescent="0.2">
      <c r="B7549" s="2">
        <f ca="1"/>
        <v>0.48443527462784997</v>
      </c>
      <c r="O7549" s="2">
        <f ca="1"/>
        <v>-1.1731768959254549</v>
      </c>
      <c r="X7549" s="2">
        <f ca="1"/>
        <v>40.438974369176393</v>
      </c>
      <c r="AG7549" s="2">
        <f ca="1"/>
        <v>7.5611815506599678E-2</v>
      </c>
      <c r="AH7549" s="2" t="str">
        <f ca="1"/>
        <v>OK</v>
      </c>
    </row>
    <row r="7550" spans="2:34" x14ac:dyDescent="0.2">
      <c r="B7550" s="2">
        <f ca="1"/>
        <v>0.595581124946998</v>
      </c>
      <c r="O7550" s="2">
        <f ca="1"/>
        <v>1.075842593887504</v>
      </c>
      <c r="X7550" s="2">
        <f ca="1"/>
        <v>46.133303439790737</v>
      </c>
      <c r="AG7550" s="2">
        <f ca="1"/>
        <v>0.13176347274788558</v>
      </c>
      <c r="AH7550" s="2" t="str">
        <f ca="1"/>
        <v>OK</v>
      </c>
    </row>
    <row r="7551" spans="2:34" x14ac:dyDescent="0.2">
      <c r="B7551" s="2">
        <f ca="1"/>
        <v>0.13540523735017773</v>
      </c>
      <c r="O7551" s="2">
        <f ca="1"/>
        <v>-1.6584774189063114</v>
      </c>
      <c r="X7551" s="2">
        <f ca="1"/>
        <v>49.261382822705187</v>
      </c>
      <c r="AG7551" s="2">
        <f ca="1"/>
        <v>0.36845435203066912</v>
      </c>
      <c r="AH7551" s="2" t="str">
        <f ca="1"/>
        <v>OK</v>
      </c>
    </row>
    <row r="7552" spans="2:34" x14ac:dyDescent="0.2">
      <c r="B7552" s="2">
        <f ca="1"/>
        <v>1.6980494572873539E-3</v>
      </c>
      <c r="O7552" s="2">
        <f ca="1"/>
        <v>1.9483066552425194</v>
      </c>
      <c r="X7552" s="2">
        <f ca="1"/>
        <v>61.669994638267738</v>
      </c>
      <c r="AG7552" s="2">
        <f ca="1"/>
        <v>0.37476128820966426</v>
      </c>
      <c r="AH7552" s="2" t="str">
        <f ca="1"/>
        <v>OK</v>
      </c>
    </row>
    <row r="7553" spans="2:34" x14ac:dyDescent="0.2">
      <c r="B7553" s="2">
        <f ca="1"/>
        <v>0.86926944757368974</v>
      </c>
      <c r="O7553" s="2">
        <f ca="1"/>
        <v>-1.0420679703265889</v>
      </c>
      <c r="X7553" s="2">
        <f ca="1"/>
        <v>37.923733586965085</v>
      </c>
      <c r="AG7553" s="2">
        <f ca="1"/>
        <v>0.10678135034042846</v>
      </c>
      <c r="AH7553" s="2" t="str">
        <f ca="1"/>
        <v>OK</v>
      </c>
    </row>
    <row r="7554" spans="2:34" x14ac:dyDescent="0.2">
      <c r="B7554" s="2">
        <f ca="1"/>
        <v>0.48379185365146493</v>
      </c>
      <c r="O7554" s="2">
        <f ca="1"/>
        <v>-0.71670380387220201</v>
      </c>
      <c r="X7554" s="2">
        <f ca="1"/>
        <v>45.787132113992158</v>
      </c>
      <c r="AG7554" s="2">
        <f ca="1"/>
        <v>0.87518231590281137</v>
      </c>
      <c r="AH7554" s="2" t="str">
        <f ca="1"/>
        <v>Bad</v>
      </c>
    </row>
    <row r="7555" spans="2:34" x14ac:dyDescent="0.2">
      <c r="B7555" s="2">
        <f ca="1"/>
        <v>0.1298909174990095</v>
      </c>
      <c r="O7555" s="2">
        <f ca="1"/>
        <v>-9.5410418907137182E-2</v>
      </c>
      <c r="X7555" s="2">
        <f ca="1"/>
        <v>31.379562100474129</v>
      </c>
      <c r="AG7555" s="2">
        <f ca="1"/>
        <v>0.65857941408644827</v>
      </c>
      <c r="AH7555" s="2" t="str">
        <f ca="1"/>
        <v>Bad</v>
      </c>
    </row>
    <row r="7556" spans="2:34" x14ac:dyDescent="0.2">
      <c r="B7556" s="2">
        <f ca="1"/>
        <v>0.97065568715744743</v>
      </c>
      <c r="O7556" s="2">
        <f ca="1"/>
        <v>-0.6609054654631098</v>
      </c>
      <c r="X7556" s="2">
        <f ca="1"/>
        <v>47.839800072730284</v>
      </c>
      <c r="AG7556" s="2">
        <f ca="1"/>
        <v>8.4707536896110991E-2</v>
      </c>
      <c r="AH7556" s="2" t="str">
        <f ca="1"/>
        <v>OK</v>
      </c>
    </row>
    <row r="7557" spans="2:34" x14ac:dyDescent="0.2">
      <c r="B7557" s="2">
        <f ca="1"/>
        <v>0.55467690313498297</v>
      </c>
      <c r="O7557" s="2">
        <f ca="1"/>
        <v>-0.25969154151633234</v>
      </c>
      <c r="X7557" s="2">
        <f ca="1"/>
        <v>79.73015592879878</v>
      </c>
      <c r="AG7557" s="2">
        <f ca="1"/>
        <v>0.35024963704704914</v>
      </c>
      <c r="AH7557" s="2" t="str">
        <f ca="1"/>
        <v>OK</v>
      </c>
    </row>
    <row r="7558" spans="2:34" x14ac:dyDescent="0.2">
      <c r="B7558" s="2">
        <f ca="1"/>
        <v>0.11056535291018998</v>
      </c>
      <c r="O7558" s="2">
        <f ca="1"/>
        <v>1.6162157720388368</v>
      </c>
      <c r="X7558" s="2">
        <f ca="1"/>
        <v>51.606895352806447</v>
      </c>
      <c r="AG7558" s="2">
        <f ca="1"/>
        <v>0.58151614427435239</v>
      </c>
      <c r="AH7558" s="2" t="str">
        <f ca="1"/>
        <v>Bad</v>
      </c>
    </row>
    <row r="7559" spans="2:34" x14ac:dyDescent="0.2">
      <c r="B7559" s="2">
        <f ca="1"/>
        <v>0.41355685962562871</v>
      </c>
      <c r="O7559" s="2">
        <f ca="1"/>
        <v>0.56890372186540283</v>
      </c>
      <c r="X7559" s="2">
        <f ca="1"/>
        <v>77.403933650288323</v>
      </c>
      <c r="AG7559" s="2">
        <f ca="1"/>
        <v>0.25070887204260406</v>
      </c>
      <c r="AH7559" s="2" t="str">
        <f ca="1"/>
        <v>OK</v>
      </c>
    </row>
    <row r="7560" spans="2:34" x14ac:dyDescent="0.2">
      <c r="B7560" s="2">
        <f ca="1"/>
        <v>0.45517487512541832</v>
      </c>
      <c r="O7560" s="2">
        <f ca="1"/>
        <v>0.52037713551297826</v>
      </c>
      <c r="X7560" s="2">
        <f ca="1"/>
        <v>58.544477294087407</v>
      </c>
      <c r="AG7560" s="2">
        <f ca="1"/>
        <v>8.277620444288325E-2</v>
      </c>
      <c r="AH7560" s="2" t="str">
        <f ca="1"/>
        <v>OK</v>
      </c>
    </row>
    <row r="7561" spans="2:34" x14ac:dyDescent="0.2">
      <c r="B7561" s="2">
        <f ca="1"/>
        <v>0.49731470077176065</v>
      </c>
      <c r="O7561" s="2">
        <f ca="1"/>
        <v>-1.217207881254188</v>
      </c>
      <c r="X7561" s="2">
        <f ca="1"/>
        <v>62.595292617409861</v>
      </c>
      <c r="AG7561" s="2">
        <f ca="1"/>
        <v>2.5265787182282562E-2</v>
      </c>
      <c r="AH7561" s="2" t="str">
        <f ca="1"/>
        <v>Good</v>
      </c>
    </row>
    <row r="7562" spans="2:34" x14ac:dyDescent="0.2">
      <c r="B7562" s="2">
        <f ca="1"/>
        <v>0.77893151280517858</v>
      </c>
      <c r="O7562" s="2">
        <f ca="1"/>
        <v>-0.72748042336889363</v>
      </c>
      <c r="X7562" s="2">
        <f ca="1"/>
        <v>35.541574676079073</v>
      </c>
      <c r="AG7562" s="2">
        <f ca="1"/>
        <v>0.23904595163268949</v>
      </c>
      <c r="AH7562" s="2" t="str">
        <f ca="1"/>
        <v>OK</v>
      </c>
    </row>
    <row r="7563" spans="2:34" x14ac:dyDescent="0.2">
      <c r="B7563" s="2">
        <f ca="1"/>
        <v>0.26815029938341461</v>
      </c>
      <c r="O7563" s="2">
        <f ca="1"/>
        <v>-1.1968191274615356E-2</v>
      </c>
      <c r="X7563" s="2">
        <f ca="1"/>
        <v>51.138524445809644</v>
      </c>
      <c r="AG7563" s="2">
        <f ca="1"/>
        <v>0.37029839549659527</v>
      </c>
      <c r="AH7563" s="2" t="str">
        <f ca="1"/>
        <v>OK</v>
      </c>
    </row>
    <row r="7564" spans="2:34" x14ac:dyDescent="0.2">
      <c r="B7564" s="2">
        <f ca="1"/>
        <v>0.98533643735779863</v>
      </c>
      <c r="O7564" s="2">
        <f ca="1"/>
        <v>-0.43436786890219431</v>
      </c>
      <c r="X7564" s="2">
        <f ca="1"/>
        <v>54.25361297771299</v>
      </c>
      <c r="AG7564" s="2">
        <f ca="1"/>
        <v>0.4209326573089196</v>
      </c>
      <c r="AH7564" s="2" t="str">
        <f ca="1"/>
        <v>Bad</v>
      </c>
    </row>
    <row r="7565" spans="2:34" x14ac:dyDescent="0.2">
      <c r="B7565" s="2">
        <f ca="1"/>
        <v>7.460502967975291E-4</v>
      </c>
      <c r="O7565" s="2">
        <f ca="1"/>
        <v>-0.31690484923749618</v>
      </c>
      <c r="X7565" s="2">
        <f ca="1"/>
        <v>73.375833779985967</v>
      </c>
      <c r="AG7565" s="2">
        <f ca="1"/>
        <v>0.80566291217780939</v>
      </c>
      <c r="AH7565" s="2" t="str">
        <f ca="1"/>
        <v>Bad</v>
      </c>
    </row>
    <row r="7566" spans="2:34" x14ac:dyDescent="0.2">
      <c r="B7566" s="2">
        <f ca="1"/>
        <v>4.5227901528286374E-3</v>
      </c>
      <c r="O7566" s="2">
        <f ca="1"/>
        <v>0.75090986916514413</v>
      </c>
      <c r="X7566" s="2">
        <f ca="1"/>
        <v>49.106198777297394</v>
      </c>
      <c r="AG7566" s="2">
        <f ca="1"/>
        <v>0.23632192343193359</v>
      </c>
      <c r="AH7566" s="2" t="str">
        <f ca="1"/>
        <v>OK</v>
      </c>
    </row>
    <row r="7567" spans="2:34" x14ac:dyDescent="0.2">
      <c r="B7567" s="2">
        <f ca="1"/>
        <v>0.52954085510174509</v>
      </c>
      <c r="O7567" s="2">
        <f ca="1"/>
        <v>-1.4328478014511536</v>
      </c>
      <c r="X7567" s="2">
        <f ca="1"/>
        <v>33.895742967645582</v>
      </c>
      <c r="AG7567" s="2">
        <f ca="1"/>
        <v>0.90750842088037142</v>
      </c>
      <c r="AH7567" s="2" t="str">
        <f ca="1"/>
        <v>Bad</v>
      </c>
    </row>
    <row r="7568" spans="2:34" x14ac:dyDescent="0.2">
      <c r="B7568" s="2">
        <f ca="1"/>
        <v>0.73791659087051564</v>
      </c>
      <c r="O7568" s="2">
        <f ca="1"/>
        <v>0.40852694002002515</v>
      </c>
      <c r="X7568" s="2">
        <f ca="1"/>
        <v>46.798067526935597</v>
      </c>
      <c r="AG7568" s="2">
        <f ca="1"/>
        <v>0.97982972517435574</v>
      </c>
      <c r="AH7568" s="2" t="str">
        <f ca="1"/>
        <v>Bad</v>
      </c>
    </row>
    <row r="7569" spans="2:34" x14ac:dyDescent="0.2">
      <c r="B7569" s="2">
        <f ca="1"/>
        <v>0.19420128574695594</v>
      </c>
      <c r="O7569" s="2">
        <f ca="1"/>
        <v>0.2303321893703611</v>
      </c>
      <c r="X7569" s="2">
        <f ca="1"/>
        <v>49.085438836795745</v>
      </c>
      <c r="AG7569" s="2">
        <f ca="1"/>
        <v>0.41250619332373306</v>
      </c>
      <c r="AH7569" s="2" t="str">
        <f ca="1"/>
        <v>Bad</v>
      </c>
    </row>
    <row r="7570" spans="2:34" x14ac:dyDescent="0.2">
      <c r="B7570" s="2">
        <f ca="1"/>
        <v>0.48650376195245504</v>
      </c>
      <c r="O7570" s="2">
        <f ca="1"/>
        <v>-0.20110390069042855</v>
      </c>
      <c r="X7570" s="2">
        <f ca="1"/>
        <v>33.976677028530304</v>
      </c>
      <c r="AG7570" s="2">
        <f ca="1"/>
        <v>0.67978572078229149</v>
      </c>
      <c r="AH7570" s="2" t="str">
        <f ca="1"/>
        <v>Bad</v>
      </c>
    </row>
    <row r="7571" spans="2:34" x14ac:dyDescent="0.2">
      <c r="B7571" s="2">
        <f ca="1"/>
        <v>4.6892385395406189E-2</v>
      </c>
      <c r="O7571" s="2">
        <f ca="1"/>
        <v>-1.4910861457643221</v>
      </c>
      <c r="X7571" s="2">
        <f ca="1"/>
        <v>40.756626878122958</v>
      </c>
      <c r="AG7571" s="2">
        <f ca="1"/>
        <v>0.31269574103315145</v>
      </c>
      <c r="AH7571" s="2" t="str">
        <f ca="1"/>
        <v>OK</v>
      </c>
    </row>
    <row r="7572" spans="2:34" x14ac:dyDescent="0.2">
      <c r="B7572" s="2">
        <f ca="1"/>
        <v>0.79605466329503694</v>
      </c>
      <c r="O7572" s="2">
        <f ca="1"/>
        <v>1.2326800064446592</v>
      </c>
      <c r="X7572" s="2">
        <f ca="1"/>
        <v>32.425443681260418</v>
      </c>
      <c r="AG7572" s="2">
        <f ca="1"/>
        <v>0.58403877931680226</v>
      </c>
      <c r="AH7572" s="2" t="str">
        <f ca="1"/>
        <v>Bad</v>
      </c>
    </row>
    <row r="7573" spans="2:34" x14ac:dyDescent="0.2">
      <c r="B7573" s="2">
        <f ca="1"/>
        <v>0.84577183704441783</v>
      </c>
      <c r="O7573" s="2">
        <f ca="1"/>
        <v>0.81848951973707995</v>
      </c>
      <c r="X7573" s="2">
        <f ca="1"/>
        <v>57.746843767295537</v>
      </c>
      <c r="AG7573" s="2">
        <f ca="1"/>
        <v>0.56530124660690007</v>
      </c>
      <c r="AH7573" s="2" t="str">
        <f ca="1"/>
        <v>Bad</v>
      </c>
    </row>
    <row r="7574" spans="2:34" x14ac:dyDescent="0.2">
      <c r="B7574" s="2">
        <f ca="1"/>
        <v>0.82242579550362738</v>
      </c>
      <c r="O7574" s="2">
        <f ca="1"/>
        <v>-1.2371668288275008</v>
      </c>
      <c r="X7574" s="2">
        <f ca="1"/>
        <v>60.669724688924063</v>
      </c>
      <c r="AG7574" s="2">
        <f ca="1"/>
        <v>4.6385229181551413E-3</v>
      </c>
      <c r="AH7574" s="2" t="str">
        <f ca="1"/>
        <v>Good</v>
      </c>
    </row>
    <row r="7575" spans="2:34" x14ac:dyDescent="0.2">
      <c r="B7575" s="2">
        <f ca="1"/>
        <v>0.92587153676100153</v>
      </c>
      <c r="O7575" s="2">
        <f ca="1"/>
        <v>0.38908843995354503</v>
      </c>
      <c r="X7575" s="2">
        <f ca="1"/>
        <v>25.7504308718324</v>
      </c>
      <c r="AG7575" s="2">
        <f ca="1"/>
        <v>0.88125617840667481</v>
      </c>
      <c r="AH7575" s="2" t="str">
        <f ca="1"/>
        <v>Bad</v>
      </c>
    </row>
    <row r="7576" spans="2:34" x14ac:dyDescent="0.2">
      <c r="B7576" s="2">
        <f ca="1"/>
        <v>0.39033203457121557</v>
      </c>
      <c r="O7576" s="2">
        <f ca="1"/>
        <v>0.52181712803968239</v>
      </c>
      <c r="X7576" s="2">
        <f ca="1"/>
        <v>38.324678849898277</v>
      </c>
      <c r="AG7576" s="2">
        <f ca="1"/>
        <v>0.98731739567941013</v>
      </c>
      <c r="AH7576" s="2" t="str">
        <f ca="1"/>
        <v>Bad</v>
      </c>
    </row>
    <row r="7577" spans="2:34" x14ac:dyDescent="0.2">
      <c r="B7577" s="2">
        <f ca="1"/>
        <v>0.35413437836169659</v>
      </c>
      <c r="O7577" s="2">
        <f ca="1"/>
        <v>1.3113046435289948</v>
      </c>
      <c r="X7577" s="2">
        <f ca="1"/>
        <v>92.511043930098751</v>
      </c>
      <c r="AG7577" s="2">
        <f ca="1"/>
        <v>0.1166948998713786</v>
      </c>
      <c r="AH7577" s="2" t="str">
        <f ca="1"/>
        <v>OK</v>
      </c>
    </row>
    <row r="7578" spans="2:34" x14ac:dyDescent="0.2">
      <c r="B7578" s="2">
        <f ca="1"/>
        <v>0.60911291225957864</v>
      </c>
      <c r="O7578" s="2">
        <f ca="1"/>
        <v>1.0279868254796334</v>
      </c>
      <c r="X7578" s="2">
        <f ca="1"/>
        <v>41.050734887052236</v>
      </c>
      <c r="AG7578" s="2">
        <f ca="1"/>
        <v>0.21555597572378637</v>
      </c>
      <c r="AH7578" s="2" t="str">
        <f ca="1"/>
        <v>OK</v>
      </c>
    </row>
    <row r="7579" spans="2:34" x14ac:dyDescent="0.2">
      <c r="B7579" s="2">
        <f ca="1"/>
        <v>0.49555705899948754</v>
      </c>
      <c r="O7579" s="2">
        <f ca="1"/>
        <v>1.3771482085581157</v>
      </c>
      <c r="X7579" s="2">
        <f ca="1"/>
        <v>32.69911389400513</v>
      </c>
      <c r="AG7579" s="2">
        <f ca="1"/>
        <v>9.8268471798836687E-2</v>
      </c>
      <c r="AH7579" s="2" t="str">
        <f ca="1"/>
        <v>OK</v>
      </c>
    </row>
    <row r="7580" spans="2:34" x14ac:dyDescent="0.2">
      <c r="B7580" s="2">
        <f ca="1"/>
        <v>0.16157438110645783</v>
      </c>
      <c r="O7580" s="2">
        <f ca="1"/>
        <v>0.57197497946683973</v>
      </c>
      <c r="X7580" s="2">
        <f ca="1"/>
        <v>49.930619498896661</v>
      </c>
      <c r="AG7580" s="2">
        <f ca="1"/>
        <v>0.85407031314254667</v>
      </c>
      <c r="AH7580" s="2" t="str">
        <f ca="1"/>
        <v>Bad</v>
      </c>
    </row>
    <row r="7581" spans="2:34" x14ac:dyDescent="0.2">
      <c r="B7581" s="2">
        <f ca="1"/>
        <v>5.6762342738942317E-2</v>
      </c>
      <c r="O7581" s="2">
        <f ca="1"/>
        <v>-1.3859788837124798</v>
      </c>
      <c r="X7581" s="2">
        <f ca="1"/>
        <v>65.442753719339137</v>
      </c>
      <c r="AG7581" s="2">
        <f ca="1"/>
        <v>0.14607396164918907</v>
      </c>
      <c r="AH7581" s="2" t="str">
        <f ca="1"/>
        <v>OK</v>
      </c>
    </row>
    <row r="7582" spans="2:34" x14ac:dyDescent="0.2">
      <c r="B7582" s="2">
        <f ca="1"/>
        <v>0.908786298346137</v>
      </c>
      <c r="O7582" s="2">
        <f ca="1"/>
        <v>-0.52399243857071909</v>
      </c>
      <c r="X7582" s="2">
        <f ca="1"/>
        <v>32.571436989829238</v>
      </c>
      <c r="AG7582" s="2">
        <f ca="1"/>
        <v>0.16263831083780644</v>
      </c>
      <c r="AH7582" s="2" t="str">
        <f ca="1"/>
        <v>OK</v>
      </c>
    </row>
    <row r="7583" spans="2:34" x14ac:dyDescent="0.2">
      <c r="B7583" s="2">
        <f ca="1"/>
        <v>0.1395390340699787</v>
      </c>
      <c r="O7583" s="2">
        <f ca="1"/>
        <v>1.1168771264526809</v>
      </c>
      <c r="X7583" s="2">
        <f ca="1"/>
        <v>78.971879732707777</v>
      </c>
      <c r="AG7583" s="2">
        <f ca="1"/>
        <v>5.0370383229343618E-2</v>
      </c>
      <c r="AH7583" s="2" t="str">
        <f ca="1"/>
        <v>OK</v>
      </c>
    </row>
    <row r="7584" spans="2:34" x14ac:dyDescent="0.2">
      <c r="B7584" s="2">
        <f ca="1"/>
        <v>0.59763918802909566</v>
      </c>
      <c r="O7584" s="2">
        <f ca="1"/>
        <v>8.8481313573190792E-2</v>
      </c>
      <c r="X7584" s="2">
        <f ca="1"/>
        <v>40.629877541868979</v>
      </c>
      <c r="AG7584" s="2">
        <f ca="1"/>
        <v>0.66955221901478779</v>
      </c>
      <c r="AH7584" s="2" t="str">
        <f ca="1"/>
        <v>Bad</v>
      </c>
    </row>
    <row r="7585" spans="2:34" x14ac:dyDescent="0.2">
      <c r="B7585" s="2">
        <f ca="1"/>
        <v>0.88938832578047133</v>
      </c>
      <c r="O7585" s="2">
        <f ca="1"/>
        <v>-0.11939068644407798</v>
      </c>
      <c r="X7585" s="2">
        <f ca="1"/>
        <v>32.349831154463601</v>
      </c>
      <c r="AG7585" s="2">
        <f ca="1"/>
        <v>0.37290189427602116</v>
      </c>
      <c r="AH7585" s="2" t="str">
        <f ca="1"/>
        <v>OK</v>
      </c>
    </row>
    <row r="7586" spans="2:34" x14ac:dyDescent="0.2">
      <c r="B7586" s="2">
        <f ca="1"/>
        <v>0.76218055217258662</v>
      </c>
      <c r="O7586" s="2">
        <f ca="1"/>
        <v>1.3534075942657788</v>
      </c>
      <c r="X7586" s="2">
        <f ca="1"/>
        <v>47.751964297590519</v>
      </c>
      <c r="AG7586" s="2">
        <f ca="1"/>
        <v>7.1271070615144261E-2</v>
      </c>
      <c r="AH7586" s="2" t="str">
        <f ca="1"/>
        <v>OK</v>
      </c>
    </row>
    <row r="7587" spans="2:34" x14ac:dyDescent="0.2">
      <c r="B7587" s="2">
        <f ca="1"/>
        <v>0.13829196710532488</v>
      </c>
      <c r="O7587" s="2">
        <f ca="1"/>
        <v>1.1488502141686019</v>
      </c>
      <c r="X7587" s="2">
        <f ca="1"/>
        <v>32.225986499611182</v>
      </c>
      <c r="AG7587" s="2">
        <f ca="1"/>
        <v>0.45705485203104934</v>
      </c>
      <c r="AH7587" s="2" t="str">
        <f ca="1"/>
        <v>Bad</v>
      </c>
    </row>
    <row r="7588" spans="2:34" x14ac:dyDescent="0.2">
      <c r="B7588" s="2">
        <f ca="1"/>
        <v>0.93467566778280009</v>
      </c>
      <c r="O7588" s="2">
        <f ca="1"/>
        <v>-0.86643453937381543</v>
      </c>
      <c r="X7588" s="2">
        <f ca="1"/>
        <v>59.285558848459544</v>
      </c>
      <c r="AG7588" s="2">
        <f ca="1"/>
        <v>0.79270033369537285</v>
      </c>
      <c r="AH7588" s="2" t="str">
        <f ca="1"/>
        <v>Bad</v>
      </c>
    </row>
    <row r="7589" spans="2:34" x14ac:dyDescent="0.2">
      <c r="B7589" s="2">
        <f ca="1"/>
        <v>0.53072560292033955</v>
      </c>
      <c r="O7589" s="2">
        <f ca="1"/>
        <v>-1.9879693926781541</v>
      </c>
      <c r="X7589" s="2">
        <f ca="1"/>
        <v>70.637683147830771</v>
      </c>
      <c r="AG7589" s="2">
        <f ca="1"/>
        <v>0.86369892044486507</v>
      </c>
      <c r="AH7589" s="2" t="str">
        <f ca="1"/>
        <v>Bad</v>
      </c>
    </row>
    <row r="7590" spans="2:34" x14ac:dyDescent="0.2">
      <c r="B7590" s="2">
        <f ca="1"/>
        <v>8.7339232958588253E-2</v>
      </c>
      <c r="O7590" s="2">
        <f ca="1"/>
        <v>-0.95953307021988177</v>
      </c>
      <c r="X7590" s="2">
        <f ca="1"/>
        <v>62.722056043321651</v>
      </c>
      <c r="AG7590" s="2">
        <f ca="1"/>
        <v>0.38238257354960359</v>
      </c>
      <c r="AH7590" s="2" t="str">
        <f ca="1"/>
        <v>OK</v>
      </c>
    </row>
    <row r="7591" spans="2:34" x14ac:dyDescent="0.2">
      <c r="B7591" s="2">
        <f ca="1"/>
        <v>0.39965281865031876</v>
      </c>
      <c r="O7591" s="2">
        <f ca="1"/>
        <v>-0.34279257538019914</v>
      </c>
      <c r="X7591" s="2">
        <f ca="1"/>
        <v>72.108364712809447</v>
      </c>
      <c r="AG7591" s="2">
        <f ca="1"/>
        <v>0.73165056967706854</v>
      </c>
      <c r="AH7591" s="2" t="str">
        <f ca="1"/>
        <v>Bad</v>
      </c>
    </row>
    <row r="7592" spans="2:34" x14ac:dyDescent="0.2">
      <c r="B7592" s="2">
        <f ca="1"/>
        <v>0.35038100273076433</v>
      </c>
      <c r="O7592" s="2">
        <f ca="1"/>
        <v>0.82434688281341006</v>
      </c>
      <c r="X7592" s="2">
        <f ca="1"/>
        <v>74.954464478276293</v>
      </c>
      <c r="AG7592" s="2">
        <f ca="1"/>
        <v>0.89777868792256244</v>
      </c>
      <c r="AH7592" s="2" t="str">
        <f ca="1"/>
        <v>Bad</v>
      </c>
    </row>
    <row r="7593" spans="2:34" x14ac:dyDescent="0.2">
      <c r="B7593" s="2">
        <f ca="1"/>
        <v>0.51994249084530386</v>
      </c>
      <c r="O7593" s="2">
        <f ca="1"/>
        <v>-1.1506780270694688</v>
      </c>
      <c r="X7593" s="2">
        <f ca="1"/>
        <v>41.965564927709806</v>
      </c>
      <c r="AG7593" s="2">
        <f ca="1"/>
        <v>0.82953239434101489</v>
      </c>
      <c r="AH7593" s="2" t="str">
        <f ca="1"/>
        <v>Bad</v>
      </c>
    </row>
    <row r="7594" spans="2:34" x14ac:dyDescent="0.2">
      <c r="B7594" s="2">
        <f ca="1"/>
        <v>0.3556197694113461</v>
      </c>
      <c r="O7594" s="2">
        <f ca="1"/>
        <v>-0.26872755206292992</v>
      </c>
      <c r="X7594" s="2">
        <f ca="1"/>
        <v>31.269359813964478</v>
      </c>
      <c r="AG7594" s="2">
        <f ca="1"/>
        <v>0.62482799213070117</v>
      </c>
      <c r="AH7594" s="2" t="str">
        <f ca="1"/>
        <v>Bad</v>
      </c>
    </row>
    <row r="7595" spans="2:34" x14ac:dyDescent="0.2">
      <c r="B7595" s="2">
        <f ca="1"/>
        <v>8.2802644269605929E-2</v>
      </c>
      <c r="O7595" s="2">
        <f ca="1"/>
        <v>-5.8662114493588886E-2</v>
      </c>
      <c r="X7595" s="2">
        <f ca="1"/>
        <v>73.059345909347897</v>
      </c>
      <c r="AG7595" s="2">
        <f ca="1"/>
        <v>0.5365988652560405</v>
      </c>
      <c r="AH7595" s="2" t="str">
        <f ca="1"/>
        <v>Bad</v>
      </c>
    </row>
    <row r="7596" spans="2:34" x14ac:dyDescent="0.2">
      <c r="B7596" s="2">
        <f ca="1"/>
        <v>0.43735495455856865</v>
      </c>
      <c r="O7596" s="2">
        <f ca="1"/>
        <v>-0.45893147887211422</v>
      </c>
      <c r="X7596" s="2">
        <f ca="1"/>
        <v>28.743093748650065</v>
      </c>
      <c r="AG7596" s="2">
        <f ca="1"/>
        <v>8.2506828846518276E-2</v>
      </c>
      <c r="AH7596" s="2" t="str">
        <f ca="1"/>
        <v>OK</v>
      </c>
    </row>
    <row r="7597" spans="2:34" x14ac:dyDescent="0.2">
      <c r="B7597" s="2">
        <f ca="1"/>
        <v>0.60761244067830567</v>
      </c>
      <c r="O7597" s="2">
        <f ca="1"/>
        <v>1.1811518021276064</v>
      </c>
      <c r="X7597" s="2">
        <f ca="1"/>
        <v>41.48948514045599</v>
      </c>
      <c r="AG7597" s="2">
        <f ca="1"/>
        <v>0.38532955014698578</v>
      </c>
      <c r="AH7597" s="2" t="str">
        <f ca="1"/>
        <v>OK</v>
      </c>
    </row>
    <row r="7598" spans="2:34" x14ac:dyDescent="0.2">
      <c r="B7598" s="2">
        <f ca="1"/>
        <v>0.46094988181658358</v>
      </c>
      <c r="O7598" s="2">
        <f ca="1"/>
        <v>2.3763044762924679</v>
      </c>
      <c r="X7598" s="2">
        <f ca="1"/>
        <v>48.749950494854339</v>
      </c>
      <c r="AG7598" s="2">
        <f ca="1"/>
        <v>0.66947792944989115</v>
      </c>
      <c r="AH7598" s="2" t="str">
        <f ca="1"/>
        <v>Bad</v>
      </c>
    </row>
    <row r="7599" spans="2:34" x14ac:dyDescent="0.2">
      <c r="B7599" s="2">
        <f ca="1"/>
        <v>0.66009221319230749</v>
      </c>
      <c r="O7599" s="2">
        <f ca="1"/>
        <v>-0.10528704839089047</v>
      </c>
      <c r="X7599" s="2">
        <f ca="1"/>
        <v>32.469602699530633</v>
      </c>
      <c r="AG7599" s="2">
        <f ca="1"/>
        <v>0.38487704679699153</v>
      </c>
      <c r="AH7599" s="2" t="str">
        <f ca="1"/>
        <v>OK</v>
      </c>
    </row>
    <row r="7600" spans="2:34" x14ac:dyDescent="0.2">
      <c r="B7600" s="2">
        <f ca="1"/>
        <v>0.84636705842861537</v>
      </c>
      <c r="O7600" s="2">
        <f ca="1"/>
        <v>-0.18043288226868151</v>
      </c>
      <c r="X7600" s="2">
        <f ca="1"/>
        <v>40.404827185022228</v>
      </c>
      <c r="AG7600" s="2">
        <f ca="1"/>
        <v>0.45839638761848178</v>
      </c>
      <c r="AH7600" s="2" t="str">
        <f ca="1"/>
        <v>Bad</v>
      </c>
    </row>
    <row r="7601" spans="2:34" x14ac:dyDescent="0.2">
      <c r="B7601" s="2">
        <f ca="1"/>
        <v>0.66552986920654034</v>
      </c>
      <c r="O7601" s="2">
        <f ca="1"/>
        <v>-0.48517929211540872</v>
      </c>
      <c r="X7601" s="2">
        <f ca="1"/>
        <v>19.384930215486531</v>
      </c>
      <c r="AG7601" s="2">
        <f ca="1"/>
        <v>0.26392479293853244</v>
      </c>
      <c r="AH7601" s="2" t="str">
        <f ca="1"/>
        <v>OK</v>
      </c>
    </row>
    <row r="7602" spans="2:34" x14ac:dyDescent="0.2">
      <c r="B7602" s="2">
        <f ca="1"/>
        <v>0.12350194728626995</v>
      </c>
      <c r="O7602" s="2">
        <f ca="1"/>
        <v>0.45987370162820385</v>
      </c>
      <c r="X7602" s="2">
        <f ca="1"/>
        <v>79.069587473897442</v>
      </c>
      <c r="AG7602" s="2">
        <f ca="1"/>
        <v>3.424121954680226E-2</v>
      </c>
      <c r="AH7602" s="2" t="str">
        <f ca="1"/>
        <v>Good</v>
      </c>
    </row>
    <row r="7603" spans="2:34" x14ac:dyDescent="0.2">
      <c r="B7603" s="2">
        <f ca="1"/>
        <v>6.3186521633869175E-2</v>
      </c>
      <c r="O7603" s="2">
        <f ca="1"/>
        <v>-0.4012412212799471</v>
      </c>
      <c r="X7603" s="2">
        <f ca="1"/>
        <v>58.785866520010629</v>
      </c>
      <c r="AG7603" s="2">
        <f ca="1"/>
        <v>3.205121843837877E-2</v>
      </c>
      <c r="AH7603" s="2" t="str">
        <f ca="1"/>
        <v>Good</v>
      </c>
    </row>
    <row r="7604" spans="2:34" x14ac:dyDescent="0.2">
      <c r="B7604" s="2">
        <f ca="1"/>
        <v>0.15819765274537034</v>
      </c>
      <c r="O7604" s="2">
        <f ca="1"/>
        <v>-0.50572398341913638</v>
      </c>
      <c r="X7604" s="2">
        <f ca="1"/>
        <v>33.012499908320571</v>
      </c>
      <c r="AG7604" s="2">
        <f ca="1"/>
        <v>0.10956473574357628</v>
      </c>
      <c r="AH7604" s="2" t="str">
        <f ca="1"/>
        <v>OK</v>
      </c>
    </row>
    <row r="7605" spans="2:34" x14ac:dyDescent="0.2">
      <c r="B7605" s="2">
        <f ca="1"/>
        <v>0.34418932234485733</v>
      </c>
      <c r="O7605" s="2">
        <f ca="1"/>
        <v>0.50673679363681723</v>
      </c>
      <c r="X7605" s="2">
        <f ca="1"/>
        <v>36.645896905547509</v>
      </c>
      <c r="AG7605" s="2">
        <f ca="1"/>
        <v>0.41489501490531211</v>
      </c>
      <c r="AH7605" s="2" t="str">
        <f ca="1"/>
        <v>Bad</v>
      </c>
    </row>
    <row r="7606" spans="2:34" x14ac:dyDescent="0.2">
      <c r="B7606" s="2">
        <f ca="1"/>
        <v>0.2190000592440382</v>
      </c>
      <c r="O7606" s="2">
        <f ca="1"/>
        <v>0.19592252016187037</v>
      </c>
      <c r="X7606" s="2">
        <f ca="1"/>
        <v>86.776048211791107</v>
      </c>
      <c r="AG7606" s="2">
        <f ca="1"/>
        <v>9.725407046610135E-2</v>
      </c>
      <c r="AH7606" s="2" t="str">
        <f ca="1"/>
        <v>OK</v>
      </c>
    </row>
    <row r="7607" spans="2:34" x14ac:dyDescent="0.2">
      <c r="B7607" s="2">
        <f ca="1"/>
        <v>0.99588672260762423</v>
      </c>
      <c r="O7607" s="2">
        <f ca="1"/>
        <v>-1.4621879482251974</v>
      </c>
      <c r="X7607" s="2">
        <f ca="1"/>
        <v>65.535579549945197</v>
      </c>
      <c r="AG7607" s="2">
        <f ca="1"/>
        <v>0.84873350208214959</v>
      </c>
      <c r="AH7607" s="2" t="str">
        <f ca="1"/>
        <v>Bad</v>
      </c>
    </row>
    <row r="7608" spans="2:34" x14ac:dyDescent="0.2">
      <c r="B7608" s="2">
        <f ca="1"/>
        <v>0.91681215000954119</v>
      </c>
      <c r="O7608" s="2">
        <f ca="1"/>
        <v>-0.14590801639755185</v>
      </c>
      <c r="X7608" s="2">
        <f ca="1"/>
        <v>30.454929832212294</v>
      </c>
      <c r="AG7608" s="2">
        <f ca="1"/>
        <v>0.21134487962236048</v>
      </c>
      <c r="AH7608" s="2" t="str">
        <f ca="1"/>
        <v>OK</v>
      </c>
    </row>
    <row r="7609" spans="2:34" x14ac:dyDescent="0.2">
      <c r="B7609" s="2">
        <f ca="1"/>
        <v>0.98738039517995402</v>
      </c>
      <c r="O7609" s="2">
        <f ca="1"/>
        <v>-0.33462180948270864</v>
      </c>
      <c r="X7609" s="2">
        <f ca="1"/>
        <v>62.652923972749292</v>
      </c>
      <c r="AG7609" s="2">
        <f ca="1"/>
        <v>0.32433716196168549</v>
      </c>
      <c r="AH7609" s="2" t="str">
        <f ca="1"/>
        <v>OK</v>
      </c>
    </row>
    <row r="7610" spans="2:34" x14ac:dyDescent="0.2">
      <c r="B7610" s="2">
        <f ca="1"/>
        <v>0.38305184877894405</v>
      </c>
      <c r="O7610" s="2">
        <f ca="1"/>
        <v>0.44879795309113296</v>
      </c>
      <c r="X7610" s="2">
        <f ca="1"/>
        <v>37.806760162156017</v>
      </c>
      <c r="AG7610" s="2">
        <f ca="1"/>
        <v>0.80926179993071545</v>
      </c>
      <c r="AH7610" s="2" t="str">
        <f ca="1"/>
        <v>Bad</v>
      </c>
    </row>
    <row r="7611" spans="2:34" x14ac:dyDescent="0.2">
      <c r="B7611" s="2">
        <f ca="1"/>
        <v>0.9576325625764015</v>
      </c>
      <c r="O7611" s="2">
        <f ca="1"/>
        <v>-0.29923611490994434</v>
      </c>
      <c r="X7611" s="2">
        <f ca="1"/>
        <v>27.933639235392405</v>
      </c>
      <c r="AG7611" s="2">
        <f ca="1"/>
        <v>0.22123233649376717</v>
      </c>
      <c r="AH7611" s="2" t="str">
        <f ca="1"/>
        <v>OK</v>
      </c>
    </row>
    <row r="7612" spans="2:34" x14ac:dyDescent="0.2">
      <c r="B7612" s="2">
        <f ca="1"/>
        <v>0.12521393528738312</v>
      </c>
      <c r="O7612" s="2">
        <f ca="1"/>
        <v>0.82352019113205921</v>
      </c>
      <c r="X7612" s="2">
        <f ca="1"/>
        <v>32.036320143575026</v>
      </c>
      <c r="AG7612" s="2">
        <f ca="1"/>
        <v>0.20763317610026188</v>
      </c>
      <c r="AH7612" s="2" t="str">
        <f ca="1"/>
        <v>OK</v>
      </c>
    </row>
    <row r="7613" spans="2:34" x14ac:dyDescent="0.2">
      <c r="B7613" s="2">
        <f ca="1"/>
        <v>0.22485512315420375</v>
      </c>
      <c r="O7613" s="2">
        <f ca="1"/>
        <v>0.91851081675743163</v>
      </c>
      <c r="X7613" s="2">
        <f ca="1"/>
        <v>41.656796472758096</v>
      </c>
      <c r="AG7613" s="2">
        <f ca="1"/>
        <v>0.73433048841068671</v>
      </c>
      <c r="AH7613" s="2" t="str">
        <f ca="1"/>
        <v>Bad</v>
      </c>
    </row>
    <row r="7614" spans="2:34" x14ac:dyDescent="0.2">
      <c r="B7614" s="2">
        <f ca="1"/>
        <v>0.77545805609229324</v>
      </c>
      <c r="O7614" s="2">
        <f ca="1"/>
        <v>0.52050940340699925</v>
      </c>
      <c r="X7614" s="2">
        <f ca="1"/>
        <v>31.776027177430098</v>
      </c>
      <c r="AG7614" s="2">
        <f ca="1"/>
        <v>0.10349458914434351</v>
      </c>
      <c r="AH7614" s="2" t="str">
        <f ca="1"/>
        <v>OK</v>
      </c>
    </row>
    <row r="7615" spans="2:34" x14ac:dyDescent="0.2">
      <c r="B7615" s="2">
        <f ca="1"/>
        <v>0.43126993766057442</v>
      </c>
      <c r="O7615" s="2">
        <f ca="1"/>
        <v>0.18414089929508964</v>
      </c>
      <c r="X7615" s="2">
        <f ca="1"/>
        <v>29.067426428869911</v>
      </c>
      <c r="AG7615" s="2">
        <f ca="1"/>
        <v>0.63020747414284828</v>
      </c>
      <c r="AH7615" s="2" t="str">
        <f ca="1"/>
        <v>Bad</v>
      </c>
    </row>
    <row r="7616" spans="2:34" x14ac:dyDescent="0.2">
      <c r="B7616" s="2">
        <f ca="1"/>
        <v>0.55862365831811234</v>
      </c>
      <c r="O7616" s="2">
        <f ca="1"/>
        <v>-0.87068478389525883</v>
      </c>
      <c r="X7616" s="2">
        <f ca="1"/>
        <v>29.17700774130639</v>
      </c>
      <c r="AG7616" s="2">
        <f ca="1"/>
        <v>0.13789649122220005</v>
      </c>
      <c r="AH7616" s="2" t="str">
        <f ca="1"/>
        <v>OK</v>
      </c>
    </row>
    <row r="7617" spans="2:34" x14ac:dyDescent="0.2">
      <c r="B7617" s="2">
        <f ca="1"/>
        <v>0.299634677106138</v>
      </c>
      <c r="O7617" s="2">
        <f ca="1"/>
        <v>-5.7305267597371045E-3</v>
      </c>
      <c r="X7617" s="2">
        <f ca="1"/>
        <v>53.095320120242249</v>
      </c>
      <c r="AG7617" s="2">
        <f ca="1"/>
        <v>0.58009862389906419</v>
      </c>
      <c r="AH7617" s="2" t="str">
        <f ca="1"/>
        <v>Bad</v>
      </c>
    </row>
    <row r="7618" spans="2:34" x14ac:dyDescent="0.2">
      <c r="B7618" s="2">
        <f ca="1"/>
        <v>0.90901674313066416</v>
      </c>
      <c r="O7618" s="2">
        <f ca="1"/>
        <v>1.5841103651728881</v>
      </c>
      <c r="X7618" s="2">
        <f ca="1"/>
        <v>47.446909948596634</v>
      </c>
      <c r="AG7618" s="2">
        <f ca="1"/>
        <v>0.83653548137168365</v>
      </c>
      <c r="AH7618" s="2" t="str">
        <f ca="1"/>
        <v>Bad</v>
      </c>
    </row>
    <row r="7619" spans="2:34" x14ac:dyDescent="0.2">
      <c r="B7619" s="2">
        <f ca="1"/>
        <v>0.81140782681132473</v>
      </c>
      <c r="O7619" s="2">
        <f ca="1"/>
        <v>0.85753945772815998</v>
      </c>
      <c r="X7619" s="2">
        <f ca="1"/>
        <v>73.056495193205464</v>
      </c>
      <c r="AG7619" s="2">
        <f ca="1"/>
        <v>0.59670867680062822</v>
      </c>
      <c r="AH7619" s="2" t="str">
        <f ca="1"/>
        <v>Bad</v>
      </c>
    </row>
    <row r="7620" spans="2:34" x14ac:dyDescent="0.2">
      <c r="B7620" s="2">
        <f ca="1"/>
        <v>0.51438747059983592</v>
      </c>
      <c r="O7620" s="2">
        <f ca="1"/>
        <v>-1.9512034995351373</v>
      </c>
      <c r="X7620" s="2">
        <f ca="1"/>
        <v>58.555214011663203</v>
      </c>
      <c r="AG7620" s="2">
        <f ca="1"/>
        <v>6.8126249239820469E-2</v>
      </c>
      <c r="AH7620" s="2" t="str">
        <f ca="1"/>
        <v>OK</v>
      </c>
    </row>
    <row r="7621" spans="2:34" x14ac:dyDescent="0.2">
      <c r="B7621" s="2">
        <f ca="1"/>
        <v>0.36413320890992784</v>
      </c>
      <c r="O7621" s="2">
        <f ca="1"/>
        <v>-0.82089096953404062</v>
      </c>
      <c r="X7621" s="2">
        <f ca="1"/>
        <v>30.141363053968728</v>
      </c>
      <c r="AG7621" s="2">
        <f ca="1"/>
        <v>0.15388117700873649</v>
      </c>
      <c r="AH7621" s="2" t="str">
        <f ca="1"/>
        <v>OK</v>
      </c>
    </row>
    <row r="7622" spans="2:34" x14ac:dyDescent="0.2">
      <c r="B7622" s="2">
        <f ca="1"/>
        <v>0.364775547490372</v>
      </c>
      <c r="O7622" s="2">
        <f ca="1"/>
        <v>-3.9080040328773651E-2</v>
      </c>
      <c r="X7622" s="2">
        <f ca="1"/>
        <v>50.470923446409486</v>
      </c>
      <c r="AG7622" s="2">
        <f ca="1"/>
        <v>0.96237630559422205</v>
      </c>
      <c r="AH7622" s="2" t="str">
        <f ca="1"/>
        <v>Bad</v>
      </c>
    </row>
    <row r="7623" spans="2:34" x14ac:dyDescent="0.2">
      <c r="B7623" s="2">
        <f ca="1"/>
        <v>0.58092899787472452</v>
      </c>
      <c r="O7623" s="2">
        <f ca="1"/>
        <v>0.43451683478531944</v>
      </c>
      <c r="X7623" s="2">
        <f ca="1"/>
        <v>55.940534919970382</v>
      </c>
      <c r="AG7623" s="2">
        <f ca="1"/>
        <v>0.18258310497095498</v>
      </c>
      <c r="AH7623" s="2" t="str">
        <f ca="1"/>
        <v>OK</v>
      </c>
    </row>
    <row r="7624" spans="2:34" x14ac:dyDescent="0.2">
      <c r="B7624" s="2">
        <f ca="1"/>
        <v>0.59072573136861783</v>
      </c>
      <c r="O7624" s="2">
        <f ca="1"/>
        <v>2.4452587652150277</v>
      </c>
      <c r="X7624" s="2">
        <f ca="1"/>
        <v>45.766600302698834</v>
      </c>
      <c r="AG7624" s="2">
        <f ca="1"/>
        <v>2.0477092319239443E-2</v>
      </c>
      <c r="AH7624" s="2" t="str">
        <f ca="1"/>
        <v>Good</v>
      </c>
    </row>
    <row r="7625" spans="2:34" x14ac:dyDescent="0.2">
      <c r="B7625" s="2">
        <f ca="1"/>
        <v>0.63698691686559972</v>
      </c>
      <c r="O7625" s="2">
        <f ca="1"/>
        <v>0.40727064459654355</v>
      </c>
      <c r="X7625" s="2">
        <f ca="1"/>
        <v>53.58850549853603</v>
      </c>
      <c r="AG7625" s="2">
        <f ca="1"/>
        <v>0.85333184208925061</v>
      </c>
      <c r="AH7625" s="2" t="str">
        <f ca="1"/>
        <v>Bad</v>
      </c>
    </row>
    <row r="7626" spans="2:34" x14ac:dyDescent="0.2">
      <c r="B7626" s="2">
        <f ca="1"/>
        <v>0.46730704068292583</v>
      </c>
      <c r="O7626" s="2">
        <f ca="1"/>
        <v>0.90953880879191584</v>
      </c>
      <c r="X7626" s="2">
        <f ca="1"/>
        <v>66.677710447179891</v>
      </c>
      <c r="AG7626" s="2">
        <f ca="1"/>
        <v>0.29434513861349365</v>
      </c>
      <c r="AH7626" s="2" t="str">
        <f ca="1"/>
        <v>OK</v>
      </c>
    </row>
    <row r="7627" spans="2:34" x14ac:dyDescent="0.2">
      <c r="B7627" s="2">
        <f ca="1"/>
        <v>0.71982936756425708</v>
      </c>
      <c r="O7627" s="2">
        <f ca="1"/>
        <v>-0.6309530438207076</v>
      </c>
      <c r="X7627" s="2">
        <f ca="1"/>
        <v>41.36331086385556</v>
      </c>
      <c r="AG7627" s="2">
        <f ca="1"/>
        <v>0.8367439680762947</v>
      </c>
      <c r="AH7627" s="2" t="str">
        <f ca="1"/>
        <v>Bad</v>
      </c>
    </row>
    <row r="7628" spans="2:34" x14ac:dyDescent="0.2">
      <c r="B7628" s="2">
        <f ca="1"/>
        <v>0.57408490799590095</v>
      </c>
      <c r="O7628" s="2">
        <f ca="1"/>
        <v>-3.3113529264628551E-2</v>
      </c>
      <c r="X7628" s="2">
        <f ca="1"/>
        <v>62.225438151165903</v>
      </c>
      <c r="AG7628" s="2">
        <f ca="1"/>
        <v>8.6827877009969745E-2</v>
      </c>
      <c r="AH7628" s="2" t="str">
        <f ca="1"/>
        <v>OK</v>
      </c>
    </row>
    <row r="7629" spans="2:34" x14ac:dyDescent="0.2">
      <c r="B7629" s="2">
        <f ca="1"/>
        <v>0.35672670361549197</v>
      </c>
      <c r="O7629" s="2">
        <f ca="1"/>
        <v>-0.30379257239709201</v>
      </c>
      <c r="X7629" s="2">
        <f ca="1"/>
        <v>71.132086812019949</v>
      </c>
      <c r="AG7629" s="2">
        <f ca="1"/>
        <v>7.2162639571694109E-2</v>
      </c>
      <c r="AH7629" s="2" t="str">
        <f ca="1"/>
        <v>OK</v>
      </c>
    </row>
    <row r="7630" spans="2:34" x14ac:dyDescent="0.2">
      <c r="B7630" s="2">
        <f ca="1"/>
        <v>0.68423828694083166</v>
      </c>
      <c r="O7630" s="2">
        <f ca="1"/>
        <v>-0.82665278319066715</v>
      </c>
      <c r="X7630" s="2">
        <f ca="1"/>
        <v>60.595505392259696</v>
      </c>
      <c r="AG7630" s="2">
        <f ca="1"/>
        <v>0.21769690386795748</v>
      </c>
      <c r="AH7630" s="2" t="str">
        <f ca="1"/>
        <v>OK</v>
      </c>
    </row>
    <row r="7631" spans="2:34" x14ac:dyDescent="0.2">
      <c r="B7631" s="2">
        <f ca="1"/>
        <v>0.19170585324236056</v>
      </c>
      <c r="O7631" s="2">
        <f ca="1"/>
        <v>-0.34286053531065352</v>
      </c>
      <c r="X7631" s="2">
        <f ca="1"/>
        <v>60.552349189642236</v>
      </c>
      <c r="AG7631" s="2">
        <f ca="1"/>
        <v>0.9341016222724321</v>
      </c>
      <c r="AH7631" s="2" t="str">
        <f ca="1"/>
        <v>Bad</v>
      </c>
    </row>
    <row r="7632" spans="2:34" x14ac:dyDescent="0.2">
      <c r="B7632" s="2">
        <f ca="1"/>
        <v>0.84604591123369111</v>
      </c>
      <c r="O7632" s="2">
        <f ca="1"/>
        <v>-0.70472856238902759</v>
      </c>
      <c r="X7632" s="2">
        <f ca="1"/>
        <v>38.041245122806956</v>
      </c>
      <c r="AG7632" s="2">
        <f ca="1"/>
        <v>0.99198898777702849</v>
      </c>
      <c r="AH7632" s="2" t="str">
        <f ca="1"/>
        <v>Bad</v>
      </c>
    </row>
    <row r="7633" spans="2:34" x14ac:dyDescent="0.2">
      <c r="B7633" s="2">
        <f ca="1"/>
        <v>0.80011275279610961</v>
      </c>
      <c r="O7633" s="2">
        <f ca="1"/>
        <v>-0.31543539209858462</v>
      </c>
      <c r="X7633" s="2">
        <f ca="1"/>
        <v>28.081671529445458</v>
      </c>
      <c r="AG7633" s="2">
        <f ca="1"/>
        <v>0.9084928822579037</v>
      </c>
      <c r="AH7633" s="2" t="str">
        <f ca="1"/>
        <v>Bad</v>
      </c>
    </row>
    <row r="7634" spans="2:34" x14ac:dyDescent="0.2">
      <c r="B7634" s="2">
        <f ca="1"/>
        <v>0.699370377339259</v>
      </c>
      <c r="O7634" s="2">
        <f ca="1"/>
        <v>0.32885761292943982</v>
      </c>
      <c r="X7634" s="2">
        <f ca="1"/>
        <v>43.400121611619483</v>
      </c>
      <c r="AG7634" s="2">
        <f ca="1"/>
        <v>0.89981660561601018</v>
      </c>
      <c r="AH7634" s="2" t="str">
        <f ca="1"/>
        <v>Bad</v>
      </c>
    </row>
    <row r="7635" spans="2:34" x14ac:dyDescent="0.2">
      <c r="B7635" s="2">
        <f ca="1"/>
        <v>0.21342984262726894</v>
      </c>
      <c r="O7635" s="2">
        <f ca="1"/>
        <v>1.3635860703474192</v>
      </c>
      <c r="X7635" s="2">
        <f ca="1"/>
        <v>50.893963703126524</v>
      </c>
      <c r="AG7635" s="2">
        <f ca="1"/>
        <v>0.32777753689973199</v>
      </c>
      <c r="AH7635" s="2" t="str">
        <f ca="1"/>
        <v>OK</v>
      </c>
    </row>
    <row r="7636" spans="2:34" x14ac:dyDescent="0.2">
      <c r="B7636" s="2">
        <f ca="1"/>
        <v>2.9243414292745795E-2</v>
      </c>
      <c r="O7636" s="2">
        <f ca="1"/>
        <v>-0.3895540998548811</v>
      </c>
      <c r="X7636" s="2">
        <f ca="1"/>
        <v>61.312911443895722</v>
      </c>
      <c r="AG7636" s="2">
        <f ca="1"/>
        <v>0.9117579617449354</v>
      </c>
      <c r="AH7636" s="2" t="str">
        <f ca="1"/>
        <v>Bad</v>
      </c>
    </row>
    <row r="7637" spans="2:34" x14ac:dyDescent="0.2">
      <c r="B7637" s="2">
        <f ca="1"/>
        <v>6.3718824855404366E-2</v>
      </c>
      <c r="O7637" s="2">
        <f ca="1"/>
        <v>0.7908591209355843</v>
      </c>
      <c r="X7637" s="2">
        <f ca="1"/>
        <v>55.675985683053</v>
      </c>
      <c r="AG7637" s="2">
        <f ca="1"/>
        <v>0.3053631528864027</v>
      </c>
      <c r="AH7637" s="2" t="str">
        <f ca="1"/>
        <v>OK</v>
      </c>
    </row>
    <row r="7638" spans="2:34" x14ac:dyDescent="0.2">
      <c r="B7638" s="2">
        <f ca="1"/>
        <v>0.78765101448557329</v>
      </c>
      <c r="O7638" s="2">
        <f ca="1"/>
        <v>-0.65995078553510822</v>
      </c>
      <c r="X7638" s="2">
        <f ca="1"/>
        <v>30.048299776980542</v>
      </c>
      <c r="AG7638" s="2">
        <f ca="1"/>
        <v>0.77042396176086991</v>
      </c>
      <c r="AH7638" s="2" t="str">
        <f ca="1"/>
        <v>Bad</v>
      </c>
    </row>
    <row r="7639" spans="2:34" x14ac:dyDescent="0.2">
      <c r="B7639" s="2">
        <f ca="1"/>
        <v>0.24013935778714313</v>
      </c>
      <c r="O7639" s="2">
        <f ca="1"/>
        <v>-0.43953980069983162</v>
      </c>
      <c r="X7639" s="2">
        <f ca="1"/>
        <v>60.49034870557297</v>
      </c>
      <c r="AG7639" s="2">
        <f ca="1"/>
        <v>0.41206677945641057</v>
      </c>
      <c r="AH7639" s="2" t="str">
        <f ca="1"/>
        <v>Bad</v>
      </c>
    </row>
    <row r="7640" spans="2:34" x14ac:dyDescent="0.2">
      <c r="B7640" s="2">
        <f ca="1"/>
        <v>0.48764048871572885</v>
      </c>
      <c r="O7640" s="2">
        <f ca="1"/>
        <v>1.1583539764430384</v>
      </c>
      <c r="X7640" s="2">
        <f ca="1"/>
        <v>45.487178611174429</v>
      </c>
      <c r="AG7640" s="2">
        <f ca="1"/>
        <v>0.83077427916534163</v>
      </c>
      <c r="AH7640" s="2" t="str">
        <f ca="1"/>
        <v>Bad</v>
      </c>
    </row>
    <row r="7641" spans="2:34" x14ac:dyDescent="0.2">
      <c r="B7641" s="2">
        <f ca="1"/>
        <v>0.66923695798310434</v>
      </c>
      <c r="O7641" s="2">
        <f ca="1"/>
        <v>0.70855943530685339</v>
      </c>
      <c r="X7641" s="2">
        <f ca="1"/>
        <v>45.130851486428924</v>
      </c>
      <c r="AG7641" s="2">
        <f ca="1"/>
        <v>0.58902600958223195</v>
      </c>
      <c r="AH7641" s="2" t="str">
        <f ca="1"/>
        <v>Bad</v>
      </c>
    </row>
    <row r="7642" spans="2:34" x14ac:dyDescent="0.2">
      <c r="B7642" s="2">
        <f ca="1"/>
        <v>0.97925903446664742</v>
      </c>
      <c r="O7642" s="2">
        <f ca="1"/>
        <v>-0.55465053232124639</v>
      </c>
      <c r="X7642" s="2">
        <f ca="1"/>
        <v>33.165932184440145</v>
      </c>
      <c r="AG7642" s="2">
        <f ca="1"/>
        <v>0.25080218994374581</v>
      </c>
      <c r="AH7642" s="2" t="str">
        <f ca="1"/>
        <v>OK</v>
      </c>
    </row>
    <row r="7643" spans="2:34" x14ac:dyDescent="0.2">
      <c r="B7643" s="2">
        <f ca="1"/>
        <v>0.57448603092370831</v>
      </c>
      <c r="O7643" s="2">
        <f ca="1"/>
        <v>9.4435150339513881E-3</v>
      </c>
      <c r="X7643" s="2">
        <f ca="1"/>
        <v>104.8769849932248</v>
      </c>
      <c r="AG7643" s="2">
        <f ca="1"/>
        <v>0.56294356359821807</v>
      </c>
      <c r="AH7643" s="2" t="str">
        <f ca="1"/>
        <v>Bad</v>
      </c>
    </row>
    <row r="7644" spans="2:34" x14ac:dyDescent="0.2">
      <c r="B7644" s="2">
        <f ca="1"/>
        <v>0.55998017953729695</v>
      </c>
      <c r="O7644" s="2">
        <f ca="1"/>
        <v>-0.4856273373258061</v>
      </c>
      <c r="X7644" s="2">
        <f ca="1"/>
        <v>49.507041063709295</v>
      </c>
      <c r="AG7644" s="2">
        <f ca="1"/>
        <v>0.8178989535918908</v>
      </c>
      <c r="AH7644" s="2" t="str">
        <f ca="1"/>
        <v>Bad</v>
      </c>
    </row>
    <row r="7645" spans="2:34" x14ac:dyDescent="0.2">
      <c r="B7645" s="2">
        <f ca="1"/>
        <v>0.52918991351260991</v>
      </c>
      <c r="O7645" s="2">
        <f ca="1"/>
        <v>-0.77271514759873794</v>
      </c>
      <c r="X7645" s="2">
        <f ca="1"/>
        <v>38.359689410733615</v>
      </c>
      <c r="AG7645" s="2">
        <f ca="1"/>
        <v>0.85450121052102213</v>
      </c>
      <c r="AH7645" s="2" t="str">
        <f ca="1"/>
        <v>Bad</v>
      </c>
    </row>
    <row r="7646" spans="2:34" x14ac:dyDescent="0.2">
      <c r="B7646" s="2">
        <f ca="1"/>
        <v>0.4520650279463323</v>
      </c>
      <c r="O7646" s="2">
        <f ca="1"/>
        <v>-0.67387224311970206</v>
      </c>
      <c r="X7646" s="2">
        <f ca="1"/>
        <v>44.555544191073892</v>
      </c>
      <c r="AG7646" s="2">
        <f ca="1"/>
        <v>0.50689652330110335</v>
      </c>
      <c r="AH7646" s="2" t="str">
        <f ca="1"/>
        <v>Bad</v>
      </c>
    </row>
    <row r="7647" spans="2:34" x14ac:dyDescent="0.2">
      <c r="B7647" s="2">
        <f ca="1"/>
        <v>0.45987119231911722</v>
      </c>
      <c r="O7647" s="2">
        <f ca="1"/>
        <v>-0.69269296769604938</v>
      </c>
      <c r="X7647" s="2">
        <f ca="1"/>
        <v>19.727029965431846</v>
      </c>
      <c r="AG7647" s="2">
        <f ca="1"/>
        <v>0.91981415021383017</v>
      </c>
      <c r="AH7647" s="2" t="str">
        <f ca="1"/>
        <v>Bad</v>
      </c>
    </row>
    <row r="7648" spans="2:34" x14ac:dyDescent="0.2">
      <c r="B7648" s="2">
        <f ca="1"/>
        <v>0.38999240585414885</v>
      </c>
      <c r="O7648" s="2">
        <f ca="1"/>
        <v>-0.13750169821685085</v>
      </c>
      <c r="X7648" s="2">
        <f ca="1"/>
        <v>66.687376809521837</v>
      </c>
      <c r="AG7648" s="2">
        <f ca="1"/>
        <v>0.33248456357230793</v>
      </c>
      <c r="AH7648" s="2" t="str">
        <f ca="1"/>
        <v>OK</v>
      </c>
    </row>
    <row r="7649" spans="2:34" x14ac:dyDescent="0.2">
      <c r="B7649" s="2">
        <f ca="1"/>
        <v>0.74568256206207084</v>
      </c>
      <c r="O7649" s="2">
        <f ca="1"/>
        <v>-2.670944946224779</v>
      </c>
      <c r="X7649" s="2">
        <f ca="1"/>
        <v>53.534301385597175</v>
      </c>
      <c r="AG7649" s="2">
        <f ca="1"/>
        <v>0.95157164419318696</v>
      </c>
      <c r="AH7649" s="2" t="str">
        <f ca="1"/>
        <v>Bad</v>
      </c>
    </row>
    <row r="7650" spans="2:34" x14ac:dyDescent="0.2">
      <c r="B7650" s="2">
        <f ca="1"/>
        <v>0.31036073713127688</v>
      </c>
      <c r="O7650" s="2">
        <f ca="1"/>
        <v>-0.13529250324164924</v>
      </c>
      <c r="X7650" s="2">
        <f ca="1"/>
        <v>42.051269440671113</v>
      </c>
      <c r="AG7650" s="2">
        <f ca="1"/>
        <v>0.23899679102223503</v>
      </c>
      <c r="AH7650" s="2" t="str">
        <f ca="1"/>
        <v>OK</v>
      </c>
    </row>
    <row r="7651" spans="2:34" x14ac:dyDescent="0.2">
      <c r="B7651" s="2">
        <f ca="1"/>
        <v>0.73563887496339841</v>
      </c>
      <c r="O7651" s="2">
        <f ca="1"/>
        <v>0.24609404480740604</v>
      </c>
      <c r="X7651" s="2">
        <f ca="1"/>
        <v>61.003417917603116</v>
      </c>
      <c r="AG7651" s="2">
        <f ca="1"/>
        <v>0.17832498848120215</v>
      </c>
      <c r="AH7651" s="2" t="str">
        <f ca="1"/>
        <v>OK</v>
      </c>
    </row>
    <row r="7652" spans="2:34" x14ac:dyDescent="0.2">
      <c r="B7652" s="2">
        <f ca="1"/>
        <v>0.44010850533331869</v>
      </c>
      <c r="O7652" s="2">
        <f ca="1"/>
        <v>-1.769871184031256</v>
      </c>
      <c r="X7652" s="2">
        <f ca="1"/>
        <v>20.523624518119377</v>
      </c>
      <c r="AG7652" s="2">
        <f ca="1"/>
        <v>0.92813382200964378</v>
      </c>
      <c r="AH7652" s="2" t="str">
        <f ca="1"/>
        <v>Bad</v>
      </c>
    </row>
    <row r="7653" spans="2:34" x14ac:dyDescent="0.2">
      <c r="B7653" s="2">
        <f ca="1"/>
        <v>2.4897788439536717E-2</v>
      </c>
      <c r="O7653" s="2">
        <f ca="1"/>
        <v>-0.4620950129394622</v>
      </c>
      <c r="X7653" s="2">
        <f ca="1"/>
        <v>34.811692908020774</v>
      </c>
      <c r="AG7653" s="2">
        <f ca="1"/>
        <v>4.8963896768013715E-2</v>
      </c>
      <c r="AH7653" s="2" t="str">
        <f ca="1"/>
        <v>Good</v>
      </c>
    </row>
    <row r="7654" spans="2:34" x14ac:dyDescent="0.2">
      <c r="B7654" s="2">
        <f ca="1"/>
        <v>0.57699304971545717</v>
      </c>
      <c r="O7654" s="2">
        <f ca="1"/>
        <v>1.1704825771158491</v>
      </c>
      <c r="X7654" s="2">
        <f ca="1"/>
        <v>33.332724040150772</v>
      </c>
      <c r="AG7654" s="2">
        <f ca="1"/>
        <v>0.39275343906309446</v>
      </c>
      <c r="AH7654" s="2" t="str">
        <f ca="1"/>
        <v>OK</v>
      </c>
    </row>
    <row r="7655" spans="2:34" x14ac:dyDescent="0.2">
      <c r="B7655" s="2">
        <f ca="1"/>
        <v>0.39914958801420397</v>
      </c>
      <c r="O7655" s="2">
        <f ca="1"/>
        <v>0.64022273733270385</v>
      </c>
      <c r="X7655" s="2">
        <f ca="1"/>
        <v>47.020625320500599</v>
      </c>
      <c r="AG7655" s="2">
        <f ca="1"/>
        <v>0.12781948273989774</v>
      </c>
      <c r="AH7655" s="2" t="str">
        <f ca="1"/>
        <v>OK</v>
      </c>
    </row>
    <row r="7656" spans="2:34" x14ac:dyDescent="0.2">
      <c r="B7656" s="2">
        <f ca="1"/>
        <v>0.96202920368911138</v>
      </c>
      <c r="O7656" s="2">
        <f ca="1"/>
        <v>-0.66112634215087096</v>
      </c>
      <c r="X7656" s="2">
        <f ca="1"/>
        <v>39.674523245281549</v>
      </c>
      <c r="AG7656" s="2">
        <f ca="1"/>
        <v>4.8526950888564624E-2</v>
      </c>
      <c r="AH7656" s="2" t="str">
        <f ca="1"/>
        <v>Good</v>
      </c>
    </row>
    <row r="7657" spans="2:34" x14ac:dyDescent="0.2">
      <c r="B7657" s="2">
        <f ca="1"/>
        <v>0.14335592182737522</v>
      </c>
      <c r="O7657" s="2">
        <f ca="1"/>
        <v>-0.38562664912370825</v>
      </c>
      <c r="X7657" s="2">
        <f ca="1"/>
        <v>39.307787530125836</v>
      </c>
      <c r="AG7657" s="2">
        <f ca="1"/>
        <v>0.29832922516429594</v>
      </c>
      <c r="AH7657" s="2" t="str">
        <f ca="1"/>
        <v>OK</v>
      </c>
    </row>
    <row r="7658" spans="2:34" x14ac:dyDescent="0.2">
      <c r="B7658" s="2">
        <f ca="1"/>
        <v>0.45647858237864769</v>
      </c>
      <c r="O7658" s="2">
        <f ca="1"/>
        <v>0.31196209144833381</v>
      </c>
      <c r="X7658" s="2">
        <f ca="1"/>
        <v>58.287842789912489</v>
      </c>
      <c r="AG7658" s="2">
        <f ca="1"/>
        <v>9.8289185591743378E-2</v>
      </c>
      <c r="AH7658" s="2" t="str">
        <f ca="1"/>
        <v>OK</v>
      </c>
    </row>
    <row r="7659" spans="2:34" x14ac:dyDescent="0.2">
      <c r="B7659" s="2">
        <f ca="1"/>
        <v>9.9389146693009023E-2</v>
      </c>
      <c r="O7659" s="2">
        <f ca="1"/>
        <v>1.1353093985461995</v>
      </c>
      <c r="X7659" s="2">
        <f ca="1"/>
        <v>53.165797305590061</v>
      </c>
      <c r="AG7659" s="2">
        <f ca="1"/>
        <v>0.84962230790578874</v>
      </c>
      <c r="AH7659" s="2" t="str">
        <f ca="1"/>
        <v>Bad</v>
      </c>
    </row>
    <row r="7660" spans="2:34" x14ac:dyDescent="0.2">
      <c r="B7660" s="2">
        <f ca="1"/>
        <v>0.2933539902637643</v>
      </c>
      <c r="O7660" s="2">
        <f ca="1"/>
        <v>0.27104386034515121</v>
      </c>
      <c r="X7660" s="2">
        <f ca="1"/>
        <v>36.293796467977366</v>
      </c>
      <c r="AG7660" s="2">
        <f ca="1"/>
        <v>0.3877528738680116</v>
      </c>
      <c r="AH7660" s="2" t="str">
        <f ca="1"/>
        <v>OK</v>
      </c>
    </row>
    <row r="7661" spans="2:34" x14ac:dyDescent="0.2">
      <c r="B7661" s="2">
        <f ca="1"/>
        <v>0.64306993144425872</v>
      </c>
      <c r="O7661" s="2">
        <f ca="1"/>
        <v>1.0960928668136807</v>
      </c>
      <c r="X7661" s="2">
        <f ca="1"/>
        <v>70.180692439930795</v>
      </c>
      <c r="AG7661" s="2">
        <f ca="1"/>
        <v>0.55735195391320236</v>
      </c>
      <c r="AH7661" s="2" t="str">
        <f ca="1"/>
        <v>Bad</v>
      </c>
    </row>
    <row r="7662" spans="2:34" x14ac:dyDescent="0.2">
      <c r="B7662" s="2">
        <f ca="1"/>
        <v>0.69388177487824243</v>
      </c>
      <c r="O7662" s="2">
        <f ca="1"/>
        <v>1.5491020250272949</v>
      </c>
      <c r="X7662" s="2">
        <f ca="1"/>
        <v>47.691918594823541</v>
      </c>
      <c r="AG7662" s="2">
        <f ca="1"/>
        <v>3.7216739530784748E-2</v>
      </c>
      <c r="AH7662" s="2" t="str">
        <f ca="1"/>
        <v>Good</v>
      </c>
    </row>
    <row r="7663" spans="2:34" x14ac:dyDescent="0.2">
      <c r="B7663" s="2">
        <f ca="1"/>
        <v>0.49231319570522847</v>
      </c>
      <c r="O7663" s="2">
        <f ca="1"/>
        <v>0.59964471238991635</v>
      </c>
      <c r="X7663" s="2">
        <f ca="1"/>
        <v>49.762843176980489</v>
      </c>
      <c r="AG7663" s="2">
        <f ca="1"/>
        <v>0.85150546927102888</v>
      </c>
      <c r="AH7663" s="2" t="str">
        <f ca="1"/>
        <v>Bad</v>
      </c>
    </row>
    <row r="7664" spans="2:34" x14ac:dyDescent="0.2">
      <c r="B7664" s="2">
        <f ca="1"/>
        <v>0.63437558561560836</v>
      </c>
      <c r="O7664" s="2">
        <f ca="1"/>
        <v>-1.0177393223260132</v>
      </c>
      <c r="X7664" s="2">
        <f ca="1"/>
        <v>118.98964978329073</v>
      </c>
      <c r="AG7664" s="2">
        <f ca="1"/>
        <v>7.4362341812619803E-2</v>
      </c>
      <c r="AH7664" s="2" t="str">
        <f ca="1"/>
        <v>OK</v>
      </c>
    </row>
    <row r="7665" spans="2:34" x14ac:dyDescent="0.2">
      <c r="B7665" s="2">
        <f ca="1"/>
        <v>0.13162072086208187</v>
      </c>
      <c r="O7665" s="2">
        <f ca="1"/>
        <v>0.14429007489043613</v>
      </c>
      <c r="X7665" s="2">
        <f ca="1"/>
        <v>39.932546931097363</v>
      </c>
      <c r="AG7665" s="2">
        <f ca="1"/>
        <v>0.44117376498794125</v>
      </c>
      <c r="AH7665" s="2" t="str">
        <f ca="1"/>
        <v>Bad</v>
      </c>
    </row>
    <row r="7666" spans="2:34" x14ac:dyDescent="0.2">
      <c r="B7666" s="2">
        <f ca="1"/>
        <v>0.66535378976412596</v>
      </c>
      <c r="O7666" s="2">
        <f ca="1"/>
        <v>0.39364660064123774</v>
      </c>
      <c r="X7666" s="2">
        <f ca="1"/>
        <v>91.351755097503172</v>
      </c>
      <c r="AG7666" s="2">
        <f ca="1"/>
        <v>0.13647885408037475</v>
      </c>
      <c r="AH7666" s="2" t="str">
        <f ca="1"/>
        <v>OK</v>
      </c>
    </row>
    <row r="7667" spans="2:34" x14ac:dyDescent="0.2">
      <c r="B7667" s="2">
        <f ca="1"/>
        <v>8.9350604926544452E-2</v>
      </c>
      <c r="O7667" s="2">
        <f ca="1"/>
        <v>-0.18073154944816588</v>
      </c>
      <c r="X7667" s="2">
        <f ca="1"/>
        <v>43.453852707942772</v>
      </c>
      <c r="AG7667" s="2">
        <f ca="1"/>
        <v>0.55330617500908907</v>
      </c>
      <c r="AH7667" s="2" t="str">
        <f ca="1"/>
        <v>Bad</v>
      </c>
    </row>
    <row r="7668" spans="2:34" x14ac:dyDescent="0.2">
      <c r="B7668" s="2">
        <f ca="1"/>
        <v>2.0904999797920043E-2</v>
      </c>
      <c r="O7668" s="2">
        <f ca="1"/>
        <v>-1.6043119793866629</v>
      </c>
      <c r="X7668" s="2">
        <f ca="1"/>
        <v>37.084011578812984</v>
      </c>
      <c r="AG7668" s="2">
        <f ca="1"/>
        <v>0.67985637844421309</v>
      </c>
      <c r="AH7668" s="2" t="str">
        <f ca="1"/>
        <v>Bad</v>
      </c>
    </row>
    <row r="7669" spans="2:34" x14ac:dyDescent="0.2">
      <c r="B7669" s="2">
        <f ca="1"/>
        <v>0.79592265535072126</v>
      </c>
      <c r="O7669" s="2">
        <f ca="1"/>
        <v>3.063098681204228E-2</v>
      </c>
      <c r="X7669" s="2">
        <f ca="1"/>
        <v>49.999324539869974</v>
      </c>
      <c r="AG7669" s="2">
        <f ca="1"/>
        <v>0.66056143274837353</v>
      </c>
      <c r="AH7669" s="2" t="str">
        <f ca="1"/>
        <v>Bad</v>
      </c>
    </row>
    <row r="7670" spans="2:34" x14ac:dyDescent="0.2">
      <c r="B7670" s="2">
        <f ca="1"/>
        <v>0.94285294334643699</v>
      </c>
      <c r="O7670" s="2">
        <f ca="1"/>
        <v>5.8342561360662418E-2</v>
      </c>
      <c r="X7670" s="2">
        <f ca="1"/>
        <v>62.090969293989787</v>
      </c>
      <c r="AG7670" s="2">
        <f ca="1"/>
        <v>0.80529901711068508</v>
      </c>
      <c r="AH7670" s="2" t="str">
        <f ca="1"/>
        <v>Bad</v>
      </c>
    </row>
    <row r="7671" spans="2:34" x14ac:dyDescent="0.2">
      <c r="B7671" s="2">
        <f ca="1"/>
        <v>3.3029779291984918E-2</v>
      </c>
      <c r="O7671" s="2">
        <f ca="1"/>
        <v>0.6695059441044422</v>
      </c>
      <c r="X7671" s="2">
        <f ca="1"/>
        <v>41.802548233310041</v>
      </c>
      <c r="AG7671" s="2">
        <f ca="1"/>
        <v>0.55895383326237535</v>
      </c>
      <c r="AH7671" s="2" t="str">
        <f ca="1"/>
        <v>Bad</v>
      </c>
    </row>
    <row r="7672" spans="2:34" x14ac:dyDescent="0.2">
      <c r="B7672" s="2">
        <f ca="1"/>
        <v>0.23640184446321522</v>
      </c>
      <c r="O7672" s="2">
        <f ca="1"/>
        <v>0.16872977679934051</v>
      </c>
      <c r="X7672" s="2">
        <f ca="1"/>
        <v>39.843592371087119</v>
      </c>
      <c r="AG7672" s="2">
        <f ca="1"/>
        <v>5.601665444639603E-2</v>
      </c>
      <c r="AH7672" s="2" t="str">
        <f ca="1"/>
        <v>OK</v>
      </c>
    </row>
    <row r="7673" spans="2:34" x14ac:dyDescent="0.2">
      <c r="B7673" s="2">
        <f ca="1"/>
        <v>0.60660425702758358</v>
      </c>
      <c r="O7673" s="2">
        <f ca="1"/>
        <v>2.0120662603435728</v>
      </c>
      <c r="X7673" s="2">
        <f ca="1"/>
        <v>31.429450202099481</v>
      </c>
      <c r="AG7673" s="2">
        <f ca="1"/>
        <v>0.60800905788789583</v>
      </c>
      <c r="AH7673" s="2" t="str">
        <f ca="1"/>
        <v>Bad</v>
      </c>
    </row>
    <row r="7674" spans="2:34" x14ac:dyDescent="0.2">
      <c r="B7674" s="2">
        <f ca="1"/>
        <v>0.72473982047559304</v>
      </c>
      <c r="O7674" s="2">
        <f ca="1"/>
        <v>-0.44386326401899406</v>
      </c>
      <c r="X7674" s="2">
        <f ca="1"/>
        <v>32.40113483279535</v>
      </c>
      <c r="AG7674" s="2">
        <f ca="1"/>
        <v>0.23372799982013626</v>
      </c>
      <c r="AH7674" s="2" t="str">
        <f ca="1"/>
        <v>OK</v>
      </c>
    </row>
    <row r="7675" spans="2:34" x14ac:dyDescent="0.2">
      <c r="B7675" s="2">
        <f ca="1"/>
        <v>0.21411218164087531</v>
      </c>
      <c r="O7675" s="2">
        <f ca="1"/>
        <v>-0.597606038653137</v>
      </c>
      <c r="X7675" s="2">
        <f ca="1"/>
        <v>56.993140965332721</v>
      </c>
      <c r="AG7675" s="2">
        <f ca="1"/>
        <v>0.42288418831937102</v>
      </c>
      <c r="AH7675" s="2" t="str">
        <f ca="1"/>
        <v>Bad</v>
      </c>
    </row>
    <row r="7676" spans="2:34" x14ac:dyDescent="0.2">
      <c r="B7676" s="2">
        <f ca="1"/>
        <v>0.66891321219725941</v>
      </c>
      <c r="O7676" s="2">
        <f ca="1"/>
        <v>-0.45357209349628724</v>
      </c>
      <c r="X7676" s="2">
        <f ca="1"/>
        <v>47.879677314083445</v>
      </c>
      <c r="AG7676" s="2">
        <f ca="1"/>
        <v>0.23269767846268774</v>
      </c>
      <c r="AH7676" s="2" t="str">
        <f ca="1"/>
        <v>OK</v>
      </c>
    </row>
    <row r="7677" spans="2:34" x14ac:dyDescent="0.2">
      <c r="B7677" s="2">
        <f ca="1"/>
        <v>0.52876173376807944</v>
      </c>
      <c r="O7677" s="2">
        <f ca="1"/>
        <v>-3.9092766694876518E-2</v>
      </c>
      <c r="X7677" s="2">
        <f ca="1"/>
        <v>47.333836862355376</v>
      </c>
      <c r="AG7677" s="2">
        <f ca="1"/>
        <v>8.1170272332660165E-2</v>
      </c>
      <c r="AH7677" s="2" t="str">
        <f ca="1"/>
        <v>OK</v>
      </c>
    </row>
    <row r="7678" spans="2:34" x14ac:dyDescent="0.2">
      <c r="B7678" s="2">
        <f ca="1"/>
        <v>0.55965493940145628</v>
      </c>
      <c r="O7678" s="2">
        <f ca="1"/>
        <v>0.78792340582154063</v>
      </c>
      <c r="X7678" s="2">
        <f ca="1"/>
        <v>43.09710988535636</v>
      </c>
      <c r="AG7678" s="2">
        <f ca="1"/>
        <v>0.41571405976128628</v>
      </c>
      <c r="AH7678" s="2" t="str">
        <f ca="1"/>
        <v>Bad</v>
      </c>
    </row>
    <row r="7679" spans="2:34" x14ac:dyDescent="0.2">
      <c r="B7679" s="2">
        <f ca="1"/>
        <v>0.21696128969124451</v>
      </c>
      <c r="O7679" s="2">
        <f ca="1"/>
        <v>-0.83477029500475997</v>
      </c>
      <c r="X7679" s="2">
        <f ca="1"/>
        <v>22.945242534454586</v>
      </c>
      <c r="AG7679" s="2">
        <f ca="1"/>
        <v>5.7764086140507986E-2</v>
      </c>
      <c r="AH7679" s="2" t="str">
        <f ca="1"/>
        <v>OK</v>
      </c>
    </row>
    <row r="7680" spans="2:34" x14ac:dyDescent="0.2">
      <c r="B7680" s="2">
        <f ca="1"/>
        <v>0.19719415401438445</v>
      </c>
      <c r="O7680" s="2">
        <f ca="1"/>
        <v>1.1222766581944283</v>
      </c>
      <c r="X7680" s="2">
        <f ca="1"/>
        <v>55.140520323401397</v>
      </c>
      <c r="AG7680" s="2">
        <f ca="1"/>
        <v>0.6739399354714084</v>
      </c>
      <c r="AH7680" s="2" t="str">
        <f ca="1"/>
        <v>Bad</v>
      </c>
    </row>
    <row r="7681" spans="2:34" x14ac:dyDescent="0.2">
      <c r="B7681" s="2">
        <f ca="1"/>
        <v>0.28321053469440316</v>
      </c>
      <c r="O7681" s="2">
        <f ca="1"/>
        <v>6.8135333489038732E-2</v>
      </c>
      <c r="X7681" s="2">
        <f ca="1"/>
        <v>44.45013658452077</v>
      </c>
      <c r="AG7681" s="2">
        <f ca="1"/>
        <v>0.56730490574383019</v>
      </c>
      <c r="AH7681" s="2" t="str">
        <f ca="1"/>
        <v>Bad</v>
      </c>
    </row>
    <row r="7682" spans="2:34" x14ac:dyDescent="0.2">
      <c r="B7682" s="2">
        <f ca="1"/>
        <v>0.92901212811200251</v>
      </c>
      <c r="O7682" s="2">
        <f ca="1"/>
        <v>-0.82304490820642462</v>
      </c>
      <c r="X7682" s="2">
        <f ca="1"/>
        <v>35.883687769305489</v>
      </c>
      <c r="AG7682" s="2">
        <f ca="1"/>
        <v>0.21310482984715384</v>
      </c>
      <c r="AH7682" s="2" t="str">
        <f ca="1"/>
        <v>OK</v>
      </c>
    </row>
    <row r="7683" spans="2:34" x14ac:dyDescent="0.2">
      <c r="B7683" s="2">
        <f ca="1"/>
        <v>0.17208761599843969</v>
      </c>
      <c r="O7683" s="2">
        <f ca="1"/>
        <v>-0.19599609893519113</v>
      </c>
      <c r="X7683" s="2">
        <f ca="1"/>
        <v>55.231385107704753</v>
      </c>
      <c r="AG7683" s="2">
        <f ca="1"/>
        <v>0.11950227048588502</v>
      </c>
      <c r="AH7683" s="2" t="str">
        <f ca="1"/>
        <v>OK</v>
      </c>
    </row>
    <row r="7684" spans="2:34" x14ac:dyDescent="0.2">
      <c r="B7684" s="2">
        <f ca="1"/>
        <v>0.2218803970660137</v>
      </c>
      <c r="O7684" s="2">
        <f ca="1"/>
        <v>1.5614729409143582</v>
      </c>
      <c r="X7684" s="2">
        <f ca="1"/>
        <v>45.799882726346183</v>
      </c>
      <c r="AG7684" s="2">
        <f ca="1"/>
        <v>0.54676352836122843</v>
      </c>
      <c r="AH7684" s="2" t="str">
        <f ca="1"/>
        <v>Bad</v>
      </c>
    </row>
    <row r="7685" spans="2:34" x14ac:dyDescent="0.2">
      <c r="B7685" s="2">
        <f ca="1"/>
        <v>0.70245191137428598</v>
      </c>
      <c r="O7685" s="2">
        <f ca="1"/>
        <v>0.83117671231323864</v>
      </c>
      <c r="X7685" s="2">
        <f ca="1"/>
        <v>49.391222561646074</v>
      </c>
      <c r="AG7685" s="2">
        <f ca="1"/>
        <v>0.69737537356918367</v>
      </c>
      <c r="AH7685" s="2" t="str">
        <f ca="1"/>
        <v>Bad</v>
      </c>
    </row>
    <row r="7686" spans="2:34" x14ac:dyDescent="0.2">
      <c r="B7686" s="2">
        <f ca="1"/>
        <v>0.37560984491173377</v>
      </c>
      <c r="O7686" s="2">
        <f ca="1"/>
        <v>-0.96052506999739473</v>
      </c>
      <c r="X7686" s="2">
        <f ca="1"/>
        <v>33.546534420466273</v>
      </c>
      <c r="AG7686" s="2">
        <f ca="1"/>
        <v>0.37211742851167262</v>
      </c>
      <c r="AH7686" s="2" t="str">
        <f ca="1"/>
        <v>OK</v>
      </c>
    </row>
    <row r="7687" spans="2:34" x14ac:dyDescent="0.2">
      <c r="B7687" s="2">
        <f ca="1"/>
        <v>0.18834980120780265</v>
      </c>
      <c r="O7687" s="2">
        <f ca="1"/>
        <v>-0.92627342538952417</v>
      </c>
      <c r="X7687" s="2">
        <f ca="1"/>
        <v>43.094641768228925</v>
      </c>
      <c r="AG7687" s="2">
        <f ca="1"/>
        <v>0.7742746113161687</v>
      </c>
      <c r="AH7687" s="2" t="str">
        <f ca="1"/>
        <v>Bad</v>
      </c>
    </row>
    <row r="7688" spans="2:34" x14ac:dyDescent="0.2">
      <c r="B7688" s="2">
        <f ca="1"/>
        <v>0.91802231482255814</v>
      </c>
      <c r="O7688" s="2">
        <f ca="1"/>
        <v>7.023012412356433E-2</v>
      </c>
      <c r="X7688" s="2">
        <f ca="1"/>
        <v>51.515712572678908</v>
      </c>
      <c r="AG7688" s="2">
        <f ca="1"/>
        <v>2.2581486609269952E-3</v>
      </c>
      <c r="AH7688" s="2" t="str">
        <f ca="1"/>
        <v>Good</v>
      </c>
    </row>
    <row r="7689" spans="2:34" x14ac:dyDescent="0.2">
      <c r="B7689" s="2">
        <f ca="1"/>
        <v>0.65612977145619289</v>
      </c>
      <c r="O7689" s="2">
        <f ca="1"/>
        <v>1.0319870034110894</v>
      </c>
      <c r="X7689" s="2">
        <f ca="1"/>
        <v>41.829485201470789</v>
      </c>
      <c r="AG7689" s="2">
        <f ca="1"/>
        <v>0.48958871226777068</v>
      </c>
      <c r="AH7689" s="2" t="str">
        <f ca="1"/>
        <v>Bad</v>
      </c>
    </row>
    <row r="7690" spans="2:34" x14ac:dyDescent="0.2">
      <c r="B7690" s="2">
        <f ca="1"/>
        <v>0.2848291682854398</v>
      </c>
      <c r="O7690" s="2">
        <f ca="1"/>
        <v>-0.93153977749235406</v>
      </c>
      <c r="X7690" s="2">
        <f ca="1"/>
        <v>39.661336065701583</v>
      </c>
      <c r="AG7690" s="2">
        <f ca="1"/>
        <v>0.38645977337454696</v>
      </c>
      <c r="AH7690" s="2" t="str">
        <f ca="1"/>
        <v>OK</v>
      </c>
    </row>
    <row r="7691" spans="2:34" x14ac:dyDescent="0.2">
      <c r="B7691" s="2">
        <f ca="1"/>
        <v>0.66419413936159932</v>
      </c>
      <c r="O7691" s="2">
        <f ca="1"/>
        <v>0.44235552650299953</v>
      </c>
      <c r="X7691" s="2">
        <f ca="1"/>
        <v>46.192335642771909</v>
      </c>
      <c r="AG7691" s="2">
        <f ca="1"/>
        <v>0.6919635394571535</v>
      </c>
      <c r="AH7691" s="2" t="str">
        <f ca="1"/>
        <v>Bad</v>
      </c>
    </row>
    <row r="7692" spans="2:34" x14ac:dyDescent="0.2">
      <c r="B7692" s="2">
        <f ca="1"/>
        <v>0.6929243681801851</v>
      </c>
      <c r="O7692" s="2">
        <f ca="1"/>
        <v>2.0479338796280052E-2</v>
      </c>
      <c r="X7692" s="2">
        <f ca="1"/>
        <v>58.786949593438614</v>
      </c>
      <c r="AG7692" s="2">
        <f ca="1"/>
        <v>0.45018444634385557</v>
      </c>
      <c r="AH7692" s="2" t="str">
        <f ca="1"/>
        <v>Bad</v>
      </c>
    </row>
    <row r="7693" spans="2:34" x14ac:dyDescent="0.2">
      <c r="B7693" s="2">
        <f ca="1"/>
        <v>0.39964883635114923</v>
      </c>
      <c r="O7693" s="2">
        <f ca="1"/>
        <v>-1.2482937511096235</v>
      </c>
      <c r="X7693" s="2">
        <f ca="1"/>
        <v>59.465535066528489</v>
      </c>
      <c r="AG7693" s="2">
        <f ca="1"/>
        <v>0.55536064843346811</v>
      </c>
      <c r="AH7693" s="2" t="str">
        <f ca="1"/>
        <v>Bad</v>
      </c>
    </row>
    <row r="7694" spans="2:34" x14ac:dyDescent="0.2">
      <c r="B7694" s="2">
        <f ca="1"/>
        <v>0.1571445358484922</v>
      </c>
      <c r="O7694" s="2">
        <f ca="1"/>
        <v>0.94255180421896612</v>
      </c>
      <c r="X7694" s="2">
        <f ca="1"/>
        <v>49.830122241780742</v>
      </c>
      <c r="AG7694" s="2">
        <f ca="1"/>
        <v>0.26497476645392415</v>
      </c>
      <c r="AH7694" s="2" t="str">
        <f ca="1"/>
        <v>OK</v>
      </c>
    </row>
    <row r="7695" spans="2:34" x14ac:dyDescent="0.2">
      <c r="B7695" s="2">
        <f ca="1"/>
        <v>3.8478707074364404E-2</v>
      </c>
      <c r="O7695" s="2">
        <f ca="1"/>
        <v>-1.2107258349472101</v>
      </c>
      <c r="X7695" s="2">
        <f ca="1"/>
        <v>54.10810284911058</v>
      </c>
      <c r="AG7695" s="2">
        <f ca="1"/>
        <v>1.0769336888073688E-2</v>
      </c>
      <c r="AH7695" s="2" t="str">
        <f ca="1"/>
        <v>Good</v>
      </c>
    </row>
    <row r="7696" spans="2:34" x14ac:dyDescent="0.2">
      <c r="B7696" s="2">
        <f ca="1"/>
        <v>0.78679638906674487</v>
      </c>
      <c r="O7696" s="2">
        <f ca="1"/>
        <v>0.154771552830649</v>
      </c>
      <c r="X7696" s="2">
        <f ca="1"/>
        <v>60.348870535817468</v>
      </c>
      <c r="AG7696" s="2">
        <f ca="1"/>
        <v>0.42996749229984754</v>
      </c>
      <c r="AH7696" s="2" t="str">
        <f ca="1"/>
        <v>Bad</v>
      </c>
    </row>
    <row r="7697" spans="2:34" x14ac:dyDescent="0.2">
      <c r="B7697" s="2">
        <f ca="1"/>
        <v>0.94589830165711875</v>
      </c>
      <c r="O7697" s="2">
        <f ca="1"/>
        <v>-0.36409574042589948</v>
      </c>
      <c r="X7697" s="2">
        <f ca="1"/>
        <v>84.431173293894147</v>
      </c>
      <c r="AG7697" s="2">
        <f ca="1"/>
        <v>0.65732886887873754</v>
      </c>
      <c r="AH7697" s="2" t="str">
        <f ca="1"/>
        <v>Bad</v>
      </c>
    </row>
    <row r="7698" spans="2:34" x14ac:dyDescent="0.2">
      <c r="B7698" s="2">
        <f ca="1"/>
        <v>0.69129079402089655</v>
      </c>
      <c r="O7698" s="2">
        <f ca="1"/>
        <v>5.6622093693180768E-2</v>
      </c>
      <c r="X7698" s="2">
        <f ca="1"/>
        <v>34.300350807007177</v>
      </c>
      <c r="AG7698" s="2">
        <f ca="1"/>
        <v>0.44147229725196446</v>
      </c>
      <c r="AH7698" s="2" t="str">
        <f ca="1"/>
        <v>Bad</v>
      </c>
    </row>
    <row r="7699" spans="2:34" x14ac:dyDescent="0.2">
      <c r="B7699" s="2">
        <f ca="1"/>
        <v>0.11086458518571285</v>
      </c>
      <c r="O7699" s="2">
        <f ca="1"/>
        <v>-1.3641764383898283</v>
      </c>
      <c r="X7699" s="2">
        <f ca="1"/>
        <v>57.922393134558291</v>
      </c>
      <c r="AG7699" s="2">
        <f ca="1"/>
        <v>0.98225995454328285</v>
      </c>
      <c r="AH7699" s="2" t="str">
        <f ca="1"/>
        <v>Bad</v>
      </c>
    </row>
    <row r="7700" spans="2:34" x14ac:dyDescent="0.2">
      <c r="B7700" s="2">
        <f ca="1"/>
        <v>0.40654650908847367</v>
      </c>
      <c r="O7700" s="2">
        <f ca="1"/>
        <v>-1.2482928184164217</v>
      </c>
      <c r="X7700" s="2">
        <f ca="1"/>
        <v>48.17307606493894</v>
      </c>
      <c r="AG7700" s="2">
        <f ca="1"/>
        <v>0.24697500270439821</v>
      </c>
      <c r="AH7700" s="2" t="str">
        <f ca="1"/>
        <v>OK</v>
      </c>
    </row>
    <row r="7701" spans="2:34" x14ac:dyDescent="0.2">
      <c r="B7701" s="2">
        <f ca="1"/>
        <v>0.42068763745961557</v>
      </c>
      <c r="O7701" s="2">
        <f ca="1"/>
        <v>-0.35424379106405152</v>
      </c>
      <c r="X7701" s="2">
        <f ca="1"/>
        <v>79.550652466637914</v>
      </c>
      <c r="AG7701" s="2">
        <f ca="1"/>
        <v>0.77111531353465113</v>
      </c>
      <c r="AH7701" s="2" t="str">
        <f ca="1"/>
        <v>Bad</v>
      </c>
    </row>
    <row r="7702" spans="2:34" x14ac:dyDescent="0.2">
      <c r="B7702" s="2">
        <f ca="1"/>
        <v>7.6707709468444296E-3</v>
      </c>
      <c r="O7702" s="2">
        <f ca="1"/>
        <v>-0.68131797386425297</v>
      </c>
      <c r="X7702" s="2">
        <f ca="1"/>
        <v>73.21482692479303</v>
      </c>
      <c r="AG7702" s="2">
        <f ca="1"/>
        <v>0.86189623652754799</v>
      </c>
      <c r="AH7702" s="2" t="str">
        <f ca="1"/>
        <v>Bad</v>
      </c>
    </row>
    <row r="7703" spans="2:34" x14ac:dyDescent="0.2">
      <c r="B7703" s="2">
        <f ca="1"/>
        <v>0.89575865292456291</v>
      </c>
      <c r="O7703" s="2">
        <f ca="1"/>
        <v>1.0247658306609864</v>
      </c>
      <c r="X7703" s="2">
        <f ca="1"/>
        <v>69.351149233167249</v>
      </c>
      <c r="AG7703" s="2">
        <f ca="1"/>
        <v>0.24307582702272978</v>
      </c>
      <c r="AH7703" s="2" t="str">
        <f ca="1"/>
        <v>OK</v>
      </c>
    </row>
    <row r="7704" spans="2:34" x14ac:dyDescent="0.2">
      <c r="B7704" s="2">
        <f ca="1"/>
        <v>0.54822784261646329</v>
      </c>
      <c r="O7704" s="2">
        <f ca="1"/>
        <v>-0.65964859985095015</v>
      </c>
      <c r="X7704" s="2">
        <f ca="1"/>
        <v>41.028577658508624</v>
      </c>
      <c r="AG7704" s="2">
        <f ca="1"/>
        <v>0.71146778150095713</v>
      </c>
      <c r="AH7704" s="2" t="str">
        <f ca="1"/>
        <v>Bad</v>
      </c>
    </row>
    <row r="7705" spans="2:34" x14ac:dyDescent="0.2">
      <c r="B7705" s="2">
        <f ca="1"/>
        <v>0.50636889138149832</v>
      </c>
      <c r="O7705" s="2">
        <f ca="1"/>
        <v>-0.3485477451780607</v>
      </c>
      <c r="X7705" s="2">
        <f ca="1"/>
        <v>60.330711847197527</v>
      </c>
      <c r="AG7705" s="2">
        <f ca="1"/>
        <v>0.52484024056822975</v>
      </c>
      <c r="AH7705" s="2" t="str">
        <f ca="1"/>
        <v>Bad</v>
      </c>
    </row>
    <row r="7706" spans="2:34" x14ac:dyDescent="0.2">
      <c r="B7706" s="2">
        <f ca="1"/>
        <v>0.60689923322771944</v>
      </c>
      <c r="O7706" s="2">
        <f ca="1"/>
        <v>0.13567876134036133</v>
      </c>
      <c r="X7706" s="2">
        <f ca="1"/>
        <v>38.193880249254448</v>
      </c>
      <c r="AG7706" s="2">
        <f ca="1"/>
        <v>0.21734677265956526</v>
      </c>
      <c r="AH7706" s="2" t="str">
        <f ca="1"/>
        <v>OK</v>
      </c>
    </row>
    <row r="7707" spans="2:34" x14ac:dyDescent="0.2">
      <c r="B7707" s="2">
        <f ca="1"/>
        <v>0.20832631605427854</v>
      </c>
      <c r="O7707" s="2">
        <f ca="1"/>
        <v>-1.2708754640444865E-2</v>
      </c>
      <c r="X7707" s="2">
        <f ca="1"/>
        <v>52.387978943945484</v>
      </c>
      <c r="AG7707" s="2">
        <f ca="1"/>
        <v>0.39836314036211151</v>
      </c>
      <c r="AH7707" s="2" t="str">
        <f ca="1"/>
        <v>OK</v>
      </c>
    </row>
    <row r="7708" spans="2:34" x14ac:dyDescent="0.2">
      <c r="B7708" s="2">
        <f ca="1"/>
        <v>0.63196133772335794</v>
      </c>
      <c r="O7708" s="2">
        <f ca="1"/>
        <v>-1.2038646100842914</v>
      </c>
      <c r="X7708" s="2">
        <f ca="1"/>
        <v>39.508111322019928</v>
      </c>
      <c r="AG7708" s="2">
        <f ca="1"/>
        <v>0.79312975780174733</v>
      </c>
      <c r="AH7708" s="2" t="str">
        <f ca="1"/>
        <v>Bad</v>
      </c>
    </row>
    <row r="7709" spans="2:34" x14ac:dyDescent="0.2">
      <c r="B7709" s="2">
        <f ca="1"/>
        <v>0.35843855821726911</v>
      </c>
      <c r="O7709" s="2">
        <f ca="1"/>
        <v>1.7295975331039628</v>
      </c>
      <c r="X7709" s="2">
        <f ca="1"/>
        <v>38.558596138180768</v>
      </c>
      <c r="AG7709" s="2">
        <f ca="1"/>
        <v>0.11084723757685366</v>
      </c>
      <c r="AH7709" s="2" t="str">
        <f ca="1"/>
        <v>OK</v>
      </c>
    </row>
    <row r="7710" spans="2:34" x14ac:dyDescent="0.2">
      <c r="B7710" s="2">
        <f ca="1"/>
        <v>0.1059549208635715</v>
      </c>
      <c r="O7710" s="2">
        <f ca="1"/>
        <v>-1.5093124422459026</v>
      </c>
      <c r="X7710" s="2">
        <f ca="1"/>
        <v>95.440743427117525</v>
      </c>
      <c r="AG7710" s="2">
        <f ca="1"/>
        <v>0.30986132763345808</v>
      </c>
      <c r="AH7710" s="2" t="str">
        <f ca="1"/>
        <v>OK</v>
      </c>
    </row>
    <row r="7711" spans="2:34" x14ac:dyDescent="0.2">
      <c r="B7711" s="2">
        <f ca="1"/>
        <v>0.64478144774584556</v>
      </c>
      <c r="O7711" s="2">
        <f ca="1"/>
        <v>-1.7129833832950774</v>
      </c>
      <c r="X7711" s="2">
        <f ca="1"/>
        <v>46.857841126777942</v>
      </c>
      <c r="AG7711" s="2">
        <f ca="1"/>
        <v>0.5762835492099998</v>
      </c>
      <c r="AH7711" s="2" t="str">
        <f ca="1"/>
        <v>Bad</v>
      </c>
    </row>
    <row r="7712" spans="2:34" x14ac:dyDescent="0.2">
      <c r="B7712" s="2">
        <f ca="1"/>
        <v>0.20709321134590342</v>
      </c>
      <c r="O7712" s="2">
        <f ca="1"/>
        <v>-0.24792852221964173</v>
      </c>
      <c r="X7712" s="2">
        <f ca="1"/>
        <v>44.375415425040039</v>
      </c>
      <c r="AG7712" s="2">
        <f ca="1"/>
        <v>0.69741876089663224</v>
      </c>
      <c r="AH7712" s="2" t="str">
        <f ca="1"/>
        <v>Bad</v>
      </c>
    </row>
    <row r="7713" spans="2:34" x14ac:dyDescent="0.2">
      <c r="B7713" s="2">
        <f ca="1"/>
        <v>0.85327140003894053</v>
      </c>
      <c r="O7713" s="2">
        <f ca="1"/>
        <v>1.6460027335606071</v>
      </c>
      <c r="X7713" s="2">
        <f ca="1"/>
        <v>44.938458233483836</v>
      </c>
      <c r="AG7713" s="2">
        <f ca="1"/>
        <v>0.65862049373025155</v>
      </c>
      <c r="AH7713" s="2" t="str">
        <f ca="1"/>
        <v>Bad</v>
      </c>
    </row>
    <row r="7714" spans="2:34" x14ac:dyDescent="0.2">
      <c r="B7714" s="2">
        <f ca="1"/>
        <v>0.52197652673870265</v>
      </c>
      <c r="O7714" s="2">
        <f ca="1"/>
        <v>0.13908631616934289</v>
      </c>
      <c r="X7714" s="2">
        <f ca="1"/>
        <v>50.29686480867278</v>
      </c>
      <c r="AG7714" s="2">
        <f ca="1"/>
        <v>0.80574598624542881</v>
      </c>
      <c r="AH7714" s="2" t="str">
        <f ca="1"/>
        <v>Bad</v>
      </c>
    </row>
    <row r="7715" spans="2:34" x14ac:dyDescent="0.2">
      <c r="B7715" s="2">
        <f ca="1"/>
        <v>0.56171210394062432</v>
      </c>
      <c r="O7715" s="2">
        <f ca="1"/>
        <v>-1.6390111025685938E-2</v>
      </c>
      <c r="X7715" s="2">
        <f ca="1"/>
        <v>45.885583525978404</v>
      </c>
      <c r="AG7715" s="2">
        <f ca="1"/>
        <v>0.27194001995239159</v>
      </c>
      <c r="AH7715" s="2" t="str">
        <f ca="1"/>
        <v>OK</v>
      </c>
    </row>
    <row r="7716" spans="2:34" x14ac:dyDescent="0.2">
      <c r="B7716" s="2">
        <f ca="1"/>
        <v>4.6169366065876183E-2</v>
      </c>
      <c r="O7716" s="2">
        <f ca="1"/>
        <v>-0.36770498074281449</v>
      </c>
      <c r="X7716" s="2">
        <f ca="1"/>
        <v>52.148689666155867</v>
      </c>
      <c r="AG7716" s="2">
        <f ca="1"/>
        <v>0.73900576358447823</v>
      </c>
      <c r="AH7716" s="2" t="str">
        <f ca="1"/>
        <v>Bad</v>
      </c>
    </row>
    <row r="7717" spans="2:34" x14ac:dyDescent="0.2">
      <c r="B7717" s="2">
        <f ca="1"/>
        <v>0.41021814000657009</v>
      </c>
      <c r="O7717" s="2">
        <f ca="1"/>
        <v>0.2231336298825955</v>
      </c>
      <c r="X7717" s="2">
        <f ca="1"/>
        <v>35.391640069083195</v>
      </c>
      <c r="AG7717" s="2">
        <f ca="1"/>
        <v>0.97252655316430503</v>
      </c>
      <c r="AH7717" s="2" t="str">
        <f ca="1"/>
        <v>Bad</v>
      </c>
    </row>
    <row r="7718" spans="2:34" x14ac:dyDescent="0.2">
      <c r="B7718" s="2">
        <f ca="1"/>
        <v>0.55365893352934759</v>
      </c>
      <c r="O7718" s="2">
        <f ca="1"/>
        <v>-0.25256969866803136</v>
      </c>
      <c r="X7718" s="2">
        <f ca="1"/>
        <v>57.363368192608476</v>
      </c>
      <c r="AG7718" s="2">
        <f ca="1"/>
        <v>0.47016165778843932</v>
      </c>
      <c r="AH7718" s="2" t="str">
        <f ca="1"/>
        <v>Bad</v>
      </c>
    </row>
    <row r="7719" spans="2:34" x14ac:dyDescent="0.2">
      <c r="B7719" s="2">
        <f ca="1"/>
        <v>0.44276781384366215</v>
      </c>
      <c r="O7719" s="2">
        <f ca="1"/>
        <v>0.77268364757231622</v>
      </c>
      <c r="X7719" s="2">
        <f ca="1"/>
        <v>40.114700188768715</v>
      </c>
      <c r="AG7719" s="2">
        <f ca="1"/>
        <v>0.11749620557581619</v>
      </c>
      <c r="AH7719" s="2" t="str">
        <f ca="1"/>
        <v>OK</v>
      </c>
    </row>
    <row r="7720" spans="2:34" x14ac:dyDescent="0.2">
      <c r="B7720" s="2">
        <f ca="1"/>
        <v>0.36835893608990955</v>
      </c>
      <c r="O7720" s="2">
        <f ca="1"/>
        <v>-0.16078470633331043</v>
      </c>
      <c r="X7720" s="2">
        <f ca="1"/>
        <v>54.362885782956667</v>
      </c>
      <c r="AG7720" s="2">
        <f ca="1"/>
        <v>0.76604339685908429</v>
      </c>
      <c r="AH7720" s="2" t="str">
        <f ca="1"/>
        <v>Bad</v>
      </c>
    </row>
    <row r="7721" spans="2:34" x14ac:dyDescent="0.2">
      <c r="B7721" s="2">
        <f ca="1"/>
        <v>0.69501760106952259</v>
      </c>
      <c r="O7721" s="2">
        <f ca="1"/>
        <v>-4.0865301918462972E-2</v>
      </c>
      <c r="X7721" s="2">
        <f ca="1"/>
        <v>47.751478028593667</v>
      </c>
      <c r="AG7721" s="2">
        <f ca="1"/>
        <v>0.53074245865581582</v>
      </c>
      <c r="AH7721" s="2" t="str">
        <f ca="1"/>
        <v>Bad</v>
      </c>
    </row>
    <row r="7722" spans="2:34" x14ac:dyDescent="0.2">
      <c r="B7722" s="2">
        <f ca="1"/>
        <v>0.6993666505189744</v>
      </c>
      <c r="O7722" s="2">
        <f ca="1"/>
        <v>1.595514275063308</v>
      </c>
      <c r="X7722" s="2">
        <f ca="1"/>
        <v>73.969074050507984</v>
      </c>
      <c r="AG7722" s="2">
        <f ca="1"/>
        <v>0.65125809740406826</v>
      </c>
      <c r="AH7722" s="2" t="str">
        <f ca="1"/>
        <v>Bad</v>
      </c>
    </row>
    <row r="7723" spans="2:34" x14ac:dyDescent="0.2">
      <c r="B7723" s="2">
        <f ca="1"/>
        <v>0.50415119643024675</v>
      </c>
      <c r="O7723" s="2">
        <f ca="1"/>
        <v>0.27600300687552143</v>
      </c>
      <c r="X7723" s="2">
        <f ca="1"/>
        <v>25.591678975872711</v>
      </c>
      <c r="AG7723" s="2">
        <f ca="1"/>
        <v>0.65308982425389184</v>
      </c>
      <c r="AH7723" s="2" t="str">
        <f ca="1"/>
        <v>Bad</v>
      </c>
    </row>
    <row r="7724" spans="2:34" x14ac:dyDescent="0.2">
      <c r="B7724" s="2">
        <f ca="1"/>
        <v>0.75760434548978139</v>
      </c>
      <c r="O7724" s="2">
        <f ca="1"/>
        <v>1.2229452377995089</v>
      </c>
      <c r="X7724" s="2">
        <f ca="1"/>
        <v>69.289026713971822</v>
      </c>
      <c r="AG7724" s="2">
        <f ca="1"/>
        <v>0.91460560266066282</v>
      </c>
      <c r="AH7724" s="2" t="str">
        <f ca="1"/>
        <v>Bad</v>
      </c>
    </row>
    <row r="7725" spans="2:34" x14ac:dyDescent="0.2">
      <c r="B7725" s="2">
        <f ca="1"/>
        <v>5.9026900827093831E-2</v>
      </c>
      <c r="O7725" s="2">
        <f ca="1"/>
        <v>-0.19859178457947033</v>
      </c>
      <c r="X7725" s="2">
        <f ca="1"/>
        <v>40.190819867767132</v>
      </c>
      <c r="AG7725" s="2">
        <f ca="1"/>
        <v>0.42970929536986158</v>
      </c>
      <c r="AH7725" s="2" t="str">
        <f ca="1"/>
        <v>Bad</v>
      </c>
    </row>
    <row r="7726" spans="2:34" x14ac:dyDescent="0.2">
      <c r="B7726" s="2">
        <f ca="1"/>
        <v>0.22262344330177597</v>
      </c>
      <c r="O7726" s="2">
        <f ca="1"/>
        <v>-0.5944808130969923</v>
      </c>
      <c r="X7726" s="2">
        <f ca="1"/>
        <v>49.072470221794582</v>
      </c>
      <c r="AG7726" s="2">
        <f ca="1"/>
        <v>0.14555346907362332</v>
      </c>
      <c r="AH7726" s="2" t="str">
        <f ca="1"/>
        <v>OK</v>
      </c>
    </row>
    <row r="7727" spans="2:34" x14ac:dyDescent="0.2">
      <c r="B7727" s="2">
        <f ca="1"/>
        <v>0.5586409457034307</v>
      </c>
      <c r="O7727" s="2">
        <f ca="1"/>
        <v>-0.5018108099042774</v>
      </c>
      <c r="X7727" s="2">
        <f ca="1"/>
        <v>36.077649050832676</v>
      </c>
      <c r="AG7727" s="2">
        <f ca="1"/>
        <v>0.69180953859229732</v>
      </c>
      <c r="AH7727" s="2" t="str">
        <f ca="1"/>
        <v>Bad</v>
      </c>
    </row>
    <row r="7728" spans="2:34" x14ac:dyDescent="0.2">
      <c r="B7728" s="2">
        <f ca="1"/>
        <v>0.40876269884496441</v>
      </c>
      <c r="O7728" s="2">
        <f ca="1"/>
        <v>-0.55152941950554391</v>
      </c>
      <c r="X7728" s="2">
        <f ca="1"/>
        <v>64.482953265691521</v>
      </c>
      <c r="AG7728" s="2">
        <f ca="1"/>
        <v>0.47027978746529464</v>
      </c>
      <c r="AH7728" s="2" t="str">
        <f ca="1"/>
        <v>Bad</v>
      </c>
    </row>
    <row r="7729" spans="2:34" x14ac:dyDescent="0.2">
      <c r="B7729" s="2">
        <f ca="1"/>
        <v>0.20497130088655346</v>
      </c>
      <c r="O7729" s="2">
        <f ca="1"/>
        <v>-0.27117094059938401</v>
      </c>
      <c r="X7729" s="2">
        <f ca="1"/>
        <v>38.545781352617688</v>
      </c>
      <c r="AG7729" s="2">
        <f ca="1"/>
        <v>0.91360149200697016</v>
      </c>
      <c r="AH7729" s="2" t="str">
        <f ca="1"/>
        <v>Bad</v>
      </c>
    </row>
    <row r="7730" spans="2:34" x14ac:dyDescent="0.2">
      <c r="B7730" s="2">
        <f ca="1"/>
        <v>0.69854704118009892</v>
      </c>
      <c r="O7730" s="2">
        <f ca="1"/>
        <v>-0.15961954374765333</v>
      </c>
      <c r="X7730" s="2">
        <f ca="1"/>
        <v>75.656655523750103</v>
      </c>
      <c r="AG7730" s="2">
        <f ca="1"/>
        <v>0.44360803038203289</v>
      </c>
      <c r="AH7730" s="2" t="str">
        <f ca="1"/>
        <v>Bad</v>
      </c>
    </row>
    <row r="7731" spans="2:34" x14ac:dyDescent="0.2">
      <c r="B7731" s="2">
        <f ca="1"/>
        <v>0.50725362114716832</v>
      </c>
      <c r="O7731" s="2">
        <f ca="1"/>
        <v>0.72958733614193749</v>
      </c>
      <c r="X7731" s="2">
        <f ca="1"/>
        <v>75.772286584660705</v>
      </c>
      <c r="AG7731" s="2">
        <f ca="1"/>
        <v>0.51763989590523996</v>
      </c>
      <c r="AH7731" s="2" t="str">
        <f ca="1"/>
        <v>Bad</v>
      </c>
    </row>
    <row r="7732" spans="2:34" x14ac:dyDescent="0.2">
      <c r="B7732" s="2">
        <f ca="1"/>
        <v>0.61767519516499947</v>
      </c>
      <c r="O7732" s="2">
        <f ca="1"/>
        <v>-1.4072700137685656</v>
      </c>
      <c r="X7732" s="2">
        <f ca="1"/>
        <v>40.735456756214141</v>
      </c>
      <c r="AG7732" s="2">
        <f ca="1"/>
        <v>0.94864315660832133</v>
      </c>
      <c r="AH7732" s="2" t="str">
        <f ca="1"/>
        <v>Bad</v>
      </c>
    </row>
    <row r="7733" spans="2:34" x14ac:dyDescent="0.2">
      <c r="B7733" s="2">
        <f ca="1"/>
        <v>0.17211353053649536</v>
      </c>
      <c r="O7733" s="2">
        <f ca="1"/>
        <v>1.4438303548559208</v>
      </c>
      <c r="X7733" s="2">
        <f ca="1"/>
        <v>61.044302094972053</v>
      </c>
      <c r="AG7733" s="2">
        <f ca="1"/>
        <v>0.47716083242081209</v>
      </c>
      <c r="AH7733" s="2" t="str">
        <f ca="1"/>
        <v>Bad</v>
      </c>
    </row>
    <row r="7734" spans="2:34" x14ac:dyDescent="0.2">
      <c r="B7734" s="2">
        <f ca="1"/>
        <v>0.31578513226423288</v>
      </c>
      <c r="O7734" s="2">
        <f ca="1"/>
        <v>-1.0085551749545703</v>
      </c>
      <c r="X7734" s="2">
        <f ca="1"/>
        <v>44.393787651488871</v>
      </c>
      <c r="AG7734" s="2">
        <f ca="1"/>
        <v>0.16888483941582777</v>
      </c>
      <c r="AH7734" s="2" t="str">
        <f ca="1"/>
        <v>OK</v>
      </c>
    </row>
    <row r="7735" spans="2:34" x14ac:dyDescent="0.2">
      <c r="B7735" s="2">
        <f ca="1"/>
        <v>0.48403939940670093</v>
      </c>
      <c r="O7735" s="2">
        <f ca="1"/>
        <v>-0.16485215592721489</v>
      </c>
      <c r="X7735" s="2">
        <f ca="1"/>
        <v>60.009054094116998</v>
      </c>
      <c r="AG7735" s="2">
        <f ca="1"/>
        <v>1.3542233140468207E-2</v>
      </c>
      <c r="AH7735" s="2" t="str">
        <f ca="1"/>
        <v>Good</v>
      </c>
    </row>
    <row r="7736" spans="2:34" x14ac:dyDescent="0.2">
      <c r="B7736" s="2">
        <f ca="1"/>
        <v>0.45633123816811816</v>
      </c>
      <c r="O7736" s="2">
        <f ca="1"/>
        <v>0.2428196171587326</v>
      </c>
      <c r="X7736" s="2">
        <f ca="1"/>
        <v>51.920012692785022</v>
      </c>
      <c r="AG7736" s="2">
        <f ca="1"/>
        <v>0.73788512433331577</v>
      </c>
      <c r="AH7736" s="2" t="str">
        <f ca="1"/>
        <v>Bad</v>
      </c>
    </row>
    <row r="7737" spans="2:34" x14ac:dyDescent="0.2">
      <c r="B7737" s="2">
        <f ca="1"/>
        <v>0.68954735164854131</v>
      </c>
      <c r="O7737" s="2">
        <f ca="1"/>
        <v>1.2243225385113394</v>
      </c>
      <c r="X7737" s="2">
        <f ca="1"/>
        <v>63.956671214921442</v>
      </c>
      <c r="AG7737" s="2">
        <f ca="1"/>
        <v>0.95915832926421518</v>
      </c>
      <c r="AH7737" s="2" t="str">
        <f ca="1"/>
        <v>Bad</v>
      </c>
    </row>
    <row r="7738" spans="2:34" x14ac:dyDescent="0.2">
      <c r="B7738" s="2">
        <f ca="1"/>
        <v>0.66504451147573085</v>
      </c>
      <c r="O7738" s="2">
        <f ca="1"/>
        <v>1.2053960005700577</v>
      </c>
      <c r="X7738" s="2">
        <f ca="1"/>
        <v>57.776023672744785</v>
      </c>
      <c r="AG7738" s="2">
        <f ca="1"/>
        <v>0.21210650834839506</v>
      </c>
      <c r="AH7738" s="2" t="str">
        <f ca="1"/>
        <v>OK</v>
      </c>
    </row>
    <row r="7739" spans="2:34" x14ac:dyDescent="0.2">
      <c r="B7739" s="2">
        <f ca="1"/>
        <v>0.77041937438123775</v>
      </c>
      <c r="O7739" s="2">
        <f ca="1"/>
        <v>1.5074047185258941</v>
      </c>
      <c r="X7739" s="2">
        <f ca="1"/>
        <v>27.784302788679142</v>
      </c>
      <c r="AG7739" s="2">
        <f ca="1"/>
        <v>0.34219236109031392</v>
      </c>
      <c r="AH7739" s="2" t="str">
        <f ca="1"/>
        <v>OK</v>
      </c>
    </row>
    <row r="7740" spans="2:34" x14ac:dyDescent="0.2">
      <c r="B7740" s="2">
        <f ca="1"/>
        <v>0.29692063386683398</v>
      </c>
      <c r="O7740" s="2">
        <f ca="1"/>
        <v>0.71688096842127602</v>
      </c>
      <c r="X7740" s="2">
        <f ca="1"/>
        <v>65.298452053434232</v>
      </c>
      <c r="AG7740" s="2">
        <f ca="1"/>
        <v>7.0776894965862702E-2</v>
      </c>
      <c r="AH7740" s="2" t="str">
        <f ca="1"/>
        <v>OK</v>
      </c>
    </row>
    <row r="7741" spans="2:34" x14ac:dyDescent="0.2">
      <c r="B7741" s="2">
        <f ca="1"/>
        <v>0.74815861051201282</v>
      </c>
      <c r="O7741" s="2">
        <f ca="1"/>
        <v>1.5007291320263393E-2</v>
      </c>
      <c r="X7741" s="2">
        <f ca="1"/>
        <v>48.065599874969358</v>
      </c>
      <c r="AG7741" s="2">
        <f ca="1"/>
        <v>0.34798883093677468</v>
      </c>
      <c r="AH7741" s="2" t="str">
        <f ca="1"/>
        <v>OK</v>
      </c>
    </row>
    <row r="7742" spans="2:34" x14ac:dyDescent="0.2">
      <c r="B7742" s="2">
        <f ca="1"/>
        <v>0.63554874897430813</v>
      </c>
      <c r="O7742" s="2">
        <f ca="1"/>
        <v>2.4328154322921818</v>
      </c>
      <c r="X7742" s="2">
        <f ca="1"/>
        <v>64.866864572419743</v>
      </c>
      <c r="AG7742" s="2">
        <f ca="1"/>
        <v>0.66645958406519079</v>
      </c>
      <c r="AH7742" s="2" t="str">
        <f ca="1"/>
        <v>Bad</v>
      </c>
    </row>
    <row r="7743" spans="2:34" x14ac:dyDescent="0.2">
      <c r="B7743" s="2">
        <f ca="1"/>
        <v>2.717263221639632E-2</v>
      </c>
      <c r="O7743" s="2">
        <f ca="1"/>
        <v>0.35051423234936058</v>
      </c>
      <c r="X7743" s="2">
        <f ca="1"/>
        <v>42.564421344607659</v>
      </c>
      <c r="AG7743" s="2">
        <f ca="1"/>
        <v>8.2976435026686834E-2</v>
      </c>
      <c r="AH7743" s="2" t="str">
        <f ca="1"/>
        <v>OK</v>
      </c>
    </row>
    <row r="7744" spans="2:34" x14ac:dyDescent="0.2">
      <c r="B7744" s="2">
        <f ca="1"/>
        <v>0.69335928609483832</v>
      </c>
      <c r="O7744" s="2">
        <f ca="1"/>
        <v>-4.7518540437787075E-2</v>
      </c>
      <c r="X7744" s="2">
        <f ca="1"/>
        <v>26.719603612666319</v>
      </c>
      <c r="AG7744" s="2">
        <f ca="1"/>
        <v>0.85535052158770219</v>
      </c>
      <c r="AH7744" s="2" t="str">
        <f ca="1"/>
        <v>Bad</v>
      </c>
    </row>
    <row r="7745" spans="2:34" x14ac:dyDescent="0.2">
      <c r="B7745" s="2">
        <f ca="1"/>
        <v>0.54858717277849234</v>
      </c>
      <c r="O7745" s="2">
        <f ca="1"/>
        <v>-0.35032464272826286</v>
      </c>
      <c r="X7745" s="2">
        <f ca="1"/>
        <v>26.498367313014679</v>
      </c>
      <c r="AG7745" s="2">
        <f ca="1"/>
        <v>0.6239404718048438</v>
      </c>
      <c r="AH7745" s="2" t="str">
        <f ca="1"/>
        <v>Bad</v>
      </c>
    </row>
    <row r="7746" spans="2:34" x14ac:dyDescent="0.2">
      <c r="B7746" s="2">
        <f ca="1"/>
        <v>0.11060784534501078</v>
      </c>
      <c r="O7746" s="2">
        <f ca="1"/>
        <v>-1.3685410494737804</v>
      </c>
      <c r="X7746" s="2">
        <f ca="1"/>
        <v>57.872339988263917</v>
      </c>
      <c r="AG7746" s="2">
        <f ca="1"/>
        <v>0.44659188466727584</v>
      </c>
      <c r="AH7746" s="2" t="str">
        <f ca="1"/>
        <v>Bad</v>
      </c>
    </row>
    <row r="7747" spans="2:34" x14ac:dyDescent="0.2">
      <c r="B7747" s="2">
        <f ca="1"/>
        <v>0.85743024573869908</v>
      </c>
      <c r="O7747" s="2">
        <f ca="1"/>
        <v>-0.33994025017633211</v>
      </c>
      <c r="X7747" s="2">
        <f ca="1"/>
        <v>42.001322308571325</v>
      </c>
      <c r="AG7747" s="2">
        <f ca="1"/>
        <v>0.6411501628532712</v>
      </c>
      <c r="AH7747" s="2" t="str">
        <f ca="1"/>
        <v>Bad</v>
      </c>
    </row>
    <row r="7748" spans="2:34" x14ac:dyDescent="0.2">
      <c r="B7748" s="2">
        <f ca="1"/>
        <v>4.9053709995417583E-2</v>
      </c>
      <c r="O7748" s="2">
        <f ca="1"/>
        <v>-0.3376665533556969</v>
      </c>
      <c r="X7748" s="2">
        <f ca="1"/>
        <v>68.44853417777594</v>
      </c>
      <c r="AG7748" s="2">
        <f ca="1"/>
        <v>0.53506423836741268</v>
      </c>
      <c r="AH7748" s="2" t="str">
        <f ca="1"/>
        <v>Bad</v>
      </c>
    </row>
    <row r="7749" spans="2:34" x14ac:dyDescent="0.2">
      <c r="B7749" s="2">
        <f ca="1"/>
        <v>0.96047061037393422</v>
      </c>
      <c r="O7749" s="2">
        <f ca="1"/>
        <v>-0.49916839306255845</v>
      </c>
      <c r="X7749" s="2">
        <f ca="1"/>
        <v>49.280143797275706</v>
      </c>
      <c r="AG7749" s="2">
        <f ca="1"/>
        <v>0.81618446206990947</v>
      </c>
      <c r="AH7749" s="2" t="str">
        <f ca="1"/>
        <v>Bad</v>
      </c>
    </row>
    <row r="7750" spans="2:34" x14ac:dyDescent="0.2">
      <c r="B7750" s="2">
        <f ca="1"/>
        <v>0.30370918189526708</v>
      </c>
      <c r="O7750" s="2">
        <f ca="1"/>
        <v>-1.0534526705925716E-3</v>
      </c>
      <c r="X7750" s="2">
        <f ca="1"/>
        <v>50.905942694145374</v>
      </c>
      <c r="AG7750" s="2">
        <f ca="1"/>
        <v>4.3357142864619336E-2</v>
      </c>
      <c r="AH7750" s="2" t="str">
        <f ca="1"/>
        <v>Good</v>
      </c>
    </row>
    <row r="7751" spans="2:34" x14ac:dyDescent="0.2">
      <c r="B7751" s="2">
        <f ca="1"/>
        <v>0.6426659265525394</v>
      </c>
      <c r="O7751" s="2">
        <f ca="1"/>
        <v>-0.24458650327214132</v>
      </c>
      <c r="X7751" s="2">
        <f ca="1"/>
        <v>52.478872248017211</v>
      </c>
      <c r="AG7751" s="2">
        <f ca="1"/>
        <v>0.45060511240296952</v>
      </c>
      <c r="AH7751" s="2" t="str">
        <f ca="1"/>
        <v>Bad</v>
      </c>
    </row>
    <row r="7752" spans="2:34" x14ac:dyDescent="0.2">
      <c r="B7752" s="2">
        <f ca="1"/>
        <v>0.57764157290991092</v>
      </c>
      <c r="O7752" s="2">
        <f ca="1"/>
        <v>4.6795338259945944E-3</v>
      </c>
      <c r="X7752" s="2">
        <f ca="1"/>
        <v>51.325890172034363</v>
      </c>
      <c r="AG7752" s="2">
        <f ca="1"/>
        <v>0.81658742992504241</v>
      </c>
      <c r="AH7752" s="2" t="str">
        <f ca="1"/>
        <v>Bad</v>
      </c>
    </row>
    <row r="7753" spans="2:34" x14ac:dyDescent="0.2">
      <c r="B7753" s="2">
        <f ca="1"/>
        <v>0.37917959371622989</v>
      </c>
      <c r="O7753" s="2">
        <f ca="1"/>
        <v>0.19315725426093014</v>
      </c>
      <c r="X7753" s="2">
        <f ca="1"/>
        <v>49.432244872876552</v>
      </c>
      <c r="AG7753" s="2">
        <f ca="1"/>
        <v>0.25560014868085923</v>
      </c>
      <c r="AH7753" s="2" t="str">
        <f ca="1"/>
        <v>OK</v>
      </c>
    </row>
    <row r="7754" spans="2:34" x14ac:dyDescent="0.2">
      <c r="B7754" s="2">
        <f ca="1"/>
        <v>0.52815919246306353</v>
      </c>
      <c r="O7754" s="2">
        <f ca="1"/>
        <v>-0.37876021881538741</v>
      </c>
      <c r="X7754" s="2">
        <f ca="1"/>
        <v>44.285584015838076</v>
      </c>
      <c r="AG7754" s="2">
        <f ca="1"/>
        <v>0.55619975235071561</v>
      </c>
      <c r="AH7754" s="2" t="str">
        <f ca="1"/>
        <v>Bad</v>
      </c>
    </row>
    <row r="7755" spans="2:34" x14ac:dyDescent="0.2">
      <c r="B7755" s="2">
        <f ca="1"/>
        <v>0.55868532128726933</v>
      </c>
      <c r="O7755" s="2">
        <f ca="1"/>
        <v>-0.72941941883316841</v>
      </c>
      <c r="X7755" s="2">
        <f ca="1"/>
        <v>48.949446738713149</v>
      </c>
      <c r="AG7755" s="2">
        <f ca="1"/>
        <v>0.62285331858644755</v>
      </c>
      <c r="AH7755" s="2" t="str">
        <f ca="1"/>
        <v>Bad</v>
      </c>
    </row>
    <row r="7756" spans="2:34" x14ac:dyDescent="0.2">
      <c r="B7756" s="2">
        <f ca="1"/>
        <v>0.34230328211591377</v>
      </c>
      <c r="O7756" s="2">
        <f ca="1"/>
        <v>1.1782080784911606</v>
      </c>
      <c r="X7756" s="2">
        <f ca="1"/>
        <v>48.508745905458959</v>
      </c>
      <c r="AG7756" s="2">
        <f ca="1"/>
        <v>0.44197087142164548</v>
      </c>
      <c r="AH7756" s="2" t="str">
        <f ca="1"/>
        <v>Bad</v>
      </c>
    </row>
    <row r="7757" spans="2:34" x14ac:dyDescent="0.2">
      <c r="B7757" s="2">
        <f ca="1"/>
        <v>0.35034772679085435</v>
      </c>
      <c r="O7757" s="2">
        <f ca="1"/>
        <v>-1.2146830229941616</v>
      </c>
      <c r="X7757" s="2">
        <f ca="1"/>
        <v>43.183929622180266</v>
      </c>
      <c r="AG7757" s="2">
        <f ca="1"/>
        <v>0.16850699441372896</v>
      </c>
      <c r="AH7757" s="2" t="str">
        <f ca="1"/>
        <v>OK</v>
      </c>
    </row>
    <row r="7758" spans="2:34" x14ac:dyDescent="0.2">
      <c r="B7758" s="2">
        <f ca="1"/>
        <v>0.24161183415972243</v>
      </c>
      <c r="O7758" s="2">
        <f ca="1"/>
        <v>-5.0939132325983037E-2</v>
      </c>
      <c r="X7758" s="2">
        <f ca="1"/>
        <v>60.512809018545966</v>
      </c>
      <c r="AG7758" s="2">
        <f ca="1"/>
        <v>0.59598656840481556</v>
      </c>
      <c r="AH7758" s="2" t="str">
        <f ca="1"/>
        <v>Bad</v>
      </c>
    </row>
    <row r="7759" spans="2:34" x14ac:dyDescent="0.2">
      <c r="B7759" s="2">
        <f ca="1"/>
        <v>0.50357913300662505</v>
      </c>
      <c r="O7759" s="2">
        <f ca="1"/>
        <v>0.67150976999133671</v>
      </c>
      <c r="X7759" s="2">
        <f ca="1"/>
        <v>63.027588991747848</v>
      </c>
      <c r="AG7759" s="2">
        <f ca="1"/>
        <v>0.43823673810180996</v>
      </c>
      <c r="AH7759" s="2" t="str">
        <f ca="1"/>
        <v>Bad</v>
      </c>
    </row>
    <row r="7760" spans="2:34" x14ac:dyDescent="0.2">
      <c r="B7760" s="2">
        <f ca="1"/>
        <v>0.54574179071131512</v>
      </c>
      <c r="O7760" s="2">
        <f ca="1"/>
        <v>2.223162837853589</v>
      </c>
      <c r="X7760" s="2">
        <f ca="1"/>
        <v>51.820070715309626</v>
      </c>
      <c r="AG7760" s="2">
        <f ca="1"/>
        <v>5.2248778274069263E-2</v>
      </c>
      <c r="AH7760" s="2" t="str">
        <f ca="1"/>
        <v>OK</v>
      </c>
    </row>
    <row r="7761" spans="2:34" x14ac:dyDescent="0.2">
      <c r="B7761" s="2">
        <f ca="1"/>
        <v>0.87301712358636396</v>
      </c>
      <c r="O7761" s="2">
        <f ca="1"/>
        <v>-0.76306491431308154</v>
      </c>
      <c r="X7761" s="2">
        <f ca="1"/>
        <v>43.09938675977395</v>
      </c>
      <c r="AG7761" s="2">
        <f ca="1"/>
        <v>0.28560552500619441</v>
      </c>
      <c r="AH7761" s="2" t="str">
        <f ca="1"/>
        <v>OK</v>
      </c>
    </row>
    <row r="7762" spans="2:34" x14ac:dyDescent="0.2">
      <c r="B7762" s="2">
        <f ca="1"/>
        <v>0.16486377109553496</v>
      </c>
      <c r="O7762" s="2">
        <f ca="1"/>
        <v>-0.12253593129852874</v>
      </c>
      <c r="X7762" s="2">
        <f ca="1"/>
        <v>47.206695961898518</v>
      </c>
      <c r="AG7762" s="2">
        <f ca="1"/>
        <v>0.34104100496139322</v>
      </c>
      <c r="AH7762" s="2" t="str">
        <f ca="1"/>
        <v>OK</v>
      </c>
    </row>
    <row r="7763" spans="2:34" x14ac:dyDescent="0.2">
      <c r="B7763" s="2">
        <f ca="1"/>
        <v>0.81764110637459009</v>
      </c>
      <c r="O7763" s="2">
        <f ca="1"/>
        <v>-0.9160131119857341</v>
      </c>
      <c r="X7763" s="2">
        <f ca="1"/>
        <v>37.777556557932776</v>
      </c>
      <c r="AG7763" s="2">
        <f ca="1"/>
        <v>0.17709559821813503</v>
      </c>
      <c r="AH7763" s="2" t="str">
        <f ca="1"/>
        <v>OK</v>
      </c>
    </row>
    <row r="7764" spans="2:34" x14ac:dyDescent="0.2">
      <c r="B7764" s="2">
        <f ca="1"/>
        <v>0.22649496003217773</v>
      </c>
      <c r="O7764" s="2">
        <f ca="1"/>
        <v>-0.76848806354835753</v>
      </c>
      <c r="X7764" s="2">
        <f ca="1"/>
        <v>69.89980341585094</v>
      </c>
      <c r="AG7764" s="2">
        <f ca="1"/>
        <v>0.63926382681415173</v>
      </c>
      <c r="AH7764" s="2" t="str">
        <f ca="1"/>
        <v>Bad</v>
      </c>
    </row>
    <row r="7765" spans="2:34" x14ac:dyDescent="0.2">
      <c r="B7765" s="2">
        <f ca="1"/>
        <v>0.11105806924764572</v>
      </c>
      <c r="O7765" s="2">
        <f ca="1"/>
        <v>0.84852112132786917</v>
      </c>
      <c r="X7765" s="2">
        <f ca="1"/>
        <v>50.435948079792496</v>
      </c>
      <c r="AG7765" s="2">
        <f ca="1"/>
        <v>0.91706793020100674</v>
      </c>
      <c r="AH7765" s="2" t="str">
        <f ca="1"/>
        <v>Bad</v>
      </c>
    </row>
    <row r="7766" spans="2:34" x14ac:dyDescent="0.2">
      <c r="B7766" s="2">
        <f ca="1"/>
        <v>0.13732934448072043</v>
      </c>
      <c r="O7766" s="2">
        <f ca="1"/>
        <v>1.1208037565807942</v>
      </c>
      <c r="X7766" s="2">
        <f ca="1"/>
        <v>66.492118549988902</v>
      </c>
      <c r="AG7766" s="2">
        <f ca="1"/>
        <v>0.22009606704826701</v>
      </c>
      <c r="AH7766" s="2" t="str">
        <f ca="1"/>
        <v>OK</v>
      </c>
    </row>
    <row r="7767" spans="2:34" x14ac:dyDescent="0.2">
      <c r="B7767" s="2">
        <f ca="1"/>
        <v>4.0480341293286815E-2</v>
      </c>
      <c r="O7767" s="2">
        <f ca="1"/>
        <v>0.35901640007703722</v>
      </c>
      <c r="X7767" s="2">
        <f ca="1"/>
        <v>85.993170803427645</v>
      </c>
      <c r="AG7767" s="2">
        <f ca="1"/>
        <v>0.96233519029662196</v>
      </c>
      <c r="AH7767" s="2" t="str">
        <f ca="1"/>
        <v>Bad</v>
      </c>
    </row>
    <row r="7768" spans="2:34" x14ac:dyDescent="0.2">
      <c r="B7768" s="2">
        <f ca="1"/>
        <v>0.17763823752235419</v>
      </c>
      <c r="O7768" s="2">
        <f ca="1"/>
        <v>-0.91851410350402085</v>
      </c>
      <c r="X7768" s="2">
        <f ca="1"/>
        <v>32.965425550362902</v>
      </c>
      <c r="AG7768" s="2">
        <f ca="1"/>
        <v>0.87093741242248912</v>
      </c>
      <c r="AH7768" s="2" t="str">
        <f ca="1"/>
        <v>Bad</v>
      </c>
    </row>
    <row r="7769" spans="2:34" x14ac:dyDescent="0.2">
      <c r="B7769" s="2">
        <f ca="1"/>
        <v>0.22191720122006986</v>
      </c>
      <c r="O7769" s="2">
        <f ca="1"/>
        <v>0.87467663156646347</v>
      </c>
      <c r="X7769" s="2">
        <f ca="1"/>
        <v>52.73587170465261</v>
      </c>
      <c r="AG7769" s="2">
        <f ca="1"/>
        <v>0.22045357456690273</v>
      </c>
      <c r="AH7769" s="2" t="str">
        <f ca="1"/>
        <v>OK</v>
      </c>
    </row>
    <row r="7770" spans="2:34" x14ac:dyDescent="0.2">
      <c r="B7770" s="2">
        <f ca="1"/>
        <v>0.76722853111879785</v>
      </c>
      <c r="O7770" s="2">
        <f ca="1"/>
        <v>5.3508185263923293E-2</v>
      </c>
      <c r="X7770" s="2">
        <f ca="1"/>
        <v>22.972972822236919</v>
      </c>
      <c r="AG7770" s="2">
        <f ca="1"/>
        <v>0.96916377136953802</v>
      </c>
      <c r="AH7770" s="2" t="str">
        <f ca="1"/>
        <v>Bad</v>
      </c>
    </row>
    <row r="7771" spans="2:34" x14ac:dyDescent="0.2">
      <c r="B7771" s="2">
        <f ca="1"/>
        <v>0.52988025441234843</v>
      </c>
      <c r="O7771" s="2">
        <f ca="1"/>
        <v>0.4349663805956277</v>
      </c>
      <c r="X7771" s="2">
        <f ca="1"/>
        <v>32.191568770200035</v>
      </c>
      <c r="AG7771" s="2">
        <f ca="1"/>
        <v>0.49802038210200439</v>
      </c>
      <c r="AH7771" s="2" t="str">
        <f ca="1"/>
        <v>Bad</v>
      </c>
    </row>
    <row r="7772" spans="2:34" x14ac:dyDescent="0.2">
      <c r="B7772" s="2">
        <f ca="1"/>
        <v>0.26946336042045904</v>
      </c>
      <c r="O7772" s="2">
        <f ca="1"/>
        <v>1.5547038651471365</v>
      </c>
      <c r="X7772" s="2">
        <f ca="1"/>
        <v>70.343363091688019</v>
      </c>
      <c r="AG7772" s="2">
        <f ca="1"/>
        <v>0.9877074978849123</v>
      </c>
      <c r="AH7772" s="2" t="str">
        <f ca="1"/>
        <v>Bad</v>
      </c>
    </row>
    <row r="7773" spans="2:34" x14ac:dyDescent="0.2">
      <c r="B7773" s="2">
        <f ca="1"/>
        <v>0.28871357741640424</v>
      </c>
      <c r="O7773" s="2">
        <f ca="1"/>
        <v>9.1337562801010977E-2</v>
      </c>
      <c r="X7773" s="2">
        <f ca="1"/>
        <v>50.090410205320808</v>
      </c>
      <c r="AG7773" s="2">
        <f ca="1"/>
        <v>0.46399760828198211</v>
      </c>
      <c r="AH7773" s="2" t="str">
        <f ca="1"/>
        <v>Bad</v>
      </c>
    </row>
    <row r="7774" spans="2:34" x14ac:dyDescent="0.2">
      <c r="B7774" s="2">
        <f ca="1"/>
        <v>0.69260755428292042</v>
      </c>
      <c r="O7774" s="2">
        <f ca="1"/>
        <v>0.66042278078098726</v>
      </c>
      <c r="X7774" s="2">
        <f ca="1"/>
        <v>61.197736766592257</v>
      </c>
      <c r="AG7774" s="2">
        <f ca="1"/>
        <v>0.4583533536358313</v>
      </c>
      <c r="AH7774" s="2" t="str">
        <f ca="1"/>
        <v>Bad</v>
      </c>
    </row>
    <row r="7775" spans="2:34" x14ac:dyDescent="0.2">
      <c r="B7775" s="2">
        <f ca="1"/>
        <v>0.58089659508544012</v>
      </c>
      <c r="O7775" s="2">
        <f ca="1"/>
        <v>-0.25987241352989671</v>
      </c>
      <c r="X7775" s="2">
        <f ca="1"/>
        <v>53.913506718934265</v>
      </c>
      <c r="AG7775" s="2">
        <f ca="1"/>
        <v>0.23049156951430949</v>
      </c>
      <c r="AH7775" s="2" t="str">
        <f ca="1"/>
        <v>OK</v>
      </c>
    </row>
    <row r="7776" spans="2:34" x14ac:dyDescent="0.2">
      <c r="B7776" s="2">
        <f ca="1"/>
        <v>0.37080055969408998</v>
      </c>
      <c r="O7776" s="2">
        <f ca="1"/>
        <v>-1.6875077906951732</v>
      </c>
      <c r="X7776" s="2">
        <f ca="1"/>
        <v>43.335251422983603</v>
      </c>
      <c r="AG7776" s="2">
        <f ca="1"/>
        <v>0.46106656606603513</v>
      </c>
      <c r="AH7776" s="2" t="str">
        <f ca="1"/>
        <v>Bad</v>
      </c>
    </row>
    <row r="7777" spans="2:34" x14ac:dyDescent="0.2">
      <c r="B7777" s="2">
        <f ca="1"/>
        <v>0.98551860729959473</v>
      </c>
      <c r="O7777" s="2">
        <f ca="1"/>
        <v>-0.34028977568618252</v>
      </c>
      <c r="X7777" s="2">
        <f ca="1"/>
        <v>57.102785412076457</v>
      </c>
      <c r="AG7777" s="2">
        <f ca="1"/>
        <v>0.74418097909935876</v>
      </c>
      <c r="AH7777" s="2" t="str">
        <f ca="1"/>
        <v>Bad</v>
      </c>
    </row>
    <row r="7778" spans="2:34" x14ac:dyDescent="0.2">
      <c r="B7778" s="2">
        <f ca="1"/>
        <v>0.23538753729776363</v>
      </c>
      <c r="O7778" s="2">
        <f ca="1"/>
        <v>0.43893640330356282</v>
      </c>
      <c r="X7778" s="2">
        <f ca="1"/>
        <v>44.030529367830241</v>
      </c>
      <c r="AG7778" s="2">
        <f ca="1"/>
        <v>0.42064125512959438</v>
      </c>
      <c r="AH7778" s="2" t="str">
        <f ca="1"/>
        <v>Bad</v>
      </c>
    </row>
    <row r="7779" spans="2:34" x14ac:dyDescent="0.2">
      <c r="B7779" s="2">
        <f ca="1"/>
        <v>0.56163774667239474</v>
      </c>
      <c r="O7779" s="2">
        <f ca="1"/>
        <v>0.23783956463435807</v>
      </c>
      <c r="X7779" s="2">
        <f ca="1"/>
        <v>45.7705194097408</v>
      </c>
      <c r="AG7779" s="2">
        <f ca="1"/>
        <v>0.77698290931304848</v>
      </c>
      <c r="AH7779" s="2" t="str">
        <f ca="1"/>
        <v>Bad</v>
      </c>
    </row>
    <row r="7780" spans="2:34" x14ac:dyDescent="0.2">
      <c r="B7780" s="2">
        <f ca="1"/>
        <v>0.69171713408123381</v>
      </c>
      <c r="O7780" s="2">
        <f ca="1"/>
        <v>-1.6779915850956564</v>
      </c>
      <c r="X7780" s="2">
        <f ca="1"/>
        <v>51.284983162329318</v>
      </c>
      <c r="AG7780" s="2">
        <f ca="1"/>
        <v>0.25688765776975786</v>
      </c>
      <c r="AH7780" s="2" t="str">
        <f ca="1"/>
        <v>OK</v>
      </c>
    </row>
    <row r="7781" spans="2:34" x14ac:dyDescent="0.2">
      <c r="B7781" s="2">
        <f ca="1"/>
        <v>5.7959537531076633E-2</v>
      </c>
      <c r="O7781" s="2">
        <f ca="1"/>
        <v>-0.58813059138038914</v>
      </c>
      <c r="X7781" s="2">
        <f ca="1"/>
        <v>53.615023844170182</v>
      </c>
      <c r="AG7781" s="2">
        <f ca="1"/>
        <v>0.84502611318519016</v>
      </c>
      <c r="AH7781" s="2" t="str">
        <f ca="1"/>
        <v>Bad</v>
      </c>
    </row>
    <row r="7782" spans="2:34" x14ac:dyDescent="0.2">
      <c r="B7782" s="2">
        <f ca="1"/>
        <v>0.58978186959796397</v>
      </c>
      <c r="O7782" s="2">
        <f ca="1"/>
        <v>-1.4956365396211853</v>
      </c>
      <c r="X7782" s="2">
        <f ca="1"/>
        <v>35.674892418726031</v>
      </c>
      <c r="AG7782" s="2">
        <f ca="1"/>
        <v>0.83900272093427075</v>
      </c>
      <c r="AH7782" s="2" t="str">
        <f ca="1"/>
        <v>Bad</v>
      </c>
    </row>
    <row r="7783" spans="2:34" x14ac:dyDescent="0.2">
      <c r="B7783" s="2">
        <f ca="1"/>
        <v>0.95608972539139581</v>
      </c>
      <c r="O7783" s="2">
        <f ca="1"/>
        <v>-0.84645693355118246</v>
      </c>
      <c r="X7783" s="2">
        <f ca="1"/>
        <v>90.798854868106304</v>
      </c>
      <c r="AG7783" s="2">
        <f ca="1"/>
        <v>0.21762146660296411</v>
      </c>
      <c r="AH7783" s="2" t="str">
        <f ca="1"/>
        <v>OK</v>
      </c>
    </row>
    <row r="7784" spans="2:34" x14ac:dyDescent="0.2">
      <c r="B7784" s="2">
        <f ca="1"/>
        <v>0.71779542904879645</v>
      </c>
      <c r="O7784" s="2">
        <f ca="1"/>
        <v>-0.82782221133449885</v>
      </c>
      <c r="X7784" s="2">
        <f ca="1"/>
        <v>65.259565227382538</v>
      </c>
      <c r="AG7784" s="2">
        <f ca="1"/>
        <v>3.4721781769301296E-2</v>
      </c>
      <c r="AH7784" s="2" t="str">
        <f ca="1"/>
        <v>Good</v>
      </c>
    </row>
    <row r="7785" spans="2:34" x14ac:dyDescent="0.2">
      <c r="B7785" s="2">
        <f ca="1"/>
        <v>0.96752303421099817</v>
      </c>
      <c r="O7785" s="2">
        <f ca="1"/>
        <v>0.66864027008722693</v>
      </c>
      <c r="X7785" s="2">
        <f ca="1"/>
        <v>41.574233298434535</v>
      </c>
      <c r="AG7785" s="2">
        <f ca="1"/>
        <v>0.33089504915290324</v>
      </c>
      <c r="AH7785" s="2" t="str">
        <f ca="1"/>
        <v>OK</v>
      </c>
    </row>
    <row r="7786" spans="2:34" x14ac:dyDescent="0.2">
      <c r="B7786" s="2">
        <f ca="1"/>
        <v>0.4725710391637532</v>
      </c>
      <c r="O7786" s="2">
        <f ca="1"/>
        <v>7.9837559386538443E-2</v>
      </c>
      <c r="X7786" s="2">
        <f ca="1"/>
        <v>27.313213514145623</v>
      </c>
      <c r="AG7786" s="2">
        <f ca="1"/>
        <v>0.77888097537978274</v>
      </c>
      <c r="AH7786" s="2" t="str">
        <f ca="1"/>
        <v>Bad</v>
      </c>
    </row>
    <row r="7787" spans="2:34" x14ac:dyDescent="0.2">
      <c r="B7787" s="2">
        <f ca="1"/>
        <v>0.11079941839147689</v>
      </c>
      <c r="O7787" s="2">
        <f ca="1"/>
        <v>0.87789818966144773</v>
      </c>
      <c r="X7787" s="2">
        <f ca="1"/>
        <v>83.425087742325417</v>
      </c>
      <c r="AG7787" s="2">
        <f ca="1"/>
        <v>0.91049966115069303</v>
      </c>
      <c r="AH7787" s="2" t="str">
        <f ca="1"/>
        <v>Bad</v>
      </c>
    </row>
    <row r="7788" spans="2:34" x14ac:dyDescent="0.2">
      <c r="B7788" s="2">
        <f ca="1"/>
        <v>0.64896917379914854</v>
      </c>
      <c r="O7788" s="2">
        <f ca="1"/>
        <v>-0.30872498721440039</v>
      </c>
      <c r="X7788" s="2">
        <f ca="1"/>
        <v>26.363375676904187</v>
      </c>
      <c r="AG7788" s="2">
        <f ca="1"/>
        <v>0.27049302800044916</v>
      </c>
      <c r="AH7788" s="2" t="str">
        <f ca="1"/>
        <v>OK</v>
      </c>
    </row>
    <row r="7789" spans="2:34" x14ac:dyDescent="0.2">
      <c r="B7789" s="2">
        <f ca="1"/>
        <v>0.74105126307185043</v>
      </c>
      <c r="O7789" s="2">
        <f ca="1"/>
        <v>-0.28662280001602419</v>
      </c>
      <c r="X7789" s="2">
        <f ca="1"/>
        <v>37.813453062226856</v>
      </c>
      <c r="AG7789" s="2">
        <f ca="1"/>
        <v>0.80773127354891594</v>
      </c>
      <c r="AH7789" s="2" t="str">
        <f ca="1"/>
        <v>Bad</v>
      </c>
    </row>
    <row r="7790" spans="2:34" x14ac:dyDescent="0.2">
      <c r="B7790" s="2">
        <f ca="1"/>
        <v>0.33203368805377131</v>
      </c>
      <c r="O7790" s="2">
        <f ca="1"/>
        <v>0.67869698260870748</v>
      </c>
      <c r="X7790" s="2">
        <f ca="1"/>
        <v>48.532179566227278</v>
      </c>
      <c r="AG7790" s="2">
        <f ca="1"/>
        <v>0.72184767216204504</v>
      </c>
      <c r="AH7790" s="2" t="str">
        <f ca="1"/>
        <v>Bad</v>
      </c>
    </row>
    <row r="7791" spans="2:34" x14ac:dyDescent="0.2">
      <c r="B7791" s="2">
        <f ca="1"/>
        <v>0.27010313018622623</v>
      </c>
      <c r="O7791" s="2">
        <f ca="1"/>
        <v>-3.1146059252888287E-2</v>
      </c>
      <c r="X7791" s="2">
        <f ca="1"/>
        <v>28.79544386889842</v>
      </c>
      <c r="AG7791" s="2">
        <f ca="1"/>
        <v>0.1022175178852287</v>
      </c>
      <c r="AH7791" s="2" t="str">
        <f ca="1"/>
        <v>OK</v>
      </c>
    </row>
    <row r="7792" spans="2:34" x14ac:dyDescent="0.2">
      <c r="B7792" s="2">
        <f ca="1"/>
        <v>0.98449151321548722</v>
      </c>
      <c r="O7792" s="2">
        <f ca="1"/>
        <v>0.94539271744230635</v>
      </c>
      <c r="X7792" s="2">
        <f ca="1"/>
        <v>44.711318359912866</v>
      </c>
      <c r="AG7792" s="2">
        <f ca="1"/>
        <v>0.99298909806806157</v>
      </c>
      <c r="AH7792" s="2" t="str">
        <f ca="1"/>
        <v>Bad</v>
      </c>
    </row>
    <row r="7793" spans="2:34" x14ac:dyDescent="0.2">
      <c r="B7793" s="2">
        <f ca="1"/>
        <v>0.59981787979587642</v>
      </c>
      <c r="O7793" s="2">
        <f ca="1"/>
        <v>-0.47643924280221306</v>
      </c>
      <c r="X7793" s="2">
        <f ca="1"/>
        <v>70.906822775895662</v>
      </c>
      <c r="AG7793" s="2">
        <f ca="1"/>
        <v>0.93559206740388912</v>
      </c>
      <c r="AH7793" s="2" t="str">
        <f ca="1"/>
        <v>Bad</v>
      </c>
    </row>
    <row r="7794" spans="2:34" x14ac:dyDescent="0.2">
      <c r="B7794" s="2">
        <f ca="1"/>
        <v>0.75829591102925487</v>
      </c>
      <c r="O7794" s="2">
        <f ca="1"/>
        <v>-0.78807418190090872</v>
      </c>
      <c r="X7794" s="2">
        <f ca="1"/>
        <v>23.432957215022835</v>
      </c>
      <c r="AG7794" s="2">
        <f ca="1"/>
        <v>0.99896893364561556</v>
      </c>
      <c r="AH7794" s="2" t="str">
        <f ca="1"/>
        <v>Bad</v>
      </c>
    </row>
    <row r="7795" spans="2:34" x14ac:dyDescent="0.2">
      <c r="B7795" s="2">
        <f ca="1"/>
        <v>0.80379580705836839</v>
      </c>
      <c r="O7795" s="2">
        <f ca="1"/>
        <v>1.1284408616064996</v>
      </c>
      <c r="X7795" s="2">
        <f ca="1"/>
        <v>61.558857545983642</v>
      </c>
      <c r="AG7795" s="2">
        <f ca="1"/>
        <v>0.19604277200784992</v>
      </c>
      <c r="AH7795" s="2" t="str">
        <f ca="1"/>
        <v>OK</v>
      </c>
    </row>
    <row r="7796" spans="2:34" x14ac:dyDescent="0.2">
      <c r="B7796" s="2">
        <f ca="1"/>
        <v>1.995676720616224E-2</v>
      </c>
      <c r="O7796" s="2">
        <f ca="1"/>
        <v>0.18465535294844304</v>
      </c>
      <c r="X7796" s="2">
        <f ca="1"/>
        <v>43.262928841420695</v>
      </c>
      <c r="AG7796" s="2">
        <f ca="1"/>
        <v>0.81653553706541171</v>
      </c>
      <c r="AH7796" s="2" t="str">
        <f ca="1"/>
        <v>Bad</v>
      </c>
    </row>
    <row r="7797" spans="2:34" x14ac:dyDescent="0.2">
      <c r="B7797" s="2">
        <f ca="1"/>
        <v>0.35620946629413952</v>
      </c>
      <c r="O7797" s="2">
        <f ca="1"/>
        <v>0.54639504182909338</v>
      </c>
      <c r="X7797" s="2">
        <f ca="1"/>
        <v>50.277172404712893</v>
      </c>
      <c r="AG7797" s="2">
        <f ca="1"/>
        <v>0.62305728182408848</v>
      </c>
      <c r="AH7797" s="2" t="str">
        <f ca="1"/>
        <v>Bad</v>
      </c>
    </row>
    <row r="7798" spans="2:34" x14ac:dyDescent="0.2">
      <c r="B7798" s="2">
        <f ca="1"/>
        <v>0.53227350546091934</v>
      </c>
      <c r="O7798" s="2">
        <f ca="1"/>
        <v>0.31478292496000843</v>
      </c>
      <c r="X7798" s="2">
        <f ca="1"/>
        <v>48.461826841936841</v>
      </c>
      <c r="AG7798" s="2">
        <f ca="1"/>
        <v>0.2707000674705371</v>
      </c>
      <c r="AH7798" s="2" t="str">
        <f ca="1"/>
        <v>OK</v>
      </c>
    </row>
    <row r="7799" spans="2:34" x14ac:dyDescent="0.2">
      <c r="B7799" s="2">
        <f ca="1"/>
        <v>0.45333673384023188</v>
      </c>
      <c r="O7799" s="2">
        <f ca="1"/>
        <v>0.49983177374543614</v>
      </c>
      <c r="X7799" s="2">
        <f ca="1"/>
        <v>52.548800416088206</v>
      </c>
      <c r="AG7799" s="2">
        <f ca="1"/>
        <v>1.6261598000888222E-2</v>
      </c>
      <c r="AH7799" s="2" t="str">
        <f ca="1"/>
        <v>Good</v>
      </c>
    </row>
    <row r="7800" spans="2:34" x14ac:dyDescent="0.2">
      <c r="B7800" s="2">
        <f ca="1"/>
        <v>0.55777299744693853</v>
      </c>
      <c r="O7800" s="2">
        <f ca="1"/>
        <v>0.21451049756892909</v>
      </c>
      <c r="X7800" s="2">
        <f ca="1"/>
        <v>59.620090770547733</v>
      </c>
      <c r="AG7800" s="2">
        <f ca="1"/>
        <v>0.91197224101126295</v>
      </c>
      <c r="AH7800" s="2" t="str">
        <f ca="1"/>
        <v>Bad</v>
      </c>
    </row>
    <row r="7801" spans="2:34" x14ac:dyDescent="0.2">
      <c r="B7801" s="2">
        <f ca="1"/>
        <v>0.73563494551800912</v>
      </c>
      <c r="O7801" s="2">
        <f ca="1"/>
        <v>-0.51346562878507684</v>
      </c>
      <c r="X7801" s="2">
        <f ca="1"/>
        <v>22.972638406529811</v>
      </c>
      <c r="AG7801" s="2">
        <f ca="1"/>
        <v>0.69334370065832851</v>
      </c>
      <c r="AH7801" s="2" t="str">
        <f ca="1"/>
        <v>Bad</v>
      </c>
    </row>
    <row r="7802" spans="2:34" x14ac:dyDescent="0.2">
      <c r="B7802" s="2">
        <f ca="1"/>
        <v>8.2599954165240019E-2</v>
      </c>
      <c r="O7802" s="2">
        <f ca="1"/>
        <v>-0.13665207842790472</v>
      </c>
      <c r="X7802" s="2">
        <f ca="1"/>
        <v>37.479984077842978</v>
      </c>
      <c r="AG7802" s="2">
        <f ca="1"/>
        <v>0.30512937304219956</v>
      </c>
      <c r="AH7802" s="2" t="str">
        <f ca="1"/>
        <v>OK</v>
      </c>
    </row>
    <row r="7803" spans="2:34" x14ac:dyDescent="0.2">
      <c r="B7803" s="2">
        <f ca="1"/>
        <v>0.50515003532048097</v>
      </c>
      <c r="O7803" s="2">
        <f ca="1"/>
        <v>0.30923752177760944</v>
      </c>
      <c r="X7803" s="2">
        <f ca="1"/>
        <v>50.423385892951103</v>
      </c>
      <c r="AG7803" s="2">
        <f ca="1"/>
        <v>0.19172783516504066</v>
      </c>
      <c r="AH7803" s="2" t="str">
        <f ca="1"/>
        <v>OK</v>
      </c>
    </row>
    <row r="7804" spans="2:34" x14ac:dyDescent="0.2">
      <c r="B7804" s="2">
        <f ca="1"/>
        <v>0.68287888736781155</v>
      </c>
      <c r="O7804" s="2">
        <f ca="1"/>
        <v>5.6620389484073851E-2</v>
      </c>
      <c r="X7804" s="2">
        <f ca="1"/>
        <v>61.318530135297266</v>
      </c>
      <c r="AG7804" s="2">
        <f ca="1"/>
        <v>0.99873548279041557</v>
      </c>
      <c r="AH7804" s="2" t="str">
        <f ca="1"/>
        <v>Bad</v>
      </c>
    </row>
    <row r="7805" spans="2:34" x14ac:dyDescent="0.2">
      <c r="B7805" s="2">
        <f ca="1"/>
        <v>0.83995958549069605</v>
      </c>
      <c r="O7805" s="2">
        <f ca="1"/>
        <v>0.39239800713674744</v>
      </c>
      <c r="X7805" s="2">
        <f ca="1"/>
        <v>50.015202078951681</v>
      </c>
      <c r="AG7805" s="2">
        <f ca="1"/>
        <v>4.3756221101629356E-2</v>
      </c>
      <c r="AH7805" s="2" t="str">
        <f ca="1"/>
        <v>Good</v>
      </c>
    </row>
    <row r="7806" spans="2:34" x14ac:dyDescent="0.2">
      <c r="B7806" s="2">
        <f ca="1"/>
        <v>8.7011774772771888E-2</v>
      </c>
      <c r="O7806" s="2">
        <f ca="1"/>
        <v>0.2404836545563937</v>
      </c>
      <c r="X7806" s="2">
        <f ca="1"/>
        <v>33.047779645282731</v>
      </c>
      <c r="AG7806" s="2">
        <f ca="1"/>
        <v>0.28248990800329232</v>
      </c>
      <c r="AH7806" s="2" t="str">
        <f ca="1"/>
        <v>OK</v>
      </c>
    </row>
    <row r="7807" spans="2:34" x14ac:dyDescent="0.2">
      <c r="B7807" s="2">
        <f ca="1"/>
        <v>0.92936019747107435</v>
      </c>
      <c r="O7807" s="2">
        <f ca="1"/>
        <v>0.39417086870435891</v>
      </c>
      <c r="X7807" s="2">
        <f ca="1"/>
        <v>66.188200985295168</v>
      </c>
      <c r="AG7807" s="2">
        <f ca="1"/>
        <v>6.2117188086294961E-2</v>
      </c>
      <c r="AH7807" s="2" t="str">
        <f ca="1"/>
        <v>OK</v>
      </c>
    </row>
    <row r="7808" spans="2:34" x14ac:dyDescent="0.2">
      <c r="B7808" s="2">
        <f ca="1"/>
        <v>0.90837930361540997</v>
      </c>
      <c r="O7808" s="2">
        <f ca="1"/>
        <v>8.0919704739039408E-2</v>
      </c>
      <c r="X7808" s="2">
        <f ca="1"/>
        <v>69.661869033970291</v>
      </c>
      <c r="AG7808" s="2">
        <f ca="1"/>
        <v>0.70453154980992005</v>
      </c>
      <c r="AH7808" s="2" t="str">
        <f ca="1"/>
        <v>Bad</v>
      </c>
    </row>
    <row r="7809" spans="2:34" x14ac:dyDescent="0.2">
      <c r="B7809" s="2">
        <f ca="1"/>
        <v>0.31482959115826858</v>
      </c>
      <c r="O7809" s="2">
        <f ca="1"/>
        <v>0.49481461367790058</v>
      </c>
      <c r="X7809" s="2">
        <f ca="1"/>
        <v>52.850357052278447</v>
      </c>
      <c r="AG7809" s="2">
        <f ca="1"/>
        <v>0.62925461855905196</v>
      </c>
      <c r="AH7809" s="2" t="str">
        <f ca="1"/>
        <v>Bad</v>
      </c>
    </row>
    <row r="7810" spans="2:34" x14ac:dyDescent="0.2">
      <c r="B7810" s="2">
        <f ca="1"/>
        <v>0.10510077609794322</v>
      </c>
      <c r="O7810" s="2">
        <f ca="1"/>
        <v>-0.26355675556982999</v>
      </c>
      <c r="X7810" s="2">
        <f ca="1"/>
        <v>93.717232957273936</v>
      </c>
      <c r="AG7810" s="2">
        <f ca="1"/>
        <v>0.13504456628899497</v>
      </c>
      <c r="AH7810" s="2" t="str">
        <f ca="1"/>
        <v>OK</v>
      </c>
    </row>
    <row r="7811" spans="2:34" x14ac:dyDescent="0.2">
      <c r="B7811" s="2">
        <f ca="1"/>
        <v>0.74718175712058144</v>
      </c>
      <c r="O7811" s="2">
        <f ca="1"/>
        <v>-1.07336148192289</v>
      </c>
      <c r="X7811" s="2">
        <f ca="1"/>
        <v>21.552723994405724</v>
      </c>
      <c r="AG7811" s="2">
        <f ca="1"/>
        <v>0.37517006022102128</v>
      </c>
      <c r="AH7811" s="2" t="str">
        <f ca="1"/>
        <v>OK</v>
      </c>
    </row>
    <row r="7812" spans="2:34" x14ac:dyDescent="0.2">
      <c r="B7812" s="2">
        <f ca="1"/>
        <v>9.0389330563157566E-2</v>
      </c>
      <c r="O7812" s="2">
        <f ca="1"/>
        <v>0.17492249896908454</v>
      </c>
      <c r="X7812" s="2">
        <f ca="1"/>
        <v>55.557983692216894</v>
      </c>
      <c r="AG7812" s="2">
        <f ca="1"/>
        <v>0.7813939662988294</v>
      </c>
      <c r="AH7812" s="2" t="str">
        <f ca="1"/>
        <v>Bad</v>
      </c>
    </row>
    <row r="7813" spans="2:34" x14ac:dyDescent="0.2">
      <c r="B7813" s="2">
        <f ca="1"/>
        <v>0.82249084582046872</v>
      </c>
      <c r="O7813" s="2">
        <f ca="1"/>
        <v>0.32641520577073302</v>
      </c>
      <c r="X7813" s="2">
        <f ca="1"/>
        <v>46.417728532600655</v>
      </c>
      <c r="AG7813" s="2">
        <f ca="1"/>
        <v>0.2465279731201977</v>
      </c>
      <c r="AH7813" s="2" t="str">
        <f ca="1"/>
        <v>OK</v>
      </c>
    </row>
    <row r="7814" spans="2:34" x14ac:dyDescent="0.2">
      <c r="B7814" s="2">
        <f ca="1"/>
        <v>0.94915337238458686</v>
      </c>
      <c r="O7814" s="2">
        <f ca="1"/>
        <v>-0.62379535104004946</v>
      </c>
      <c r="X7814" s="2">
        <f ca="1"/>
        <v>66.014418276234849</v>
      </c>
      <c r="AG7814" s="2">
        <f ca="1"/>
        <v>0.63663745442951725</v>
      </c>
      <c r="AH7814" s="2" t="str">
        <f ca="1"/>
        <v>Bad</v>
      </c>
    </row>
    <row r="7815" spans="2:34" x14ac:dyDescent="0.2">
      <c r="B7815" s="2">
        <f ca="1"/>
        <v>0.68260981892532335</v>
      </c>
      <c r="O7815" s="2">
        <f ca="1"/>
        <v>0.12219964561204036</v>
      </c>
      <c r="X7815" s="2">
        <f ca="1"/>
        <v>40.831604083008486</v>
      </c>
      <c r="AG7815" s="2">
        <f ca="1"/>
        <v>0.89692507256445553</v>
      </c>
      <c r="AH7815" s="2" t="str">
        <f ca="1"/>
        <v>Bad</v>
      </c>
    </row>
    <row r="7816" spans="2:34" x14ac:dyDescent="0.2">
      <c r="B7816" s="2">
        <f ca="1"/>
        <v>0.60667503390805111</v>
      </c>
      <c r="O7816" s="2">
        <f ca="1"/>
        <v>-1.1585143557784718</v>
      </c>
      <c r="X7816" s="2">
        <f ca="1"/>
        <v>58.732232684714646</v>
      </c>
      <c r="AG7816" s="2">
        <f ca="1"/>
        <v>0.16091887337692157</v>
      </c>
      <c r="AH7816" s="2" t="str">
        <f ca="1"/>
        <v>OK</v>
      </c>
    </row>
    <row r="7817" spans="2:34" x14ac:dyDescent="0.2">
      <c r="B7817" s="2">
        <f ca="1"/>
        <v>0.35894809791324978</v>
      </c>
      <c r="O7817" s="2">
        <f ca="1"/>
        <v>0.66706756312722815</v>
      </c>
      <c r="X7817" s="2">
        <f ca="1"/>
        <v>55.323512570740228</v>
      </c>
      <c r="AG7817" s="2">
        <f ca="1"/>
        <v>0.41565663253650742</v>
      </c>
      <c r="AH7817" s="2" t="str">
        <f ca="1"/>
        <v>Bad</v>
      </c>
    </row>
    <row r="7818" spans="2:34" x14ac:dyDescent="0.2">
      <c r="B7818" s="2">
        <f ca="1"/>
        <v>0.42328389861104698</v>
      </c>
      <c r="O7818" s="2">
        <f ca="1"/>
        <v>1.0002407482392497</v>
      </c>
      <c r="X7818" s="2">
        <f ca="1"/>
        <v>46.452021861425401</v>
      </c>
      <c r="AG7818" s="2">
        <f ca="1"/>
        <v>0.65810995164565567</v>
      </c>
      <c r="AH7818" s="2" t="str">
        <f ca="1"/>
        <v>Bad</v>
      </c>
    </row>
    <row r="7819" spans="2:34" x14ac:dyDescent="0.2">
      <c r="B7819" s="2">
        <f ca="1"/>
        <v>0.54741795398762472</v>
      </c>
      <c r="O7819" s="2">
        <f ca="1"/>
        <v>1.5965954873771415</v>
      </c>
      <c r="X7819" s="2">
        <f ca="1"/>
        <v>59.378630233493382</v>
      </c>
      <c r="AG7819" s="2">
        <f ca="1"/>
        <v>0.38563860786322479</v>
      </c>
      <c r="AH7819" s="2" t="str">
        <f ca="1"/>
        <v>OK</v>
      </c>
    </row>
    <row r="7820" spans="2:34" x14ac:dyDescent="0.2">
      <c r="B7820" s="2">
        <f ca="1"/>
        <v>0.17551194994315211</v>
      </c>
      <c r="O7820" s="2">
        <f ca="1"/>
        <v>0.45883629128452874</v>
      </c>
      <c r="X7820" s="2">
        <f ca="1"/>
        <v>71.522313258719578</v>
      </c>
      <c r="AG7820" s="2">
        <f ca="1"/>
        <v>0.56381885861174896</v>
      </c>
      <c r="AH7820" s="2" t="str">
        <f ca="1"/>
        <v>Bad</v>
      </c>
    </row>
    <row r="7821" spans="2:34" x14ac:dyDescent="0.2">
      <c r="B7821" s="2">
        <f ca="1"/>
        <v>0.76234144831051265</v>
      </c>
      <c r="O7821" s="2">
        <f ca="1"/>
        <v>0.86740196164367567</v>
      </c>
      <c r="X7821" s="2">
        <f ca="1"/>
        <v>77.82375909420179</v>
      </c>
      <c r="AG7821" s="2">
        <f ca="1"/>
        <v>0.48289486923220792</v>
      </c>
      <c r="AH7821" s="2" t="str">
        <f ca="1"/>
        <v>Bad</v>
      </c>
    </row>
    <row r="7822" spans="2:34" x14ac:dyDescent="0.2">
      <c r="B7822" s="2">
        <f ca="1"/>
        <v>8.5188221389610463E-2</v>
      </c>
      <c r="O7822" s="2">
        <f ca="1"/>
        <v>0.72989412924155261</v>
      </c>
      <c r="X7822" s="2">
        <f ca="1"/>
        <v>52.396653527777211</v>
      </c>
      <c r="AG7822" s="2">
        <f ca="1"/>
        <v>0.4564426565114108</v>
      </c>
      <c r="AH7822" s="2" t="str">
        <f ca="1"/>
        <v>Bad</v>
      </c>
    </row>
    <row r="7823" spans="2:34" x14ac:dyDescent="0.2">
      <c r="B7823" s="2">
        <f ca="1"/>
        <v>0.88687723784123218</v>
      </c>
      <c r="O7823" s="2">
        <f ca="1"/>
        <v>0.6663365847194237</v>
      </c>
      <c r="X7823" s="2">
        <f ca="1"/>
        <v>87.427238870691028</v>
      </c>
      <c r="AG7823" s="2">
        <f ca="1"/>
        <v>0.88605497635990083</v>
      </c>
      <c r="AH7823" s="2" t="str">
        <f ca="1"/>
        <v>Bad</v>
      </c>
    </row>
    <row r="7824" spans="2:34" x14ac:dyDescent="0.2">
      <c r="B7824" s="2">
        <f ca="1"/>
        <v>0.76326338212411504</v>
      </c>
      <c r="O7824" s="2">
        <f ca="1"/>
        <v>-1.810185852119434E-2</v>
      </c>
      <c r="X7824" s="2">
        <f ca="1"/>
        <v>34.332638454910835</v>
      </c>
      <c r="AG7824" s="2">
        <f ca="1"/>
        <v>0.40242048238547934</v>
      </c>
      <c r="AH7824" s="2" t="str">
        <f ca="1"/>
        <v>Bad</v>
      </c>
    </row>
    <row r="7825" spans="2:34" x14ac:dyDescent="0.2">
      <c r="B7825" s="2">
        <f ca="1"/>
        <v>0.93619035873129119</v>
      </c>
      <c r="O7825" s="2">
        <f ca="1"/>
        <v>-0.63978476881371982</v>
      </c>
      <c r="X7825" s="2">
        <f ca="1"/>
        <v>53.817053296134496</v>
      </c>
      <c r="AG7825" s="2">
        <f ca="1"/>
        <v>0.56294679847851525</v>
      </c>
      <c r="AH7825" s="2" t="str">
        <f ca="1"/>
        <v>Bad</v>
      </c>
    </row>
    <row r="7826" spans="2:34" x14ac:dyDescent="0.2">
      <c r="B7826" s="2">
        <f ca="1"/>
        <v>0.3946242606364887</v>
      </c>
      <c r="O7826" s="2">
        <f ca="1"/>
        <v>-0.22834070810150695</v>
      </c>
      <c r="X7826" s="2">
        <f ca="1"/>
        <v>33.867548878167597</v>
      </c>
      <c r="AG7826" s="2">
        <f ca="1"/>
        <v>0.40528121330002587</v>
      </c>
      <c r="AH7826" s="2" t="str">
        <f ca="1"/>
        <v>Bad</v>
      </c>
    </row>
    <row r="7827" spans="2:34" x14ac:dyDescent="0.2">
      <c r="B7827" s="2">
        <f ca="1"/>
        <v>0.30483448449025441</v>
      </c>
      <c r="O7827" s="2">
        <f ca="1"/>
        <v>0.47664810838000427</v>
      </c>
      <c r="X7827" s="2">
        <f ca="1"/>
        <v>75.0284034174243</v>
      </c>
      <c r="AG7827" s="2">
        <f ca="1"/>
        <v>0.10831001527378792</v>
      </c>
      <c r="AH7827" s="2" t="str">
        <f ca="1"/>
        <v>OK</v>
      </c>
    </row>
    <row r="7828" spans="2:34" x14ac:dyDescent="0.2">
      <c r="B7828" s="2">
        <f ca="1"/>
        <v>0.38206838047282465</v>
      </c>
      <c r="O7828" s="2">
        <f ca="1"/>
        <v>-0.53513069418421855</v>
      </c>
      <c r="X7828" s="2">
        <f ca="1"/>
        <v>51.451559591474371</v>
      </c>
      <c r="AG7828" s="2">
        <f ca="1"/>
        <v>0.87714785699496067</v>
      </c>
      <c r="AH7828" s="2" t="str">
        <f ca="1"/>
        <v>Bad</v>
      </c>
    </row>
    <row r="7829" spans="2:34" x14ac:dyDescent="0.2">
      <c r="B7829" s="2">
        <f ca="1"/>
        <v>0.23395975593759188</v>
      </c>
      <c r="O7829" s="2">
        <f ca="1"/>
        <v>-0.68438451058528249</v>
      </c>
      <c r="X7829" s="2">
        <f ca="1"/>
        <v>38.589025336745514</v>
      </c>
      <c r="AG7829" s="2">
        <f ca="1"/>
        <v>0.30997967330299891</v>
      </c>
      <c r="AH7829" s="2" t="str">
        <f ca="1"/>
        <v>OK</v>
      </c>
    </row>
    <row r="7830" spans="2:34" x14ac:dyDescent="0.2">
      <c r="B7830" s="2">
        <f ca="1"/>
        <v>0.22089071381918557</v>
      </c>
      <c r="O7830" s="2">
        <f ca="1"/>
        <v>-0.82774747298608886</v>
      </c>
      <c r="X7830" s="2">
        <f ca="1"/>
        <v>46.165172687421105</v>
      </c>
      <c r="AG7830" s="2">
        <f ca="1"/>
        <v>4.6948135572146832E-2</v>
      </c>
      <c r="AH7830" s="2" t="str">
        <f ca="1"/>
        <v>Good</v>
      </c>
    </row>
    <row r="7831" spans="2:34" x14ac:dyDescent="0.2">
      <c r="B7831" s="2">
        <f ca="1"/>
        <v>0.1129942387372187</v>
      </c>
      <c r="O7831" s="2">
        <f ca="1"/>
        <v>0.32780010548946348</v>
      </c>
      <c r="X7831" s="2">
        <f ca="1"/>
        <v>41.582376374390371</v>
      </c>
      <c r="AG7831" s="2">
        <f ca="1"/>
        <v>0.29089274180154567</v>
      </c>
      <c r="AH7831" s="2" t="str">
        <f ca="1"/>
        <v>OK</v>
      </c>
    </row>
    <row r="7832" spans="2:34" x14ac:dyDescent="0.2">
      <c r="B7832" s="2">
        <f ca="1"/>
        <v>0.93790371683555596</v>
      </c>
      <c r="O7832" s="2">
        <f ca="1"/>
        <v>0.43214668880204171</v>
      </c>
      <c r="X7832" s="2">
        <f ca="1"/>
        <v>49.252220347283249</v>
      </c>
      <c r="AG7832" s="2">
        <f ca="1"/>
        <v>0.73629772717828534</v>
      </c>
      <c r="AH7832" s="2" t="str">
        <f ca="1"/>
        <v>Bad</v>
      </c>
    </row>
    <row r="7833" spans="2:34" x14ac:dyDescent="0.2">
      <c r="B7833" s="2">
        <f ca="1"/>
        <v>0.4771578500883833</v>
      </c>
      <c r="O7833" s="2">
        <f ca="1"/>
        <v>3.8977065972617138E-2</v>
      </c>
      <c r="X7833" s="2">
        <f ca="1"/>
        <v>78.272199236606667</v>
      </c>
      <c r="AG7833" s="2">
        <f ca="1"/>
        <v>0.96008838443769617</v>
      </c>
      <c r="AH7833" s="2" t="str">
        <f ca="1"/>
        <v>Bad</v>
      </c>
    </row>
    <row r="7834" spans="2:34" x14ac:dyDescent="0.2">
      <c r="B7834" s="2">
        <f ca="1"/>
        <v>0.59925273889173036</v>
      </c>
      <c r="O7834" s="2">
        <f ca="1"/>
        <v>1.3208448944538598</v>
      </c>
      <c r="X7834" s="2">
        <f ca="1"/>
        <v>43.153359224988705</v>
      </c>
      <c r="AG7834" s="2">
        <f ca="1"/>
        <v>0.48130790145804192</v>
      </c>
      <c r="AH7834" s="2" t="str">
        <f ca="1"/>
        <v>Bad</v>
      </c>
    </row>
    <row r="7835" spans="2:34" x14ac:dyDescent="0.2">
      <c r="B7835" s="2">
        <f ca="1"/>
        <v>0.26279457264292461</v>
      </c>
      <c r="O7835" s="2">
        <f ca="1"/>
        <v>1.9001933823315988</v>
      </c>
      <c r="X7835" s="2">
        <f ca="1"/>
        <v>66.556677087580368</v>
      </c>
      <c r="AG7835" s="2">
        <f ca="1"/>
        <v>0.7694089725388702</v>
      </c>
      <c r="AH7835" s="2" t="str">
        <f ca="1"/>
        <v>Bad</v>
      </c>
    </row>
    <row r="7836" spans="2:34" x14ac:dyDescent="0.2">
      <c r="B7836" s="2">
        <f ca="1"/>
        <v>4.091663924590172E-2</v>
      </c>
      <c r="O7836" s="2">
        <f ca="1"/>
        <v>-0.84835500186264456</v>
      </c>
      <c r="X7836" s="2">
        <f ca="1"/>
        <v>60.925008867943156</v>
      </c>
      <c r="AG7836" s="2">
        <f ca="1"/>
        <v>0.47779433309127861</v>
      </c>
      <c r="AH7836" s="2" t="str">
        <f ca="1"/>
        <v>Bad</v>
      </c>
    </row>
    <row r="7837" spans="2:34" x14ac:dyDescent="0.2">
      <c r="B7837" s="2">
        <f ca="1"/>
        <v>0.86392597295517159</v>
      </c>
      <c r="O7837" s="2">
        <f ca="1"/>
        <v>0.43472002350489836</v>
      </c>
      <c r="X7837" s="2">
        <f ca="1"/>
        <v>57.89164235402901</v>
      </c>
      <c r="AG7837" s="2">
        <f ca="1"/>
        <v>1.8966702553609105E-2</v>
      </c>
      <c r="AH7837" s="2" t="str">
        <f ca="1"/>
        <v>Good</v>
      </c>
    </row>
    <row r="7838" spans="2:34" x14ac:dyDescent="0.2">
      <c r="B7838" s="2">
        <f ca="1"/>
        <v>0.56477419425727504</v>
      </c>
      <c r="O7838" s="2">
        <f ca="1"/>
        <v>0.72775681514366108</v>
      </c>
      <c r="X7838" s="2">
        <f ca="1"/>
        <v>49.231727233869762</v>
      </c>
      <c r="AG7838" s="2">
        <f ca="1"/>
        <v>0.20050156570601629</v>
      </c>
      <c r="AH7838" s="2" t="str">
        <f ca="1"/>
        <v>OK</v>
      </c>
    </row>
    <row r="7839" spans="2:34" x14ac:dyDescent="0.2">
      <c r="B7839" s="2">
        <f ca="1"/>
        <v>0.14644201678720647</v>
      </c>
      <c r="O7839" s="2">
        <f ca="1"/>
        <v>-0.8288018002926798</v>
      </c>
      <c r="X7839" s="2">
        <f ca="1"/>
        <v>34.258697580990528</v>
      </c>
      <c r="AG7839" s="2">
        <f ca="1"/>
        <v>0.20133962858101251</v>
      </c>
      <c r="AH7839" s="2" t="str">
        <f ca="1"/>
        <v>OK</v>
      </c>
    </row>
    <row r="7840" spans="2:34" x14ac:dyDescent="0.2">
      <c r="B7840" s="2">
        <f ca="1"/>
        <v>7.747481783252641E-2</v>
      </c>
      <c r="O7840" s="2">
        <f ca="1"/>
        <v>0.60815398802559517</v>
      </c>
      <c r="X7840" s="2">
        <f ca="1"/>
        <v>40.977977880136535</v>
      </c>
      <c r="AG7840" s="2">
        <f ca="1"/>
        <v>0.59195877194867719</v>
      </c>
      <c r="AH7840" s="2" t="str">
        <f ca="1"/>
        <v>Bad</v>
      </c>
    </row>
    <row r="7841" spans="2:34" x14ac:dyDescent="0.2">
      <c r="B7841" s="2">
        <f ca="1"/>
        <v>0.29469094969194365</v>
      </c>
      <c r="O7841" s="2">
        <f ca="1"/>
        <v>-0.64019004028185311</v>
      </c>
      <c r="X7841" s="2">
        <f ca="1"/>
        <v>57.356517143999085</v>
      </c>
      <c r="AG7841" s="2">
        <f ca="1"/>
        <v>0.99090801813029117</v>
      </c>
      <c r="AH7841" s="2" t="str">
        <f ca="1"/>
        <v>Bad</v>
      </c>
    </row>
    <row r="7842" spans="2:34" x14ac:dyDescent="0.2">
      <c r="B7842" s="2">
        <f ca="1"/>
        <v>0.24326991202193682</v>
      </c>
      <c r="O7842" s="2">
        <f ca="1"/>
        <v>-0.69061722811438686</v>
      </c>
      <c r="X7842" s="2">
        <f ca="1"/>
        <v>37.827128425310732</v>
      </c>
      <c r="AG7842" s="2">
        <f ca="1"/>
        <v>5.1191235260084955E-2</v>
      </c>
      <c r="AH7842" s="2" t="str">
        <f ca="1"/>
        <v>OK</v>
      </c>
    </row>
    <row r="7843" spans="2:34" x14ac:dyDescent="0.2">
      <c r="B7843" s="2">
        <f ca="1"/>
        <v>0.12223350508388631</v>
      </c>
      <c r="O7843" s="2">
        <f ca="1"/>
        <v>1.1714860886599177</v>
      </c>
      <c r="X7843" s="2">
        <f ca="1"/>
        <v>45.726548690353141</v>
      </c>
      <c r="AG7843" s="2">
        <f ca="1"/>
        <v>0.22800226990289718</v>
      </c>
      <c r="AH7843" s="2" t="str">
        <f ca="1"/>
        <v>OK</v>
      </c>
    </row>
    <row r="7844" spans="2:34" x14ac:dyDescent="0.2">
      <c r="B7844" s="2">
        <f ca="1"/>
        <v>0.23880288741972899</v>
      </c>
      <c r="O7844" s="2">
        <f ca="1"/>
        <v>-0.19919213783667378</v>
      </c>
      <c r="X7844" s="2">
        <f ca="1"/>
        <v>42.837859707574353</v>
      </c>
      <c r="AG7844" s="2">
        <f ca="1"/>
        <v>1.5772307603607594E-3</v>
      </c>
      <c r="AH7844" s="2" t="str">
        <f ca="1"/>
        <v>Good</v>
      </c>
    </row>
    <row r="7845" spans="2:34" x14ac:dyDescent="0.2">
      <c r="B7845" s="2">
        <f ca="1"/>
        <v>0.86593407158326841</v>
      </c>
      <c r="O7845" s="2">
        <f ca="1"/>
        <v>0.70621666862695565</v>
      </c>
      <c r="X7845" s="2">
        <f ca="1"/>
        <v>77.159257275431742</v>
      </c>
      <c r="AG7845" s="2">
        <f ca="1"/>
        <v>0.99767554523816182</v>
      </c>
      <c r="AH7845" s="2" t="str">
        <f ca="1"/>
        <v>Bad</v>
      </c>
    </row>
    <row r="7846" spans="2:34" x14ac:dyDescent="0.2">
      <c r="B7846" s="2">
        <f ca="1"/>
        <v>0.96395422205695036</v>
      </c>
      <c r="O7846" s="2">
        <f ca="1"/>
        <v>-0.33148738237242992</v>
      </c>
      <c r="X7846" s="2">
        <f ca="1"/>
        <v>55.579080265345134</v>
      </c>
      <c r="AG7846" s="2">
        <f ca="1"/>
        <v>0.92946272012294084</v>
      </c>
      <c r="AH7846" s="2" t="str">
        <f ca="1"/>
        <v>Bad</v>
      </c>
    </row>
    <row r="7847" spans="2:34" x14ac:dyDescent="0.2">
      <c r="B7847" s="2">
        <f ca="1"/>
        <v>0.94017477446073294</v>
      </c>
      <c r="O7847" s="2">
        <f ca="1"/>
        <v>-1.2690251433033028</v>
      </c>
      <c r="X7847" s="2">
        <f ca="1"/>
        <v>47.431939619468189</v>
      </c>
      <c r="AG7847" s="2">
        <f ca="1"/>
        <v>0.64474098557657045</v>
      </c>
      <c r="AH7847" s="2" t="str">
        <f ca="1"/>
        <v>Bad</v>
      </c>
    </row>
    <row r="7848" spans="2:34" x14ac:dyDescent="0.2">
      <c r="B7848" s="2">
        <f ca="1"/>
        <v>0.7302013721989784</v>
      </c>
      <c r="O7848" s="2">
        <f ca="1"/>
        <v>-1.8816465319765461</v>
      </c>
      <c r="X7848" s="2">
        <f ca="1"/>
        <v>35.679127560632452</v>
      </c>
      <c r="AG7848" s="2">
        <f ca="1"/>
        <v>0.59847980940592427</v>
      </c>
      <c r="AH7848" s="2" t="str">
        <f ca="1"/>
        <v>Bad</v>
      </c>
    </row>
    <row r="7849" spans="2:34" x14ac:dyDescent="0.2">
      <c r="B7849" s="2">
        <f ca="1"/>
        <v>0.15026151548850764</v>
      </c>
      <c r="O7849" s="2">
        <f ca="1"/>
        <v>-2.3260493097452497</v>
      </c>
      <c r="X7849" s="2">
        <f ca="1"/>
        <v>45.45831370578118</v>
      </c>
      <c r="AG7849" s="2">
        <f ca="1"/>
        <v>8.772697018581721E-2</v>
      </c>
      <c r="AH7849" s="2" t="str">
        <f ca="1"/>
        <v>OK</v>
      </c>
    </row>
    <row r="7850" spans="2:34" x14ac:dyDescent="0.2">
      <c r="B7850" s="2">
        <f ca="1"/>
        <v>0.29934150684746896</v>
      </c>
      <c r="O7850" s="2">
        <f ca="1"/>
        <v>0.66298683613668674</v>
      </c>
      <c r="X7850" s="2">
        <f ca="1"/>
        <v>20.758284231893946</v>
      </c>
      <c r="AG7850" s="2">
        <f ca="1"/>
        <v>0.38057977879587934</v>
      </c>
      <c r="AH7850" s="2" t="str">
        <f ca="1"/>
        <v>OK</v>
      </c>
    </row>
    <row r="7851" spans="2:34" x14ac:dyDescent="0.2">
      <c r="B7851" s="2">
        <f ca="1"/>
        <v>0.40317757898169559</v>
      </c>
      <c r="O7851" s="2">
        <f ca="1"/>
        <v>1.4178616835854168</v>
      </c>
      <c r="X7851" s="2">
        <f ca="1"/>
        <v>41.795643274932431</v>
      </c>
      <c r="AG7851" s="2">
        <f ca="1"/>
        <v>0.93957397983337398</v>
      </c>
      <c r="AH7851" s="2" t="str">
        <f ca="1"/>
        <v>Bad</v>
      </c>
    </row>
    <row r="7852" spans="2:34" x14ac:dyDescent="0.2">
      <c r="B7852" s="2">
        <f ca="1"/>
        <v>0.14347302981581067</v>
      </c>
      <c r="O7852" s="2">
        <f ca="1"/>
        <v>-0.69889718874961837</v>
      </c>
      <c r="X7852" s="2">
        <f ca="1"/>
        <v>50.571849014370784</v>
      </c>
      <c r="AG7852" s="2">
        <f ca="1"/>
        <v>0.72451527085625611</v>
      </c>
      <c r="AH7852" s="2" t="str">
        <f ca="1"/>
        <v>Bad</v>
      </c>
    </row>
    <row r="7853" spans="2:34" x14ac:dyDescent="0.2">
      <c r="B7853" s="2">
        <f ca="1"/>
        <v>2.5559927053140363E-3</v>
      </c>
      <c r="O7853" s="2">
        <f ca="1"/>
        <v>-0.23502429736142821</v>
      </c>
      <c r="X7853" s="2">
        <f ca="1"/>
        <v>48.8574744882701</v>
      </c>
      <c r="AG7853" s="2">
        <f ca="1"/>
        <v>4.3766940068250104E-2</v>
      </c>
      <c r="AH7853" s="2" t="str">
        <f ca="1"/>
        <v>Good</v>
      </c>
    </row>
    <row r="7854" spans="2:34" x14ac:dyDescent="0.2">
      <c r="B7854" s="2">
        <f ca="1"/>
        <v>9.8817683462149031E-2</v>
      </c>
      <c r="O7854" s="2">
        <f ca="1"/>
        <v>2.3253213114659483</v>
      </c>
      <c r="X7854" s="2">
        <f ca="1"/>
        <v>79.183451716908394</v>
      </c>
      <c r="AG7854" s="2">
        <f ca="1"/>
        <v>0.60914146387316981</v>
      </c>
      <c r="AH7854" s="2" t="str">
        <f ca="1"/>
        <v>Bad</v>
      </c>
    </row>
    <row r="7855" spans="2:34" x14ac:dyDescent="0.2">
      <c r="B7855" s="2">
        <f ca="1"/>
        <v>0.35367248974357413</v>
      </c>
      <c r="O7855" s="2">
        <f ca="1"/>
        <v>-2.0789357226601402</v>
      </c>
      <c r="X7855" s="2">
        <f ca="1"/>
        <v>51.994911912190062</v>
      </c>
      <c r="AG7855" s="2">
        <f ca="1"/>
        <v>0.46025861571523508</v>
      </c>
      <c r="AH7855" s="2" t="str">
        <f ca="1"/>
        <v>Bad</v>
      </c>
    </row>
    <row r="7856" spans="2:34" x14ac:dyDescent="0.2">
      <c r="B7856" s="2">
        <f ca="1"/>
        <v>0.32852658421778602</v>
      </c>
      <c r="O7856" s="2">
        <f ca="1"/>
        <v>-0.8673103915026541</v>
      </c>
      <c r="X7856" s="2">
        <f ca="1"/>
        <v>30.87370709570439</v>
      </c>
      <c r="AG7856" s="2">
        <f ca="1"/>
        <v>0.79797176475695375</v>
      </c>
      <c r="AH7856" s="2" t="str">
        <f ca="1"/>
        <v>Bad</v>
      </c>
    </row>
    <row r="7857" spans="2:34" x14ac:dyDescent="0.2">
      <c r="B7857" s="2">
        <f ca="1"/>
        <v>0.94770549207080457</v>
      </c>
      <c r="O7857" s="2">
        <f ca="1"/>
        <v>-0.17170187902498496</v>
      </c>
      <c r="X7857" s="2">
        <f ca="1"/>
        <v>52.115137696419424</v>
      </c>
      <c r="AG7857" s="2">
        <f ca="1"/>
        <v>0.16720685126526313</v>
      </c>
      <c r="AH7857" s="2" t="str">
        <f ca="1"/>
        <v>OK</v>
      </c>
    </row>
    <row r="7858" spans="2:34" x14ac:dyDescent="0.2">
      <c r="B7858" s="2">
        <f ca="1"/>
        <v>0.53138183062353872</v>
      </c>
      <c r="O7858" s="2">
        <f ca="1"/>
        <v>-8.4572907523310967E-2</v>
      </c>
      <c r="X7858" s="2">
        <f ca="1"/>
        <v>76.142987168660326</v>
      </c>
      <c r="AG7858" s="2">
        <f ca="1"/>
        <v>0.1094477782908152</v>
      </c>
      <c r="AH7858" s="2" t="str">
        <f ca="1"/>
        <v>OK</v>
      </c>
    </row>
    <row r="7859" spans="2:34" x14ac:dyDescent="0.2">
      <c r="B7859" s="2">
        <f ca="1"/>
        <v>0.74510451984288428</v>
      </c>
      <c r="O7859" s="2">
        <f ca="1"/>
        <v>-0.84643549850389088</v>
      </c>
      <c r="X7859" s="2">
        <f ca="1"/>
        <v>57.426325538584997</v>
      </c>
      <c r="AG7859" s="2">
        <f ca="1"/>
        <v>6.1646629384445095E-2</v>
      </c>
      <c r="AH7859" s="2" t="str">
        <f ca="1"/>
        <v>OK</v>
      </c>
    </row>
    <row r="7860" spans="2:34" x14ac:dyDescent="0.2">
      <c r="B7860" s="2">
        <f ca="1"/>
        <v>0.83703729877908462</v>
      </c>
      <c r="O7860" s="2">
        <f ca="1"/>
        <v>-0.97008615233788054</v>
      </c>
      <c r="X7860" s="2">
        <f ca="1"/>
        <v>45.123252432969956</v>
      </c>
      <c r="AG7860" s="2">
        <f ca="1"/>
        <v>0.65150799353042488</v>
      </c>
      <c r="AH7860" s="2" t="str">
        <f ca="1"/>
        <v>Bad</v>
      </c>
    </row>
    <row r="7861" spans="2:34" x14ac:dyDescent="0.2">
      <c r="B7861" s="2">
        <f ca="1"/>
        <v>0.61504938388906072</v>
      </c>
      <c r="O7861" s="2">
        <f ca="1"/>
        <v>-0.32880498366992195</v>
      </c>
      <c r="X7861" s="2">
        <f ca="1"/>
        <v>24.619002888677247</v>
      </c>
      <c r="AG7861" s="2">
        <f ca="1"/>
        <v>0.52098373804287612</v>
      </c>
      <c r="AH7861" s="2" t="str">
        <f ca="1"/>
        <v>Bad</v>
      </c>
    </row>
    <row r="7862" spans="2:34" x14ac:dyDescent="0.2">
      <c r="B7862" s="2">
        <f ca="1"/>
        <v>0.60693742522028638</v>
      </c>
      <c r="O7862" s="2">
        <f ca="1"/>
        <v>-1.341247957145117</v>
      </c>
      <c r="X7862" s="2">
        <f ca="1"/>
        <v>48.641673872688258</v>
      </c>
      <c r="AG7862" s="2">
        <f ca="1"/>
        <v>0.14167637915244535</v>
      </c>
      <c r="AH7862" s="2" t="str">
        <f ca="1"/>
        <v>OK</v>
      </c>
    </row>
    <row r="7863" spans="2:34" x14ac:dyDescent="0.2">
      <c r="B7863" s="2">
        <f ca="1"/>
        <v>0.16638273177831464</v>
      </c>
      <c r="O7863" s="2">
        <f ca="1"/>
        <v>1.0927140979105583</v>
      </c>
      <c r="X7863" s="2">
        <f ca="1"/>
        <v>46.718928347037377</v>
      </c>
      <c r="AG7863" s="2">
        <f ca="1"/>
        <v>0.71769445356151462</v>
      </c>
      <c r="AH7863" s="2" t="str">
        <f ca="1"/>
        <v>Bad</v>
      </c>
    </row>
    <row r="7864" spans="2:34" x14ac:dyDescent="0.2">
      <c r="B7864" s="2">
        <f ca="1"/>
        <v>3.9132277627170087E-2</v>
      </c>
      <c r="O7864" s="2">
        <f ca="1"/>
        <v>-0.34687885711453109</v>
      </c>
      <c r="X7864" s="2">
        <f ca="1"/>
        <v>41.611537023407749</v>
      </c>
      <c r="AG7864" s="2">
        <f ca="1"/>
        <v>0.87618625777615367</v>
      </c>
      <c r="AH7864" s="2" t="str">
        <f ca="1"/>
        <v>Bad</v>
      </c>
    </row>
    <row r="7865" spans="2:34" x14ac:dyDescent="0.2">
      <c r="B7865" s="2">
        <f ca="1"/>
        <v>0.85306158150298406</v>
      </c>
      <c r="O7865" s="2">
        <f ca="1"/>
        <v>-1.3456681705117495</v>
      </c>
      <c r="X7865" s="2">
        <f ca="1"/>
        <v>23.706503066798245</v>
      </c>
      <c r="AG7865" s="2">
        <f ca="1"/>
        <v>0.23972471843064924</v>
      </c>
      <c r="AH7865" s="2" t="str">
        <f ca="1"/>
        <v>OK</v>
      </c>
    </row>
    <row r="7866" spans="2:34" x14ac:dyDescent="0.2">
      <c r="B7866" s="2">
        <f ca="1"/>
        <v>0.86240484029958475</v>
      </c>
      <c r="O7866" s="2">
        <f ca="1"/>
        <v>1.0958795096217797</v>
      </c>
      <c r="X7866" s="2">
        <f ca="1"/>
        <v>76.970280714828561</v>
      </c>
      <c r="AG7866" s="2">
        <f ca="1"/>
        <v>0.296965220003927</v>
      </c>
      <c r="AH7866" s="2" t="str">
        <f ca="1"/>
        <v>OK</v>
      </c>
    </row>
    <row r="7867" spans="2:34" x14ac:dyDescent="0.2">
      <c r="B7867" s="2">
        <f ca="1"/>
        <v>0.97362629086886909</v>
      </c>
      <c r="O7867" s="2">
        <f ca="1"/>
        <v>0.17455006549357713</v>
      </c>
      <c r="X7867" s="2">
        <f ca="1"/>
        <v>31.439633332403261</v>
      </c>
      <c r="AG7867" s="2">
        <f ca="1"/>
        <v>0.53589717171807605</v>
      </c>
      <c r="AH7867" s="2" t="str">
        <f ca="1"/>
        <v>Bad</v>
      </c>
    </row>
    <row r="7868" spans="2:34" x14ac:dyDescent="0.2">
      <c r="B7868" s="2">
        <f ca="1"/>
        <v>0.43854007256003014</v>
      </c>
      <c r="O7868" s="2">
        <f ca="1"/>
        <v>0.19751211213506034</v>
      </c>
      <c r="X7868" s="2">
        <f ca="1"/>
        <v>36.004950056281693</v>
      </c>
      <c r="AG7868" s="2">
        <f ca="1"/>
        <v>0.22140328813632171</v>
      </c>
      <c r="AH7868" s="2" t="str">
        <f ca="1"/>
        <v>OK</v>
      </c>
    </row>
    <row r="7869" spans="2:34" x14ac:dyDescent="0.2">
      <c r="B7869" s="2">
        <f ca="1"/>
        <v>0.92836828807090033</v>
      </c>
      <c r="O7869" s="2">
        <f ca="1"/>
        <v>-0.48865161802871154</v>
      </c>
      <c r="X7869" s="2">
        <f ca="1"/>
        <v>35.245608080585527</v>
      </c>
      <c r="AG7869" s="2">
        <f ca="1"/>
        <v>8.2842723129488371E-2</v>
      </c>
      <c r="AH7869" s="2" t="str">
        <f ca="1"/>
        <v>OK</v>
      </c>
    </row>
    <row r="7870" spans="2:34" x14ac:dyDescent="0.2">
      <c r="B7870" s="2">
        <f ca="1"/>
        <v>0.25374072919077451</v>
      </c>
      <c r="O7870" s="2">
        <f ca="1"/>
        <v>1.1211379339149778</v>
      </c>
      <c r="X7870" s="2">
        <f ca="1"/>
        <v>40.997654616681146</v>
      </c>
      <c r="AG7870" s="2">
        <f ca="1"/>
        <v>9.3429519501409208E-2</v>
      </c>
      <c r="AH7870" s="2" t="str">
        <f ca="1"/>
        <v>OK</v>
      </c>
    </row>
    <row r="7871" spans="2:34" x14ac:dyDescent="0.2">
      <c r="B7871" s="2">
        <f ca="1"/>
        <v>0.66103172046285685</v>
      </c>
      <c r="O7871" s="2">
        <f ca="1"/>
        <v>1.4659518251533852</v>
      </c>
      <c r="X7871" s="2">
        <f ca="1"/>
        <v>41.492407651820628</v>
      </c>
      <c r="AG7871" s="2">
        <f ca="1"/>
        <v>0.23157600721270644</v>
      </c>
      <c r="AH7871" s="2" t="str">
        <f ca="1"/>
        <v>OK</v>
      </c>
    </row>
    <row r="7872" spans="2:34" x14ac:dyDescent="0.2">
      <c r="B7872" s="2">
        <f ca="1"/>
        <v>0.1917923742351173</v>
      </c>
      <c r="O7872" s="2">
        <f ca="1"/>
        <v>-0.25574083516205404</v>
      </c>
      <c r="X7872" s="2">
        <f ca="1"/>
        <v>78.960702211190309</v>
      </c>
      <c r="AG7872" s="2">
        <f ca="1"/>
        <v>0.27921817840477137</v>
      </c>
      <c r="AH7872" s="2" t="str">
        <f ca="1"/>
        <v>OK</v>
      </c>
    </row>
    <row r="7873" spans="2:34" x14ac:dyDescent="0.2">
      <c r="B7873" s="2">
        <f ca="1"/>
        <v>0.78846666890032746</v>
      </c>
      <c r="O7873" s="2">
        <f ca="1"/>
        <v>0.49945654601920564</v>
      </c>
      <c r="X7873" s="2">
        <f ca="1"/>
        <v>54.421317152920807</v>
      </c>
      <c r="AG7873" s="2">
        <f ca="1"/>
        <v>0.75599354426770127</v>
      </c>
      <c r="AH7873" s="2" t="str">
        <f ca="1"/>
        <v>Bad</v>
      </c>
    </row>
    <row r="7874" spans="2:34" x14ac:dyDescent="0.2">
      <c r="B7874" s="2">
        <f ca="1"/>
        <v>0.73905044690141741</v>
      </c>
      <c r="O7874" s="2">
        <f ca="1"/>
        <v>0.73643896618859528</v>
      </c>
      <c r="X7874" s="2">
        <f ca="1"/>
        <v>52.960355743523372</v>
      </c>
      <c r="AG7874" s="2">
        <f ca="1"/>
        <v>6.2811526631007197E-2</v>
      </c>
      <c r="AH7874" s="2" t="str">
        <f ca="1"/>
        <v>OK</v>
      </c>
    </row>
    <row r="7875" spans="2:34" x14ac:dyDescent="0.2">
      <c r="B7875" s="2">
        <f ca="1"/>
        <v>0.97726568974983175</v>
      </c>
      <c r="O7875" s="2">
        <f ca="1"/>
        <v>-0.15838701069735503</v>
      </c>
      <c r="X7875" s="2">
        <f ca="1"/>
        <v>58.884535681975251</v>
      </c>
      <c r="AG7875" s="2">
        <f ca="1"/>
        <v>0.37382573176097988</v>
      </c>
      <c r="AH7875" s="2" t="str">
        <f ca="1"/>
        <v>OK</v>
      </c>
    </row>
    <row r="7876" spans="2:34" x14ac:dyDescent="0.2">
      <c r="B7876" s="2">
        <f ca="1"/>
        <v>0.23375826294982849</v>
      </c>
      <c r="O7876" s="2">
        <f ca="1"/>
        <v>-2.3838665898973006</v>
      </c>
      <c r="X7876" s="2">
        <f ca="1"/>
        <v>28.540523830078421</v>
      </c>
      <c r="AG7876" s="2">
        <f ca="1"/>
        <v>0.76166090516267104</v>
      </c>
      <c r="AH7876" s="2" t="str">
        <f ca="1"/>
        <v>Bad</v>
      </c>
    </row>
    <row r="7877" spans="2:34" x14ac:dyDescent="0.2">
      <c r="B7877" s="2">
        <f ca="1"/>
        <v>0.36983536468561229</v>
      </c>
      <c r="O7877" s="2">
        <f ca="1"/>
        <v>0.67559948026971972</v>
      </c>
      <c r="X7877" s="2">
        <f ca="1"/>
        <v>77.739276414440994</v>
      </c>
      <c r="AG7877" s="2">
        <f ca="1"/>
        <v>0.73470794470996537</v>
      </c>
      <c r="AH7877" s="2" t="str">
        <f ca="1"/>
        <v>Bad</v>
      </c>
    </row>
    <row r="7878" spans="2:34" x14ac:dyDescent="0.2">
      <c r="B7878" s="2">
        <f ca="1"/>
        <v>0.2313931212462581</v>
      </c>
      <c r="O7878" s="2">
        <f ca="1"/>
        <v>0.56270361151112613</v>
      </c>
      <c r="X7878" s="2">
        <f ca="1"/>
        <v>72.800285860978704</v>
      </c>
      <c r="AG7878" s="2">
        <f ca="1"/>
        <v>0.62725824286488896</v>
      </c>
      <c r="AH7878" s="2" t="str">
        <f ca="1"/>
        <v>Bad</v>
      </c>
    </row>
    <row r="7879" spans="2:34" x14ac:dyDescent="0.2">
      <c r="B7879" s="2">
        <f ca="1"/>
        <v>0.42635610817667469</v>
      </c>
      <c r="O7879" s="2">
        <f ca="1"/>
        <v>-2.8889350083256726E-2</v>
      </c>
      <c r="X7879" s="2">
        <f ca="1"/>
        <v>42.836808234132761</v>
      </c>
      <c r="AG7879" s="2">
        <f ca="1"/>
        <v>0.83238546233942912</v>
      </c>
      <c r="AH7879" s="2" t="str">
        <f ca="1"/>
        <v>Bad</v>
      </c>
    </row>
    <row r="7880" spans="2:34" x14ac:dyDescent="0.2">
      <c r="B7880" s="2">
        <f ca="1"/>
        <v>6.5974459491078496E-2</v>
      </c>
      <c r="O7880" s="2">
        <f ca="1"/>
        <v>0.87638369093699398</v>
      </c>
      <c r="X7880" s="2">
        <f ca="1"/>
        <v>34.487112127693486</v>
      </c>
      <c r="AG7880" s="2">
        <f ca="1"/>
        <v>0.93605632885946011</v>
      </c>
      <c r="AH7880" s="2" t="str">
        <f ca="1"/>
        <v>Bad</v>
      </c>
    </row>
    <row r="7881" spans="2:34" x14ac:dyDescent="0.2">
      <c r="B7881" s="2">
        <f ca="1"/>
        <v>0.86239390615398448</v>
      </c>
      <c r="O7881" s="2">
        <f ca="1"/>
        <v>0.9312942527760546</v>
      </c>
      <c r="X7881" s="2">
        <f ca="1"/>
        <v>38.875351394215315</v>
      </c>
      <c r="AG7881" s="2">
        <f ca="1"/>
        <v>0.74026444142947612</v>
      </c>
      <c r="AH7881" s="2" t="str">
        <f ca="1"/>
        <v>Bad</v>
      </c>
    </row>
    <row r="7882" spans="2:34" x14ac:dyDescent="0.2">
      <c r="B7882" s="2">
        <f ca="1"/>
        <v>0.75258328190700818</v>
      </c>
      <c r="O7882" s="2">
        <f ca="1"/>
        <v>0.1185760514561926</v>
      </c>
      <c r="X7882" s="2">
        <f ca="1"/>
        <v>49.042588263371584</v>
      </c>
      <c r="AG7882" s="2">
        <f ca="1"/>
        <v>0.21019240745815959</v>
      </c>
      <c r="AH7882" s="2" t="str">
        <f ca="1"/>
        <v>OK</v>
      </c>
    </row>
    <row r="7883" spans="2:34" x14ac:dyDescent="0.2">
      <c r="B7883" s="2">
        <f ca="1"/>
        <v>0.14101125813715831</v>
      </c>
      <c r="O7883" s="2">
        <f ca="1"/>
        <v>-0.38497218439869901</v>
      </c>
      <c r="X7883" s="2">
        <f ca="1"/>
        <v>54.154577623381257</v>
      </c>
      <c r="AG7883" s="2">
        <f ca="1"/>
        <v>0.1681566627513853</v>
      </c>
      <c r="AH7883" s="2" t="str">
        <f ca="1"/>
        <v>OK</v>
      </c>
    </row>
    <row r="7884" spans="2:34" x14ac:dyDescent="0.2">
      <c r="B7884" s="2">
        <f ca="1"/>
        <v>0.84708604841655166</v>
      </c>
      <c r="O7884" s="2">
        <f ca="1"/>
        <v>0.23332021785617957</v>
      </c>
      <c r="X7884" s="2">
        <f ca="1"/>
        <v>30.34540545163264</v>
      </c>
      <c r="AG7884" s="2">
        <f ca="1"/>
        <v>0.53591381357027457</v>
      </c>
      <c r="AH7884" s="2" t="str">
        <f ca="1"/>
        <v>Bad</v>
      </c>
    </row>
    <row r="7885" spans="2:34" x14ac:dyDescent="0.2">
      <c r="B7885" s="2">
        <f ca="1"/>
        <v>0.56944087670217147</v>
      </c>
      <c r="O7885" s="2">
        <f ca="1"/>
        <v>-0.60520412158368397</v>
      </c>
      <c r="X7885" s="2">
        <f ca="1"/>
        <v>41.594563098770585</v>
      </c>
      <c r="AG7885" s="2">
        <f ca="1"/>
        <v>0.78393147692530674</v>
      </c>
      <c r="AH7885" s="2" t="str">
        <f ca="1"/>
        <v>Bad</v>
      </c>
    </row>
    <row r="7886" spans="2:34" x14ac:dyDescent="0.2">
      <c r="B7886" s="2">
        <f ca="1"/>
        <v>0.23354935327636128</v>
      </c>
      <c r="O7886" s="2">
        <f ca="1"/>
        <v>0.74592497154854709</v>
      </c>
      <c r="X7886" s="2">
        <f ca="1"/>
        <v>81.813076825886654</v>
      </c>
      <c r="AG7886" s="2">
        <f ca="1"/>
        <v>0.3804443930188155</v>
      </c>
      <c r="AH7886" s="2" t="str">
        <f ca="1"/>
        <v>OK</v>
      </c>
    </row>
    <row r="7887" spans="2:34" x14ac:dyDescent="0.2">
      <c r="B7887" s="2">
        <f ca="1"/>
        <v>3.7648514203231676E-2</v>
      </c>
      <c r="O7887" s="2">
        <f ca="1"/>
        <v>-1.3562360136050393</v>
      </c>
      <c r="X7887" s="2">
        <f ca="1"/>
        <v>58.142777342229046</v>
      </c>
      <c r="AG7887" s="2">
        <f ca="1"/>
        <v>0.41317708931949726</v>
      </c>
      <c r="AH7887" s="2" t="str">
        <f ca="1"/>
        <v>Bad</v>
      </c>
    </row>
    <row r="7888" spans="2:34" x14ac:dyDescent="0.2">
      <c r="B7888" s="2">
        <f ca="1"/>
        <v>0.20291268210711988</v>
      </c>
      <c r="O7888" s="2">
        <f ca="1"/>
        <v>0.48165783261621214</v>
      </c>
      <c r="X7888" s="2">
        <f ca="1"/>
        <v>40.775663418903243</v>
      </c>
      <c r="AG7888" s="2">
        <f ca="1"/>
        <v>0.17447284454532697</v>
      </c>
      <c r="AH7888" s="2" t="str">
        <f ca="1"/>
        <v>OK</v>
      </c>
    </row>
    <row r="7889" spans="2:34" x14ac:dyDescent="0.2">
      <c r="B7889" s="2">
        <f ca="1"/>
        <v>0.36445883434750126</v>
      </c>
      <c r="O7889" s="2">
        <f ca="1"/>
        <v>0.19771422878959138</v>
      </c>
      <c r="X7889" s="2">
        <f ca="1"/>
        <v>67.675937813083479</v>
      </c>
      <c r="AG7889" s="2">
        <f ca="1"/>
        <v>0.94626595347131737</v>
      </c>
      <c r="AH7889" s="2" t="str">
        <f ca="1"/>
        <v>Bad</v>
      </c>
    </row>
    <row r="7890" spans="2:34" x14ac:dyDescent="0.2">
      <c r="B7890" s="2">
        <f ca="1"/>
        <v>0.69505835719516074</v>
      </c>
      <c r="O7890" s="2">
        <f ca="1"/>
        <v>-0.2854974336102577</v>
      </c>
      <c r="X7890" s="2">
        <f ca="1"/>
        <v>39.321643011369851</v>
      </c>
      <c r="AG7890" s="2">
        <f ca="1"/>
        <v>0.41746007934262042</v>
      </c>
      <c r="AH7890" s="2" t="str">
        <f ca="1"/>
        <v>Bad</v>
      </c>
    </row>
    <row r="7891" spans="2:34" x14ac:dyDescent="0.2">
      <c r="B7891" s="2">
        <f ca="1"/>
        <v>0.37233610235933567</v>
      </c>
      <c r="O7891" s="2">
        <f ca="1"/>
        <v>-0.4416597693792062</v>
      </c>
      <c r="X7891" s="2">
        <f ca="1"/>
        <v>41.862860230699461</v>
      </c>
      <c r="AG7891" s="2">
        <f ca="1"/>
        <v>1.7998999749240241E-2</v>
      </c>
      <c r="AH7891" s="2" t="str">
        <f ca="1"/>
        <v>Good</v>
      </c>
    </row>
    <row r="7892" spans="2:34" x14ac:dyDescent="0.2">
      <c r="B7892" s="2">
        <f ca="1"/>
        <v>0.49150573846666323</v>
      </c>
      <c r="O7892" s="2">
        <f ca="1"/>
        <v>3.6176938729325286E-2</v>
      </c>
      <c r="X7892" s="2">
        <f ca="1"/>
        <v>55.396704818284952</v>
      </c>
      <c r="AG7892" s="2">
        <f ca="1"/>
        <v>0.9145066631038099</v>
      </c>
      <c r="AH7892" s="2" t="str">
        <f ca="1"/>
        <v>Bad</v>
      </c>
    </row>
    <row r="7893" spans="2:34" x14ac:dyDescent="0.2">
      <c r="B7893" s="2">
        <f ca="1"/>
        <v>0.96538994117721399</v>
      </c>
      <c r="O7893" s="2">
        <f ca="1"/>
        <v>-0.81984480390023151</v>
      </c>
      <c r="X7893" s="2">
        <f ca="1"/>
        <v>43.933948955520741</v>
      </c>
      <c r="AG7893" s="2">
        <f ca="1"/>
        <v>0.564016091701393</v>
      </c>
      <c r="AH7893" s="2" t="str">
        <f ca="1"/>
        <v>Bad</v>
      </c>
    </row>
    <row r="7894" spans="2:34" x14ac:dyDescent="0.2">
      <c r="B7894" s="2">
        <f ca="1"/>
        <v>0.54344380906588419</v>
      </c>
      <c r="O7894" s="2">
        <f ca="1"/>
        <v>-0.18864591659153271</v>
      </c>
      <c r="X7894" s="2">
        <f ca="1"/>
        <v>35.897787684532204</v>
      </c>
      <c r="AG7894" s="2">
        <f ca="1"/>
        <v>0.24154114913508695</v>
      </c>
      <c r="AH7894" s="2" t="str">
        <f ca="1"/>
        <v>OK</v>
      </c>
    </row>
    <row r="7895" spans="2:34" x14ac:dyDescent="0.2">
      <c r="B7895" s="2">
        <f ca="1"/>
        <v>0.20722720220643343</v>
      </c>
      <c r="O7895" s="2">
        <f ca="1"/>
        <v>-1.5424738231857595</v>
      </c>
      <c r="X7895" s="2">
        <f ca="1"/>
        <v>29.350230092574968</v>
      </c>
      <c r="AG7895" s="2">
        <f ca="1"/>
        <v>0.7572008262194363</v>
      </c>
      <c r="AH7895" s="2" t="str">
        <f ca="1"/>
        <v>Bad</v>
      </c>
    </row>
    <row r="7896" spans="2:34" x14ac:dyDescent="0.2">
      <c r="B7896" s="2">
        <f ca="1"/>
        <v>0.58180111175963134</v>
      </c>
      <c r="O7896" s="2">
        <f ca="1"/>
        <v>-0.20608890088177864</v>
      </c>
      <c r="X7896" s="2">
        <f ca="1"/>
        <v>58.531405944462442</v>
      </c>
      <c r="AG7896" s="2">
        <f ca="1"/>
        <v>6.3026715591130378E-2</v>
      </c>
      <c r="AH7896" s="2" t="str">
        <f ca="1"/>
        <v>OK</v>
      </c>
    </row>
    <row r="7897" spans="2:34" x14ac:dyDescent="0.2">
      <c r="B7897" s="2">
        <f ca="1"/>
        <v>0.52602845669937115</v>
      </c>
      <c r="O7897" s="2">
        <f ca="1"/>
        <v>1.5498809025400389</v>
      </c>
      <c r="X7897" s="2">
        <f ca="1"/>
        <v>64.773817798611688</v>
      </c>
      <c r="AG7897" s="2">
        <f ca="1"/>
        <v>0.70286126837802998</v>
      </c>
      <c r="AH7897" s="2" t="str">
        <f ca="1"/>
        <v>Bad</v>
      </c>
    </row>
    <row r="7898" spans="2:34" x14ac:dyDescent="0.2">
      <c r="B7898" s="2">
        <f ca="1"/>
        <v>0.54104028541908589</v>
      </c>
      <c r="O7898" s="2">
        <f ca="1"/>
        <v>-1.1193630668757084</v>
      </c>
      <c r="X7898" s="2">
        <f ca="1"/>
        <v>39.525277126919619</v>
      </c>
      <c r="AG7898" s="2">
        <f ca="1"/>
        <v>0.76362727253082108</v>
      </c>
      <c r="AH7898" s="2" t="str">
        <f ca="1"/>
        <v>Bad</v>
      </c>
    </row>
    <row r="7899" spans="2:34" x14ac:dyDescent="0.2">
      <c r="B7899" s="2">
        <f ca="1"/>
        <v>0.29127673151198641</v>
      </c>
      <c r="O7899" s="2">
        <f ca="1"/>
        <v>-0.442238921785988</v>
      </c>
      <c r="X7899" s="2">
        <f ca="1"/>
        <v>39.310469261864121</v>
      </c>
      <c r="AG7899" s="2">
        <f ca="1"/>
        <v>0.82256718272657769</v>
      </c>
      <c r="AH7899" s="2" t="str">
        <f ca="1"/>
        <v>Bad</v>
      </c>
    </row>
    <row r="7900" spans="2:34" x14ac:dyDescent="0.2">
      <c r="B7900" s="2">
        <f ca="1"/>
        <v>0.83891032179326896</v>
      </c>
      <c r="O7900" s="2">
        <f ca="1"/>
        <v>0.23903346236593589</v>
      </c>
      <c r="X7900" s="2">
        <f ca="1"/>
        <v>63.565832155788684</v>
      </c>
      <c r="AG7900" s="2">
        <f ca="1"/>
        <v>0.399382554121819</v>
      </c>
      <c r="AH7900" s="2" t="str">
        <f ca="1"/>
        <v>OK</v>
      </c>
    </row>
    <row r="7901" spans="2:34" x14ac:dyDescent="0.2">
      <c r="B7901" s="2">
        <f ca="1"/>
        <v>0.38160052978653081</v>
      </c>
      <c r="O7901" s="2">
        <f ca="1"/>
        <v>-1.307818145651414</v>
      </c>
      <c r="X7901" s="2">
        <f ca="1"/>
        <v>49.693199852519214</v>
      </c>
      <c r="AG7901" s="2">
        <f ca="1"/>
        <v>0.45133688026055108</v>
      </c>
      <c r="AH7901" s="2" t="str">
        <f ca="1"/>
        <v>Bad</v>
      </c>
    </row>
    <row r="7902" spans="2:34" x14ac:dyDescent="0.2">
      <c r="B7902" s="2">
        <f ca="1"/>
        <v>3.1754748494553064E-2</v>
      </c>
      <c r="O7902" s="2">
        <f ca="1"/>
        <v>-0.13648492613544647</v>
      </c>
      <c r="X7902" s="2">
        <f ca="1"/>
        <v>38.35720592959143</v>
      </c>
      <c r="AG7902" s="2">
        <f ca="1"/>
        <v>0.30745021131775996</v>
      </c>
      <c r="AH7902" s="2" t="str">
        <f ca="1"/>
        <v>OK</v>
      </c>
    </row>
    <row r="7903" spans="2:34" x14ac:dyDescent="0.2">
      <c r="B7903" s="2">
        <f ca="1"/>
        <v>0.84673038618768581</v>
      </c>
      <c r="O7903" s="2">
        <f ca="1"/>
        <v>-1.2038797998405091</v>
      </c>
      <c r="X7903" s="2">
        <f ca="1"/>
        <v>54.377658885504978</v>
      </c>
      <c r="AG7903" s="2">
        <f ca="1"/>
        <v>2.9739222144211652E-2</v>
      </c>
      <c r="AH7903" s="2" t="str">
        <f ca="1"/>
        <v>Good</v>
      </c>
    </row>
    <row r="7904" spans="2:34" x14ac:dyDescent="0.2">
      <c r="B7904" s="2">
        <f ca="1"/>
        <v>0.93714167988936192</v>
      </c>
      <c r="O7904" s="2">
        <f ca="1"/>
        <v>-1.4878214046602729</v>
      </c>
      <c r="X7904" s="2">
        <f ca="1"/>
        <v>31.140844621630425</v>
      </c>
      <c r="AG7904" s="2">
        <f ca="1"/>
        <v>0.74448150027942783</v>
      </c>
      <c r="AH7904" s="2" t="str">
        <f ca="1"/>
        <v>Bad</v>
      </c>
    </row>
    <row r="7905" spans="2:34" x14ac:dyDescent="0.2">
      <c r="B7905" s="2">
        <f ca="1"/>
        <v>0.54227110736869166</v>
      </c>
      <c r="O7905" s="2">
        <f ca="1"/>
        <v>7.1717433841515618E-2</v>
      </c>
      <c r="X7905" s="2">
        <f ca="1"/>
        <v>57.179146769306485</v>
      </c>
      <c r="AG7905" s="2">
        <f ca="1"/>
        <v>0.52897240578008953</v>
      </c>
      <c r="AH7905" s="2" t="str">
        <f ca="1"/>
        <v>Bad</v>
      </c>
    </row>
    <row r="7906" spans="2:34" x14ac:dyDescent="0.2">
      <c r="B7906" s="2">
        <f ca="1"/>
        <v>0.77089569360023269</v>
      </c>
      <c r="O7906" s="2">
        <f ca="1"/>
        <v>-9.5550044788269173E-2</v>
      </c>
      <c r="X7906" s="2">
        <f ca="1"/>
        <v>26.038691221206065</v>
      </c>
      <c r="AG7906" s="2">
        <f ca="1"/>
        <v>0.41746950187902132</v>
      </c>
      <c r="AH7906" s="2" t="str">
        <f ca="1"/>
        <v>Bad</v>
      </c>
    </row>
    <row r="7907" spans="2:34" x14ac:dyDescent="0.2">
      <c r="B7907" s="2">
        <f ca="1"/>
        <v>1.2185305856847517E-2</v>
      </c>
      <c r="O7907" s="2">
        <f ca="1"/>
        <v>0.19792438075128818</v>
      </c>
      <c r="X7907" s="2">
        <f ca="1"/>
        <v>43.508778486617381</v>
      </c>
      <c r="AG7907" s="2">
        <f ca="1"/>
        <v>0.29392588152282029</v>
      </c>
      <c r="AH7907" s="2" t="str">
        <f ca="1"/>
        <v>OK</v>
      </c>
    </row>
    <row r="7908" spans="2:34" x14ac:dyDescent="0.2">
      <c r="B7908" s="2">
        <f ca="1"/>
        <v>0.66409198503961764</v>
      </c>
      <c r="O7908" s="2">
        <f ca="1"/>
        <v>0.55249932717227079</v>
      </c>
      <c r="X7908" s="2">
        <f ca="1"/>
        <v>43.421372970573159</v>
      </c>
      <c r="AG7908" s="2">
        <f ca="1"/>
        <v>0.51504657385583563</v>
      </c>
      <c r="AH7908" s="2" t="str">
        <f ca="1"/>
        <v>Bad</v>
      </c>
    </row>
    <row r="7909" spans="2:34" x14ac:dyDescent="0.2">
      <c r="B7909" s="2">
        <f ca="1"/>
        <v>0.45751061984522834</v>
      </c>
      <c r="O7909" s="2">
        <f ca="1"/>
        <v>1.0862509588623501</v>
      </c>
      <c r="X7909" s="2">
        <f ca="1"/>
        <v>41.301632642203955</v>
      </c>
      <c r="AG7909" s="2">
        <f ca="1"/>
        <v>0.82513774359243763</v>
      </c>
      <c r="AH7909" s="2" t="str">
        <f ca="1"/>
        <v>Bad</v>
      </c>
    </row>
    <row r="7910" spans="2:34" x14ac:dyDescent="0.2">
      <c r="B7910" s="2">
        <f ca="1"/>
        <v>0.52625724898286341</v>
      </c>
      <c r="O7910" s="2">
        <f ca="1"/>
        <v>-1.6029265273724018</v>
      </c>
      <c r="X7910" s="2">
        <f ca="1"/>
        <v>62.830345268554481</v>
      </c>
      <c r="AG7910" s="2">
        <f ca="1"/>
        <v>0.67325282538812425</v>
      </c>
      <c r="AH7910" s="2" t="str">
        <f ca="1"/>
        <v>Bad</v>
      </c>
    </row>
    <row r="7911" spans="2:34" x14ac:dyDescent="0.2">
      <c r="B7911" s="2">
        <f ca="1"/>
        <v>1.6187840370385453E-2</v>
      </c>
      <c r="O7911" s="2">
        <f ca="1"/>
        <v>-0.48876749779755063</v>
      </c>
      <c r="X7911" s="2">
        <f ca="1"/>
        <v>60.776274332064276</v>
      </c>
      <c r="AG7911" s="2">
        <f ca="1"/>
        <v>0.70542260392431699</v>
      </c>
      <c r="AH7911" s="2" t="str">
        <f ca="1"/>
        <v>Bad</v>
      </c>
    </row>
    <row r="7912" spans="2:34" x14ac:dyDescent="0.2">
      <c r="B7912" s="2">
        <f ca="1"/>
        <v>0.34994791828965033</v>
      </c>
      <c r="O7912" s="2">
        <f ca="1"/>
        <v>1.4985270781189159</v>
      </c>
      <c r="X7912" s="2">
        <f ca="1"/>
        <v>58.621788803437369</v>
      </c>
      <c r="AG7912" s="2">
        <f ca="1"/>
        <v>0.87731940053743673</v>
      </c>
      <c r="AH7912" s="2" t="str">
        <f ca="1"/>
        <v>Bad</v>
      </c>
    </row>
    <row r="7913" spans="2:34" x14ac:dyDescent="0.2">
      <c r="B7913" s="2">
        <f ca="1"/>
        <v>0.53182296031304133</v>
      </c>
      <c r="O7913" s="2">
        <f ca="1"/>
        <v>-1.0885666239190082</v>
      </c>
      <c r="X7913" s="2">
        <f ca="1"/>
        <v>49.457695664064616</v>
      </c>
      <c r="AG7913" s="2">
        <f ca="1"/>
        <v>0.44429427685529177</v>
      </c>
      <c r="AH7913" s="2" t="str">
        <f ca="1"/>
        <v>Bad</v>
      </c>
    </row>
    <row r="7914" spans="2:34" x14ac:dyDescent="0.2">
      <c r="B7914" s="2">
        <f ca="1"/>
        <v>0.14343670764857652</v>
      </c>
      <c r="O7914" s="2">
        <f ca="1"/>
        <v>1.7247727028802313</v>
      </c>
      <c r="X7914" s="2">
        <f ca="1"/>
        <v>21.508113283126917</v>
      </c>
      <c r="AG7914" s="2">
        <f ca="1"/>
        <v>0.26818331562462405</v>
      </c>
      <c r="AH7914" s="2" t="str">
        <f ca="1"/>
        <v>OK</v>
      </c>
    </row>
    <row r="7915" spans="2:34" x14ac:dyDescent="0.2">
      <c r="B7915" s="2">
        <f ca="1"/>
        <v>0.10702934841454681</v>
      </c>
      <c r="O7915" s="2">
        <f ca="1"/>
        <v>-0.56321318075344762</v>
      </c>
      <c r="X7915" s="2">
        <f ca="1"/>
        <v>51.876560843691387</v>
      </c>
      <c r="AG7915" s="2">
        <f ca="1"/>
        <v>0.15068129831667276</v>
      </c>
      <c r="AH7915" s="2" t="str">
        <f ca="1"/>
        <v>OK</v>
      </c>
    </row>
    <row r="7916" spans="2:34" x14ac:dyDescent="0.2">
      <c r="B7916" s="2">
        <f ca="1"/>
        <v>0.89767407996850967</v>
      </c>
      <c r="O7916" s="2">
        <f ca="1"/>
        <v>1.2352343443945042</v>
      </c>
      <c r="X7916" s="2">
        <f ca="1"/>
        <v>38.488341219197608</v>
      </c>
      <c r="AG7916" s="2">
        <f ca="1"/>
        <v>0.1220466795150581</v>
      </c>
      <c r="AH7916" s="2" t="str">
        <f ca="1"/>
        <v>OK</v>
      </c>
    </row>
    <row r="7917" spans="2:34" x14ac:dyDescent="0.2">
      <c r="B7917" s="2">
        <f ca="1"/>
        <v>0.807158391267492</v>
      </c>
      <c r="O7917" s="2">
        <f ca="1"/>
        <v>-0.18366526403052547</v>
      </c>
      <c r="X7917" s="2">
        <f ca="1"/>
        <v>53.091943868086091</v>
      </c>
      <c r="AG7917" s="2">
        <f ca="1"/>
        <v>0.85714925840830136</v>
      </c>
      <c r="AH7917" s="2" t="str">
        <f ca="1"/>
        <v>Bad</v>
      </c>
    </row>
    <row r="7918" spans="2:34" x14ac:dyDescent="0.2">
      <c r="B7918" s="2">
        <f ca="1"/>
        <v>0.18563631030852612</v>
      </c>
      <c r="O7918" s="2">
        <f ca="1"/>
        <v>0.20621767046676026</v>
      </c>
      <c r="X7918" s="2">
        <f ca="1"/>
        <v>73.592611491005982</v>
      </c>
      <c r="AG7918" s="2">
        <f ca="1"/>
        <v>0.39233919183462351</v>
      </c>
      <c r="AH7918" s="2" t="str">
        <f ca="1"/>
        <v>OK</v>
      </c>
    </row>
    <row r="7919" spans="2:34" x14ac:dyDescent="0.2">
      <c r="B7919" s="2">
        <f ca="1"/>
        <v>0.42669822337510066</v>
      </c>
      <c r="O7919" s="2">
        <f ca="1"/>
        <v>0.18599567241274514</v>
      </c>
      <c r="X7919" s="2">
        <f ca="1"/>
        <v>25.538232868411765</v>
      </c>
      <c r="AG7919" s="2">
        <f ca="1"/>
        <v>0.83836133771166566</v>
      </c>
      <c r="AH7919" s="2" t="str">
        <f ca="1"/>
        <v>Bad</v>
      </c>
    </row>
    <row r="7920" spans="2:34" x14ac:dyDescent="0.2">
      <c r="B7920" s="2">
        <f ca="1"/>
        <v>0.85259026915665315</v>
      </c>
      <c r="O7920" s="2">
        <f ca="1"/>
        <v>-1.6759716072240685</v>
      </c>
      <c r="X7920" s="2">
        <f ca="1"/>
        <v>77.789982630611007</v>
      </c>
      <c r="AG7920" s="2">
        <f ca="1"/>
        <v>0.4385668676800587</v>
      </c>
      <c r="AH7920" s="2" t="str">
        <f ca="1"/>
        <v>Bad</v>
      </c>
    </row>
    <row r="7921" spans="2:34" x14ac:dyDescent="0.2">
      <c r="B7921" s="2">
        <f ca="1"/>
        <v>0.36328199792274396</v>
      </c>
      <c r="O7921" s="2">
        <f ca="1"/>
        <v>-1.7761525872637671</v>
      </c>
      <c r="X7921" s="2">
        <f ca="1"/>
        <v>44.764349349998646</v>
      </c>
      <c r="AG7921" s="2">
        <f ca="1"/>
        <v>0.99071298844975675</v>
      </c>
      <c r="AH7921" s="2" t="str">
        <f ca="1"/>
        <v>Bad</v>
      </c>
    </row>
    <row r="7922" spans="2:34" x14ac:dyDescent="0.2">
      <c r="B7922" s="2">
        <f ca="1"/>
        <v>0.11469199794781226</v>
      </c>
      <c r="O7922" s="2">
        <f ca="1"/>
        <v>1.1052613791615655</v>
      </c>
      <c r="X7922" s="2">
        <f ca="1"/>
        <v>56.100079662241995</v>
      </c>
      <c r="AG7922" s="2">
        <f ca="1"/>
        <v>0.68285623317853505</v>
      </c>
      <c r="AH7922" s="2" t="str">
        <f ca="1"/>
        <v>Bad</v>
      </c>
    </row>
    <row r="7923" spans="2:34" x14ac:dyDescent="0.2">
      <c r="B7923" s="2">
        <f ca="1"/>
        <v>0.56940221029196092</v>
      </c>
      <c r="O7923" s="2">
        <f ca="1"/>
        <v>-2.410664346295083</v>
      </c>
      <c r="X7923" s="2">
        <f ca="1"/>
        <v>45.785583436228279</v>
      </c>
      <c r="AG7923" s="2">
        <f ca="1"/>
        <v>0.30915600431303414</v>
      </c>
      <c r="AH7923" s="2" t="str">
        <f ca="1"/>
        <v>OK</v>
      </c>
    </row>
    <row r="7924" spans="2:34" x14ac:dyDescent="0.2">
      <c r="B7924" s="2">
        <f ca="1"/>
        <v>0.7361962428397637</v>
      </c>
      <c r="O7924" s="2">
        <f ca="1"/>
        <v>-0.16165194314716577</v>
      </c>
      <c r="X7924" s="2">
        <f ca="1"/>
        <v>41.876251670545543</v>
      </c>
      <c r="AG7924" s="2">
        <f ca="1"/>
        <v>0.65401610085897777</v>
      </c>
      <c r="AH7924" s="2" t="str">
        <f ca="1"/>
        <v>Bad</v>
      </c>
    </row>
    <row r="7925" spans="2:34" x14ac:dyDescent="0.2">
      <c r="B7925" s="2">
        <f ca="1"/>
        <v>6.0737770221519272E-2</v>
      </c>
      <c r="O7925" s="2">
        <f ca="1"/>
        <v>0.33458703600762491</v>
      </c>
      <c r="X7925" s="2">
        <f ca="1"/>
        <v>42.911021075414446</v>
      </c>
      <c r="AG7925" s="2">
        <f ca="1"/>
        <v>0.15045860330117722</v>
      </c>
      <c r="AH7925" s="2" t="str">
        <f ca="1"/>
        <v>OK</v>
      </c>
    </row>
    <row r="7926" spans="2:34" x14ac:dyDescent="0.2">
      <c r="B7926" s="2">
        <f ca="1"/>
        <v>0.647504984225449</v>
      </c>
      <c r="O7926" s="2">
        <f ca="1"/>
        <v>0.28736057841150092</v>
      </c>
      <c r="X7926" s="2">
        <f ca="1"/>
        <v>41.018175073564052</v>
      </c>
      <c r="AG7926" s="2">
        <f ca="1"/>
        <v>0.50835330726311745</v>
      </c>
      <c r="AH7926" s="2" t="str">
        <f ca="1"/>
        <v>Bad</v>
      </c>
    </row>
    <row r="7927" spans="2:34" x14ac:dyDescent="0.2">
      <c r="B7927" s="2">
        <f ca="1"/>
        <v>0.32595572516118665</v>
      </c>
      <c r="O7927" s="2">
        <f ca="1"/>
        <v>-0.80087979188435354</v>
      </c>
      <c r="X7927" s="2">
        <f ca="1"/>
        <v>35.049598837429819</v>
      </c>
      <c r="AG7927" s="2">
        <f ca="1"/>
        <v>0.63068764742344907</v>
      </c>
      <c r="AH7927" s="2" t="str">
        <f ca="1"/>
        <v>Bad</v>
      </c>
    </row>
    <row r="7928" spans="2:34" x14ac:dyDescent="0.2">
      <c r="B7928" s="2">
        <f ca="1"/>
        <v>0.15444573450378085</v>
      </c>
      <c r="O7928" s="2">
        <f ca="1"/>
        <v>9.8443848216724084E-2</v>
      </c>
      <c r="X7928" s="2">
        <f ca="1"/>
        <v>64.467383817244524</v>
      </c>
      <c r="AG7928" s="2">
        <f ca="1"/>
        <v>0.66734009778702519</v>
      </c>
      <c r="AH7928" s="2" t="str">
        <f ca="1"/>
        <v>Bad</v>
      </c>
    </row>
    <row r="7929" spans="2:34" x14ac:dyDescent="0.2">
      <c r="B7929" s="2">
        <f ca="1"/>
        <v>0.73436112705503764</v>
      </c>
      <c r="O7929" s="2">
        <f ca="1"/>
        <v>0.44334119766549007</v>
      </c>
      <c r="X7929" s="2">
        <f ca="1"/>
        <v>32.660496179671036</v>
      </c>
      <c r="AG7929" s="2">
        <f ca="1"/>
        <v>0.48816044978614137</v>
      </c>
      <c r="AH7929" s="2" t="str">
        <f ca="1"/>
        <v>Bad</v>
      </c>
    </row>
    <row r="7930" spans="2:34" x14ac:dyDescent="0.2">
      <c r="B7930" s="2">
        <f ca="1"/>
        <v>0.85926615494620839</v>
      </c>
      <c r="O7930" s="2">
        <f ca="1"/>
        <v>0.31594498292920359</v>
      </c>
      <c r="X7930" s="2">
        <f ca="1"/>
        <v>55.058952105522572</v>
      </c>
      <c r="AG7930" s="2">
        <f ca="1"/>
        <v>0.19381314159183516</v>
      </c>
      <c r="AH7930" s="2" t="str">
        <f ca="1"/>
        <v>OK</v>
      </c>
    </row>
    <row r="7931" spans="2:34" x14ac:dyDescent="0.2">
      <c r="B7931" s="2">
        <f ca="1"/>
        <v>0.11310250103885511</v>
      </c>
      <c r="O7931" s="2">
        <f ca="1"/>
        <v>1.3560669520443447</v>
      </c>
      <c r="X7931" s="2">
        <f ca="1"/>
        <v>72.004684426067925</v>
      </c>
      <c r="AG7931" s="2">
        <f ca="1"/>
        <v>0.70117542680226119</v>
      </c>
      <c r="AH7931" s="2" t="str">
        <f ca="1"/>
        <v>Bad</v>
      </c>
    </row>
    <row r="7932" spans="2:34" x14ac:dyDescent="0.2">
      <c r="B7932" s="2">
        <f ca="1"/>
        <v>0.17582375800095895</v>
      </c>
      <c r="O7932" s="2">
        <f ca="1"/>
        <v>1.371597397840586</v>
      </c>
      <c r="X7932" s="2">
        <f ca="1"/>
        <v>31.806042574993754</v>
      </c>
      <c r="AG7932" s="2">
        <f ca="1"/>
        <v>0.95059463785653286</v>
      </c>
      <c r="AH7932" s="2" t="str">
        <f ca="1"/>
        <v>Bad</v>
      </c>
    </row>
    <row r="7933" spans="2:34" x14ac:dyDescent="0.2">
      <c r="B7933" s="2">
        <f ca="1"/>
        <v>0.79701404616221172</v>
      </c>
      <c r="O7933" s="2">
        <f ca="1"/>
        <v>-0.82270780024692902</v>
      </c>
      <c r="X7933" s="2">
        <f ca="1"/>
        <v>30.252791994413041</v>
      </c>
      <c r="AG7933" s="2">
        <f ca="1"/>
        <v>0.20177681228717814</v>
      </c>
      <c r="AH7933" s="2" t="str">
        <f ca="1"/>
        <v>OK</v>
      </c>
    </row>
    <row r="7934" spans="2:34" x14ac:dyDescent="0.2">
      <c r="B7934" s="2">
        <f ca="1"/>
        <v>0.69637718659591408</v>
      </c>
      <c r="O7934" s="2">
        <f ca="1"/>
        <v>0.17428915070830694</v>
      </c>
      <c r="X7934" s="2">
        <f ca="1"/>
        <v>52.712050114671307</v>
      </c>
      <c r="AG7934" s="2">
        <f ca="1"/>
        <v>1.2291585587955067E-2</v>
      </c>
      <c r="AH7934" s="2" t="str">
        <f ca="1"/>
        <v>Good</v>
      </c>
    </row>
    <row r="7935" spans="2:34" x14ac:dyDescent="0.2">
      <c r="B7935" s="2">
        <f ca="1"/>
        <v>0.30697891526151944</v>
      </c>
      <c r="O7935" s="2">
        <f ca="1"/>
        <v>1.8463546952812289</v>
      </c>
      <c r="X7935" s="2">
        <f ca="1"/>
        <v>48.744734898006314</v>
      </c>
      <c r="AG7935" s="2">
        <f ca="1"/>
        <v>0.61368491123172508</v>
      </c>
      <c r="AH7935" s="2" t="str">
        <f ca="1"/>
        <v>Bad</v>
      </c>
    </row>
    <row r="7936" spans="2:34" x14ac:dyDescent="0.2">
      <c r="B7936" s="2">
        <f ca="1"/>
        <v>0.56455485918565307</v>
      </c>
      <c r="O7936" s="2">
        <f ca="1"/>
        <v>-0.13581263981853792</v>
      </c>
      <c r="X7936" s="2">
        <f ca="1"/>
        <v>96.344658476378783</v>
      </c>
      <c r="AG7936" s="2">
        <f ca="1"/>
        <v>0.77590449535812867</v>
      </c>
      <c r="AH7936" s="2" t="str">
        <f ca="1"/>
        <v>Bad</v>
      </c>
    </row>
    <row r="7937" spans="2:34" x14ac:dyDescent="0.2">
      <c r="B7937" s="2">
        <f ca="1"/>
        <v>0.64592585926233359</v>
      </c>
      <c r="O7937" s="2">
        <f ca="1"/>
        <v>-5.1856725230079392E-2</v>
      </c>
      <c r="X7937" s="2">
        <f ca="1"/>
        <v>27.610386969402686</v>
      </c>
      <c r="AG7937" s="2">
        <f ca="1"/>
        <v>0.6906700733462301</v>
      </c>
      <c r="AH7937" s="2" t="str">
        <f ca="1"/>
        <v>Bad</v>
      </c>
    </row>
    <row r="7938" spans="2:34" x14ac:dyDescent="0.2">
      <c r="B7938" s="2">
        <f ca="1"/>
        <v>0.2349757733498048</v>
      </c>
      <c r="O7938" s="2">
        <f ca="1"/>
        <v>-0.24270961122577561</v>
      </c>
      <c r="X7938" s="2">
        <f ca="1"/>
        <v>37.538535355667506</v>
      </c>
      <c r="AG7938" s="2">
        <f ca="1"/>
        <v>0.41148966240598228</v>
      </c>
      <c r="AH7938" s="2" t="str">
        <f ca="1"/>
        <v>Bad</v>
      </c>
    </row>
    <row r="7939" spans="2:34" x14ac:dyDescent="0.2">
      <c r="B7939" s="2">
        <f ca="1"/>
        <v>0.32513956066617111</v>
      </c>
      <c r="O7939" s="2">
        <f ca="1"/>
        <v>1.4712335971651247</v>
      </c>
      <c r="X7939" s="2">
        <f ca="1"/>
        <v>38.585993166974383</v>
      </c>
      <c r="AG7939" s="2">
        <f ca="1"/>
        <v>3.2473656807618489E-2</v>
      </c>
      <c r="AH7939" s="2" t="str">
        <f ca="1"/>
        <v>Good</v>
      </c>
    </row>
    <row r="7940" spans="2:34" x14ac:dyDescent="0.2">
      <c r="B7940" s="2">
        <f ca="1"/>
        <v>0.82419650719344095</v>
      </c>
      <c r="O7940" s="2">
        <f ca="1"/>
        <v>-1.4781303157728594</v>
      </c>
      <c r="X7940" s="2">
        <f ca="1"/>
        <v>44.701572096013827</v>
      </c>
      <c r="AG7940" s="2">
        <f ca="1"/>
        <v>0.42422517267541893</v>
      </c>
      <c r="AH7940" s="2" t="str">
        <f ca="1"/>
        <v>Bad</v>
      </c>
    </row>
    <row r="7941" spans="2:34" x14ac:dyDescent="0.2">
      <c r="B7941" s="2">
        <f ca="1"/>
        <v>0.10348691026933854</v>
      </c>
      <c r="O7941" s="2">
        <f ca="1"/>
        <v>0.36920625226876752</v>
      </c>
      <c r="X7941" s="2">
        <f ca="1"/>
        <v>35.177995165761409</v>
      </c>
      <c r="AG7941" s="2">
        <f ca="1"/>
        <v>0.37613292415260213</v>
      </c>
      <c r="AH7941" s="2" t="str">
        <f ca="1"/>
        <v>OK</v>
      </c>
    </row>
    <row r="7942" spans="2:34" x14ac:dyDescent="0.2">
      <c r="B7942" s="2">
        <f ca="1"/>
        <v>0.56493666617593363</v>
      </c>
      <c r="O7942" s="2">
        <f ca="1"/>
        <v>1.1645299847893309</v>
      </c>
      <c r="X7942" s="2">
        <f ca="1"/>
        <v>35.718317202487235</v>
      </c>
      <c r="AG7942" s="2">
        <f ca="1"/>
        <v>0.18565093303299762</v>
      </c>
      <c r="AH7942" s="2" t="str">
        <f ca="1"/>
        <v>OK</v>
      </c>
    </row>
    <row r="7943" spans="2:34" x14ac:dyDescent="0.2">
      <c r="B7943" s="2">
        <f ca="1"/>
        <v>0.77401677449511674</v>
      </c>
      <c r="O7943" s="2">
        <f ca="1"/>
        <v>1.1379918983526252</v>
      </c>
      <c r="X7943" s="2">
        <f ca="1"/>
        <v>71.610437018088831</v>
      </c>
      <c r="AG7943" s="2">
        <f ca="1"/>
        <v>0.1710678136194701</v>
      </c>
      <c r="AH7943" s="2" t="str">
        <f ca="1"/>
        <v>OK</v>
      </c>
    </row>
    <row r="7944" spans="2:34" x14ac:dyDescent="0.2">
      <c r="B7944" s="2">
        <f ca="1"/>
        <v>0.47057729812593108</v>
      </c>
      <c r="O7944" s="2">
        <f ca="1"/>
        <v>-1.7798521588696015</v>
      </c>
      <c r="X7944" s="2">
        <f ca="1"/>
        <v>28.296434025101554</v>
      </c>
      <c r="AG7944" s="2">
        <f ca="1"/>
        <v>0.24290362598193016</v>
      </c>
      <c r="AH7944" s="2" t="str">
        <f ca="1"/>
        <v>OK</v>
      </c>
    </row>
    <row r="7945" spans="2:34" x14ac:dyDescent="0.2">
      <c r="B7945" s="2">
        <f ca="1"/>
        <v>0.868122903300097</v>
      </c>
      <c r="O7945" s="2">
        <f ca="1"/>
        <v>-0.77914600843907433</v>
      </c>
      <c r="X7945" s="2">
        <f ca="1"/>
        <v>66.65615874849766</v>
      </c>
      <c r="AG7945" s="2">
        <f ca="1"/>
        <v>0.57527991733465744</v>
      </c>
      <c r="AH7945" s="2" t="str">
        <f ca="1"/>
        <v>Bad</v>
      </c>
    </row>
    <row r="7946" spans="2:34" x14ac:dyDescent="0.2">
      <c r="B7946" s="2">
        <f ca="1"/>
        <v>0.22702720872716653</v>
      </c>
      <c r="O7946" s="2">
        <f ca="1"/>
        <v>-1.164786966461322</v>
      </c>
      <c r="X7946" s="2">
        <f ca="1"/>
        <v>43.515075510207815</v>
      </c>
      <c r="AG7946" s="2">
        <f ca="1"/>
        <v>0.11799906971496554</v>
      </c>
      <c r="AH7946" s="2" t="str">
        <f ca="1"/>
        <v>OK</v>
      </c>
    </row>
    <row r="7947" spans="2:34" x14ac:dyDescent="0.2">
      <c r="B7947" s="2">
        <f ca="1"/>
        <v>0.67850766412712704</v>
      </c>
      <c r="O7947" s="2">
        <f ca="1"/>
        <v>0.24265236854697791</v>
      </c>
      <c r="X7947" s="2">
        <f ca="1"/>
        <v>69.516627994880039</v>
      </c>
      <c r="AG7947" s="2">
        <f ca="1"/>
        <v>0.55744066459112607</v>
      </c>
      <c r="AH7947" s="2" t="str">
        <f ca="1"/>
        <v>Bad</v>
      </c>
    </row>
    <row r="7948" spans="2:34" x14ac:dyDescent="0.2">
      <c r="B7948" s="2">
        <f ca="1"/>
        <v>0.31847967720820036</v>
      </c>
      <c r="O7948" s="2">
        <f ca="1"/>
        <v>-0.90724869749979553</v>
      </c>
      <c r="X7948" s="2">
        <f ca="1"/>
        <v>35.725068921541961</v>
      </c>
      <c r="AG7948" s="2">
        <f ca="1"/>
        <v>0.13133945304563421</v>
      </c>
      <c r="AH7948" s="2" t="str">
        <f ca="1"/>
        <v>OK</v>
      </c>
    </row>
    <row r="7949" spans="2:34" x14ac:dyDescent="0.2">
      <c r="B7949" s="2">
        <f ca="1"/>
        <v>0.47761316268166554</v>
      </c>
      <c r="O7949" s="2">
        <f ca="1"/>
        <v>-0.10246475421051836</v>
      </c>
      <c r="X7949" s="2">
        <f ca="1"/>
        <v>81.403215901856896</v>
      </c>
      <c r="AG7949" s="2">
        <f ca="1"/>
        <v>0.90707305345013856</v>
      </c>
      <c r="AH7949" s="2" t="str">
        <f ca="1"/>
        <v>Bad</v>
      </c>
    </row>
    <row r="7950" spans="2:34" x14ac:dyDescent="0.2">
      <c r="B7950" s="2">
        <f ca="1"/>
        <v>0.19802492963780494</v>
      </c>
      <c r="O7950" s="2">
        <f ca="1"/>
        <v>1.0974053296192039</v>
      </c>
      <c r="X7950" s="2">
        <f ca="1"/>
        <v>36.768863684298708</v>
      </c>
      <c r="AG7950" s="2">
        <f ca="1"/>
        <v>0.11900679907778078</v>
      </c>
      <c r="AH7950" s="2" t="str">
        <f ca="1"/>
        <v>OK</v>
      </c>
    </row>
    <row r="7951" spans="2:34" x14ac:dyDescent="0.2">
      <c r="B7951" s="2">
        <f ca="1"/>
        <v>0.22213448726029972</v>
      </c>
      <c r="O7951" s="2">
        <f ca="1"/>
        <v>-1.1634893424059418</v>
      </c>
      <c r="X7951" s="2">
        <f ca="1"/>
        <v>37.282874272689838</v>
      </c>
      <c r="AG7951" s="2">
        <f ca="1"/>
        <v>4.3847781414674269E-3</v>
      </c>
      <c r="AH7951" s="2" t="str">
        <f ca="1"/>
        <v>Good</v>
      </c>
    </row>
    <row r="7952" spans="2:34" x14ac:dyDescent="0.2">
      <c r="B7952" s="2">
        <f ca="1"/>
        <v>0.28393377726426139</v>
      </c>
      <c r="O7952" s="2">
        <f ca="1"/>
        <v>1.121491962564211</v>
      </c>
      <c r="X7952" s="2">
        <f ca="1"/>
        <v>60.206194208960056</v>
      </c>
      <c r="AG7952" s="2">
        <f ca="1"/>
        <v>0.46689946323257736</v>
      </c>
      <c r="AH7952" s="2" t="str">
        <f ca="1"/>
        <v>Bad</v>
      </c>
    </row>
    <row r="7953" spans="2:34" x14ac:dyDescent="0.2">
      <c r="B7953" s="2">
        <f ca="1"/>
        <v>0.76073637062223831</v>
      </c>
      <c r="O7953" s="2">
        <f ca="1"/>
        <v>-0.54712398217295821</v>
      </c>
      <c r="X7953" s="2">
        <f ca="1"/>
        <v>42.788761451664215</v>
      </c>
      <c r="AG7953" s="2">
        <f ca="1"/>
        <v>0.59052764188438345</v>
      </c>
      <c r="AH7953" s="2" t="str">
        <f ca="1"/>
        <v>Bad</v>
      </c>
    </row>
    <row r="7954" spans="2:34" x14ac:dyDescent="0.2">
      <c r="B7954" s="2">
        <f ca="1"/>
        <v>0.42974460152755056</v>
      </c>
      <c r="O7954" s="2">
        <f ca="1"/>
        <v>-0.50478064246534204</v>
      </c>
      <c r="X7954" s="2">
        <f ca="1"/>
        <v>47.806744357046227</v>
      </c>
      <c r="AG7954" s="2">
        <f ca="1"/>
        <v>0.93573871195971536</v>
      </c>
      <c r="AH7954" s="2" t="str">
        <f ca="1"/>
        <v>Bad</v>
      </c>
    </row>
    <row r="7955" spans="2:34" x14ac:dyDescent="0.2">
      <c r="B7955" s="2">
        <f ca="1"/>
        <v>0.57269783381515227</v>
      </c>
      <c r="O7955" s="2">
        <f ca="1"/>
        <v>1.0416410795938871</v>
      </c>
      <c r="X7955" s="2">
        <f ca="1"/>
        <v>33.500977780408675</v>
      </c>
      <c r="AG7955" s="2">
        <f ca="1"/>
        <v>0.348032559471668</v>
      </c>
      <c r="AH7955" s="2" t="str">
        <f ca="1"/>
        <v>OK</v>
      </c>
    </row>
    <row r="7956" spans="2:34" x14ac:dyDescent="0.2">
      <c r="B7956" s="2">
        <f ca="1"/>
        <v>0.86510174591645761</v>
      </c>
      <c r="O7956" s="2">
        <f ca="1"/>
        <v>-2.0816740673763667</v>
      </c>
      <c r="X7956" s="2">
        <f ca="1"/>
        <v>42.430778074770132</v>
      </c>
      <c r="AG7956" s="2">
        <f ca="1"/>
        <v>0.52211556644122203</v>
      </c>
      <c r="AH7956" s="2" t="str">
        <f ca="1"/>
        <v>Bad</v>
      </c>
    </row>
    <row r="7957" spans="2:34" x14ac:dyDescent="0.2">
      <c r="B7957" s="2">
        <f ca="1"/>
        <v>0.77815018879014342</v>
      </c>
      <c r="O7957" s="2">
        <f ca="1"/>
        <v>-2.5022971653468666E-2</v>
      </c>
      <c r="X7957" s="2">
        <f ca="1"/>
        <v>38.130095976440124</v>
      </c>
      <c r="AG7957" s="2">
        <f ca="1"/>
        <v>0.58387369783417675</v>
      </c>
      <c r="AH7957" s="2" t="str">
        <f ca="1"/>
        <v>Bad</v>
      </c>
    </row>
    <row r="7958" spans="2:34" x14ac:dyDescent="0.2">
      <c r="B7958" s="2">
        <f ca="1"/>
        <v>0.69717299929560639</v>
      </c>
      <c r="O7958" s="2">
        <f ca="1"/>
        <v>-1.0746244004125791</v>
      </c>
      <c r="X7958" s="2">
        <f ca="1"/>
        <v>49.477799839288096</v>
      </c>
      <c r="AG7958" s="2">
        <f ca="1"/>
        <v>0.96350254523930867</v>
      </c>
      <c r="AH7958" s="2" t="str">
        <f ca="1"/>
        <v>Bad</v>
      </c>
    </row>
    <row r="7959" spans="2:34" x14ac:dyDescent="0.2">
      <c r="B7959" s="2">
        <f ca="1"/>
        <v>8.937316544837981E-2</v>
      </c>
      <c r="O7959" s="2">
        <f ca="1"/>
        <v>1.7790471340515015</v>
      </c>
      <c r="X7959" s="2">
        <f ca="1"/>
        <v>62.730047504323927</v>
      </c>
      <c r="AG7959" s="2">
        <f ca="1"/>
        <v>0.85162454148209443</v>
      </c>
      <c r="AH7959" s="2" t="str">
        <f ca="1"/>
        <v>Bad</v>
      </c>
    </row>
    <row r="7960" spans="2:34" x14ac:dyDescent="0.2">
      <c r="B7960" s="2">
        <f ca="1"/>
        <v>0.13729585630288543</v>
      </c>
      <c r="O7960" s="2">
        <f ca="1"/>
        <v>-0.41256849270007029</v>
      </c>
      <c r="X7960" s="2">
        <f ca="1"/>
        <v>98.883884313085559</v>
      </c>
      <c r="AG7960" s="2">
        <f ca="1"/>
        <v>0.35023276771759293</v>
      </c>
      <c r="AH7960" s="2" t="str">
        <f ca="1"/>
        <v>OK</v>
      </c>
    </row>
    <row r="7961" spans="2:34" x14ac:dyDescent="0.2">
      <c r="B7961" s="2">
        <f ca="1"/>
        <v>0.89942250788354605</v>
      </c>
      <c r="O7961" s="2">
        <f ca="1"/>
        <v>1.2269422556872438</v>
      </c>
      <c r="X7961" s="2">
        <f ca="1"/>
        <v>41.544242111735727</v>
      </c>
      <c r="AG7961" s="2">
        <f ca="1"/>
        <v>0.25109728137453557</v>
      </c>
      <c r="AH7961" s="2" t="str">
        <f ca="1"/>
        <v>OK</v>
      </c>
    </row>
    <row r="7962" spans="2:34" x14ac:dyDescent="0.2">
      <c r="B7962" s="2">
        <f ca="1"/>
        <v>0.5369204217296939</v>
      </c>
      <c r="O7962" s="2">
        <f ca="1"/>
        <v>0.74324716525342083</v>
      </c>
      <c r="X7962" s="2">
        <f ca="1"/>
        <v>79.105258558144953</v>
      </c>
      <c r="AG7962" s="2">
        <f ca="1"/>
        <v>0.35714957862599084</v>
      </c>
      <c r="AH7962" s="2" t="str">
        <f ca="1"/>
        <v>OK</v>
      </c>
    </row>
    <row r="7963" spans="2:34" x14ac:dyDescent="0.2">
      <c r="B7963" s="2">
        <f ca="1"/>
        <v>6.7717730800453957E-4</v>
      </c>
      <c r="O7963" s="2">
        <f ca="1"/>
        <v>0.11572676584769404</v>
      </c>
      <c r="X7963" s="2">
        <f ca="1"/>
        <v>74.780321676910518</v>
      </c>
      <c r="AG7963" s="2">
        <f ca="1"/>
        <v>0.83426801925036509</v>
      </c>
      <c r="AH7963" s="2" t="str">
        <f ca="1"/>
        <v>Bad</v>
      </c>
    </row>
    <row r="7964" spans="2:34" x14ac:dyDescent="0.2">
      <c r="B7964" s="2">
        <f ca="1"/>
        <v>0.63950889942609668</v>
      </c>
      <c r="O7964" s="2">
        <f ca="1"/>
        <v>-1.4495294487712258</v>
      </c>
      <c r="X7964" s="2">
        <f ca="1"/>
        <v>52.485999861151136</v>
      </c>
      <c r="AG7964" s="2">
        <f ca="1"/>
        <v>0.37673662439322064</v>
      </c>
      <c r="AH7964" s="2" t="str">
        <f ca="1"/>
        <v>OK</v>
      </c>
    </row>
    <row r="7965" spans="2:34" x14ac:dyDescent="0.2">
      <c r="B7965" s="2">
        <f ca="1"/>
        <v>0.40726465337569184</v>
      </c>
      <c r="O7965" s="2">
        <f ca="1"/>
        <v>1.1920676982690948</v>
      </c>
      <c r="X7965" s="2">
        <f ca="1"/>
        <v>51.868261804059053</v>
      </c>
      <c r="AG7965" s="2">
        <f ca="1"/>
        <v>0.46614005782245238</v>
      </c>
      <c r="AH7965" s="2" t="str">
        <f ca="1"/>
        <v>Bad</v>
      </c>
    </row>
    <row r="7966" spans="2:34" x14ac:dyDescent="0.2">
      <c r="B7966" s="2">
        <f ca="1"/>
        <v>0.71579441246716113</v>
      </c>
      <c r="O7966" s="2">
        <f ca="1"/>
        <v>-0.47211262636717016</v>
      </c>
      <c r="X7966" s="2">
        <f ca="1"/>
        <v>30.269451150440354</v>
      </c>
      <c r="AG7966" s="2">
        <f ca="1"/>
        <v>0.75581608188854665</v>
      </c>
      <c r="AH7966" s="2" t="str">
        <f ca="1"/>
        <v>Bad</v>
      </c>
    </row>
    <row r="7967" spans="2:34" x14ac:dyDescent="0.2">
      <c r="B7967" s="2">
        <f ca="1"/>
        <v>0.86705409825735469</v>
      </c>
      <c r="O7967" s="2">
        <f ca="1"/>
        <v>-0.90862263987169256</v>
      </c>
      <c r="X7967" s="2">
        <f ca="1"/>
        <v>59.718847722009926</v>
      </c>
      <c r="AG7967" s="2">
        <f ca="1"/>
        <v>0.89207342046502514</v>
      </c>
      <c r="AH7967" s="2" t="str">
        <f ca="1"/>
        <v>Bad</v>
      </c>
    </row>
    <row r="7968" spans="2:34" x14ac:dyDescent="0.2">
      <c r="B7968" s="2">
        <f ca="1"/>
        <v>0.46381895741374279</v>
      </c>
      <c r="O7968" s="2">
        <f ca="1"/>
        <v>-1.8630020141249239</v>
      </c>
      <c r="X7968" s="2">
        <f ca="1"/>
        <v>57.207068524920793</v>
      </c>
      <c r="AG7968" s="2">
        <f ca="1"/>
        <v>0.83238549778207238</v>
      </c>
      <c r="AH7968" s="2" t="str">
        <f ca="1"/>
        <v>Bad</v>
      </c>
    </row>
    <row r="7969" spans="2:34" x14ac:dyDescent="0.2">
      <c r="B7969" s="2">
        <f ca="1"/>
        <v>0.88606669001557825</v>
      </c>
      <c r="O7969" s="2">
        <f ca="1"/>
        <v>0.7348727750082007</v>
      </c>
      <c r="X7969" s="2">
        <f ca="1"/>
        <v>56.682625119644392</v>
      </c>
      <c r="AG7969" s="2">
        <f ca="1"/>
        <v>0.93527037869269369</v>
      </c>
      <c r="AH7969" s="2" t="str">
        <f ca="1"/>
        <v>Bad</v>
      </c>
    </row>
    <row r="7970" spans="2:34" x14ac:dyDescent="0.2">
      <c r="B7970" s="2">
        <f ca="1"/>
        <v>2.1356915915176078E-2</v>
      </c>
      <c r="O7970" s="2">
        <f ca="1"/>
        <v>-1.9238243202818099</v>
      </c>
      <c r="X7970" s="2">
        <f ca="1"/>
        <v>42.025354368704804</v>
      </c>
      <c r="AG7970" s="2">
        <f ca="1"/>
        <v>0.66422028914321141</v>
      </c>
      <c r="AH7970" s="2" t="str">
        <f ca="1"/>
        <v>Bad</v>
      </c>
    </row>
    <row r="7971" spans="2:34" x14ac:dyDescent="0.2">
      <c r="B7971" s="2">
        <f ca="1"/>
        <v>0.99635897605338686</v>
      </c>
      <c r="O7971" s="2">
        <f ca="1"/>
        <v>-0.11809115100470659</v>
      </c>
      <c r="X7971" s="2">
        <f ca="1"/>
        <v>69.23163625599355</v>
      </c>
      <c r="AG7971" s="2">
        <f ca="1"/>
        <v>0.50573971944454099</v>
      </c>
      <c r="AH7971" s="2" t="str">
        <f ca="1"/>
        <v>Bad</v>
      </c>
    </row>
    <row r="7972" spans="2:34" x14ac:dyDescent="0.2">
      <c r="B7972" s="2">
        <f ca="1"/>
        <v>0.3289065784315901</v>
      </c>
      <c r="O7972" s="2">
        <f ca="1"/>
        <v>2.2395710026357261</v>
      </c>
      <c r="X7972" s="2">
        <f ca="1"/>
        <v>26.972245306297427</v>
      </c>
      <c r="AG7972" s="2">
        <f ca="1"/>
        <v>0.11306070978257154</v>
      </c>
      <c r="AH7972" s="2" t="str">
        <f ca="1"/>
        <v>OK</v>
      </c>
    </row>
    <row r="7973" spans="2:34" x14ac:dyDescent="0.2">
      <c r="B7973" s="2">
        <f ca="1"/>
        <v>0.66935555229195365</v>
      </c>
      <c r="O7973" s="2">
        <f ca="1"/>
        <v>1.1836330670056732</v>
      </c>
      <c r="X7973" s="2">
        <f ca="1"/>
        <v>56.183081622511096</v>
      </c>
      <c r="AG7973" s="2">
        <f ca="1"/>
        <v>5.4393537947244219E-2</v>
      </c>
      <c r="AH7973" s="2" t="str">
        <f ca="1"/>
        <v>OK</v>
      </c>
    </row>
    <row r="7974" spans="2:34" x14ac:dyDescent="0.2">
      <c r="B7974" s="2">
        <f ca="1"/>
        <v>0.56923514030487388</v>
      </c>
      <c r="O7974" s="2">
        <f ca="1"/>
        <v>-1.1732027533994251</v>
      </c>
      <c r="X7974" s="2">
        <f ca="1"/>
        <v>53.188762943736691</v>
      </c>
      <c r="AG7974" s="2">
        <f ca="1"/>
        <v>0.43975379147188942</v>
      </c>
      <c r="AH7974" s="2" t="str">
        <f ca="1"/>
        <v>Bad</v>
      </c>
    </row>
    <row r="7975" spans="2:34" x14ac:dyDescent="0.2">
      <c r="B7975" s="2">
        <f ca="1"/>
        <v>0.43769581645264566</v>
      </c>
      <c r="O7975" s="2">
        <f ca="1"/>
        <v>2.3852979937970646</v>
      </c>
      <c r="X7975" s="2">
        <f ca="1"/>
        <v>101.42902436078512</v>
      </c>
      <c r="AG7975" s="2">
        <f ca="1"/>
        <v>0.11054986967590308</v>
      </c>
      <c r="AH7975" s="2" t="str">
        <f ca="1"/>
        <v>OK</v>
      </c>
    </row>
    <row r="7976" spans="2:34" x14ac:dyDescent="0.2">
      <c r="B7976" s="2">
        <f ca="1"/>
        <v>0.18139774838990919</v>
      </c>
      <c r="O7976" s="2">
        <f ca="1"/>
        <v>2.0225123925280282</v>
      </c>
      <c r="X7976" s="2">
        <f ca="1"/>
        <v>46.917053816906893</v>
      </c>
      <c r="AG7976" s="2">
        <f ca="1"/>
        <v>0.83229876400026881</v>
      </c>
      <c r="AH7976" s="2" t="str">
        <f ca="1"/>
        <v>Bad</v>
      </c>
    </row>
    <row r="7977" spans="2:34" x14ac:dyDescent="0.2">
      <c r="B7977" s="2">
        <f ca="1"/>
        <v>0.6821078906002489</v>
      </c>
      <c r="O7977" s="2">
        <f ca="1"/>
        <v>0.70398232507227176</v>
      </c>
      <c r="X7977" s="2">
        <f ca="1"/>
        <v>44.240230094567963</v>
      </c>
      <c r="AG7977" s="2">
        <f ca="1"/>
        <v>0.46031775145155085</v>
      </c>
      <c r="AH7977" s="2" t="str">
        <f ca="1"/>
        <v>Bad</v>
      </c>
    </row>
    <row r="7978" spans="2:34" x14ac:dyDescent="0.2">
      <c r="B7978" s="2">
        <f ca="1"/>
        <v>0.7303422439420213</v>
      </c>
      <c r="O7978" s="2">
        <f ca="1"/>
        <v>-1.6910335696000034</v>
      </c>
      <c r="X7978" s="2">
        <f ca="1"/>
        <v>57.54701608434992</v>
      </c>
      <c r="AG7978" s="2">
        <f ca="1"/>
        <v>0.23351652671770506</v>
      </c>
      <c r="AH7978" s="2" t="str">
        <f ca="1"/>
        <v>OK</v>
      </c>
    </row>
    <row r="7979" spans="2:34" x14ac:dyDescent="0.2">
      <c r="B7979" s="2">
        <f ca="1"/>
        <v>0.19464104281815664</v>
      </c>
      <c r="O7979" s="2">
        <f ca="1"/>
        <v>-0.13073313832839456</v>
      </c>
      <c r="X7979" s="2">
        <f ca="1"/>
        <v>63.102536793286816</v>
      </c>
      <c r="AG7979" s="2">
        <f ca="1"/>
        <v>0.23210677091722087</v>
      </c>
      <c r="AH7979" s="2" t="str">
        <f ca="1"/>
        <v>OK</v>
      </c>
    </row>
    <row r="7980" spans="2:34" x14ac:dyDescent="0.2">
      <c r="B7980" s="2">
        <f ca="1"/>
        <v>0.44249113865869494</v>
      </c>
      <c r="O7980" s="2">
        <f ca="1"/>
        <v>1.4765109013032554</v>
      </c>
      <c r="X7980" s="2">
        <f ca="1"/>
        <v>59.680216129946359</v>
      </c>
      <c r="AG7980" s="2">
        <f ca="1"/>
        <v>0.37782840579196586</v>
      </c>
      <c r="AH7980" s="2" t="str">
        <f ca="1"/>
        <v>OK</v>
      </c>
    </row>
    <row r="7981" spans="2:34" x14ac:dyDescent="0.2">
      <c r="B7981" s="2">
        <f ca="1"/>
        <v>0.13216282790698863</v>
      </c>
      <c r="O7981" s="2">
        <f ca="1"/>
        <v>0.11194338159495242</v>
      </c>
      <c r="X7981" s="2">
        <f ca="1"/>
        <v>21.628513939588082</v>
      </c>
      <c r="AG7981" s="2">
        <f ca="1"/>
        <v>2.8936899547546524E-2</v>
      </c>
      <c r="AH7981" s="2" t="str">
        <f ca="1"/>
        <v>Good</v>
      </c>
    </row>
    <row r="7982" spans="2:34" x14ac:dyDescent="0.2">
      <c r="B7982" s="2">
        <f ca="1"/>
        <v>0.20942714147543295</v>
      </c>
      <c r="O7982" s="2">
        <f ca="1"/>
        <v>-0.47323519585967327</v>
      </c>
      <c r="X7982" s="2">
        <f ca="1"/>
        <v>35.244929085453215</v>
      </c>
      <c r="AG7982" s="2">
        <f ca="1"/>
        <v>0.42398927357567118</v>
      </c>
      <c r="AH7982" s="2" t="str">
        <f ca="1"/>
        <v>Bad</v>
      </c>
    </row>
    <row r="7983" spans="2:34" x14ac:dyDescent="0.2">
      <c r="B7983" s="2">
        <f ca="1"/>
        <v>0.51210364710433365</v>
      </c>
      <c r="O7983" s="2">
        <f ca="1"/>
        <v>-0.14719305549446415</v>
      </c>
      <c r="X7983" s="2">
        <f ca="1"/>
        <v>24.522310037682264</v>
      </c>
      <c r="AG7983" s="2">
        <f ca="1"/>
        <v>0.69850005023055561</v>
      </c>
      <c r="AH7983" s="2" t="str">
        <f ca="1"/>
        <v>Bad</v>
      </c>
    </row>
    <row r="7984" spans="2:34" x14ac:dyDescent="0.2">
      <c r="B7984" s="2">
        <f ca="1"/>
        <v>0.88160284503546604</v>
      </c>
      <c r="O7984" s="2">
        <f ca="1"/>
        <v>-0.52261491373578339</v>
      </c>
      <c r="X7984" s="2">
        <f ca="1"/>
        <v>39.332181134716095</v>
      </c>
      <c r="AG7984" s="2">
        <f ca="1"/>
        <v>0.38460782237904523</v>
      </c>
      <c r="AH7984" s="2" t="str">
        <f ca="1"/>
        <v>OK</v>
      </c>
    </row>
    <row r="7985" spans="2:34" x14ac:dyDescent="0.2">
      <c r="B7985" s="2">
        <f ca="1"/>
        <v>0.60411380428689276</v>
      </c>
      <c r="O7985" s="2">
        <f ca="1"/>
        <v>-1.4260400650970126</v>
      </c>
      <c r="X7985" s="2">
        <f ca="1"/>
        <v>53.95929477836215</v>
      </c>
      <c r="AG7985" s="2">
        <f ca="1"/>
        <v>0.17111633888883393</v>
      </c>
      <c r="AH7985" s="2" t="str">
        <f ca="1"/>
        <v>OK</v>
      </c>
    </row>
    <row r="7986" spans="2:34" x14ac:dyDescent="0.2">
      <c r="B7986" s="2">
        <f ca="1"/>
        <v>0.16696509145828275</v>
      </c>
      <c r="O7986" s="2">
        <f ca="1"/>
        <v>1.4094762494461712</v>
      </c>
      <c r="X7986" s="2">
        <f ca="1"/>
        <v>45.495208949101141</v>
      </c>
      <c r="AG7986" s="2">
        <f ca="1"/>
        <v>0.44842818748928059</v>
      </c>
      <c r="AH7986" s="2" t="str">
        <f ca="1"/>
        <v>Bad</v>
      </c>
    </row>
    <row r="7987" spans="2:34" x14ac:dyDescent="0.2">
      <c r="B7987" s="2">
        <f ca="1"/>
        <v>0.55330130282394774</v>
      </c>
      <c r="O7987" s="2">
        <f ca="1"/>
        <v>5.27190940331781E-2</v>
      </c>
      <c r="X7987" s="2">
        <f ca="1"/>
        <v>42.791287327254608</v>
      </c>
      <c r="AG7987" s="2">
        <f ca="1"/>
        <v>0.66725067875532496</v>
      </c>
      <c r="AH7987" s="2" t="str">
        <f ca="1"/>
        <v>Bad</v>
      </c>
    </row>
    <row r="7988" spans="2:34" x14ac:dyDescent="0.2">
      <c r="B7988" s="2">
        <f ca="1"/>
        <v>0.9641742355451941</v>
      </c>
      <c r="O7988" s="2">
        <f ca="1"/>
        <v>-1.2370998796793116</v>
      </c>
      <c r="X7988" s="2">
        <f ca="1"/>
        <v>62.740841058393116</v>
      </c>
      <c r="AG7988" s="2">
        <f ca="1"/>
        <v>0.9627419163405464</v>
      </c>
      <c r="AH7988" s="2" t="str">
        <f ca="1"/>
        <v>Bad</v>
      </c>
    </row>
    <row r="7989" spans="2:34" x14ac:dyDescent="0.2">
      <c r="B7989" s="2">
        <f ca="1"/>
        <v>0.11416557901669244</v>
      </c>
      <c r="O7989" s="2">
        <f ca="1"/>
        <v>0.24344564835344387</v>
      </c>
      <c r="X7989" s="2">
        <f ca="1"/>
        <v>71.271241323759426</v>
      </c>
      <c r="AG7989" s="2">
        <f ca="1"/>
        <v>0.3907288944270233</v>
      </c>
      <c r="AH7989" s="2" t="str">
        <f ca="1"/>
        <v>OK</v>
      </c>
    </row>
    <row r="7990" spans="2:34" x14ac:dyDescent="0.2">
      <c r="B7990" s="2">
        <f ca="1"/>
        <v>0.1152027371270512</v>
      </c>
      <c r="O7990" s="2">
        <f ca="1"/>
        <v>-0.23110992092255564</v>
      </c>
      <c r="X7990" s="2">
        <f ca="1"/>
        <v>67.728619998815191</v>
      </c>
      <c r="AG7990" s="2">
        <f ca="1"/>
        <v>0.63988989312588873</v>
      </c>
      <c r="AH7990" s="2" t="str">
        <f ca="1"/>
        <v>Bad</v>
      </c>
    </row>
    <row r="7991" spans="2:34" x14ac:dyDescent="0.2">
      <c r="B7991" s="2">
        <f ca="1"/>
        <v>0.91676851642621804</v>
      </c>
      <c r="O7991" s="2">
        <f ca="1"/>
        <v>-1.454980093888254</v>
      </c>
      <c r="X7991" s="2">
        <f ca="1"/>
        <v>46.133211547750804</v>
      </c>
      <c r="AG7991" s="2">
        <f ca="1"/>
        <v>0.69487498261605007</v>
      </c>
      <c r="AH7991" s="2" t="str">
        <f ca="1"/>
        <v>Bad</v>
      </c>
    </row>
    <row r="7992" spans="2:34" x14ac:dyDescent="0.2">
      <c r="B7992" s="2">
        <f ca="1"/>
        <v>0.39506393895758918</v>
      </c>
      <c r="O7992" s="2">
        <f ca="1"/>
        <v>-0.49857592934545486</v>
      </c>
      <c r="X7992" s="2">
        <f ca="1"/>
        <v>37.96045931370206</v>
      </c>
      <c r="AG7992" s="2">
        <f ca="1"/>
        <v>9.4803549732784376E-2</v>
      </c>
      <c r="AH7992" s="2" t="str">
        <f ca="1"/>
        <v>OK</v>
      </c>
    </row>
    <row r="7993" spans="2:34" x14ac:dyDescent="0.2">
      <c r="B7993" s="2">
        <f ca="1"/>
        <v>0.54926930606545454</v>
      </c>
      <c r="O7993" s="2">
        <f ca="1"/>
        <v>1.3084972607327754</v>
      </c>
      <c r="X7993" s="2">
        <f ca="1"/>
        <v>37.004867378585601</v>
      </c>
      <c r="AG7993" s="2">
        <f ca="1"/>
        <v>0.91719556167046234</v>
      </c>
      <c r="AH7993" s="2" t="str">
        <f ca="1"/>
        <v>Bad</v>
      </c>
    </row>
    <row r="7994" spans="2:34" x14ac:dyDescent="0.2">
      <c r="B7994" s="2">
        <f ca="1"/>
        <v>0.56873127923813049</v>
      </c>
      <c r="O7994" s="2">
        <f ca="1"/>
        <v>1.114729463706075</v>
      </c>
      <c r="X7994" s="2">
        <f ca="1"/>
        <v>57.620016491663009</v>
      </c>
      <c r="AG7994" s="2">
        <f ca="1"/>
        <v>0.49788581516331787</v>
      </c>
      <c r="AH7994" s="2" t="str">
        <f ca="1"/>
        <v>Bad</v>
      </c>
    </row>
    <row r="7995" spans="2:34" x14ac:dyDescent="0.2">
      <c r="B7995" s="2">
        <f ca="1"/>
        <v>0.46227116943224522</v>
      </c>
      <c r="O7995" s="2">
        <f ca="1"/>
        <v>0.25326547977806091</v>
      </c>
      <c r="X7995" s="2">
        <f ca="1"/>
        <v>32.698952584954114</v>
      </c>
      <c r="AG7995" s="2">
        <f ca="1"/>
        <v>0.96732365657446273</v>
      </c>
      <c r="AH7995" s="2" t="str">
        <f ca="1"/>
        <v>Bad</v>
      </c>
    </row>
    <row r="7996" spans="2:34" x14ac:dyDescent="0.2">
      <c r="B7996" s="2">
        <f ca="1"/>
        <v>0.3319592203066386</v>
      </c>
      <c r="O7996" s="2">
        <f ca="1"/>
        <v>0.43466730456148506</v>
      </c>
      <c r="X7996" s="2">
        <f ca="1"/>
        <v>52.668099238905128</v>
      </c>
      <c r="AG7996" s="2">
        <f ca="1"/>
        <v>0.99681830779387059</v>
      </c>
      <c r="AH7996" s="2" t="str">
        <f ca="1"/>
        <v>Bad</v>
      </c>
    </row>
    <row r="7997" spans="2:34" x14ac:dyDescent="0.2">
      <c r="B7997" s="2">
        <f ca="1"/>
        <v>0.36147284893180509</v>
      </c>
      <c r="O7997" s="2">
        <f ca="1"/>
        <v>1.718115363748191</v>
      </c>
      <c r="X7997" s="2">
        <f ca="1"/>
        <v>37.289185285076876</v>
      </c>
      <c r="AG7997" s="2">
        <f ca="1"/>
        <v>0.38473982321828726</v>
      </c>
      <c r="AH7997" s="2" t="str">
        <f ca="1"/>
        <v>OK</v>
      </c>
    </row>
    <row r="7998" spans="2:34" x14ac:dyDescent="0.2">
      <c r="B7998" s="2">
        <f ca="1"/>
        <v>0.41030406648656936</v>
      </c>
      <c r="O7998" s="2">
        <f ca="1"/>
        <v>2.3234863163314516</v>
      </c>
      <c r="X7998" s="2">
        <f ca="1"/>
        <v>52.875388054895737</v>
      </c>
      <c r="AG7998" s="2">
        <f ca="1"/>
        <v>0.44230043464050794</v>
      </c>
      <c r="AH7998" s="2" t="str">
        <f ca="1"/>
        <v>Bad</v>
      </c>
    </row>
    <row r="7999" spans="2:34" x14ac:dyDescent="0.2">
      <c r="B7999" s="2">
        <f ca="1"/>
        <v>0.95235242966405553</v>
      </c>
      <c r="O7999" s="2">
        <f ca="1"/>
        <v>-0.5874489843159918</v>
      </c>
      <c r="X7999" s="2">
        <f ca="1"/>
        <v>59.419850698791414</v>
      </c>
      <c r="AG7999" s="2">
        <f ca="1"/>
        <v>0.74282144318588794</v>
      </c>
      <c r="AH7999" s="2" t="str">
        <f ca="1"/>
        <v>Bad</v>
      </c>
    </row>
    <row r="8000" spans="2:34" x14ac:dyDescent="0.2">
      <c r="B8000" s="2">
        <f ca="1"/>
        <v>0.85031000408248447</v>
      </c>
      <c r="O8000" s="2">
        <f ca="1"/>
        <v>-1.5614838487571485</v>
      </c>
      <c r="X8000" s="2">
        <f ca="1"/>
        <v>41.454743819507627</v>
      </c>
      <c r="AG8000" s="2">
        <f ca="1"/>
        <v>0.61851134159312871</v>
      </c>
      <c r="AH8000" s="2" t="str">
        <f ca="1"/>
        <v>Bad</v>
      </c>
    </row>
    <row r="8001" spans="2:34" x14ac:dyDescent="0.2">
      <c r="B8001" s="2">
        <f ca="1"/>
        <v>0.16200951023441323</v>
      </c>
      <c r="O8001" s="2">
        <f ca="1"/>
        <v>-1.6738505729029975</v>
      </c>
      <c r="X8001" s="2">
        <f ca="1"/>
        <v>70.954964763096498</v>
      </c>
      <c r="AG8001" s="2">
        <f ca="1"/>
        <v>0.10329309335850345</v>
      </c>
      <c r="AH8001" s="2" t="str">
        <f ca="1"/>
        <v>OK</v>
      </c>
    </row>
    <row r="8002" spans="2:34" x14ac:dyDescent="0.2">
      <c r="B8002" s="2">
        <f ca="1"/>
        <v>0.5671939555692842</v>
      </c>
      <c r="O8002" s="2">
        <f ca="1"/>
        <v>-0.25049148210904976</v>
      </c>
      <c r="X8002" s="2">
        <f ca="1"/>
        <v>42.592888375055786</v>
      </c>
      <c r="AG8002" s="2">
        <f ca="1"/>
        <v>0.75209320737614593</v>
      </c>
      <c r="AH8002" s="2" t="str">
        <f ca="1"/>
        <v>Bad</v>
      </c>
    </row>
    <row r="8003" spans="2:34" x14ac:dyDescent="0.2">
      <c r="B8003" s="2">
        <f ca="1"/>
        <v>0.67534044390330572</v>
      </c>
      <c r="O8003" s="2">
        <f ca="1"/>
        <v>-0.98262240349601127</v>
      </c>
      <c r="X8003" s="2">
        <f ca="1"/>
        <v>38.105699471408158</v>
      </c>
      <c r="AG8003" s="2">
        <f ca="1"/>
        <v>0.52775172214037225</v>
      </c>
      <c r="AH8003" s="2" t="str">
        <f ca="1"/>
        <v>Bad</v>
      </c>
    </row>
    <row r="8004" spans="2:34" x14ac:dyDescent="0.2">
      <c r="B8004" s="2">
        <f ca="1"/>
        <v>0.38490100755110168</v>
      </c>
      <c r="O8004" s="2">
        <f ca="1"/>
        <v>-1.1919464900558268</v>
      </c>
      <c r="X8004" s="2">
        <f ca="1"/>
        <v>33.56477860942617</v>
      </c>
      <c r="AG8004" s="2">
        <f ca="1"/>
        <v>0.24684360574093356</v>
      </c>
      <c r="AH8004" s="2" t="str">
        <f ca="1"/>
        <v>OK</v>
      </c>
    </row>
    <row r="8005" spans="2:34" x14ac:dyDescent="0.2">
      <c r="B8005" s="2">
        <f ca="1"/>
        <v>0.14008626114101119</v>
      </c>
      <c r="O8005" s="2">
        <f ca="1"/>
        <v>0.12042446646062117</v>
      </c>
      <c r="X8005" s="2">
        <f ca="1"/>
        <v>67.103342370698215</v>
      </c>
      <c r="AG8005" s="2">
        <f ca="1"/>
        <v>0.65457405439304539</v>
      </c>
      <c r="AH8005" s="2" t="str">
        <f ca="1"/>
        <v>Bad</v>
      </c>
    </row>
    <row r="8006" spans="2:34" x14ac:dyDescent="0.2">
      <c r="B8006" s="2">
        <f ca="1"/>
        <v>0.18606997336229703</v>
      </c>
      <c r="O8006" s="2">
        <f ca="1"/>
        <v>0.70016444641920106</v>
      </c>
      <c r="X8006" s="2">
        <f ca="1"/>
        <v>27.518402992236169</v>
      </c>
      <c r="AG8006" s="2">
        <f ca="1"/>
        <v>0.3957878597558091</v>
      </c>
      <c r="AH8006" s="2" t="str">
        <f ca="1"/>
        <v>OK</v>
      </c>
    </row>
    <row r="8007" spans="2:34" x14ac:dyDescent="0.2">
      <c r="B8007" s="2">
        <f ca="1"/>
        <v>0.80736216665879845</v>
      </c>
      <c r="O8007" s="2">
        <f ca="1"/>
        <v>-0.75762394797101484</v>
      </c>
      <c r="X8007" s="2">
        <f ca="1"/>
        <v>36.533956478770413</v>
      </c>
      <c r="AG8007" s="2">
        <f ca="1"/>
        <v>0.55758336029553668</v>
      </c>
      <c r="AH8007" s="2" t="str">
        <f ca="1"/>
        <v>Bad</v>
      </c>
    </row>
    <row r="8008" spans="2:34" x14ac:dyDescent="0.2">
      <c r="B8008" s="2">
        <f ca="1"/>
        <v>0.80182604199006424</v>
      </c>
      <c r="O8008" s="2">
        <f ca="1"/>
        <v>8.4541155901887821E-2</v>
      </c>
      <c r="X8008" s="2">
        <f ca="1"/>
        <v>58.204392291926268</v>
      </c>
      <c r="AG8008" s="2">
        <f ca="1"/>
        <v>0.12806508307318953</v>
      </c>
      <c r="AH8008" s="2" t="str">
        <f ca="1"/>
        <v>OK</v>
      </c>
    </row>
    <row r="8009" spans="2:34" x14ac:dyDescent="0.2">
      <c r="B8009" s="2">
        <f ca="1"/>
        <v>0.83028663790275092</v>
      </c>
      <c r="O8009" s="2">
        <f ca="1"/>
        <v>2.2711116234706053E-2</v>
      </c>
      <c r="X8009" s="2">
        <f ca="1"/>
        <v>38.727088114195574</v>
      </c>
      <c r="AG8009" s="2">
        <f ca="1"/>
        <v>0.27190830927752185</v>
      </c>
      <c r="AH8009" s="2" t="str">
        <f ca="1"/>
        <v>OK</v>
      </c>
    </row>
    <row r="8010" spans="2:34" x14ac:dyDescent="0.2">
      <c r="B8010" s="2">
        <f ca="1"/>
        <v>0.32355472973678046</v>
      </c>
      <c r="O8010" s="2">
        <f ca="1"/>
        <v>0.21016225626122978</v>
      </c>
      <c r="X8010" s="2">
        <f ca="1"/>
        <v>38.702453118237166</v>
      </c>
      <c r="AG8010" s="2">
        <f ca="1"/>
        <v>0.15041684986298676</v>
      </c>
      <c r="AH8010" s="2" t="str">
        <f ca="1"/>
        <v>OK</v>
      </c>
    </row>
    <row r="8011" spans="2:34" x14ac:dyDescent="0.2">
      <c r="B8011" s="2">
        <f ca="1"/>
        <v>0.6512372813519085</v>
      </c>
      <c r="O8011" s="2">
        <f ca="1"/>
        <v>0.52045391532954122</v>
      </c>
      <c r="X8011" s="2">
        <f ca="1"/>
        <v>25.688608606720301</v>
      </c>
      <c r="AG8011" s="2">
        <f ca="1"/>
        <v>0.30678011606263378</v>
      </c>
      <c r="AH8011" s="2" t="str">
        <f ca="1"/>
        <v>OK</v>
      </c>
    </row>
    <row r="8012" spans="2:34" x14ac:dyDescent="0.2">
      <c r="B8012" s="2">
        <f ca="1"/>
        <v>0.67449012926799368</v>
      </c>
      <c r="O8012" s="2">
        <f ca="1"/>
        <v>1.6992395679177128</v>
      </c>
      <c r="X8012" s="2">
        <f ca="1"/>
        <v>67.434601132788757</v>
      </c>
      <c r="AG8012" s="2">
        <f ca="1"/>
        <v>0.69825036083182757</v>
      </c>
      <c r="AH8012" s="2" t="str">
        <f ca="1"/>
        <v>Bad</v>
      </c>
    </row>
    <row r="8013" spans="2:34" x14ac:dyDescent="0.2">
      <c r="B8013" s="2">
        <f ca="1"/>
        <v>0.48947490008452066</v>
      </c>
      <c r="O8013" s="2">
        <f ca="1"/>
        <v>-0.39131714624699671</v>
      </c>
      <c r="X8013" s="2">
        <f ca="1"/>
        <v>31.376008406362871</v>
      </c>
      <c r="AG8013" s="2">
        <f ca="1"/>
        <v>0.10594059036381243</v>
      </c>
      <c r="AH8013" s="2" t="str">
        <f ca="1"/>
        <v>OK</v>
      </c>
    </row>
    <row r="8014" spans="2:34" x14ac:dyDescent="0.2">
      <c r="B8014" s="2">
        <f ca="1"/>
        <v>0.48917680631587124</v>
      </c>
      <c r="O8014" s="2">
        <f ca="1"/>
        <v>-1.6527665954915887</v>
      </c>
      <c r="X8014" s="2">
        <f ca="1"/>
        <v>74.202039952142258</v>
      </c>
      <c r="AG8014" s="2">
        <f ca="1"/>
        <v>0.30725995327146749</v>
      </c>
      <c r="AH8014" s="2" t="str">
        <f ca="1"/>
        <v>OK</v>
      </c>
    </row>
    <row r="8015" spans="2:34" x14ac:dyDescent="0.2">
      <c r="B8015" s="2">
        <f ca="1"/>
        <v>0.61631009807785664</v>
      </c>
      <c r="O8015" s="2">
        <f ca="1"/>
        <v>0.51402616462598893</v>
      </c>
      <c r="X8015" s="2">
        <f ca="1"/>
        <v>59.904296905295638</v>
      </c>
      <c r="AG8015" s="2">
        <f ca="1"/>
        <v>0.71855835753356789</v>
      </c>
      <c r="AH8015" s="2" t="str">
        <f ca="1"/>
        <v>Bad</v>
      </c>
    </row>
    <row r="8016" spans="2:34" x14ac:dyDescent="0.2">
      <c r="B8016" s="2">
        <f ca="1"/>
        <v>0.62438888155612804</v>
      </c>
      <c r="O8016" s="2">
        <f ca="1"/>
        <v>-0.6524246792675672</v>
      </c>
      <c r="X8016" s="2">
        <f ca="1"/>
        <v>38.122409817027915</v>
      </c>
      <c r="AG8016" s="2">
        <f ca="1"/>
        <v>0.58128008858999802</v>
      </c>
      <c r="AH8016" s="2" t="str">
        <f ca="1"/>
        <v>Bad</v>
      </c>
    </row>
    <row r="8017" spans="2:34" x14ac:dyDescent="0.2">
      <c r="B8017" s="2">
        <f ca="1"/>
        <v>0.79470603771836745</v>
      </c>
      <c r="O8017" s="2">
        <f ca="1"/>
        <v>-0.62107429679723425</v>
      </c>
      <c r="X8017" s="2">
        <f ca="1"/>
        <v>64.569019281946453</v>
      </c>
      <c r="AG8017" s="2">
        <f ca="1"/>
        <v>0.8790083806635336</v>
      </c>
      <c r="AH8017" s="2" t="str">
        <f ca="1"/>
        <v>Bad</v>
      </c>
    </row>
    <row r="8018" spans="2:34" x14ac:dyDescent="0.2">
      <c r="B8018" s="2">
        <f ca="1"/>
        <v>0.66474952779290053</v>
      </c>
      <c r="O8018" s="2">
        <f ca="1"/>
        <v>1.1583854131208551</v>
      </c>
      <c r="X8018" s="2">
        <f ca="1"/>
        <v>57.299447452387554</v>
      </c>
      <c r="AG8018" s="2">
        <f ca="1"/>
        <v>0.12933422736790656</v>
      </c>
      <c r="AH8018" s="2" t="str">
        <f ca="1"/>
        <v>OK</v>
      </c>
    </row>
    <row r="8019" spans="2:34" x14ac:dyDescent="0.2">
      <c r="B8019" s="2">
        <f ca="1"/>
        <v>0.62680811018212812</v>
      </c>
      <c r="O8019" s="2">
        <f ca="1"/>
        <v>0.71346669927471051</v>
      </c>
      <c r="X8019" s="2">
        <f ca="1"/>
        <v>62.986840980350614</v>
      </c>
      <c r="AG8019" s="2">
        <f ca="1"/>
        <v>0.92863895421829334</v>
      </c>
      <c r="AH8019" s="2" t="str">
        <f ca="1"/>
        <v>Bad</v>
      </c>
    </row>
    <row r="8020" spans="2:34" x14ac:dyDescent="0.2">
      <c r="B8020" s="2">
        <f ca="1"/>
        <v>0.44978172622164347</v>
      </c>
      <c r="O8020" s="2">
        <f ca="1"/>
        <v>0.32598170736056847</v>
      </c>
      <c r="X8020" s="2">
        <f ca="1"/>
        <v>36.318561400450868</v>
      </c>
      <c r="AG8020" s="2">
        <f ca="1"/>
        <v>0.74073978185221634</v>
      </c>
      <c r="AH8020" s="2" t="str">
        <f ca="1"/>
        <v>Bad</v>
      </c>
    </row>
    <row r="8021" spans="2:34" x14ac:dyDescent="0.2">
      <c r="B8021" s="2">
        <f ca="1"/>
        <v>0.53325505512698901</v>
      </c>
      <c r="O8021" s="2">
        <f ca="1"/>
        <v>0.47965884615012544</v>
      </c>
      <c r="X8021" s="2">
        <f ca="1"/>
        <v>39.128335550467</v>
      </c>
      <c r="AG8021" s="2">
        <f ca="1"/>
        <v>0.4867624253804379</v>
      </c>
      <c r="AH8021" s="2" t="str">
        <f ca="1"/>
        <v>Bad</v>
      </c>
    </row>
    <row r="8022" spans="2:34" x14ac:dyDescent="0.2">
      <c r="B8022" s="2">
        <f ca="1"/>
        <v>0.73536230538923331</v>
      </c>
      <c r="O8022" s="2">
        <f ca="1"/>
        <v>-1.4953037354611067</v>
      </c>
      <c r="X8022" s="2">
        <f ca="1"/>
        <v>52.263344728761076</v>
      </c>
      <c r="AG8022" s="2">
        <f ca="1"/>
        <v>0.64142275657421299</v>
      </c>
      <c r="AH8022" s="2" t="str">
        <f ca="1"/>
        <v>Bad</v>
      </c>
    </row>
    <row r="8023" spans="2:34" x14ac:dyDescent="0.2">
      <c r="B8023" s="2">
        <f ca="1"/>
        <v>0.87458473871101883</v>
      </c>
      <c r="O8023" s="2">
        <f ca="1"/>
        <v>-9.069059944561331E-3</v>
      </c>
      <c r="X8023" s="2">
        <f ca="1"/>
        <v>76.500646474617085</v>
      </c>
      <c r="AG8023" s="2">
        <f ca="1"/>
        <v>0.9010744670387969</v>
      </c>
      <c r="AH8023" s="2" t="str">
        <f ca="1"/>
        <v>Bad</v>
      </c>
    </row>
    <row r="8024" spans="2:34" x14ac:dyDescent="0.2">
      <c r="B8024" s="2">
        <f ca="1"/>
        <v>0.53169100146859627</v>
      </c>
      <c r="O8024" s="2">
        <f ca="1"/>
        <v>-1.4299424038163975</v>
      </c>
      <c r="X8024" s="2">
        <f ca="1"/>
        <v>24.444804285688697</v>
      </c>
      <c r="AG8024" s="2">
        <f ca="1"/>
        <v>0.43833591802334237</v>
      </c>
      <c r="AH8024" s="2" t="str">
        <f ca="1"/>
        <v>Bad</v>
      </c>
    </row>
    <row r="8025" spans="2:34" x14ac:dyDescent="0.2">
      <c r="B8025" s="2">
        <f ca="1"/>
        <v>0.92074392841118935</v>
      </c>
      <c r="O8025" s="2">
        <f ca="1"/>
        <v>0.21553933061661726</v>
      </c>
      <c r="X8025" s="2">
        <f ca="1"/>
        <v>54.555138735304318</v>
      </c>
      <c r="AG8025" s="2">
        <f ca="1"/>
        <v>8.2023079128041854E-3</v>
      </c>
      <c r="AH8025" s="2" t="str">
        <f ca="1"/>
        <v>Good</v>
      </c>
    </row>
    <row r="8026" spans="2:34" x14ac:dyDescent="0.2">
      <c r="B8026" s="2">
        <f ca="1"/>
        <v>0.4785671550362367</v>
      </c>
      <c r="O8026" s="2">
        <f ca="1"/>
        <v>0.8586513426689335</v>
      </c>
      <c r="X8026" s="2">
        <f ca="1"/>
        <v>67.60186514163297</v>
      </c>
      <c r="AG8026" s="2">
        <f ca="1"/>
        <v>0.85772998231506192</v>
      </c>
      <c r="AH8026" s="2" t="str">
        <f ca="1"/>
        <v>Bad</v>
      </c>
    </row>
    <row r="8027" spans="2:34" x14ac:dyDescent="0.2">
      <c r="B8027" s="2">
        <f ca="1"/>
        <v>0.55837182199314905</v>
      </c>
      <c r="O8027" s="2">
        <f ca="1"/>
        <v>7.1950808335108932E-2</v>
      </c>
      <c r="X8027" s="2">
        <f ca="1"/>
        <v>31.618321648202901</v>
      </c>
      <c r="AG8027" s="2">
        <f ca="1"/>
        <v>0.63982454228331087</v>
      </c>
      <c r="AH8027" s="2" t="str">
        <f ca="1"/>
        <v>Bad</v>
      </c>
    </row>
    <row r="8028" spans="2:34" x14ac:dyDescent="0.2">
      <c r="B8028" s="2">
        <f ca="1"/>
        <v>0.61391023818174095</v>
      </c>
      <c r="O8028" s="2">
        <f ca="1"/>
        <v>-6.6516752515393324E-2</v>
      </c>
      <c r="X8028" s="2">
        <f ca="1"/>
        <v>54.593192777288124</v>
      </c>
      <c r="AG8028" s="2">
        <f ca="1"/>
        <v>0.12772763315818825</v>
      </c>
      <c r="AH8028" s="2" t="str">
        <f ca="1"/>
        <v>OK</v>
      </c>
    </row>
    <row r="8029" spans="2:34" x14ac:dyDescent="0.2">
      <c r="B8029" s="2">
        <f ca="1"/>
        <v>0.83239356295939015</v>
      </c>
      <c r="O8029" s="2">
        <f ca="1"/>
        <v>0.2438283006429548</v>
      </c>
      <c r="X8029" s="2">
        <f ca="1"/>
        <v>67.257205958231594</v>
      </c>
      <c r="AG8029" s="2">
        <f ca="1"/>
        <v>0.96210393052272214</v>
      </c>
      <c r="AH8029" s="2" t="str">
        <f ca="1"/>
        <v>Bad</v>
      </c>
    </row>
    <row r="8030" spans="2:34" x14ac:dyDescent="0.2">
      <c r="B8030" s="2">
        <f ca="1"/>
        <v>0.95896449789895466</v>
      </c>
      <c r="O8030" s="2">
        <f ca="1"/>
        <v>-1.6043748536265965</v>
      </c>
      <c r="X8030" s="2">
        <f ca="1"/>
        <v>53.310979989014704</v>
      </c>
      <c r="AG8030" s="2">
        <f ca="1"/>
        <v>0.52446406550737401</v>
      </c>
      <c r="AH8030" s="2" t="str">
        <f ca="1"/>
        <v>Bad</v>
      </c>
    </row>
    <row r="8031" spans="2:34" x14ac:dyDescent="0.2">
      <c r="B8031" s="2">
        <f ca="1"/>
        <v>0.39815411808796841</v>
      </c>
      <c r="O8031" s="2">
        <f ca="1"/>
        <v>1.0324278122875288</v>
      </c>
      <c r="X8031" s="2">
        <f ca="1"/>
        <v>41.172619039661782</v>
      </c>
      <c r="AG8031" s="2">
        <f ca="1"/>
        <v>0.18789887197143251</v>
      </c>
      <c r="AH8031" s="2" t="str">
        <f ca="1"/>
        <v>OK</v>
      </c>
    </row>
    <row r="8032" spans="2:34" x14ac:dyDescent="0.2">
      <c r="B8032" s="2">
        <f ca="1"/>
        <v>0.48896875269159001</v>
      </c>
      <c r="O8032" s="2">
        <f ca="1"/>
        <v>-0.11495632207530855</v>
      </c>
      <c r="X8032" s="2">
        <f ca="1"/>
        <v>45.834669495426148</v>
      </c>
      <c r="AG8032" s="2">
        <f ca="1"/>
        <v>0.80178230638473691</v>
      </c>
      <c r="AH8032" s="2" t="str">
        <f ca="1"/>
        <v>Bad</v>
      </c>
    </row>
    <row r="8033" spans="2:34" x14ac:dyDescent="0.2">
      <c r="B8033" s="2">
        <f ca="1"/>
        <v>0.14940421317037278</v>
      </c>
      <c r="O8033" s="2">
        <f ca="1"/>
        <v>-2.5415503202636032</v>
      </c>
      <c r="X8033" s="2">
        <f ca="1"/>
        <v>45.513313202803502</v>
      </c>
      <c r="AG8033" s="2">
        <f ca="1"/>
        <v>0.76542203580333767</v>
      </c>
      <c r="AH8033" s="2" t="str">
        <f ca="1"/>
        <v>Bad</v>
      </c>
    </row>
    <row r="8034" spans="2:34" x14ac:dyDescent="0.2">
      <c r="B8034" s="2">
        <f ca="1"/>
        <v>0.24318236685648675</v>
      </c>
      <c r="O8034" s="2">
        <f ca="1"/>
        <v>-0.65503374858540409</v>
      </c>
      <c r="X8034" s="2">
        <f ca="1"/>
        <v>92.01581698631108</v>
      </c>
      <c r="AG8034" s="2">
        <f ca="1"/>
        <v>0.39389793684586882</v>
      </c>
      <c r="AH8034" s="2" t="str">
        <f ca="1"/>
        <v>OK</v>
      </c>
    </row>
    <row r="8035" spans="2:34" x14ac:dyDescent="0.2">
      <c r="B8035" s="2">
        <f ca="1"/>
        <v>3.5998336465211445E-2</v>
      </c>
      <c r="O8035" s="2">
        <f ca="1"/>
        <v>1.1037478175975619</v>
      </c>
      <c r="X8035" s="2">
        <f ca="1"/>
        <v>65.38715004021509</v>
      </c>
      <c r="AG8035" s="2">
        <f ca="1"/>
        <v>0.84244229306095386</v>
      </c>
      <c r="AH8035" s="2" t="str">
        <f ca="1"/>
        <v>Bad</v>
      </c>
    </row>
    <row r="8036" spans="2:34" x14ac:dyDescent="0.2">
      <c r="B8036" s="2">
        <f ca="1"/>
        <v>0.23802879177340408</v>
      </c>
      <c r="O8036" s="2">
        <f ca="1"/>
        <v>0.80843210315171077</v>
      </c>
      <c r="X8036" s="2">
        <f ca="1"/>
        <v>39.258256919590359</v>
      </c>
      <c r="AG8036" s="2">
        <f ca="1"/>
        <v>0.53636684715313687</v>
      </c>
      <c r="AH8036" s="2" t="str">
        <f ca="1"/>
        <v>Bad</v>
      </c>
    </row>
    <row r="8037" spans="2:34" x14ac:dyDescent="0.2">
      <c r="B8037" s="2">
        <f ca="1"/>
        <v>0.2545066934529161</v>
      </c>
      <c r="O8037" s="2">
        <f ca="1"/>
        <v>7.7626342668313877E-2</v>
      </c>
      <c r="X8037" s="2">
        <f ca="1"/>
        <v>56.946975637100593</v>
      </c>
      <c r="AG8037" s="2">
        <f ca="1"/>
        <v>0.36994354849459299</v>
      </c>
      <c r="AH8037" s="2" t="str">
        <f ca="1"/>
        <v>OK</v>
      </c>
    </row>
    <row r="8038" spans="2:34" x14ac:dyDescent="0.2">
      <c r="B8038" s="2">
        <f ca="1"/>
        <v>0.72237143660799119</v>
      </c>
      <c r="O8038" s="2">
        <f ca="1"/>
        <v>2.3675297868088495E-2</v>
      </c>
      <c r="X8038" s="2">
        <f ca="1"/>
        <v>36.903077215562305</v>
      </c>
      <c r="AG8038" s="2">
        <f ca="1"/>
        <v>0.58001772674114682</v>
      </c>
      <c r="AH8038" s="2" t="str">
        <f ca="1"/>
        <v>Bad</v>
      </c>
    </row>
    <row r="8039" spans="2:34" x14ac:dyDescent="0.2">
      <c r="B8039" s="2">
        <f ca="1"/>
        <v>0.5735909097756553</v>
      </c>
      <c r="O8039" s="2">
        <f ca="1"/>
        <v>0.60454412798011359</v>
      </c>
      <c r="X8039" s="2">
        <f ca="1"/>
        <v>52.985886226763711</v>
      </c>
      <c r="AG8039" s="2">
        <f ca="1"/>
        <v>1.7020430761161887E-2</v>
      </c>
      <c r="AH8039" s="2" t="str">
        <f ca="1"/>
        <v>Good</v>
      </c>
    </row>
    <row r="8040" spans="2:34" x14ac:dyDescent="0.2">
      <c r="B8040" s="2">
        <f ca="1"/>
        <v>7.2072086602108509E-3</v>
      </c>
      <c r="O8040" s="2">
        <f ca="1"/>
        <v>1.7317386256301253</v>
      </c>
      <c r="X8040" s="2">
        <f ca="1"/>
        <v>53.389117415874942</v>
      </c>
      <c r="AG8040" s="2">
        <f ca="1"/>
        <v>0.11464319575560289</v>
      </c>
      <c r="AH8040" s="2" t="str">
        <f ca="1"/>
        <v>OK</v>
      </c>
    </row>
    <row r="8041" spans="2:34" x14ac:dyDescent="0.2">
      <c r="B8041" s="2">
        <f ca="1"/>
        <v>0.85716840954379014</v>
      </c>
      <c r="O8041" s="2">
        <f ca="1"/>
        <v>-1.728988718542976</v>
      </c>
      <c r="X8041" s="2">
        <f ca="1"/>
        <v>72.396067246698479</v>
      </c>
      <c r="AG8041" s="2">
        <f ca="1"/>
        <v>0.33304344238076156</v>
      </c>
      <c r="AH8041" s="2" t="str">
        <f ca="1"/>
        <v>OK</v>
      </c>
    </row>
    <row r="8042" spans="2:34" x14ac:dyDescent="0.2">
      <c r="B8042" s="2">
        <f ca="1"/>
        <v>0.76893423688358342</v>
      </c>
      <c r="O8042" s="2">
        <f ca="1"/>
        <v>0.2649080797420359</v>
      </c>
      <c r="X8042" s="2">
        <f ca="1"/>
        <v>57.171472114075826</v>
      </c>
      <c r="AG8042" s="2">
        <f ca="1"/>
        <v>0.98433458156584841</v>
      </c>
      <c r="AH8042" s="2" t="str">
        <f ca="1"/>
        <v>Bad</v>
      </c>
    </row>
    <row r="8043" spans="2:34" x14ac:dyDescent="0.2">
      <c r="B8043" s="2">
        <f ca="1"/>
        <v>0.57760324723209044</v>
      </c>
      <c r="O8043" s="2">
        <f ca="1"/>
        <v>1.0376625432486126</v>
      </c>
      <c r="X8043" s="2">
        <f ca="1"/>
        <v>70.043422808631391</v>
      </c>
      <c r="AG8043" s="2">
        <f ca="1"/>
        <v>0.94236644393146052</v>
      </c>
      <c r="AH8043" s="2" t="str">
        <f ca="1"/>
        <v>Bad</v>
      </c>
    </row>
    <row r="8044" spans="2:34" x14ac:dyDescent="0.2">
      <c r="B8044" s="2">
        <f ca="1"/>
        <v>5.4951835435537388E-2</v>
      </c>
      <c r="O8044" s="2">
        <f ca="1"/>
        <v>-0.55511829683516312</v>
      </c>
      <c r="X8044" s="2">
        <f ca="1"/>
        <v>51.175307371320315</v>
      </c>
      <c r="AG8044" s="2">
        <f ca="1"/>
        <v>0.9031401215369963</v>
      </c>
      <c r="AH8044" s="2" t="str">
        <f ca="1"/>
        <v>Bad</v>
      </c>
    </row>
    <row r="8045" spans="2:34" x14ac:dyDescent="0.2">
      <c r="B8045" s="2">
        <f ca="1"/>
        <v>0.20118642368024342</v>
      </c>
      <c r="O8045" s="2">
        <f ca="1"/>
        <v>0.53504798147168564</v>
      </c>
      <c r="X8045" s="2">
        <f ca="1"/>
        <v>44.99211351019494</v>
      </c>
      <c r="AG8045" s="2">
        <f ca="1"/>
        <v>0.95549008492427445</v>
      </c>
      <c r="AH8045" s="2" t="str">
        <f ca="1"/>
        <v>Bad</v>
      </c>
    </row>
    <row r="8046" spans="2:34" x14ac:dyDescent="0.2">
      <c r="B8046" s="2">
        <f ca="1"/>
        <v>0.95182449060503349</v>
      </c>
      <c r="O8046" s="2">
        <f ca="1"/>
        <v>0.77478186638485125</v>
      </c>
      <c r="X8046" s="2">
        <f ca="1"/>
        <v>31.340780451658215</v>
      </c>
      <c r="AG8046" s="2">
        <f ca="1"/>
        <v>0.97444129391655654</v>
      </c>
      <c r="AH8046" s="2" t="str">
        <f ca="1"/>
        <v>Bad</v>
      </c>
    </row>
    <row r="8047" spans="2:34" x14ac:dyDescent="0.2">
      <c r="B8047" s="2">
        <f ca="1"/>
        <v>0.11479490008137883</v>
      </c>
      <c r="O8047" s="2">
        <f ca="1"/>
        <v>-0.61722593086416744</v>
      </c>
      <c r="X8047" s="2">
        <f ca="1"/>
        <v>39.008356547180597</v>
      </c>
      <c r="AG8047" s="2">
        <f ca="1"/>
        <v>0.70718002019479198</v>
      </c>
      <c r="AH8047" s="2" t="str">
        <f ca="1"/>
        <v>Bad</v>
      </c>
    </row>
    <row r="8048" spans="2:34" x14ac:dyDescent="0.2">
      <c r="B8048" s="2">
        <f ca="1"/>
        <v>7.7584483594280274E-2</v>
      </c>
      <c r="O8048" s="2">
        <f ca="1"/>
        <v>0.86054232764360383</v>
      </c>
      <c r="X8048" s="2">
        <f ca="1"/>
        <v>47.11133915602521</v>
      </c>
      <c r="AG8048" s="2">
        <f ca="1"/>
        <v>0.71107089443802862</v>
      </c>
      <c r="AH8048" s="2" t="str">
        <f ca="1"/>
        <v>Bad</v>
      </c>
    </row>
    <row r="8049" spans="2:34" x14ac:dyDescent="0.2">
      <c r="B8049" s="2">
        <f ca="1"/>
        <v>0.69635946089449097</v>
      </c>
      <c r="O8049" s="2">
        <f ca="1"/>
        <v>0.59115243624617642</v>
      </c>
      <c r="X8049" s="2">
        <f ca="1"/>
        <v>66.347138021742509</v>
      </c>
      <c r="AG8049" s="2">
        <f ca="1"/>
        <v>0.31207805226413043</v>
      </c>
      <c r="AH8049" s="2" t="str">
        <f ca="1"/>
        <v>OK</v>
      </c>
    </row>
    <row r="8050" spans="2:34" x14ac:dyDescent="0.2">
      <c r="B8050" s="2">
        <f ca="1"/>
        <v>0.59254502006743115</v>
      </c>
      <c r="O8050" s="2">
        <f ca="1"/>
        <v>1.9564020136710472</v>
      </c>
      <c r="X8050" s="2">
        <f ca="1"/>
        <v>70.673821465050935</v>
      </c>
      <c r="AG8050" s="2">
        <f ca="1"/>
        <v>0.38394245975434815</v>
      </c>
      <c r="AH8050" s="2" t="str">
        <f ca="1"/>
        <v>OK</v>
      </c>
    </row>
    <row r="8051" spans="2:34" x14ac:dyDescent="0.2">
      <c r="B8051" s="2">
        <f ca="1"/>
        <v>0.10946402205464545</v>
      </c>
      <c r="O8051" s="2">
        <f ca="1"/>
        <v>0.13356067882615855</v>
      </c>
      <c r="X8051" s="2">
        <f ca="1"/>
        <v>46.643511559855611</v>
      </c>
      <c r="AG8051" s="2">
        <f ca="1"/>
        <v>0.29009985270742855</v>
      </c>
      <c r="AH8051" s="2" t="str">
        <f ca="1"/>
        <v>OK</v>
      </c>
    </row>
    <row r="8052" spans="2:34" x14ac:dyDescent="0.2">
      <c r="B8052" s="2">
        <f ca="1"/>
        <v>0.40432123399082065</v>
      </c>
      <c r="O8052" s="2">
        <f ca="1"/>
        <v>0.65581177339783991</v>
      </c>
      <c r="X8052" s="2">
        <f ca="1"/>
        <v>42.816518326891028</v>
      </c>
      <c r="AG8052" s="2">
        <f ca="1"/>
        <v>0.48856290047698314</v>
      </c>
      <c r="AH8052" s="2" t="str">
        <f ca="1"/>
        <v>Bad</v>
      </c>
    </row>
    <row r="8053" spans="2:34" x14ac:dyDescent="0.2">
      <c r="B8053" s="2">
        <f ca="1"/>
        <v>0.45531805905121669</v>
      </c>
      <c r="O8053" s="2">
        <f ca="1"/>
        <v>-1.0298070594176179</v>
      </c>
      <c r="X8053" s="2">
        <f ca="1"/>
        <v>40.121877407609929</v>
      </c>
      <c r="AG8053" s="2">
        <f ca="1"/>
        <v>1.855277607376471E-2</v>
      </c>
      <c r="AH8053" s="2" t="str">
        <f ca="1"/>
        <v>Good</v>
      </c>
    </row>
    <row r="8054" spans="2:34" x14ac:dyDescent="0.2">
      <c r="B8054" s="2">
        <f ca="1"/>
        <v>0.5999418579656759</v>
      </c>
      <c r="O8054" s="2">
        <f ca="1"/>
        <v>-0.42794870094803544</v>
      </c>
      <c r="X8054" s="2">
        <f ca="1"/>
        <v>30.32889997516142</v>
      </c>
      <c r="AG8054" s="2">
        <f ca="1"/>
        <v>0.89404570647699311</v>
      </c>
      <c r="AH8054" s="2" t="str">
        <f ca="1"/>
        <v>Bad</v>
      </c>
    </row>
    <row r="8055" spans="2:34" x14ac:dyDescent="0.2">
      <c r="B8055" s="2">
        <f ca="1"/>
        <v>0.86052891760727612</v>
      </c>
      <c r="O8055" s="2">
        <f ca="1"/>
        <v>0.12856253801941803</v>
      </c>
      <c r="X8055" s="2">
        <f ca="1"/>
        <v>33.507863013833486</v>
      </c>
      <c r="AG8055" s="2">
        <f ca="1"/>
        <v>0.48455829649365945</v>
      </c>
      <c r="AH8055" s="2" t="str">
        <f ca="1"/>
        <v>Bad</v>
      </c>
    </row>
    <row r="8056" spans="2:34" x14ac:dyDescent="0.2">
      <c r="B8056" s="2">
        <f ca="1"/>
        <v>0.53050273831510975</v>
      </c>
      <c r="O8056" s="2">
        <f ca="1"/>
        <v>-0.59536792124649496</v>
      </c>
      <c r="X8056" s="2">
        <f ca="1"/>
        <v>55.068284048253126</v>
      </c>
      <c r="AG8056" s="2">
        <f ca="1"/>
        <v>0.54444551267605967</v>
      </c>
      <c r="AH8056" s="2" t="str">
        <f ca="1"/>
        <v>Bad</v>
      </c>
    </row>
    <row r="8057" spans="2:34" x14ac:dyDescent="0.2">
      <c r="B8057" s="2">
        <f ca="1"/>
        <v>0.4870948319422983</v>
      </c>
      <c r="O8057" s="2">
        <f ca="1"/>
        <v>-0.26649106626455438</v>
      </c>
      <c r="X8057" s="2">
        <f ca="1"/>
        <v>38.366652293005309</v>
      </c>
      <c r="AG8057" s="2">
        <f ca="1"/>
        <v>0.81074500679738648</v>
      </c>
      <c r="AH8057" s="2" t="str">
        <f ca="1"/>
        <v>Bad</v>
      </c>
    </row>
    <row r="8058" spans="2:34" x14ac:dyDescent="0.2">
      <c r="B8058" s="2">
        <f ca="1"/>
        <v>0.84843196407625299</v>
      </c>
      <c r="O8058" s="2">
        <f ca="1"/>
        <v>0.24718325373962022</v>
      </c>
      <c r="X8058" s="2">
        <f ca="1"/>
        <v>53.908028501762033</v>
      </c>
      <c r="AG8058" s="2">
        <f ca="1"/>
        <v>0.15497962189903025</v>
      </c>
      <c r="AH8058" s="2" t="str">
        <f ca="1"/>
        <v>OK</v>
      </c>
    </row>
    <row r="8059" spans="2:34" x14ac:dyDescent="0.2">
      <c r="B8059" s="2">
        <f ca="1"/>
        <v>0.82690971885991638</v>
      </c>
      <c r="O8059" s="2">
        <f ca="1"/>
        <v>1.0121611007675555</v>
      </c>
      <c r="X8059" s="2">
        <f ca="1"/>
        <v>53.068356843508496</v>
      </c>
      <c r="AG8059" s="2">
        <f ca="1"/>
        <v>0.85238884553867678</v>
      </c>
      <c r="AH8059" s="2" t="str">
        <f ca="1"/>
        <v>Bad</v>
      </c>
    </row>
    <row r="8060" spans="2:34" x14ac:dyDescent="0.2">
      <c r="B8060" s="2">
        <f ca="1"/>
        <v>0.19537155676983908</v>
      </c>
      <c r="O8060" s="2">
        <f ca="1"/>
        <v>-0.1715381015197599</v>
      </c>
      <c r="X8060" s="2">
        <f ca="1"/>
        <v>57.222235922623454</v>
      </c>
      <c r="AG8060" s="2">
        <f ca="1"/>
        <v>0.42566609376141074</v>
      </c>
      <c r="AH8060" s="2" t="str">
        <f ca="1"/>
        <v>Bad</v>
      </c>
    </row>
    <row r="8061" spans="2:34" x14ac:dyDescent="0.2">
      <c r="B8061" s="2">
        <f ca="1"/>
        <v>0.11060399581777602</v>
      </c>
      <c r="O8061" s="2">
        <f ca="1"/>
        <v>0.16189615281247419</v>
      </c>
      <c r="X8061" s="2">
        <f ca="1"/>
        <v>40.276780306143003</v>
      </c>
      <c r="AG8061" s="2">
        <f ca="1"/>
        <v>0.11728582201819959</v>
      </c>
      <c r="AH8061" s="2" t="str">
        <f ca="1"/>
        <v>OK</v>
      </c>
    </row>
    <row r="8062" spans="2:34" x14ac:dyDescent="0.2">
      <c r="B8062" s="2">
        <f ca="1"/>
        <v>0.39320246835353379</v>
      </c>
      <c r="O8062" s="2">
        <f ca="1"/>
        <v>-1.6305304667289586</v>
      </c>
      <c r="X8062" s="2">
        <f ca="1"/>
        <v>46.955523671266079</v>
      </c>
      <c r="AG8062" s="2">
        <f ca="1"/>
        <v>0.34317792305773831</v>
      </c>
      <c r="AH8062" s="2" t="str">
        <f ca="1"/>
        <v>OK</v>
      </c>
    </row>
    <row r="8063" spans="2:34" x14ac:dyDescent="0.2">
      <c r="B8063" s="2">
        <f ca="1"/>
        <v>0.48285601326853711</v>
      </c>
      <c r="O8063" s="2">
        <f ca="1"/>
        <v>-0.63387251360370356</v>
      </c>
      <c r="X8063" s="2">
        <f ca="1"/>
        <v>35.552785445713766</v>
      </c>
      <c r="AG8063" s="2">
        <f ca="1"/>
        <v>2.3849657206797881E-2</v>
      </c>
      <c r="AH8063" s="2" t="str">
        <f ca="1"/>
        <v>Good</v>
      </c>
    </row>
    <row r="8064" spans="2:34" x14ac:dyDescent="0.2">
      <c r="B8064" s="2">
        <f ca="1"/>
        <v>0.37563457303829195</v>
      </c>
      <c r="O8064" s="2">
        <f ca="1"/>
        <v>1.223808804499755</v>
      </c>
      <c r="X8064" s="2">
        <f ca="1"/>
        <v>57.527846577752307</v>
      </c>
      <c r="AG8064" s="2">
        <f ca="1"/>
        <v>0.58899441116874485</v>
      </c>
      <c r="AH8064" s="2" t="str">
        <f ca="1"/>
        <v>Bad</v>
      </c>
    </row>
    <row r="8065" spans="2:34" x14ac:dyDescent="0.2">
      <c r="B8065" s="2">
        <f ca="1"/>
        <v>0.33122954298228668</v>
      </c>
      <c r="O8065" s="2">
        <f ca="1"/>
        <v>-0.63635784953835572</v>
      </c>
      <c r="X8065" s="2">
        <f ca="1"/>
        <v>50.106821248277747</v>
      </c>
      <c r="AG8065" s="2">
        <f ca="1"/>
        <v>0.7303855408307407</v>
      </c>
      <c r="AH8065" s="2" t="str">
        <f ca="1"/>
        <v>Bad</v>
      </c>
    </row>
    <row r="8066" spans="2:34" x14ac:dyDescent="0.2">
      <c r="B8066" s="2">
        <f ca="1"/>
        <v>0.46300166986214264</v>
      </c>
      <c r="O8066" s="2">
        <f ca="1"/>
        <v>-0.65294742553900853</v>
      </c>
      <c r="X8066" s="2">
        <f ca="1"/>
        <v>47.197117672441522</v>
      </c>
      <c r="AG8066" s="2">
        <f ca="1"/>
        <v>5.3628292693725044E-2</v>
      </c>
      <c r="AH8066" s="2" t="str">
        <f ca="1"/>
        <v>OK</v>
      </c>
    </row>
    <row r="8067" spans="2:34" x14ac:dyDescent="0.2">
      <c r="B8067" s="2">
        <f ca="1"/>
        <v>0.59509593952961959</v>
      </c>
      <c r="O8067" s="2">
        <f ca="1"/>
        <v>1.5948469233441451</v>
      </c>
      <c r="X8067" s="2">
        <f ca="1"/>
        <v>48.9824043935145</v>
      </c>
      <c r="AG8067" s="2">
        <f ca="1"/>
        <v>0.54604119954819463</v>
      </c>
      <c r="AH8067" s="2" t="str">
        <f ca="1"/>
        <v>Bad</v>
      </c>
    </row>
    <row r="8068" spans="2:34" x14ac:dyDescent="0.2">
      <c r="B8068" s="2">
        <f ca="1"/>
        <v>0.52746021361385087</v>
      </c>
      <c r="O8068" s="2">
        <f ca="1"/>
        <v>0.46161836543074525</v>
      </c>
      <c r="X8068" s="2">
        <f ca="1"/>
        <v>32.932406745139112</v>
      </c>
      <c r="AG8068" s="2">
        <f ca="1"/>
        <v>0.4160484418316357</v>
      </c>
      <c r="AH8068" s="2" t="str">
        <f ca="1"/>
        <v>Bad</v>
      </c>
    </row>
    <row r="8069" spans="2:34" x14ac:dyDescent="0.2">
      <c r="B8069" s="2">
        <f ca="1"/>
        <v>0.37669674715997425</v>
      </c>
      <c r="O8069" s="2">
        <f ca="1"/>
        <v>7.6599064857686722E-2</v>
      </c>
      <c r="X8069" s="2">
        <f ca="1"/>
        <v>38.298249904963193</v>
      </c>
      <c r="AG8069" s="2">
        <f ca="1"/>
        <v>0.23808631879834996</v>
      </c>
      <c r="AH8069" s="2" t="str">
        <f ca="1"/>
        <v>OK</v>
      </c>
    </row>
    <row r="8070" spans="2:34" x14ac:dyDescent="0.2">
      <c r="B8070" s="2">
        <f ca="1"/>
        <v>0.58782392546926832</v>
      </c>
      <c r="O8070" s="2">
        <f ca="1"/>
        <v>0.63134240335614122</v>
      </c>
      <c r="X8070" s="2">
        <f ca="1"/>
        <v>99.002704365400575</v>
      </c>
      <c r="AG8070" s="2">
        <f ca="1"/>
        <v>0.97255398577069418</v>
      </c>
      <c r="AH8070" s="2" t="str">
        <f ca="1"/>
        <v>Bad</v>
      </c>
    </row>
    <row r="8071" spans="2:34" x14ac:dyDescent="0.2">
      <c r="B8071" s="2">
        <f ca="1"/>
        <v>0.99391473963212551</v>
      </c>
      <c r="O8071" s="2">
        <f ca="1"/>
        <v>1.1386387659791095</v>
      </c>
      <c r="X8071" s="2">
        <f ca="1"/>
        <v>31.83712988513863</v>
      </c>
      <c r="AG8071" s="2">
        <f ca="1"/>
        <v>0.31757264179742184</v>
      </c>
      <c r="AH8071" s="2" t="str">
        <f ca="1"/>
        <v>OK</v>
      </c>
    </row>
    <row r="8072" spans="2:34" x14ac:dyDescent="0.2">
      <c r="B8072" s="2">
        <f ca="1"/>
        <v>0.53295266525686391</v>
      </c>
      <c r="O8072" s="2">
        <f ca="1"/>
        <v>-0.91589835680019949</v>
      </c>
      <c r="X8072" s="2">
        <f ca="1"/>
        <v>28.013551646659938</v>
      </c>
      <c r="AG8072" s="2">
        <f ca="1"/>
        <v>0.59932022782937744</v>
      </c>
      <c r="AH8072" s="2" t="str">
        <f ca="1"/>
        <v>Bad</v>
      </c>
    </row>
    <row r="8073" spans="2:34" x14ac:dyDescent="0.2">
      <c r="B8073" s="2">
        <f ca="1"/>
        <v>0.81067605366373252</v>
      </c>
      <c r="O8073" s="2">
        <f ca="1"/>
        <v>1.4957569257673582</v>
      </c>
      <c r="X8073" s="2">
        <f ca="1"/>
        <v>29.83567971721607</v>
      </c>
      <c r="AG8073" s="2">
        <f ca="1"/>
        <v>0.57786999721736954</v>
      </c>
      <c r="AH8073" s="2" t="str">
        <f ca="1"/>
        <v>Bad</v>
      </c>
    </row>
    <row r="8074" spans="2:34" x14ac:dyDescent="0.2">
      <c r="B8074" s="2">
        <f ca="1"/>
        <v>0.97882791944644443</v>
      </c>
      <c r="O8074" s="2">
        <f ca="1"/>
        <v>2.0932469137282528</v>
      </c>
      <c r="X8074" s="2">
        <f ca="1"/>
        <v>31.06369628073217</v>
      </c>
      <c r="AG8074" s="2">
        <f ca="1"/>
        <v>0.49220498849102756</v>
      </c>
      <c r="AH8074" s="2" t="str">
        <f ca="1"/>
        <v>Bad</v>
      </c>
    </row>
    <row r="8075" spans="2:34" x14ac:dyDescent="0.2">
      <c r="B8075" s="2">
        <f ca="1"/>
        <v>0.50612593911145076</v>
      </c>
      <c r="O8075" s="2">
        <f ca="1"/>
        <v>-0.72523454082241334</v>
      </c>
      <c r="X8075" s="2">
        <f ca="1"/>
        <v>109.5362781316002</v>
      </c>
      <c r="AG8075" s="2">
        <f ca="1"/>
        <v>5.2015456475797972E-3</v>
      </c>
      <c r="AH8075" s="2" t="str">
        <f ca="1"/>
        <v>Good</v>
      </c>
    </row>
    <row r="8076" spans="2:34" x14ac:dyDescent="0.2">
      <c r="B8076" s="2">
        <f ca="1"/>
        <v>0.72696089267887731</v>
      </c>
      <c r="O8076" s="2">
        <f ca="1"/>
        <v>-1.1521203459380616</v>
      </c>
      <c r="X8076" s="2">
        <f ca="1"/>
        <v>59.670362542633853</v>
      </c>
      <c r="AG8076" s="2">
        <f ca="1"/>
        <v>0.48713506452840383</v>
      </c>
      <c r="AH8076" s="2" t="str">
        <f ca="1"/>
        <v>Bad</v>
      </c>
    </row>
    <row r="8077" spans="2:34" x14ac:dyDescent="0.2">
      <c r="B8077" s="2">
        <f ca="1"/>
        <v>0.36906270010678566</v>
      </c>
      <c r="O8077" s="2">
        <f ca="1"/>
        <v>-1.2101633851100926</v>
      </c>
      <c r="X8077" s="2">
        <f ca="1"/>
        <v>44.368831875757159</v>
      </c>
      <c r="AG8077" s="2">
        <f ca="1"/>
        <v>0.11424058918540148</v>
      </c>
      <c r="AH8077" s="2" t="str">
        <f ca="1"/>
        <v>OK</v>
      </c>
    </row>
    <row r="8078" spans="2:34" x14ac:dyDescent="0.2">
      <c r="B8078" s="2">
        <f ca="1"/>
        <v>0.79309291581198949</v>
      </c>
      <c r="O8078" s="2">
        <f ca="1"/>
        <v>-0.34319243210905803</v>
      </c>
      <c r="X8078" s="2">
        <f ca="1"/>
        <v>39.326346712098484</v>
      </c>
      <c r="AG8078" s="2">
        <f ca="1"/>
        <v>0.82922886863890732</v>
      </c>
      <c r="AH8078" s="2" t="str">
        <f ca="1"/>
        <v>Bad</v>
      </c>
    </row>
    <row r="8079" spans="2:34" x14ac:dyDescent="0.2">
      <c r="B8079" s="2">
        <f ca="1"/>
        <v>0.51663626018333852</v>
      </c>
      <c r="O8079" s="2">
        <f ca="1"/>
        <v>-0.40404186445870111</v>
      </c>
      <c r="X8079" s="2">
        <f ca="1"/>
        <v>39.403641690831471</v>
      </c>
      <c r="AG8079" s="2">
        <f ca="1"/>
        <v>0.33272064493963582</v>
      </c>
      <c r="AH8079" s="2" t="str">
        <f ca="1"/>
        <v>OK</v>
      </c>
    </row>
    <row r="8080" spans="2:34" x14ac:dyDescent="0.2">
      <c r="B8080" s="2">
        <f ca="1"/>
        <v>0.26759420692286895</v>
      </c>
      <c r="O8080" s="2">
        <f ca="1"/>
        <v>-0.9932065876996975</v>
      </c>
      <c r="X8080" s="2">
        <f ca="1"/>
        <v>47.597509424029518</v>
      </c>
      <c r="AG8080" s="2">
        <f ca="1"/>
        <v>0.4797564965498049</v>
      </c>
      <c r="AH8080" s="2" t="str">
        <f ca="1"/>
        <v>Bad</v>
      </c>
    </row>
    <row r="8081" spans="2:34" x14ac:dyDescent="0.2">
      <c r="B8081" s="2">
        <f ca="1"/>
        <v>1.2021143703061066E-2</v>
      </c>
      <c r="O8081" s="2">
        <f ca="1"/>
        <v>-0.76170324769466802</v>
      </c>
      <c r="X8081" s="2">
        <f ca="1"/>
        <v>27.186202354593647</v>
      </c>
      <c r="AG8081" s="2">
        <f ca="1"/>
        <v>0.79378230104324476</v>
      </c>
      <c r="AH8081" s="2" t="str">
        <f ca="1"/>
        <v>Bad</v>
      </c>
    </row>
    <row r="8082" spans="2:34" x14ac:dyDescent="0.2">
      <c r="B8082" s="2">
        <f ca="1"/>
        <v>0.16321342078280243</v>
      </c>
      <c r="O8082" s="2">
        <f ca="1"/>
        <v>-0.38889688168846076</v>
      </c>
      <c r="X8082" s="2">
        <f ca="1"/>
        <v>19.442773384799345</v>
      </c>
      <c r="AG8082" s="2">
        <f ca="1"/>
        <v>0.62379066044191189</v>
      </c>
      <c r="AH8082" s="2" t="str">
        <f ca="1"/>
        <v>Bad</v>
      </c>
    </row>
    <row r="8083" spans="2:34" x14ac:dyDescent="0.2">
      <c r="B8083" s="2">
        <f ca="1"/>
        <v>0.83426224887596789</v>
      </c>
      <c r="O8083" s="2">
        <f ca="1"/>
        <v>1.8139994598236436E-2</v>
      </c>
      <c r="X8083" s="2">
        <f ca="1"/>
        <v>62.393977993807283</v>
      </c>
      <c r="AG8083" s="2">
        <f ca="1"/>
        <v>0.18878176316429518</v>
      </c>
      <c r="AH8083" s="2" t="str">
        <f ca="1"/>
        <v>OK</v>
      </c>
    </row>
    <row r="8084" spans="2:34" x14ac:dyDescent="0.2">
      <c r="B8084" s="2">
        <f ca="1"/>
        <v>0.18026717126318448</v>
      </c>
      <c r="O8084" s="2">
        <f ca="1"/>
        <v>1.4606791159644725</v>
      </c>
      <c r="X8084" s="2">
        <f ca="1"/>
        <v>80.539599508867852</v>
      </c>
      <c r="AG8084" s="2">
        <f ca="1"/>
        <v>0.9459094337887981</v>
      </c>
      <c r="AH8084" s="2" t="str">
        <f ca="1"/>
        <v>Bad</v>
      </c>
    </row>
    <row r="8085" spans="2:34" x14ac:dyDescent="0.2">
      <c r="B8085" s="2">
        <f ca="1"/>
        <v>0.17083575658127947</v>
      </c>
      <c r="O8085" s="2">
        <f ca="1"/>
        <v>0.48443519058159895</v>
      </c>
      <c r="X8085" s="2">
        <f ca="1"/>
        <v>29.516499441709687</v>
      </c>
      <c r="AG8085" s="2">
        <f ca="1"/>
        <v>0.99410942235309352</v>
      </c>
      <c r="AH8085" s="2" t="str">
        <f ca="1"/>
        <v>Bad</v>
      </c>
    </row>
    <row r="8086" spans="2:34" x14ac:dyDescent="0.2">
      <c r="B8086" s="2">
        <f ca="1"/>
        <v>0.11386327836172017</v>
      </c>
      <c r="O8086" s="2">
        <f ca="1"/>
        <v>-2.2169813186429042E-2</v>
      </c>
      <c r="X8086" s="2">
        <f ca="1"/>
        <v>69.535265786410804</v>
      </c>
      <c r="AG8086" s="2">
        <f ca="1"/>
        <v>0.69317254397030936</v>
      </c>
      <c r="AH8086" s="2" t="str">
        <f ca="1"/>
        <v>Bad</v>
      </c>
    </row>
    <row r="8087" spans="2:34" x14ac:dyDescent="0.2">
      <c r="B8087" s="2">
        <f ca="1"/>
        <v>0.27191592936320563</v>
      </c>
      <c r="O8087" s="2">
        <f ca="1"/>
        <v>-1.5516121611523135</v>
      </c>
      <c r="X8087" s="2">
        <f ca="1"/>
        <v>51.623277440990009</v>
      </c>
      <c r="AG8087" s="2">
        <f ca="1"/>
        <v>0.98811648658817508</v>
      </c>
      <c r="AH8087" s="2" t="str">
        <f ca="1"/>
        <v>Bad</v>
      </c>
    </row>
    <row r="8088" spans="2:34" x14ac:dyDescent="0.2">
      <c r="B8088" s="2">
        <f ca="1"/>
        <v>0.91892750793157596</v>
      </c>
      <c r="O8088" s="2">
        <f ca="1"/>
        <v>9.8595622034443206E-2</v>
      </c>
      <c r="X8088" s="2">
        <f ca="1"/>
        <v>44.911741698787836</v>
      </c>
      <c r="AG8088" s="2">
        <f ca="1"/>
        <v>0.97016316748627229</v>
      </c>
      <c r="AH8088" s="2" t="str">
        <f ca="1"/>
        <v>Bad</v>
      </c>
    </row>
    <row r="8089" spans="2:34" x14ac:dyDescent="0.2">
      <c r="B8089" s="2">
        <f ca="1"/>
        <v>0.20850444873408014</v>
      </c>
      <c r="O8089" s="2">
        <f ca="1"/>
        <v>-0.71048226025932593</v>
      </c>
      <c r="X8089" s="2">
        <f ca="1"/>
        <v>29.910609899750792</v>
      </c>
      <c r="AG8089" s="2">
        <f ca="1"/>
        <v>0.69481269864404127</v>
      </c>
      <c r="AH8089" s="2" t="str">
        <f ca="1"/>
        <v>Bad</v>
      </c>
    </row>
    <row r="8090" spans="2:34" x14ac:dyDescent="0.2">
      <c r="B8090" s="2">
        <f ca="1"/>
        <v>0.17728497948580335</v>
      </c>
      <c r="O8090" s="2">
        <f ca="1"/>
        <v>0.55988200325026349</v>
      </c>
      <c r="X8090" s="2">
        <f ca="1"/>
        <v>55.803020407885029</v>
      </c>
      <c r="AG8090" s="2">
        <f ca="1"/>
        <v>0.83747254555074524</v>
      </c>
      <c r="AH8090" s="2" t="str">
        <f ca="1"/>
        <v>Bad</v>
      </c>
    </row>
    <row r="8091" spans="2:34" x14ac:dyDescent="0.2">
      <c r="B8091" s="2">
        <f ca="1"/>
        <v>0.72607367004773748</v>
      </c>
      <c r="O8091" s="2">
        <f ca="1"/>
        <v>-1.8587540169339192</v>
      </c>
      <c r="X8091" s="2">
        <f ca="1"/>
        <v>52.283526707849489</v>
      </c>
      <c r="AG8091" s="2">
        <f ca="1"/>
        <v>0.47699450241386221</v>
      </c>
      <c r="AH8091" s="2" t="str">
        <f ca="1"/>
        <v>Bad</v>
      </c>
    </row>
    <row r="8092" spans="2:34" x14ac:dyDescent="0.2">
      <c r="B8092" s="2">
        <f ca="1"/>
        <v>0.93896286968361475</v>
      </c>
      <c r="O8092" s="2">
        <f ca="1"/>
        <v>-1.6935466595353361</v>
      </c>
      <c r="X8092" s="2">
        <f ca="1"/>
        <v>89.430855402433622</v>
      </c>
      <c r="AG8092" s="2">
        <f ca="1"/>
        <v>0.19617891629537199</v>
      </c>
      <c r="AH8092" s="2" t="str">
        <f ca="1"/>
        <v>OK</v>
      </c>
    </row>
    <row r="8093" spans="2:34" x14ac:dyDescent="0.2">
      <c r="B8093" s="2">
        <f ca="1"/>
        <v>0.50920600997543342</v>
      </c>
      <c r="O8093" s="2">
        <f ca="1"/>
        <v>-2.1976433388556074</v>
      </c>
      <c r="X8093" s="2">
        <f ca="1"/>
        <v>33.107823993816346</v>
      </c>
      <c r="AG8093" s="2">
        <f ca="1"/>
        <v>0.18521328712027207</v>
      </c>
      <c r="AH8093" s="2" t="str">
        <f ca="1"/>
        <v>OK</v>
      </c>
    </row>
    <row r="8094" spans="2:34" x14ac:dyDescent="0.2">
      <c r="B8094" s="2">
        <f ca="1"/>
        <v>0.18925443669977948</v>
      </c>
      <c r="O8094" s="2">
        <f ca="1"/>
        <v>1.9771634523607562</v>
      </c>
      <c r="X8094" s="2">
        <f ca="1"/>
        <v>34.875461208708138</v>
      </c>
      <c r="AG8094" s="2">
        <f ca="1"/>
        <v>0.64948445482471939</v>
      </c>
      <c r="AH8094" s="2" t="str">
        <f ca="1"/>
        <v>Bad</v>
      </c>
    </row>
    <row r="8095" spans="2:34" x14ac:dyDescent="0.2">
      <c r="B8095" s="2">
        <f ca="1"/>
        <v>0.27962911597821583</v>
      </c>
      <c r="O8095" s="2">
        <f ca="1"/>
        <v>-0.43409927083770683</v>
      </c>
      <c r="X8095" s="2">
        <f ca="1"/>
        <v>52.027127043630585</v>
      </c>
      <c r="AG8095" s="2">
        <f ca="1"/>
        <v>0.78090617970852017</v>
      </c>
      <c r="AH8095" s="2" t="str">
        <f ca="1"/>
        <v>Bad</v>
      </c>
    </row>
    <row r="8096" spans="2:34" x14ac:dyDescent="0.2">
      <c r="B8096" s="2">
        <f ca="1"/>
        <v>0.23932090887705293</v>
      </c>
      <c r="O8096" s="2">
        <f ca="1"/>
        <v>-1.0205709207099527</v>
      </c>
      <c r="X8096" s="2">
        <f ca="1"/>
        <v>57.101433893880092</v>
      </c>
      <c r="AG8096" s="2">
        <f ca="1"/>
        <v>6.9197563460126066E-2</v>
      </c>
      <c r="AH8096" s="2" t="str">
        <f ca="1"/>
        <v>OK</v>
      </c>
    </row>
    <row r="8097" spans="2:34" x14ac:dyDescent="0.2">
      <c r="B8097" s="2">
        <f ca="1"/>
        <v>0.94994695130777118</v>
      </c>
      <c r="O8097" s="2">
        <f ca="1"/>
        <v>-0.31262464254395406</v>
      </c>
      <c r="X8097" s="2">
        <f ca="1"/>
        <v>34.042542773382067</v>
      </c>
      <c r="AG8097" s="2">
        <f ca="1"/>
        <v>0.83586224967904199</v>
      </c>
      <c r="AH8097" s="2" t="str">
        <f ca="1"/>
        <v>Bad</v>
      </c>
    </row>
    <row r="8098" spans="2:34" x14ac:dyDescent="0.2">
      <c r="B8098" s="2">
        <f ca="1"/>
        <v>0.81204226680132918</v>
      </c>
      <c r="O8098" s="2">
        <f ca="1"/>
        <v>-1.0961414651477045E-2</v>
      </c>
      <c r="X8098" s="2">
        <f ca="1"/>
        <v>33.797319772206272</v>
      </c>
      <c r="AG8098" s="2">
        <f ca="1"/>
        <v>0.83174292658268256</v>
      </c>
      <c r="AH8098" s="2" t="str">
        <f ca="1"/>
        <v>Bad</v>
      </c>
    </row>
    <row r="8099" spans="2:34" x14ac:dyDescent="0.2">
      <c r="B8099" s="2">
        <f ca="1"/>
        <v>1.636883477378559E-3</v>
      </c>
      <c r="O8099" s="2">
        <f ca="1"/>
        <v>-0.47166948960353622</v>
      </c>
      <c r="X8099" s="2">
        <f ca="1"/>
        <v>51.402793294248085</v>
      </c>
      <c r="AG8099" s="2">
        <f ca="1"/>
        <v>0.85144786781731652</v>
      </c>
      <c r="AH8099" s="2" t="str">
        <f ca="1"/>
        <v>Bad</v>
      </c>
    </row>
    <row r="8100" spans="2:34" x14ac:dyDescent="0.2">
      <c r="B8100" s="2">
        <f ca="1"/>
        <v>0.83185443369251377</v>
      </c>
      <c r="O8100" s="2">
        <f ca="1"/>
        <v>1.0420725144226877</v>
      </c>
      <c r="X8100" s="2">
        <f ca="1"/>
        <v>39.808285153720284</v>
      </c>
      <c r="AG8100" s="2">
        <f ca="1"/>
        <v>0.60495810912933368</v>
      </c>
      <c r="AH8100" s="2" t="str">
        <f ca="1"/>
        <v>Bad</v>
      </c>
    </row>
    <row r="8101" spans="2:34" x14ac:dyDescent="0.2">
      <c r="B8101" s="2">
        <f ca="1"/>
        <v>0.69407331670180694</v>
      </c>
      <c r="O8101" s="2">
        <f ca="1"/>
        <v>-0.6883487871581645</v>
      </c>
      <c r="X8101" s="2">
        <f ca="1"/>
        <v>37.643280909182714</v>
      </c>
      <c r="AG8101" s="2">
        <f ca="1"/>
        <v>0.21046551396218294</v>
      </c>
      <c r="AH8101" s="2" t="str">
        <f ca="1"/>
        <v>OK</v>
      </c>
    </row>
    <row r="8102" spans="2:34" x14ac:dyDescent="0.2">
      <c r="B8102" s="2">
        <f ca="1"/>
        <v>0.65213156872125166</v>
      </c>
      <c r="O8102" s="2">
        <f ca="1"/>
        <v>-0.10873676209036405</v>
      </c>
      <c r="X8102" s="2">
        <f ca="1"/>
        <v>33.46187809326355</v>
      </c>
      <c r="AG8102" s="2">
        <f ca="1"/>
        <v>0.2106397004567333</v>
      </c>
      <c r="AH8102" s="2" t="str">
        <f ca="1"/>
        <v>OK</v>
      </c>
    </row>
    <row r="8103" spans="2:34" x14ac:dyDescent="0.2">
      <c r="B8103" s="2">
        <f ca="1"/>
        <v>0.16882284700492156</v>
      </c>
      <c r="O8103" s="2">
        <f ca="1"/>
        <v>0.68642270512016945</v>
      </c>
      <c r="X8103" s="2">
        <f ca="1"/>
        <v>48.844120086025086</v>
      </c>
      <c r="AG8103" s="2">
        <f ca="1"/>
        <v>0.35081800979052957</v>
      </c>
      <c r="AH8103" s="2" t="str">
        <f ca="1"/>
        <v>OK</v>
      </c>
    </row>
    <row r="8104" spans="2:34" x14ac:dyDescent="0.2">
      <c r="B8104" s="2">
        <f ca="1"/>
        <v>0.92388994819476467</v>
      </c>
      <c r="O8104" s="2">
        <f ca="1"/>
        <v>0.65596593584188845</v>
      </c>
      <c r="X8104" s="2">
        <f ca="1"/>
        <v>27.563351127708916</v>
      </c>
      <c r="AG8104" s="2">
        <f ca="1"/>
        <v>0.73489983385297419</v>
      </c>
      <c r="AH8104" s="2" t="str">
        <f ca="1"/>
        <v>Bad</v>
      </c>
    </row>
    <row r="8105" spans="2:34" x14ac:dyDescent="0.2">
      <c r="B8105" s="2">
        <f ca="1"/>
        <v>0.14562413248193806</v>
      </c>
      <c r="O8105" s="2">
        <f ca="1"/>
        <v>1.1186136166783343</v>
      </c>
      <c r="X8105" s="2">
        <f ca="1"/>
        <v>40.182584192875332</v>
      </c>
      <c r="AG8105" s="2">
        <f ca="1"/>
        <v>0.56559608373270054</v>
      </c>
      <c r="AH8105" s="2" t="str">
        <f ca="1"/>
        <v>Bad</v>
      </c>
    </row>
    <row r="8106" spans="2:34" x14ac:dyDescent="0.2">
      <c r="B8106" s="2">
        <f ca="1"/>
        <v>0.96093920683539014</v>
      </c>
      <c r="O8106" s="2">
        <f ca="1"/>
        <v>2.4076188864934052</v>
      </c>
      <c r="X8106" s="2">
        <f ca="1"/>
        <v>43.86345183199461</v>
      </c>
      <c r="AG8106" s="2">
        <f ca="1"/>
        <v>0.21883594211815183</v>
      </c>
      <c r="AH8106" s="2" t="str">
        <f ca="1"/>
        <v>OK</v>
      </c>
    </row>
    <row r="8107" spans="2:34" x14ac:dyDescent="0.2">
      <c r="B8107" s="2">
        <f ca="1"/>
        <v>0.46832054785558874</v>
      </c>
      <c r="O8107" s="2">
        <f ca="1"/>
        <v>0.30769463891896376</v>
      </c>
      <c r="X8107" s="2">
        <f ca="1"/>
        <v>47.110873575788112</v>
      </c>
      <c r="AG8107" s="2">
        <f ca="1"/>
        <v>0.97200886593952918</v>
      </c>
      <c r="AH8107" s="2" t="str">
        <f ca="1"/>
        <v>Bad</v>
      </c>
    </row>
    <row r="8108" spans="2:34" x14ac:dyDescent="0.2">
      <c r="B8108" s="2">
        <f ca="1"/>
        <v>0.59943640082518357</v>
      </c>
      <c r="O8108" s="2">
        <f ca="1"/>
        <v>1.4225734382478468</v>
      </c>
      <c r="X8108" s="2">
        <f ca="1"/>
        <v>50.865416208926447</v>
      </c>
      <c r="AG8108" s="2">
        <f ca="1"/>
        <v>0.83252237243110616</v>
      </c>
      <c r="AH8108" s="2" t="str">
        <f ca="1"/>
        <v>Bad</v>
      </c>
    </row>
    <row r="8109" spans="2:34" x14ac:dyDescent="0.2">
      <c r="B8109" s="2">
        <f ca="1"/>
        <v>0.96761621939506148</v>
      </c>
      <c r="O8109" s="2">
        <f ca="1"/>
        <v>0.45569085815414084</v>
      </c>
      <c r="X8109" s="2">
        <f ca="1"/>
        <v>42.359849147976135</v>
      </c>
      <c r="AG8109" s="2">
        <f ca="1"/>
        <v>0.33835516288840073</v>
      </c>
      <c r="AH8109" s="2" t="str">
        <f ca="1"/>
        <v>OK</v>
      </c>
    </row>
    <row r="8110" spans="2:34" x14ac:dyDescent="0.2">
      <c r="B8110" s="2">
        <f ca="1"/>
        <v>0.15989096707569317</v>
      </c>
      <c r="O8110" s="2">
        <f ca="1"/>
        <v>0.95934427255369359</v>
      </c>
      <c r="X8110" s="2">
        <f ca="1"/>
        <v>64.429951517028996</v>
      </c>
      <c r="AG8110" s="2">
        <f ca="1"/>
        <v>0.67757417627756444</v>
      </c>
      <c r="AH8110" s="2" t="str">
        <f ca="1"/>
        <v>Bad</v>
      </c>
    </row>
    <row r="8111" spans="2:34" x14ac:dyDescent="0.2">
      <c r="B8111" s="2">
        <f ca="1"/>
        <v>0.4045382348070159</v>
      </c>
      <c r="O8111" s="2">
        <f ca="1"/>
        <v>-1.158331673105812</v>
      </c>
      <c r="X8111" s="2">
        <f ca="1"/>
        <v>68.177380581939559</v>
      </c>
      <c r="AG8111" s="2">
        <f ca="1"/>
        <v>0.96798444535599271</v>
      </c>
      <c r="AH8111" s="2" t="str">
        <f ca="1"/>
        <v>Bad</v>
      </c>
    </row>
    <row r="8112" spans="2:34" x14ac:dyDescent="0.2">
      <c r="B8112" s="2">
        <f ca="1"/>
        <v>0.50172164914520656</v>
      </c>
      <c r="O8112" s="2">
        <f ca="1"/>
        <v>-0.14379930548433856</v>
      </c>
      <c r="X8112" s="2">
        <f ca="1"/>
        <v>33.936187635289357</v>
      </c>
      <c r="AG8112" s="2">
        <f ca="1"/>
        <v>0.30713015253235243</v>
      </c>
      <c r="AH8112" s="2" t="str">
        <f ca="1"/>
        <v>OK</v>
      </c>
    </row>
    <row r="8113" spans="2:34" x14ac:dyDescent="0.2">
      <c r="B8113" s="2">
        <f ca="1"/>
        <v>0.71777743095410584</v>
      </c>
      <c r="O8113" s="2">
        <f ca="1"/>
        <v>1.5040533093811193</v>
      </c>
      <c r="X8113" s="2">
        <f ca="1"/>
        <v>32.044327609943089</v>
      </c>
      <c r="AG8113" s="2">
        <f ca="1"/>
        <v>0.89054324130901263</v>
      </c>
      <c r="AH8113" s="2" t="str">
        <f ca="1"/>
        <v>Bad</v>
      </c>
    </row>
    <row r="8114" spans="2:34" x14ac:dyDescent="0.2">
      <c r="B8114" s="2">
        <f ca="1"/>
        <v>0.14145370728633089</v>
      </c>
      <c r="O8114" s="2">
        <f ca="1"/>
        <v>0.11060542491722163</v>
      </c>
      <c r="X8114" s="2">
        <f ca="1"/>
        <v>45.272996897088305</v>
      </c>
      <c r="AG8114" s="2">
        <f ca="1"/>
        <v>0.60612849565272464</v>
      </c>
      <c r="AH8114" s="2" t="str">
        <f ca="1"/>
        <v>Bad</v>
      </c>
    </row>
    <row r="8115" spans="2:34" x14ac:dyDescent="0.2">
      <c r="B8115" s="2">
        <f ca="1"/>
        <v>0.33518059927132615</v>
      </c>
      <c r="O8115" s="2">
        <f ca="1"/>
        <v>1.4581443139807351</v>
      </c>
      <c r="X8115" s="2">
        <f ca="1"/>
        <v>75.678483405898518</v>
      </c>
      <c r="AG8115" s="2">
        <f ca="1"/>
        <v>0.45967298534019663</v>
      </c>
      <c r="AH8115" s="2" t="str">
        <f ca="1"/>
        <v>Bad</v>
      </c>
    </row>
    <row r="8116" spans="2:34" x14ac:dyDescent="0.2">
      <c r="B8116" s="2">
        <f ca="1"/>
        <v>0.43682531993122709</v>
      </c>
      <c r="O8116" s="2">
        <f ca="1"/>
        <v>-1.3864487679605582</v>
      </c>
      <c r="X8116" s="2">
        <f ca="1"/>
        <v>38.19217579739972</v>
      </c>
      <c r="AG8116" s="2">
        <f ca="1"/>
        <v>0.48856768769003578</v>
      </c>
      <c r="AH8116" s="2" t="str">
        <f ca="1"/>
        <v>Bad</v>
      </c>
    </row>
    <row r="8117" spans="2:34" x14ac:dyDescent="0.2">
      <c r="B8117" s="2">
        <f ca="1"/>
        <v>0.23583776180708926</v>
      </c>
      <c r="O8117" s="2">
        <f ca="1"/>
        <v>-1.1936262624381813</v>
      </c>
      <c r="X8117" s="2">
        <f ca="1"/>
        <v>46.180915161473351</v>
      </c>
      <c r="AG8117" s="2">
        <f ca="1"/>
        <v>0.44400523539227965</v>
      </c>
      <c r="AH8117" s="2" t="str">
        <f ca="1"/>
        <v>Bad</v>
      </c>
    </row>
    <row r="8118" spans="2:34" x14ac:dyDescent="0.2">
      <c r="B8118" s="2">
        <f ca="1"/>
        <v>0.64165953115338903</v>
      </c>
      <c r="O8118" s="2">
        <f ca="1"/>
        <v>0.88992298521834545</v>
      </c>
      <c r="X8118" s="2">
        <f ca="1"/>
        <v>58.212622252558646</v>
      </c>
      <c r="AG8118" s="2">
        <f ca="1"/>
        <v>0.65427898430268261</v>
      </c>
      <c r="AH8118" s="2" t="str">
        <f ca="1"/>
        <v>Bad</v>
      </c>
    </row>
    <row r="8119" spans="2:34" x14ac:dyDescent="0.2">
      <c r="B8119" s="2">
        <f ca="1"/>
        <v>0.46874946417976759</v>
      </c>
      <c r="O8119" s="2">
        <f ca="1"/>
        <v>0.20249843618953361</v>
      </c>
      <c r="X8119" s="2">
        <f ca="1"/>
        <v>38.560128144471278</v>
      </c>
      <c r="AG8119" s="2">
        <f ca="1"/>
        <v>0.93175810677028381</v>
      </c>
      <c r="AH8119" s="2" t="str">
        <f ca="1"/>
        <v>Bad</v>
      </c>
    </row>
    <row r="8120" spans="2:34" x14ac:dyDescent="0.2">
      <c r="B8120" s="2">
        <f ca="1"/>
        <v>0.82661000722426969</v>
      </c>
      <c r="O8120" s="2">
        <f ca="1"/>
        <v>0.1368705516066907</v>
      </c>
      <c r="X8120" s="2">
        <f ca="1"/>
        <v>54.299002865715877</v>
      </c>
      <c r="AG8120" s="2">
        <f ca="1"/>
        <v>0.45794044500375031</v>
      </c>
      <c r="AH8120" s="2" t="str">
        <f ca="1"/>
        <v>Bad</v>
      </c>
    </row>
    <row r="8121" spans="2:34" x14ac:dyDescent="0.2">
      <c r="B8121" s="2">
        <f ca="1"/>
        <v>0.20177394889121714</v>
      </c>
      <c r="O8121" s="2">
        <f ca="1"/>
        <v>-0.43521011295543705</v>
      </c>
      <c r="X8121" s="2">
        <f ca="1"/>
        <v>76.34285342160598</v>
      </c>
      <c r="AG8121" s="2">
        <f ca="1"/>
        <v>0.52922009261263647</v>
      </c>
      <c r="AH8121" s="2" t="str">
        <f ca="1"/>
        <v>Bad</v>
      </c>
    </row>
    <row r="8122" spans="2:34" x14ac:dyDescent="0.2">
      <c r="B8122" s="2">
        <f ca="1"/>
        <v>0.46706033480522802</v>
      </c>
      <c r="O8122" s="2">
        <f ca="1"/>
        <v>0.73650765195195367</v>
      </c>
      <c r="X8122" s="2">
        <f ca="1"/>
        <v>24.821776845671067</v>
      </c>
      <c r="AG8122" s="2">
        <f ca="1"/>
        <v>7.5176096569719464E-2</v>
      </c>
      <c r="AH8122" s="2" t="str">
        <f ca="1"/>
        <v>OK</v>
      </c>
    </row>
    <row r="8123" spans="2:34" x14ac:dyDescent="0.2">
      <c r="B8123" s="2">
        <f ca="1"/>
        <v>1.9436142688206148E-2</v>
      </c>
      <c r="O8123" s="2">
        <f ca="1"/>
        <v>0.38889331623776685</v>
      </c>
      <c r="X8123" s="2">
        <f ca="1"/>
        <v>28.143135862136269</v>
      </c>
      <c r="AG8123" s="2">
        <f ca="1"/>
        <v>0.1689420504085426</v>
      </c>
      <c r="AH8123" s="2" t="str">
        <f ca="1"/>
        <v>OK</v>
      </c>
    </row>
    <row r="8124" spans="2:34" x14ac:dyDescent="0.2">
      <c r="B8124" s="2">
        <f ca="1"/>
        <v>0.9271665425050768</v>
      </c>
      <c r="O8124" s="2">
        <f ca="1"/>
        <v>-0.47462990358991042</v>
      </c>
      <c r="X8124" s="2">
        <f ca="1"/>
        <v>44.458607349802442</v>
      </c>
      <c r="AG8124" s="2">
        <f ca="1"/>
        <v>0.45974682299045266</v>
      </c>
      <c r="AH8124" s="2" t="str">
        <f ca="1"/>
        <v>Bad</v>
      </c>
    </row>
    <row r="8125" spans="2:34" x14ac:dyDescent="0.2">
      <c r="B8125" s="2">
        <f ca="1"/>
        <v>0.62994841952900504</v>
      </c>
      <c r="O8125" s="2">
        <f ca="1"/>
        <v>0.17344360926501132</v>
      </c>
      <c r="X8125" s="2">
        <f ca="1"/>
        <v>50.098439377842936</v>
      </c>
      <c r="AG8125" s="2">
        <f ca="1"/>
        <v>0.99510770227828393</v>
      </c>
      <c r="AH8125" s="2" t="str">
        <f ca="1"/>
        <v>Bad</v>
      </c>
    </row>
    <row r="8126" spans="2:34" x14ac:dyDescent="0.2">
      <c r="B8126" s="2">
        <f ca="1"/>
        <v>0.46286228080632896</v>
      </c>
      <c r="O8126" s="2">
        <f ca="1"/>
        <v>-1.6912467919109297</v>
      </c>
      <c r="X8126" s="2">
        <f ca="1"/>
        <v>30.991273931088035</v>
      </c>
      <c r="AG8126" s="2">
        <f ca="1"/>
        <v>0.33770457876764137</v>
      </c>
      <c r="AH8126" s="2" t="str">
        <f ca="1"/>
        <v>OK</v>
      </c>
    </row>
    <row r="8127" spans="2:34" x14ac:dyDescent="0.2">
      <c r="B8127" s="2">
        <f ca="1"/>
        <v>0.82165737306744124</v>
      </c>
      <c r="O8127" s="2">
        <f ca="1"/>
        <v>0.80265954234056136</v>
      </c>
      <c r="X8127" s="2">
        <f ca="1"/>
        <v>52.820248617549993</v>
      </c>
      <c r="AG8127" s="2">
        <f ca="1"/>
        <v>0.42929797746044485</v>
      </c>
      <c r="AH8127" s="2" t="str">
        <f ca="1"/>
        <v>Bad</v>
      </c>
    </row>
    <row r="8128" spans="2:34" x14ac:dyDescent="0.2">
      <c r="B8128" s="2">
        <f ca="1"/>
        <v>0.32372294746677843</v>
      </c>
      <c r="O8128" s="2">
        <f ca="1"/>
        <v>0.46485206433050308</v>
      </c>
      <c r="X8128" s="2">
        <f ca="1"/>
        <v>36.487292259283223</v>
      </c>
      <c r="AG8128" s="2">
        <f ca="1"/>
        <v>0.97165188498595723</v>
      </c>
      <c r="AH8128" s="2" t="str">
        <f ca="1"/>
        <v>Bad</v>
      </c>
    </row>
    <row r="8129" spans="2:34" x14ac:dyDescent="0.2">
      <c r="B8129" s="2">
        <f ca="1"/>
        <v>0.31281424908192634</v>
      </c>
      <c r="O8129" s="2">
        <f ca="1"/>
        <v>-0.7995537911611641</v>
      </c>
      <c r="X8129" s="2">
        <f ca="1"/>
        <v>44.99423026527667</v>
      </c>
      <c r="AG8129" s="2">
        <f ca="1"/>
        <v>5.5535528958984504E-2</v>
      </c>
      <c r="AH8129" s="2" t="str">
        <f ca="1"/>
        <v>OK</v>
      </c>
    </row>
    <row r="8130" spans="2:34" x14ac:dyDescent="0.2">
      <c r="B8130" s="2">
        <f ca="1"/>
        <v>0.32113621799413394</v>
      </c>
      <c r="O8130" s="2">
        <f ca="1"/>
        <v>-0.69333086993206783</v>
      </c>
      <c r="X8130" s="2">
        <f ca="1"/>
        <v>73.110261207549357</v>
      </c>
      <c r="AG8130" s="2">
        <f ca="1"/>
        <v>0.46071064360880043</v>
      </c>
      <c r="AH8130" s="2" t="str">
        <f ca="1"/>
        <v>Bad</v>
      </c>
    </row>
    <row r="8131" spans="2:34" x14ac:dyDescent="0.2">
      <c r="B8131" s="2">
        <f ca="1"/>
        <v>0.77822079258725307</v>
      </c>
      <c r="O8131" s="2">
        <f ca="1"/>
        <v>-0.21775701022295207</v>
      </c>
      <c r="X8131" s="2">
        <f ca="1"/>
        <v>35.115056763073525</v>
      </c>
      <c r="AG8131" s="2">
        <f ca="1"/>
        <v>9.8989025945126929E-2</v>
      </c>
      <c r="AH8131" s="2" t="str">
        <f ca="1"/>
        <v>OK</v>
      </c>
    </row>
    <row r="8132" spans="2:34" x14ac:dyDescent="0.2">
      <c r="B8132" s="2">
        <f ca="1"/>
        <v>0.14260011448372945</v>
      </c>
      <c r="O8132" s="2">
        <f ca="1"/>
        <v>0.38596592746936187</v>
      </c>
      <c r="X8132" s="2">
        <f ca="1"/>
        <v>38.190254343328107</v>
      </c>
      <c r="AG8132" s="2">
        <f ca="1"/>
        <v>0.91974223167030456</v>
      </c>
      <c r="AH8132" s="2" t="str">
        <f ca="1"/>
        <v>Bad</v>
      </c>
    </row>
    <row r="8133" spans="2:34" x14ac:dyDescent="0.2">
      <c r="B8133" s="2">
        <f ca="1"/>
        <v>4.1342729799656919E-2</v>
      </c>
      <c r="O8133" s="2">
        <f ca="1"/>
        <v>1.0558667073423678</v>
      </c>
      <c r="X8133" s="2">
        <f ca="1"/>
        <v>38.025844322506842</v>
      </c>
      <c r="AG8133" s="2">
        <f ca="1"/>
        <v>0.31543535505369147</v>
      </c>
      <c r="AH8133" s="2" t="str">
        <f ca="1"/>
        <v>OK</v>
      </c>
    </row>
    <row r="8134" spans="2:34" x14ac:dyDescent="0.2">
      <c r="B8134" s="2">
        <f ca="1"/>
        <v>3.3718022522382318E-2</v>
      </c>
      <c r="O8134" s="2">
        <f ca="1"/>
        <v>0.41262890939006003</v>
      </c>
      <c r="X8134" s="2">
        <f ca="1"/>
        <v>64.278919647121953</v>
      </c>
      <c r="AG8134" s="2">
        <f ca="1"/>
        <v>1.2006337570732661E-2</v>
      </c>
      <c r="AH8134" s="2" t="str">
        <f ca="1"/>
        <v>Good</v>
      </c>
    </row>
    <row r="8135" spans="2:34" x14ac:dyDescent="0.2">
      <c r="B8135" s="2">
        <f ca="1"/>
        <v>0.41071641018211835</v>
      </c>
      <c r="O8135" s="2">
        <f ca="1"/>
        <v>0.35639078279358644</v>
      </c>
      <c r="X8135" s="2">
        <f ca="1"/>
        <v>45.718137026801045</v>
      </c>
      <c r="AG8135" s="2">
        <f ca="1"/>
        <v>4.5291599603553001E-2</v>
      </c>
      <c r="AH8135" s="2" t="str">
        <f ca="1"/>
        <v>Good</v>
      </c>
    </row>
    <row r="8136" spans="2:34" x14ac:dyDescent="0.2">
      <c r="B8136" s="2">
        <f ca="1"/>
        <v>0.17411782414106702</v>
      </c>
      <c r="O8136" s="2">
        <f ca="1"/>
        <v>0.90019991188034765</v>
      </c>
      <c r="X8136" s="2">
        <f ca="1"/>
        <v>64.77881641304765</v>
      </c>
      <c r="AG8136" s="2">
        <f ca="1"/>
        <v>0.79748126270342379</v>
      </c>
      <c r="AH8136" s="2" t="str">
        <f ca="1"/>
        <v>Bad</v>
      </c>
    </row>
    <row r="8137" spans="2:34" x14ac:dyDescent="0.2">
      <c r="B8137" s="2">
        <f ca="1"/>
        <v>0.1381958974605888</v>
      </c>
      <c r="O8137" s="2">
        <f ca="1"/>
        <v>-1.1975749766008894</v>
      </c>
      <c r="X8137" s="2">
        <f ca="1"/>
        <v>52.274932804506761</v>
      </c>
      <c r="AG8137" s="2">
        <f ca="1"/>
        <v>0.54845821102405967</v>
      </c>
      <c r="AH8137" s="2" t="str">
        <f ca="1"/>
        <v>Bad</v>
      </c>
    </row>
    <row r="8138" spans="2:34" x14ac:dyDescent="0.2">
      <c r="B8138" s="2">
        <f ca="1"/>
        <v>0.64872361539728551</v>
      </c>
      <c r="O8138" s="2">
        <f ca="1"/>
        <v>0.43294743605025815</v>
      </c>
      <c r="X8138" s="2">
        <f ca="1"/>
        <v>32.751538005318864</v>
      </c>
      <c r="AG8138" s="2">
        <f ca="1"/>
        <v>0.29212396882236136</v>
      </c>
      <c r="AH8138" s="2" t="str">
        <f ca="1"/>
        <v>OK</v>
      </c>
    </row>
    <row r="8139" spans="2:34" x14ac:dyDescent="0.2">
      <c r="B8139" s="2">
        <f ca="1"/>
        <v>0.65387363698726464</v>
      </c>
      <c r="O8139" s="2">
        <f ca="1"/>
        <v>1.9122648216955247</v>
      </c>
      <c r="X8139" s="2">
        <f ca="1"/>
        <v>51.254099333247829</v>
      </c>
      <c r="AG8139" s="2">
        <f ca="1"/>
        <v>0.6800606642170155</v>
      </c>
      <c r="AH8139" s="2" t="str">
        <f ca="1"/>
        <v>Bad</v>
      </c>
    </row>
    <row r="8140" spans="2:34" x14ac:dyDescent="0.2">
      <c r="B8140" s="2">
        <f ca="1"/>
        <v>0.96767763511608207</v>
      </c>
      <c r="O8140" s="2">
        <f ca="1"/>
        <v>-0.141999642219346</v>
      </c>
      <c r="X8140" s="2">
        <f ca="1"/>
        <v>43.19836529670286</v>
      </c>
      <c r="AG8140" s="2">
        <f ca="1"/>
        <v>0.66280324441082783</v>
      </c>
      <c r="AH8140" s="2" t="str">
        <f ca="1"/>
        <v>Bad</v>
      </c>
    </row>
    <row r="8141" spans="2:34" x14ac:dyDescent="0.2">
      <c r="B8141" s="2">
        <f ca="1"/>
        <v>0.73974234102254588</v>
      </c>
      <c r="O8141" s="2">
        <f ca="1"/>
        <v>-1.0692498319391011</v>
      </c>
      <c r="X8141" s="2">
        <f ca="1"/>
        <v>45.871138041353944</v>
      </c>
      <c r="AG8141" s="2">
        <f ca="1"/>
        <v>0.31644720615954069</v>
      </c>
      <c r="AH8141" s="2" t="str">
        <f ca="1"/>
        <v>OK</v>
      </c>
    </row>
    <row r="8142" spans="2:34" x14ac:dyDescent="0.2">
      <c r="B8142" s="2">
        <f ca="1"/>
        <v>0.65288629114367169</v>
      </c>
      <c r="O8142" s="2">
        <f ca="1"/>
        <v>0.88392762407423731</v>
      </c>
      <c r="X8142" s="2">
        <f ca="1"/>
        <v>42.835106231254343</v>
      </c>
      <c r="AG8142" s="2">
        <f ca="1"/>
        <v>0.16750812614685162</v>
      </c>
      <c r="AH8142" s="2" t="str">
        <f ca="1"/>
        <v>OK</v>
      </c>
    </row>
    <row r="8143" spans="2:34" x14ac:dyDescent="0.2">
      <c r="B8143" s="2">
        <f ca="1"/>
        <v>0.13194634976751152</v>
      </c>
      <c r="O8143" s="2">
        <f ca="1"/>
        <v>-0.62753306995607105</v>
      </c>
      <c r="X8143" s="2">
        <f ca="1"/>
        <v>46.156980880428307</v>
      </c>
      <c r="AG8143" s="2">
        <f ca="1"/>
        <v>0.94648470237375482</v>
      </c>
      <c r="AH8143" s="2" t="str">
        <f ca="1"/>
        <v>Bad</v>
      </c>
    </row>
    <row r="8144" spans="2:34" x14ac:dyDescent="0.2">
      <c r="B8144" s="2">
        <f ca="1"/>
        <v>0.22773441869389721</v>
      </c>
      <c r="O8144" s="2">
        <f ca="1"/>
        <v>0.44413252064865483</v>
      </c>
      <c r="X8144" s="2">
        <f ca="1"/>
        <v>68.788697386817873</v>
      </c>
      <c r="AG8144" s="2">
        <f ca="1"/>
        <v>0.71850392630183979</v>
      </c>
      <c r="AH8144" s="2" t="str">
        <f ca="1"/>
        <v>Bad</v>
      </c>
    </row>
    <row r="8145" spans="2:34" x14ac:dyDescent="0.2">
      <c r="B8145" s="2">
        <f ca="1"/>
        <v>0.68824639479281369</v>
      </c>
      <c r="O8145" s="2">
        <f ca="1"/>
        <v>-0.90774398670691137</v>
      </c>
      <c r="X8145" s="2">
        <f ca="1"/>
        <v>43.298481526868933</v>
      </c>
      <c r="AG8145" s="2">
        <f ca="1"/>
        <v>0.63021577465383971</v>
      </c>
      <c r="AH8145" s="2" t="str">
        <f ca="1"/>
        <v>Bad</v>
      </c>
    </row>
    <row r="8146" spans="2:34" x14ac:dyDescent="0.2">
      <c r="B8146" s="2">
        <f ca="1"/>
        <v>0.83836832497718827</v>
      </c>
      <c r="O8146" s="2">
        <f ca="1"/>
        <v>-1.4590843597975096</v>
      </c>
      <c r="X8146" s="2">
        <f ca="1"/>
        <v>47.42053038429254</v>
      </c>
      <c r="AG8146" s="2">
        <f ca="1"/>
        <v>0.74000855079536421</v>
      </c>
      <c r="AH8146" s="2" t="str">
        <f ca="1"/>
        <v>Bad</v>
      </c>
    </row>
    <row r="8147" spans="2:34" x14ac:dyDescent="0.2">
      <c r="B8147" s="2">
        <f ca="1"/>
        <v>0.61029394340079945</v>
      </c>
      <c r="O8147" s="2">
        <f ca="1"/>
        <v>-1.6558986213433777</v>
      </c>
      <c r="X8147" s="2">
        <f ca="1"/>
        <v>64.130964417380284</v>
      </c>
      <c r="AG8147" s="2">
        <f ca="1"/>
        <v>0.23236654598840456</v>
      </c>
      <c r="AH8147" s="2" t="str">
        <f ca="1"/>
        <v>OK</v>
      </c>
    </row>
    <row r="8148" spans="2:34" x14ac:dyDescent="0.2">
      <c r="B8148" s="2">
        <f ca="1"/>
        <v>0.64387452859331984</v>
      </c>
      <c r="O8148" s="2">
        <f ca="1"/>
        <v>-0.29370870629355339</v>
      </c>
      <c r="X8148" s="2">
        <f ca="1"/>
        <v>63.294119187878138</v>
      </c>
      <c r="AG8148" s="2">
        <f ca="1"/>
        <v>4.3190519328871968E-2</v>
      </c>
      <c r="AH8148" s="2" t="str">
        <f ca="1"/>
        <v>Good</v>
      </c>
    </row>
    <row r="8149" spans="2:34" x14ac:dyDescent="0.2">
      <c r="B8149" s="2">
        <f ca="1"/>
        <v>0.4923207118413846</v>
      </c>
      <c r="O8149" s="2">
        <f ca="1"/>
        <v>1.3733057006668621</v>
      </c>
      <c r="X8149" s="2">
        <f ca="1"/>
        <v>55.465467230091022</v>
      </c>
      <c r="AG8149" s="2">
        <f ca="1"/>
        <v>0.12285267969852387</v>
      </c>
      <c r="AH8149" s="2" t="str">
        <f ca="1"/>
        <v>OK</v>
      </c>
    </row>
    <row r="8150" spans="2:34" x14ac:dyDescent="0.2">
      <c r="B8150" s="2">
        <f ca="1"/>
        <v>0.35894325731115662</v>
      </c>
      <c r="O8150" s="2">
        <f ca="1"/>
        <v>-0.5352971519021672</v>
      </c>
      <c r="X8150" s="2">
        <f ca="1"/>
        <v>61.228889794502741</v>
      </c>
      <c r="AG8150" s="2">
        <f ca="1"/>
        <v>0.19537537574701602</v>
      </c>
      <c r="AH8150" s="2" t="str">
        <f ca="1"/>
        <v>OK</v>
      </c>
    </row>
    <row r="8151" spans="2:34" x14ac:dyDescent="0.2">
      <c r="B8151" s="2">
        <f ca="1"/>
        <v>0.14376135608983587</v>
      </c>
      <c r="O8151" s="2">
        <f ca="1"/>
        <v>-0.93732707390742642</v>
      </c>
      <c r="X8151" s="2">
        <f ca="1"/>
        <v>53.587031903030713</v>
      </c>
      <c r="AG8151" s="2">
        <f ca="1"/>
        <v>4.7788130628079184E-2</v>
      </c>
      <c r="AH8151" s="2" t="str">
        <f ca="1"/>
        <v>Good</v>
      </c>
    </row>
    <row r="8152" spans="2:34" x14ac:dyDescent="0.2">
      <c r="B8152" s="2">
        <f ca="1"/>
        <v>0.9583644194211689</v>
      </c>
      <c r="O8152" s="2">
        <f ca="1"/>
        <v>-0.30422767058958761</v>
      </c>
      <c r="X8152" s="2">
        <f ca="1"/>
        <v>38.541644708062805</v>
      </c>
      <c r="AG8152" s="2">
        <f ca="1"/>
        <v>0.31592992695587596</v>
      </c>
      <c r="AH8152" s="2" t="str">
        <f ca="1"/>
        <v>OK</v>
      </c>
    </row>
    <row r="8153" spans="2:34" x14ac:dyDescent="0.2">
      <c r="B8153" s="2">
        <f ca="1"/>
        <v>0.97864226316259151</v>
      </c>
      <c r="O8153" s="2">
        <f ca="1"/>
        <v>0.35205372293925852</v>
      </c>
      <c r="X8153" s="2">
        <f ca="1"/>
        <v>36.093389636957404</v>
      </c>
      <c r="AG8153" s="2">
        <f ca="1"/>
        <v>0.21789140832812759</v>
      </c>
      <c r="AH8153" s="2" t="str">
        <f ca="1"/>
        <v>OK</v>
      </c>
    </row>
    <row r="8154" spans="2:34" x14ac:dyDescent="0.2">
      <c r="B8154" s="2">
        <f ca="1"/>
        <v>0.95769696753282885</v>
      </c>
      <c r="O8154" s="2">
        <f ca="1"/>
        <v>0.60691238284456295</v>
      </c>
      <c r="X8154" s="2">
        <f ca="1"/>
        <v>39.91672802917644</v>
      </c>
      <c r="AG8154" s="2">
        <f ca="1"/>
        <v>0.27140616789871919</v>
      </c>
      <c r="AH8154" s="2" t="str">
        <f ca="1"/>
        <v>OK</v>
      </c>
    </row>
    <row r="8155" spans="2:34" x14ac:dyDescent="0.2">
      <c r="B8155" s="2">
        <f ca="1"/>
        <v>0.17207026661804048</v>
      </c>
      <c r="O8155" s="2">
        <f ca="1"/>
        <v>0.75863082654235847</v>
      </c>
      <c r="X8155" s="2">
        <f ca="1"/>
        <v>48.772968965157034</v>
      </c>
      <c r="AG8155" s="2">
        <f ca="1"/>
        <v>0.42076394674536566</v>
      </c>
      <c r="AH8155" s="2" t="str">
        <f ca="1"/>
        <v>Bad</v>
      </c>
    </row>
    <row r="8156" spans="2:34" x14ac:dyDescent="0.2">
      <c r="B8156" s="2">
        <f ca="1"/>
        <v>0.10910613806147773</v>
      </c>
      <c r="O8156" s="2">
        <f ca="1"/>
        <v>6.7424816297674189E-2</v>
      </c>
      <c r="X8156" s="2">
        <f ca="1"/>
        <v>44.809394967024055</v>
      </c>
      <c r="AG8156" s="2">
        <f ca="1"/>
        <v>0.51947507941165671</v>
      </c>
      <c r="AH8156" s="2" t="str">
        <f ca="1"/>
        <v>Bad</v>
      </c>
    </row>
    <row r="8157" spans="2:34" x14ac:dyDescent="0.2">
      <c r="B8157" s="2">
        <f ca="1"/>
        <v>0.72581146578124889</v>
      </c>
      <c r="O8157" s="2">
        <f ca="1"/>
        <v>0.48276465856774547</v>
      </c>
      <c r="X8157" s="2">
        <f ca="1"/>
        <v>58.640069009248386</v>
      </c>
      <c r="AG8157" s="2">
        <f ca="1"/>
        <v>8.0278615811705922E-2</v>
      </c>
      <c r="AH8157" s="2" t="str">
        <f ca="1"/>
        <v>OK</v>
      </c>
    </row>
    <row r="8158" spans="2:34" x14ac:dyDescent="0.2">
      <c r="B8158" s="2">
        <f ca="1"/>
        <v>0.32814774660892398</v>
      </c>
      <c r="O8158" s="2">
        <f ca="1"/>
        <v>0.6270786273122344</v>
      </c>
      <c r="X8158" s="2">
        <f ca="1"/>
        <v>61.721195705965037</v>
      </c>
      <c r="AG8158" s="2">
        <f ca="1"/>
        <v>0.6865497742317328</v>
      </c>
      <c r="AH8158" s="2" t="str">
        <f ca="1"/>
        <v>Bad</v>
      </c>
    </row>
    <row r="8159" spans="2:34" x14ac:dyDescent="0.2">
      <c r="B8159" s="2">
        <f ca="1"/>
        <v>0.458695254859943</v>
      </c>
      <c r="O8159" s="2">
        <f ca="1"/>
        <v>0.47398880204735083</v>
      </c>
      <c r="X8159" s="2">
        <f ca="1"/>
        <v>68.833069591472693</v>
      </c>
      <c r="AG8159" s="2">
        <f ca="1"/>
        <v>0.82684047246445425</v>
      </c>
      <c r="AH8159" s="2" t="str">
        <f ca="1"/>
        <v>Bad</v>
      </c>
    </row>
    <row r="8160" spans="2:34" x14ac:dyDescent="0.2">
      <c r="B8160" s="2">
        <f ca="1"/>
        <v>0.33288691167192463</v>
      </c>
      <c r="O8160" s="2">
        <f ca="1"/>
        <v>0.5612394802832954</v>
      </c>
      <c r="X8160" s="2">
        <f ca="1"/>
        <v>49.824447339716265</v>
      </c>
      <c r="AG8160" s="2">
        <f ca="1"/>
        <v>0.33046003090738263</v>
      </c>
      <c r="AH8160" s="2" t="str">
        <f ca="1"/>
        <v>OK</v>
      </c>
    </row>
    <row r="8161" spans="2:34" x14ac:dyDescent="0.2">
      <c r="B8161" s="2">
        <f ca="1"/>
        <v>0.21375547500915237</v>
      </c>
      <c r="O8161" s="2">
        <f ca="1"/>
        <v>0.61348589968872125</v>
      </c>
      <c r="X8161" s="2">
        <f ca="1"/>
        <v>65.143901221999016</v>
      </c>
      <c r="AG8161" s="2">
        <f ca="1"/>
        <v>0.25459752722551832</v>
      </c>
      <c r="AH8161" s="2" t="str">
        <f ca="1"/>
        <v>OK</v>
      </c>
    </row>
    <row r="8162" spans="2:34" x14ac:dyDescent="0.2">
      <c r="B8162" s="2">
        <f ca="1"/>
        <v>0.10640767983743582</v>
      </c>
      <c r="O8162" s="2">
        <f ca="1"/>
        <v>1.5979615508431684</v>
      </c>
      <c r="X8162" s="2">
        <f ca="1"/>
        <v>35.675789582634692</v>
      </c>
      <c r="AG8162" s="2">
        <f ca="1"/>
        <v>0.2338689241022287</v>
      </c>
      <c r="AH8162" s="2" t="str">
        <f ca="1"/>
        <v>OK</v>
      </c>
    </row>
    <row r="8163" spans="2:34" x14ac:dyDescent="0.2">
      <c r="B8163" s="2">
        <f ca="1"/>
        <v>0.59290568988468428</v>
      </c>
      <c r="O8163" s="2">
        <f ca="1"/>
        <v>-0.60286116457921202</v>
      </c>
      <c r="X8163" s="2">
        <f ca="1"/>
        <v>52.137085949958639</v>
      </c>
      <c r="AG8163" s="2">
        <f ca="1"/>
        <v>0.28395394458683088</v>
      </c>
      <c r="AH8163" s="2" t="str">
        <f ca="1"/>
        <v>OK</v>
      </c>
    </row>
    <row r="8164" spans="2:34" x14ac:dyDescent="0.2">
      <c r="B8164" s="2">
        <f ca="1"/>
        <v>0.99828811813195961</v>
      </c>
      <c r="O8164" s="2">
        <f ca="1"/>
        <v>0.60657285811391837</v>
      </c>
      <c r="X8164" s="2">
        <f ca="1"/>
        <v>39.063855737267637</v>
      </c>
      <c r="AG8164" s="2">
        <f ca="1"/>
        <v>0.12159329156542142</v>
      </c>
      <c r="AH8164" s="2" t="str">
        <f ca="1"/>
        <v>OK</v>
      </c>
    </row>
    <row r="8165" spans="2:34" x14ac:dyDescent="0.2">
      <c r="B8165" s="2">
        <f ca="1"/>
        <v>0.98946615381451863</v>
      </c>
      <c r="O8165" s="2">
        <f ca="1"/>
        <v>0.25232869478965991</v>
      </c>
      <c r="X8165" s="2">
        <f ca="1"/>
        <v>54.966880561119574</v>
      </c>
      <c r="AG8165" s="2">
        <f ca="1"/>
        <v>0.81873971887228536</v>
      </c>
      <c r="AH8165" s="2" t="str">
        <f ca="1"/>
        <v>Bad</v>
      </c>
    </row>
    <row r="8166" spans="2:34" x14ac:dyDescent="0.2">
      <c r="B8166" s="2">
        <f ca="1"/>
        <v>3.1552737024780342E-2</v>
      </c>
      <c r="O8166" s="2">
        <f ca="1"/>
        <v>-2.7556468176435631E-2</v>
      </c>
      <c r="X8166" s="2">
        <f ca="1"/>
        <v>40.800843102506256</v>
      </c>
      <c r="AG8166" s="2">
        <f ca="1"/>
        <v>0.62672062635908365</v>
      </c>
      <c r="AH8166" s="2" t="str">
        <f ca="1"/>
        <v>Bad</v>
      </c>
    </row>
    <row r="8167" spans="2:34" x14ac:dyDescent="0.2">
      <c r="B8167" s="2">
        <f ca="1"/>
        <v>0.94259423539674825</v>
      </c>
      <c r="O8167" s="2">
        <f ca="1"/>
        <v>2.0713550057182304</v>
      </c>
      <c r="X8167" s="2">
        <f ca="1"/>
        <v>51.840310412415384</v>
      </c>
      <c r="AG8167" s="2">
        <f ca="1"/>
        <v>8.3976577376940531E-2</v>
      </c>
      <c r="AH8167" s="2" t="str">
        <f ca="1"/>
        <v>OK</v>
      </c>
    </row>
    <row r="8168" spans="2:34" x14ac:dyDescent="0.2">
      <c r="B8168" s="2">
        <f ca="1"/>
        <v>0.170540503326714</v>
      </c>
      <c r="O8168" s="2">
        <f ca="1"/>
        <v>-0.44388301436876815</v>
      </c>
      <c r="X8168" s="2">
        <f ca="1"/>
        <v>77.58489301300574</v>
      </c>
      <c r="AG8168" s="2">
        <f ca="1"/>
        <v>0.93295933519622176</v>
      </c>
      <c r="AH8168" s="2" t="str">
        <f ca="1"/>
        <v>Bad</v>
      </c>
    </row>
    <row r="8169" spans="2:34" x14ac:dyDescent="0.2">
      <c r="B8169" s="2">
        <f ca="1"/>
        <v>0.33510997001662068</v>
      </c>
      <c r="O8169" s="2">
        <f ca="1"/>
        <v>0.7750782033079846</v>
      </c>
      <c r="X8169" s="2">
        <f ca="1"/>
        <v>27.266435683988966</v>
      </c>
      <c r="AG8169" s="2">
        <f ca="1"/>
        <v>2.0773641867261938E-2</v>
      </c>
      <c r="AH8169" s="2" t="str">
        <f ca="1"/>
        <v>Good</v>
      </c>
    </row>
    <row r="8170" spans="2:34" x14ac:dyDescent="0.2">
      <c r="B8170" s="2">
        <f ca="1"/>
        <v>0.26644791144554536</v>
      </c>
      <c r="O8170" s="2">
        <f ca="1"/>
        <v>-0.57075894410774763</v>
      </c>
      <c r="X8170" s="2">
        <f ca="1"/>
        <v>51.617206306518959</v>
      </c>
      <c r="AG8170" s="2">
        <f ca="1"/>
        <v>7.6394058863997749E-2</v>
      </c>
      <c r="AH8170" s="2" t="str">
        <f ca="1"/>
        <v>OK</v>
      </c>
    </row>
    <row r="8171" spans="2:34" x14ac:dyDescent="0.2">
      <c r="B8171" s="2">
        <f ca="1"/>
        <v>0.45736867652203483</v>
      </c>
      <c r="O8171" s="2">
        <f ca="1"/>
        <v>-0.92549394347535952</v>
      </c>
      <c r="X8171" s="2">
        <f ca="1"/>
        <v>48.744192590267907</v>
      </c>
      <c r="AG8171" s="2">
        <f ca="1"/>
        <v>0.57670491545082059</v>
      </c>
      <c r="AH8171" s="2" t="str">
        <f ca="1"/>
        <v>Bad</v>
      </c>
    </row>
    <row r="8172" spans="2:34" x14ac:dyDescent="0.2">
      <c r="B8172" s="2">
        <f ca="1"/>
        <v>0.55904501630504666</v>
      </c>
      <c r="O8172" s="2">
        <f ca="1"/>
        <v>1.0989370032582841</v>
      </c>
      <c r="X8172" s="2">
        <f ca="1"/>
        <v>64.266019424552013</v>
      </c>
      <c r="AG8172" s="2">
        <f ca="1"/>
        <v>0.27681733425466626</v>
      </c>
      <c r="AH8172" s="2" t="str">
        <f ca="1"/>
        <v>OK</v>
      </c>
    </row>
    <row r="8173" spans="2:34" x14ac:dyDescent="0.2">
      <c r="B8173" s="2">
        <f ca="1"/>
        <v>0.14572859447760833</v>
      </c>
      <c r="O8173" s="2">
        <f ca="1"/>
        <v>0.72751330962975191</v>
      </c>
      <c r="X8173" s="2">
        <f ca="1"/>
        <v>27.653507374211379</v>
      </c>
      <c r="AG8173" s="2">
        <f ca="1"/>
        <v>0.22427833227125893</v>
      </c>
      <c r="AH8173" s="2" t="str">
        <f ca="1"/>
        <v>OK</v>
      </c>
    </row>
    <row r="8174" spans="2:34" x14ac:dyDescent="0.2">
      <c r="B8174" s="2">
        <f ca="1"/>
        <v>3.5554947786978097E-2</v>
      </c>
      <c r="O8174" s="2">
        <f ca="1"/>
        <v>0.50468347190728879</v>
      </c>
      <c r="X8174" s="2">
        <f ca="1"/>
        <v>42.979765513331884</v>
      </c>
      <c r="AG8174" s="2">
        <f ca="1"/>
        <v>0.37790596861093073</v>
      </c>
      <c r="AH8174" s="2" t="str">
        <f ca="1"/>
        <v>OK</v>
      </c>
    </row>
    <row r="8175" spans="2:34" x14ac:dyDescent="0.2">
      <c r="B8175" s="2">
        <f ca="1"/>
        <v>0.48038004600578743</v>
      </c>
      <c r="O8175" s="2">
        <f ca="1"/>
        <v>-6.0146332060904674E-2</v>
      </c>
      <c r="X8175" s="2">
        <f ca="1"/>
        <v>32.409470274863978</v>
      </c>
      <c r="AG8175" s="2">
        <f ca="1"/>
        <v>0.44575096771027534</v>
      </c>
      <c r="AH8175" s="2" t="str">
        <f ca="1"/>
        <v>Bad</v>
      </c>
    </row>
    <row r="8176" spans="2:34" x14ac:dyDescent="0.2">
      <c r="B8176" s="2">
        <f ca="1"/>
        <v>0.48969502269271703</v>
      </c>
      <c r="O8176" s="2">
        <f ca="1"/>
        <v>8.021149225518516E-2</v>
      </c>
      <c r="X8176" s="2">
        <f ca="1"/>
        <v>56.893458133775667</v>
      </c>
      <c r="AG8176" s="2">
        <f ca="1"/>
        <v>0.42407259807814901</v>
      </c>
      <c r="AH8176" s="2" t="str">
        <f ca="1"/>
        <v>Bad</v>
      </c>
    </row>
    <row r="8177" spans="2:34" x14ac:dyDescent="0.2">
      <c r="B8177" s="2">
        <f ca="1"/>
        <v>0.67964993722559019</v>
      </c>
      <c r="O8177" s="2">
        <f ca="1"/>
        <v>-0.1690278206593839</v>
      </c>
      <c r="X8177" s="2">
        <f ca="1"/>
        <v>49.198844353071593</v>
      </c>
      <c r="AG8177" s="2">
        <f ca="1"/>
        <v>0.41799078129551792</v>
      </c>
      <c r="AH8177" s="2" t="str">
        <f ca="1"/>
        <v>Bad</v>
      </c>
    </row>
    <row r="8178" spans="2:34" x14ac:dyDescent="0.2">
      <c r="B8178" s="2">
        <f ca="1"/>
        <v>0.95043771168986213</v>
      </c>
      <c r="O8178" s="2">
        <f ca="1"/>
        <v>-0.51978968696502714</v>
      </c>
      <c r="X8178" s="2">
        <f ca="1"/>
        <v>31.977975646644737</v>
      </c>
      <c r="AG8178" s="2">
        <f ca="1"/>
        <v>0.38948452866721706</v>
      </c>
      <c r="AH8178" s="2" t="str">
        <f ca="1"/>
        <v>OK</v>
      </c>
    </row>
    <row r="8179" spans="2:34" x14ac:dyDescent="0.2">
      <c r="B8179" s="2">
        <f ca="1"/>
        <v>0.34622809944432165</v>
      </c>
      <c r="O8179" s="2">
        <f ca="1"/>
        <v>8.7684020867926898E-2</v>
      </c>
      <c r="X8179" s="2">
        <f ca="1"/>
        <v>65.806429304881306</v>
      </c>
      <c r="AG8179" s="2">
        <f ca="1"/>
        <v>0.61006526811965234</v>
      </c>
      <c r="AH8179" s="2" t="str">
        <f ca="1"/>
        <v>Bad</v>
      </c>
    </row>
    <row r="8180" spans="2:34" x14ac:dyDescent="0.2">
      <c r="B8180" s="2">
        <f ca="1"/>
        <v>8.8751452467068059E-2</v>
      </c>
      <c r="O8180" s="2">
        <f ca="1"/>
        <v>-2.0562618586493717</v>
      </c>
      <c r="X8180" s="2">
        <f ca="1"/>
        <v>28.696088134836536</v>
      </c>
      <c r="AG8180" s="2">
        <f ca="1"/>
        <v>0.9275152570206695</v>
      </c>
      <c r="AH8180" s="2" t="str">
        <f ca="1"/>
        <v>Bad</v>
      </c>
    </row>
    <row r="8181" spans="2:34" x14ac:dyDescent="0.2">
      <c r="B8181" s="2">
        <f ca="1"/>
        <v>0.47685603694609369</v>
      </c>
      <c r="O8181" s="2">
        <f ca="1"/>
        <v>1.8199882721640943</v>
      </c>
      <c r="X8181" s="2">
        <f ca="1"/>
        <v>41.916444539421065</v>
      </c>
      <c r="AG8181" s="2">
        <f ca="1"/>
        <v>0.63045845708261328</v>
      </c>
      <c r="AH8181" s="2" t="str">
        <f ca="1"/>
        <v>Bad</v>
      </c>
    </row>
    <row r="8182" spans="2:34" x14ac:dyDescent="0.2">
      <c r="B8182" s="2">
        <f ca="1"/>
        <v>0.90570920409538846</v>
      </c>
      <c r="O8182" s="2">
        <f ca="1"/>
        <v>-0.7284514992154254</v>
      </c>
      <c r="X8182" s="2">
        <f ca="1"/>
        <v>56.122273032521363</v>
      </c>
      <c r="AG8182" s="2">
        <f ca="1"/>
        <v>0.37349840070845053</v>
      </c>
      <c r="AH8182" s="2" t="str">
        <f ca="1"/>
        <v>OK</v>
      </c>
    </row>
    <row r="8183" spans="2:34" x14ac:dyDescent="0.2">
      <c r="B8183" s="2">
        <f ca="1"/>
        <v>0.91333678722164646</v>
      </c>
      <c r="O8183" s="2">
        <f ca="1"/>
        <v>1.1702567449605161</v>
      </c>
      <c r="X8183" s="2">
        <f ca="1"/>
        <v>52.224607672203291</v>
      </c>
      <c r="AG8183" s="2">
        <f ca="1"/>
        <v>8.9598716462744088E-2</v>
      </c>
      <c r="AH8183" s="2" t="str">
        <f ca="1"/>
        <v>OK</v>
      </c>
    </row>
    <row r="8184" spans="2:34" x14ac:dyDescent="0.2">
      <c r="B8184" s="2">
        <f ca="1"/>
        <v>0.53442411650408395</v>
      </c>
      <c r="O8184" s="2">
        <f ca="1"/>
        <v>-0.30188150123591995</v>
      </c>
      <c r="X8184" s="2">
        <f ca="1"/>
        <v>69.770424020789235</v>
      </c>
      <c r="AG8184" s="2">
        <f ca="1"/>
        <v>0.16655312485244256</v>
      </c>
      <c r="AH8184" s="2" t="str">
        <f ca="1"/>
        <v>OK</v>
      </c>
    </row>
    <row r="8185" spans="2:34" x14ac:dyDescent="0.2">
      <c r="B8185" s="2">
        <f ca="1"/>
        <v>0.85414530419014034</v>
      </c>
      <c r="O8185" s="2">
        <f ca="1"/>
        <v>0.12664207513707709</v>
      </c>
      <c r="X8185" s="2">
        <f ca="1"/>
        <v>25.552935225167651</v>
      </c>
      <c r="AG8185" s="2">
        <f ca="1"/>
        <v>0.1251808201543898</v>
      </c>
      <c r="AH8185" s="2" t="str">
        <f ca="1"/>
        <v>OK</v>
      </c>
    </row>
    <row r="8186" spans="2:34" x14ac:dyDescent="0.2">
      <c r="B8186" s="2">
        <f ca="1"/>
        <v>0.89356340942310308</v>
      </c>
      <c r="O8186" s="2">
        <f ca="1"/>
        <v>0.19343287013928503</v>
      </c>
      <c r="X8186" s="2">
        <f ca="1"/>
        <v>35.159626602901724</v>
      </c>
      <c r="AG8186" s="2">
        <f ca="1"/>
        <v>0.50841812434738243</v>
      </c>
      <c r="AH8186" s="2" t="str">
        <f ca="1"/>
        <v>Bad</v>
      </c>
    </row>
    <row r="8187" spans="2:34" x14ac:dyDescent="0.2">
      <c r="B8187" s="2">
        <f ca="1"/>
        <v>0.49531138250691531</v>
      </c>
      <c r="O8187" s="2">
        <f ca="1"/>
        <v>0.76620350189250575</v>
      </c>
      <c r="X8187" s="2">
        <f ca="1"/>
        <v>44.976927113781144</v>
      </c>
      <c r="AG8187" s="2">
        <f ca="1"/>
        <v>0.79641795027879647</v>
      </c>
      <c r="AH8187" s="2" t="str">
        <f ca="1"/>
        <v>Bad</v>
      </c>
    </row>
    <row r="8188" spans="2:34" x14ac:dyDescent="0.2">
      <c r="B8188" s="2">
        <f ca="1"/>
        <v>0.78061989001989063</v>
      </c>
      <c r="O8188" s="2">
        <f ca="1"/>
        <v>2.1242925743722128E-2</v>
      </c>
      <c r="X8188" s="2">
        <f ca="1"/>
        <v>40.433505831572745</v>
      </c>
      <c r="AG8188" s="2">
        <f ca="1"/>
        <v>0.96754007230807515</v>
      </c>
      <c r="AH8188" s="2" t="str">
        <f ca="1"/>
        <v>Bad</v>
      </c>
    </row>
    <row r="8189" spans="2:34" x14ac:dyDescent="0.2">
      <c r="B8189" s="2">
        <f ca="1"/>
        <v>0.48859966957432444</v>
      </c>
      <c r="O8189" s="2">
        <f ca="1"/>
        <v>-0.35962806701803568</v>
      </c>
      <c r="X8189" s="2">
        <f ca="1"/>
        <v>77.144325297975612</v>
      </c>
      <c r="AG8189" s="2">
        <f ca="1"/>
        <v>0.4390445978139661</v>
      </c>
      <c r="AH8189" s="2" t="str">
        <f ca="1"/>
        <v>Bad</v>
      </c>
    </row>
    <row r="8190" spans="2:34" x14ac:dyDescent="0.2">
      <c r="B8190" s="2">
        <f ca="1"/>
        <v>0.94469292891387546</v>
      </c>
      <c r="O8190" s="2">
        <f ca="1"/>
        <v>-0.90817728565250222</v>
      </c>
      <c r="X8190" s="2">
        <f ca="1"/>
        <v>61.657349711769712</v>
      </c>
      <c r="AG8190" s="2">
        <f ca="1"/>
        <v>0.45511891583025266</v>
      </c>
      <c r="AH8190" s="2" t="str">
        <f ca="1"/>
        <v>Bad</v>
      </c>
    </row>
    <row r="8191" spans="2:34" x14ac:dyDescent="0.2">
      <c r="B8191" s="2">
        <f ca="1"/>
        <v>0.32593549193024396</v>
      </c>
      <c r="O8191" s="2">
        <f ca="1"/>
        <v>1.0392089621309741</v>
      </c>
      <c r="X8191" s="2">
        <f ca="1"/>
        <v>45.713635465562717</v>
      </c>
      <c r="AG8191" s="2">
        <f ca="1"/>
        <v>0.43001270633457245</v>
      </c>
      <c r="AH8191" s="2" t="str">
        <f ca="1"/>
        <v>Bad</v>
      </c>
    </row>
    <row r="8192" spans="2:34" x14ac:dyDescent="0.2">
      <c r="B8192" s="2">
        <f ca="1"/>
        <v>0.30128292887850816</v>
      </c>
      <c r="O8192" s="2">
        <f ca="1"/>
        <v>-0.76034862815056725</v>
      </c>
      <c r="X8192" s="2">
        <f ca="1"/>
        <v>32.892045311348625</v>
      </c>
      <c r="AG8192" s="2">
        <f ca="1"/>
        <v>5.5485251230886101E-2</v>
      </c>
      <c r="AH8192" s="2" t="str">
        <f ca="1"/>
        <v>OK</v>
      </c>
    </row>
    <row r="8193" spans="2:34" x14ac:dyDescent="0.2">
      <c r="B8193" s="2">
        <f ca="1"/>
        <v>0.50010362888608495</v>
      </c>
      <c r="O8193" s="2">
        <f ca="1"/>
        <v>2.1102186464031178</v>
      </c>
      <c r="X8193" s="2">
        <f ca="1"/>
        <v>55.367525065760944</v>
      </c>
      <c r="AG8193" s="2">
        <f ca="1"/>
        <v>2.8744831000968585E-2</v>
      </c>
      <c r="AH8193" s="2" t="str">
        <f ca="1"/>
        <v>Good</v>
      </c>
    </row>
    <row r="8194" spans="2:34" x14ac:dyDescent="0.2">
      <c r="B8194" s="2">
        <f ca="1"/>
        <v>0.8030336153047164</v>
      </c>
      <c r="O8194" s="2">
        <f ca="1"/>
        <v>-1.1909360360683001</v>
      </c>
      <c r="X8194" s="2">
        <f ca="1"/>
        <v>41.986191338276782</v>
      </c>
      <c r="AG8194" s="2">
        <f ca="1"/>
        <v>0.42674270605544118</v>
      </c>
      <c r="AH8194" s="2" t="str">
        <f ca="1"/>
        <v>Bad</v>
      </c>
    </row>
    <row r="8195" spans="2:34" x14ac:dyDescent="0.2">
      <c r="B8195" s="2">
        <f ca="1"/>
        <v>0.79695624877797244</v>
      </c>
      <c r="O8195" s="2">
        <f ca="1"/>
        <v>-0.49422722469658015</v>
      </c>
      <c r="X8195" s="2">
        <f ca="1"/>
        <v>37.298108995922398</v>
      </c>
      <c r="AG8195" s="2">
        <f ca="1"/>
        <v>0.67493408438703151</v>
      </c>
      <c r="AH8195" s="2" t="str">
        <f ca="1"/>
        <v>Bad</v>
      </c>
    </row>
    <row r="8196" spans="2:34" x14ac:dyDescent="0.2">
      <c r="B8196" s="2">
        <f ca="1"/>
        <v>0.73357572212769284</v>
      </c>
      <c r="O8196" s="2">
        <f ca="1"/>
        <v>0.31752378430589051</v>
      </c>
      <c r="X8196" s="2">
        <f ca="1"/>
        <v>36.171252594966198</v>
      </c>
      <c r="AG8196" s="2">
        <f ca="1"/>
        <v>0.23584314714699728</v>
      </c>
      <c r="AH8196" s="2" t="str">
        <f ca="1"/>
        <v>OK</v>
      </c>
    </row>
    <row r="8197" spans="2:34" x14ac:dyDescent="0.2">
      <c r="B8197" s="2">
        <f ca="1"/>
        <v>0.19499202284510364</v>
      </c>
      <c r="O8197" s="2">
        <f ca="1"/>
        <v>0.38737583515562019</v>
      </c>
      <c r="X8197" s="2">
        <f ca="1"/>
        <v>46.743298157208429</v>
      </c>
      <c r="AG8197" s="2">
        <f ca="1"/>
        <v>0.37602653382391615</v>
      </c>
      <c r="AH8197" s="2" t="str">
        <f ca="1"/>
        <v>OK</v>
      </c>
    </row>
    <row r="8198" spans="2:34" x14ac:dyDescent="0.2">
      <c r="B8198" s="2">
        <f ca="1"/>
        <v>0.49715926299801261</v>
      </c>
      <c r="O8198" s="2">
        <f ca="1"/>
        <v>-0.80804615272069136</v>
      </c>
      <c r="X8198" s="2">
        <f ca="1"/>
        <v>31.315833453618424</v>
      </c>
      <c r="AG8198" s="2">
        <f ca="1"/>
        <v>0.41519350111551701</v>
      </c>
      <c r="AH8198" s="2" t="str">
        <f ca="1"/>
        <v>Bad</v>
      </c>
    </row>
    <row r="8199" spans="2:34" x14ac:dyDescent="0.2">
      <c r="B8199" s="2">
        <f ca="1"/>
        <v>0.57777357202720681</v>
      </c>
      <c r="O8199" s="2">
        <f ca="1"/>
        <v>0.87379168696026865</v>
      </c>
      <c r="X8199" s="2">
        <f ca="1"/>
        <v>84.443875809234896</v>
      </c>
      <c r="AG8199" s="2">
        <f ca="1"/>
        <v>0.12268014198837696</v>
      </c>
      <c r="AH8199" s="2" t="str">
        <f ca="1"/>
        <v>OK</v>
      </c>
    </row>
    <row r="8200" spans="2:34" x14ac:dyDescent="0.2">
      <c r="B8200" s="2">
        <f ca="1"/>
        <v>0.55260957486234341</v>
      </c>
      <c r="O8200" s="2">
        <f ca="1"/>
        <v>-1.490721018048504</v>
      </c>
      <c r="X8200" s="2">
        <f ca="1"/>
        <v>55.194606791369871</v>
      </c>
      <c r="AG8200" s="2">
        <f ca="1"/>
        <v>4.7014591340052148E-2</v>
      </c>
      <c r="AH8200" s="2" t="str">
        <f ca="1"/>
        <v>Good</v>
      </c>
    </row>
    <row r="8201" spans="2:34" x14ac:dyDescent="0.2">
      <c r="B8201" s="2">
        <f ca="1"/>
        <v>0.16602282152162795</v>
      </c>
      <c r="O8201" s="2">
        <f ca="1"/>
        <v>-0.74616352174476519</v>
      </c>
      <c r="X8201" s="2">
        <f ca="1"/>
        <v>34.098806903908645</v>
      </c>
      <c r="AG8201" s="2">
        <f ca="1"/>
        <v>0.31447687877841002</v>
      </c>
      <c r="AH8201" s="2" t="str">
        <f ca="1"/>
        <v>OK</v>
      </c>
    </row>
    <row r="8202" spans="2:34" x14ac:dyDescent="0.2">
      <c r="B8202" s="2">
        <f ca="1"/>
        <v>0.31855047272162151</v>
      </c>
      <c r="O8202" s="2">
        <f ca="1"/>
        <v>0.84382374623270351</v>
      </c>
      <c r="X8202" s="2">
        <f ca="1"/>
        <v>40.626832078850661</v>
      </c>
      <c r="AG8202" s="2">
        <f ca="1"/>
        <v>7.615758198562661E-2</v>
      </c>
      <c r="AH8202" s="2" t="str">
        <f ca="1"/>
        <v>OK</v>
      </c>
    </row>
    <row r="8203" spans="2:34" x14ac:dyDescent="0.2">
      <c r="B8203" s="2">
        <f ca="1"/>
        <v>0.27603458225499811</v>
      </c>
      <c r="O8203" s="2">
        <f ca="1"/>
        <v>-0.40382328330469219</v>
      </c>
      <c r="X8203" s="2">
        <f ca="1"/>
        <v>64.013286128252659</v>
      </c>
      <c r="AG8203" s="2">
        <f ca="1"/>
        <v>0.170109051401518</v>
      </c>
      <c r="AH8203" s="2" t="str">
        <f ca="1"/>
        <v>OK</v>
      </c>
    </row>
    <row r="8204" spans="2:34" x14ac:dyDescent="0.2">
      <c r="B8204" s="2">
        <f ca="1"/>
        <v>0.8183077135038741</v>
      </c>
      <c r="O8204" s="2">
        <f ca="1"/>
        <v>-9.3147802250733193E-3</v>
      </c>
      <c r="X8204" s="2">
        <f ca="1"/>
        <v>65.844448205234144</v>
      </c>
      <c r="AG8204" s="2">
        <f ca="1"/>
        <v>0.92789894787916238</v>
      </c>
      <c r="AH8204" s="2" t="str">
        <f ca="1"/>
        <v>Bad</v>
      </c>
    </row>
    <row r="8205" spans="2:34" x14ac:dyDescent="0.2">
      <c r="B8205" s="2">
        <f ca="1"/>
        <v>0.64857602077910714</v>
      </c>
      <c r="O8205" s="2">
        <f ca="1"/>
        <v>-0.43254039950534545</v>
      </c>
      <c r="X8205" s="2">
        <f ca="1"/>
        <v>62.614169351690833</v>
      </c>
      <c r="AG8205" s="2">
        <f ca="1"/>
        <v>5.4309012976312632E-2</v>
      </c>
      <c r="AH8205" s="2" t="str">
        <f ca="1"/>
        <v>OK</v>
      </c>
    </row>
    <row r="8206" spans="2:34" x14ac:dyDescent="0.2">
      <c r="B8206" s="2">
        <f ca="1"/>
        <v>0.34555767750909894</v>
      </c>
      <c r="O8206" s="2">
        <f ca="1"/>
        <v>0.93387035674253172</v>
      </c>
      <c r="X8206" s="2">
        <f ca="1"/>
        <v>60.398685452670733</v>
      </c>
      <c r="AG8206" s="2">
        <f ca="1"/>
        <v>0.90421658628348167</v>
      </c>
      <c r="AH8206" s="2" t="str">
        <f ca="1"/>
        <v>Bad</v>
      </c>
    </row>
    <row r="8207" spans="2:34" x14ac:dyDescent="0.2">
      <c r="B8207" s="2">
        <f ca="1"/>
        <v>0.21395743009970358</v>
      </c>
      <c r="O8207" s="2">
        <f ca="1"/>
        <v>-5.5003671870167407E-2</v>
      </c>
      <c r="X8207" s="2">
        <f ca="1"/>
        <v>65.713121792901589</v>
      </c>
      <c r="AG8207" s="2">
        <f ca="1"/>
        <v>0.98011407345968027</v>
      </c>
      <c r="AH8207" s="2" t="str">
        <f ca="1"/>
        <v>Bad</v>
      </c>
    </row>
    <row r="8208" spans="2:34" x14ac:dyDescent="0.2">
      <c r="B8208" s="2">
        <f ca="1"/>
        <v>0.83685231896596313</v>
      </c>
      <c r="O8208" s="2">
        <f ca="1"/>
        <v>1.4571691115004113</v>
      </c>
      <c r="X8208" s="2">
        <f ca="1"/>
        <v>68.463488632173807</v>
      </c>
      <c r="AG8208" s="2">
        <f ca="1"/>
        <v>0.48072252164424256</v>
      </c>
      <c r="AH8208" s="2" t="str">
        <f ca="1"/>
        <v>Bad</v>
      </c>
    </row>
    <row r="8209" spans="2:34" x14ac:dyDescent="0.2">
      <c r="B8209" s="2">
        <f ca="1"/>
        <v>0.85096020534399575</v>
      </c>
      <c r="O8209" s="2">
        <f ca="1"/>
        <v>-2.018103125286137</v>
      </c>
      <c r="X8209" s="2">
        <f ca="1"/>
        <v>46.95538999753726</v>
      </c>
      <c r="AG8209" s="2">
        <f ca="1"/>
        <v>0.97156470101229897</v>
      </c>
      <c r="AH8209" s="2" t="str">
        <f ca="1"/>
        <v>Bad</v>
      </c>
    </row>
    <row r="8210" spans="2:34" x14ac:dyDescent="0.2">
      <c r="B8210" s="2">
        <f ca="1"/>
        <v>0.72835995264267628</v>
      </c>
      <c r="O8210" s="2">
        <f ca="1"/>
        <v>-0.98303664358181642</v>
      </c>
      <c r="X8210" s="2">
        <f ca="1"/>
        <v>52.294126913883325</v>
      </c>
      <c r="AG8210" s="2">
        <f ca="1"/>
        <v>0.94230251039034019</v>
      </c>
      <c r="AH8210" s="2" t="str">
        <f ca="1"/>
        <v>Bad</v>
      </c>
    </row>
    <row r="8211" spans="2:34" x14ac:dyDescent="0.2">
      <c r="B8211" s="2">
        <f ca="1"/>
        <v>0.1136622357955932</v>
      </c>
      <c r="O8211" s="2">
        <f ca="1"/>
        <v>-0.91238315736536157</v>
      </c>
      <c r="X8211" s="2">
        <f ca="1"/>
        <v>51.959994648367754</v>
      </c>
      <c r="AG8211" s="2">
        <f ca="1"/>
        <v>0.81245326540915141</v>
      </c>
      <c r="AH8211" s="2" t="str">
        <f ca="1"/>
        <v>Bad</v>
      </c>
    </row>
    <row r="8212" spans="2:34" x14ac:dyDescent="0.2">
      <c r="B8212" s="2">
        <f ca="1"/>
        <v>0.53983770894044203</v>
      </c>
      <c r="O8212" s="2">
        <f ca="1"/>
        <v>1.1260408485581073</v>
      </c>
      <c r="X8212" s="2">
        <f ca="1"/>
        <v>66.29936404851486</v>
      </c>
      <c r="AG8212" s="2">
        <f ca="1"/>
        <v>7.1223459194956984E-2</v>
      </c>
      <c r="AH8212" s="2" t="str">
        <f ca="1"/>
        <v>OK</v>
      </c>
    </row>
    <row r="8213" spans="2:34" x14ac:dyDescent="0.2">
      <c r="B8213" s="2">
        <f ca="1"/>
        <v>0.2558084321168641</v>
      </c>
      <c r="O8213" s="2">
        <f ca="1"/>
        <v>0.34944958107367069</v>
      </c>
      <c r="X8213" s="2">
        <f ca="1"/>
        <v>76.280179035137863</v>
      </c>
      <c r="AG8213" s="2">
        <f ca="1"/>
        <v>0.48523842591992805</v>
      </c>
      <c r="AH8213" s="2" t="str">
        <f ca="1"/>
        <v>Bad</v>
      </c>
    </row>
    <row r="8214" spans="2:34" x14ac:dyDescent="0.2">
      <c r="B8214" s="2">
        <f ca="1"/>
        <v>0.80750567480949109</v>
      </c>
      <c r="O8214" s="2">
        <f ca="1"/>
        <v>-4.6526221669623738E-2</v>
      </c>
      <c r="X8214" s="2">
        <f ca="1"/>
        <v>58.578464620951863</v>
      </c>
      <c r="AG8214" s="2">
        <f ca="1"/>
        <v>0.72515146162899136</v>
      </c>
      <c r="AH8214" s="2" t="str">
        <f ca="1"/>
        <v>Bad</v>
      </c>
    </row>
    <row r="8215" spans="2:34" x14ac:dyDescent="0.2">
      <c r="B8215" s="2">
        <f ca="1"/>
        <v>0.8295406259192819</v>
      </c>
      <c r="O8215" s="2">
        <f ca="1"/>
        <v>-0.85092143649644736</v>
      </c>
      <c r="X8215" s="2">
        <f ca="1"/>
        <v>27.938400402364355</v>
      </c>
      <c r="AG8215" s="2">
        <f ca="1"/>
        <v>1.6115701199610699E-2</v>
      </c>
      <c r="AH8215" s="2" t="str">
        <f ca="1"/>
        <v>Good</v>
      </c>
    </row>
    <row r="8216" spans="2:34" x14ac:dyDescent="0.2">
      <c r="B8216" s="2">
        <f ca="1"/>
        <v>0.76239516882779124</v>
      </c>
      <c r="O8216" s="2">
        <f ca="1"/>
        <v>-0.53404059382810598</v>
      </c>
      <c r="X8216" s="2">
        <f ca="1"/>
        <v>50.535340533004167</v>
      </c>
      <c r="AG8216" s="2">
        <f ca="1"/>
        <v>0.12500619376993471</v>
      </c>
      <c r="AH8216" s="2" t="str">
        <f ca="1"/>
        <v>OK</v>
      </c>
    </row>
    <row r="8217" spans="2:34" x14ac:dyDescent="0.2">
      <c r="B8217" s="2">
        <f ca="1"/>
        <v>0.29673762828440231</v>
      </c>
      <c r="O8217" s="2">
        <f ca="1"/>
        <v>0.24675058474652364</v>
      </c>
      <c r="X8217" s="2">
        <f ca="1"/>
        <v>43.698426094046894</v>
      </c>
      <c r="AG8217" s="2">
        <f ca="1"/>
        <v>0.86443704208640892</v>
      </c>
      <c r="AH8217" s="2" t="str">
        <f ca="1"/>
        <v>Bad</v>
      </c>
    </row>
    <row r="8218" spans="2:34" x14ac:dyDescent="0.2">
      <c r="B8218" s="2">
        <f ca="1"/>
        <v>0.98621321104429582</v>
      </c>
      <c r="O8218" s="2">
        <f ca="1"/>
        <v>-0.11542410482113356</v>
      </c>
      <c r="X8218" s="2">
        <f ca="1"/>
        <v>43.329774785309702</v>
      </c>
      <c r="AG8218" s="2">
        <f ca="1"/>
        <v>0.72282739800921236</v>
      </c>
      <c r="AH8218" s="2" t="str">
        <f ca="1"/>
        <v>Bad</v>
      </c>
    </row>
    <row r="8219" spans="2:34" x14ac:dyDescent="0.2">
      <c r="B8219" s="2">
        <f ca="1"/>
        <v>0.49539085341748423</v>
      </c>
      <c r="O8219" s="2">
        <f ca="1"/>
        <v>1.3864945564751936</v>
      </c>
      <c r="X8219" s="2">
        <f ca="1"/>
        <v>32.832224739481354</v>
      </c>
      <c r="AG8219" s="2">
        <f ca="1"/>
        <v>2.0477272312919403E-2</v>
      </c>
      <c r="AH8219" s="2" t="str">
        <f ca="1"/>
        <v>Good</v>
      </c>
    </row>
    <row r="8220" spans="2:34" x14ac:dyDescent="0.2">
      <c r="B8220" s="2">
        <f ca="1"/>
        <v>0.4376695073379735</v>
      </c>
      <c r="O8220" s="2">
        <f ca="1"/>
        <v>0.32877375139604337</v>
      </c>
      <c r="X8220" s="2">
        <f ca="1"/>
        <v>33.599775594088001</v>
      </c>
      <c r="AG8220" s="2">
        <f ca="1"/>
        <v>0.76339368946440067</v>
      </c>
      <c r="AH8220" s="2" t="str">
        <f ca="1"/>
        <v>Bad</v>
      </c>
    </row>
    <row r="8221" spans="2:34" x14ac:dyDescent="0.2">
      <c r="B8221" s="2">
        <f ca="1"/>
        <v>0.3614033390630087</v>
      </c>
      <c r="O8221" s="2">
        <f ca="1"/>
        <v>-0.28407678061115621</v>
      </c>
      <c r="X8221" s="2">
        <f ca="1"/>
        <v>39.324292011247664</v>
      </c>
      <c r="AG8221" s="2">
        <f ca="1"/>
        <v>0.4775293757191843</v>
      </c>
      <c r="AH8221" s="2" t="str">
        <f ca="1"/>
        <v>Bad</v>
      </c>
    </row>
    <row r="8222" spans="2:34" x14ac:dyDescent="0.2">
      <c r="B8222" s="2">
        <f ca="1"/>
        <v>0.86162582456092962</v>
      </c>
      <c r="O8222" s="2">
        <f ca="1"/>
        <v>-1.8511503656120769</v>
      </c>
      <c r="X8222" s="2">
        <f ca="1"/>
        <v>59.332811681806952</v>
      </c>
      <c r="AG8222" s="2">
        <f ca="1"/>
        <v>0.83482947109025529</v>
      </c>
      <c r="AH8222" s="2" t="str">
        <f ca="1"/>
        <v>Bad</v>
      </c>
    </row>
    <row r="8223" spans="2:34" x14ac:dyDescent="0.2">
      <c r="B8223" s="2">
        <f ca="1"/>
        <v>0.64135979150975175</v>
      </c>
      <c r="O8223" s="2">
        <f ca="1"/>
        <v>1.2925890002946923</v>
      </c>
      <c r="X8223" s="2">
        <f ca="1"/>
        <v>28.206130968693067</v>
      </c>
      <c r="AG8223" s="2">
        <f ca="1"/>
        <v>0.92712508393005133</v>
      </c>
      <c r="AH8223" s="2" t="str">
        <f ca="1"/>
        <v>Bad</v>
      </c>
    </row>
    <row r="8224" spans="2:34" x14ac:dyDescent="0.2">
      <c r="B8224" s="2">
        <f ca="1"/>
        <v>0.10251123171578147</v>
      </c>
      <c r="O8224" s="2">
        <f ca="1"/>
        <v>-0.25792578530133115</v>
      </c>
      <c r="X8224" s="2">
        <f ca="1"/>
        <v>35.198430700232066</v>
      </c>
      <c r="AG8224" s="2">
        <f ca="1"/>
        <v>0.50482299073538739</v>
      </c>
      <c r="AH8224" s="2" t="str">
        <f ca="1"/>
        <v>Bad</v>
      </c>
    </row>
    <row r="8225" spans="2:34" x14ac:dyDescent="0.2">
      <c r="B8225" s="2">
        <f ca="1"/>
        <v>0.71973913151223656</v>
      </c>
      <c r="O8225" s="2">
        <f ca="1"/>
        <v>-0.80445988207753694</v>
      </c>
      <c r="X8225" s="2">
        <f ca="1"/>
        <v>38.534103628400132</v>
      </c>
      <c r="AG8225" s="2">
        <f ca="1"/>
        <v>0.80377356825247359</v>
      </c>
      <c r="AH8225" s="2" t="str">
        <f ca="1"/>
        <v>Bad</v>
      </c>
    </row>
    <row r="8226" spans="2:34" x14ac:dyDescent="0.2">
      <c r="B8226" s="2">
        <f ca="1"/>
        <v>0.55822282104392063</v>
      </c>
      <c r="O8226" s="2">
        <f ca="1"/>
        <v>-1.6971920297473539</v>
      </c>
      <c r="X8226" s="2">
        <f ca="1"/>
        <v>23.234575029341276</v>
      </c>
      <c r="AG8226" s="2">
        <f ca="1"/>
        <v>0.37517178366828641</v>
      </c>
      <c r="AH8226" s="2" t="str">
        <f ca="1"/>
        <v>OK</v>
      </c>
    </row>
    <row r="8227" spans="2:34" x14ac:dyDescent="0.2">
      <c r="B8227" s="2">
        <f ca="1"/>
        <v>0.89996326429908091</v>
      </c>
      <c r="O8227" s="2">
        <f ca="1"/>
        <v>-0.17847259401483637</v>
      </c>
      <c r="X8227" s="2">
        <f ca="1"/>
        <v>53.829842987449823</v>
      </c>
      <c r="AG8227" s="2">
        <f ca="1"/>
        <v>7.1840707057707398E-2</v>
      </c>
      <c r="AH8227" s="2" t="str">
        <f ca="1"/>
        <v>OK</v>
      </c>
    </row>
    <row r="8228" spans="2:34" x14ac:dyDescent="0.2">
      <c r="B8228" s="2">
        <f ca="1"/>
        <v>0.55772016270294289</v>
      </c>
      <c r="O8228" s="2">
        <f ca="1"/>
        <v>1.131014909092465</v>
      </c>
      <c r="X8228" s="2">
        <f ca="1"/>
        <v>26.881246638776922</v>
      </c>
      <c r="AG8228" s="2">
        <f ca="1"/>
        <v>0.29884547118601112</v>
      </c>
      <c r="AH8228" s="2" t="str">
        <f ca="1"/>
        <v>OK</v>
      </c>
    </row>
    <row r="8229" spans="2:34" x14ac:dyDescent="0.2">
      <c r="B8229" s="2">
        <f ca="1"/>
        <v>0.74697891598253374</v>
      </c>
      <c r="O8229" s="2">
        <f ca="1"/>
        <v>-0.27458845513815994</v>
      </c>
      <c r="X8229" s="2">
        <f ca="1"/>
        <v>47.041307753847036</v>
      </c>
      <c r="AG8229" s="2">
        <f ca="1"/>
        <v>0.53507601284567152</v>
      </c>
      <c r="AH8229" s="2" t="str">
        <f ca="1"/>
        <v>Bad</v>
      </c>
    </row>
    <row r="8230" spans="2:34" x14ac:dyDescent="0.2">
      <c r="B8230" s="2">
        <f ca="1"/>
        <v>0.12851434286427588</v>
      </c>
      <c r="O8230" s="2">
        <f ca="1"/>
        <v>2.4456214437690669</v>
      </c>
      <c r="X8230" s="2">
        <f ca="1"/>
        <v>42.112472978815624</v>
      </c>
      <c r="AG8230" s="2">
        <f ca="1"/>
        <v>0.31754512535500523</v>
      </c>
      <c r="AH8230" s="2" t="str">
        <f ca="1"/>
        <v>OK</v>
      </c>
    </row>
    <row r="8231" spans="2:34" x14ac:dyDescent="0.2">
      <c r="B8231" s="2">
        <f ca="1"/>
        <v>0.25802782404077318</v>
      </c>
      <c r="O8231" s="2">
        <f ca="1"/>
        <v>-1.3565463905555597</v>
      </c>
      <c r="X8231" s="2">
        <f ca="1"/>
        <v>80.711811320623895</v>
      </c>
      <c r="AG8231" s="2">
        <f ca="1"/>
        <v>0.3181994618132733</v>
      </c>
      <c r="AH8231" s="2" t="str">
        <f ca="1"/>
        <v>OK</v>
      </c>
    </row>
    <row r="8232" spans="2:34" x14ac:dyDescent="0.2">
      <c r="B8232" s="2">
        <f ca="1"/>
        <v>0.98610245956696119</v>
      </c>
      <c r="O8232" s="2">
        <f ca="1"/>
        <v>-0.43256231166263781</v>
      </c>
      <c r="X8232" s="2">
        <f ca="1"/>
        <v>44.609785191376076</v>
      </c>
      <c r="AG8232" s="2">
        <f ca="1"/>
        <v>0.25379792277385382</v>
      </c>
      <c r="AH8232" s="2" t="str">
        <f ca="1"/>
        <v>OK</v>
      </c>
    </row>
    <row r="8233" spans="2:34" x14ac:dyDescent="0.2">
      <c r="B8233" s="2">
        <f ca="1"/>
        <v>0.79115363287657736</v>
      </c>
      <c r="O8233" s="2">
        <f ca="1"/>
        <v>0.20372402685312721</v>
      </c>
      <c r="X8233" s="2">
        <f ca="1"/>
        <v>48.64638850953984</v>
      </c>
      <c r="AG8233" s="2">
        <f ca="1"/>
        <v>0.97086884580244637</v>
      </c>
      <c r="AH8233" s="2" t="str">
        <f ca="1"/>
        <v>Bad</v>
      </c>
    </row>
    <row r="8234" spans="2:34" x14ac:dyDescent="0.2">
      <c r="B8234" s="2">
        <f ca="1"/>
        <v>0.19965490231650662</v>
      </c>
      <c r="O8234" s="2">
        <f ca="1"/>
        <v>-0.24465489344669133</v>
      </c>
      <c r="X8234" s="2">
        <f ca="1"/>
        <v>41.933214212941756</v>
      </c>
      <c r="AG8234" s="2">
        <f ca="1"/>
        <v>0.25783961859215299</v>
      </c>
      <c r="AH8234" s="2" t="str">
        <f ca="1"/>
        <v>OK</v>
      </c>
    </row>
    <row r="8235" spans="2:34" x14ac:dyDescent="0.2">
      <c r="B8235" s="2">
        <f ca="1"/>
        <v>0.2204391857332586</v>
      </c>
      <c r="O8235" s="2">
        <f ca="1"/>
        <v>-0.3624511733398123</v>
      </c>
      <c r="X8235" s="2">
        <f ca="1"/>
        <v>41.644241057676005</v>
      </c>
      <c r="AG8235" s="2">
        <f ca="1"/>
        <v>0.49182394901161963</v>
      </c>
      <c r="AH8235" s="2" t="str">
        <f ca="1"/>
        <v>Bad</v>
      </c>
    </row>
    <row r="8236" spans="2:34" x14ac:dyDescent="0.2">
      <c r="B8236" s="2">
        <f ca="1"/>
        <v>0.76106689637982927</v>
      </c>
      <c r="O8236" s="2">
        <f ca="1"/>
        <v>0.84823008811972633</v>
      </c>
      <c r="X8236" s="2">
        <f ca="1"/>
        <v>30.513692036069223</v>
      </c>
      <c r="AG8236" s="2">
        <f ca="1"/>
        <v>0.27095852953202959</v>
      </c>
      <c r="AH8236" s="2" t="str">
        <f ca="1"/>
        <v>OK</v>
      </c>
    </row>
    <row r="8237" spans="2:34" x14ac:dyDescent="0.2">
      <c r="B8237" s="2">
        <f ca="1"/>
        <v>0.64623064143062492</v>
      </c>
      <c r="O8237" s="2">
        <f ca="1"/>
        <v>-1.4593191368929526</v>
      </c>
      <c r="X8237" s="2">
        <f ca="1"/>
        <v>24.555966943111095</v>
      </c>
      <c r="AG8237" s="2">
        <f ca="1"/>
        <v>0.17243597095882546</v>
      </c>
      <c r="AH8237" s="2" t="str">
        <f ca="1"/>
        <v>OK</v>
      </c>
    </row>
    <row r="8238" spans="2:34" x14ac:dyDescent="0.2">
      <c r="B8238" s="2">
        <f ca="1"/>
        <v>2.941355697966852E-2</v>
      </c>
      <c r="O8238" s="2">
        <f ca="1"/>
        <v>-0.3131194750880974</v>
      </c>
      <c r="X8238" s="2">
        <f ca="1"/>
        <v>31.540702144885145</v>
      </c>
      <c r="AG8238" s="2">
        <f ca="1"/>
        <v>0.64235490449899424</v>
      </c>
      <c r="AH8238" s="2" t="str">
        <f ca="1"/>
        <v>Bad</v>
      </c>
    </row>
    <row r="8239" spans="2:34" x14ac:dyDescent="0.2">
      <c r="B8239" s="2">
        <f ca="1"/>
        <v>0.57298960753269301</v>
      </c>
      <c r="O8239" s="2">
        <f ca="1"/>
        <v>1.576160302297972</v>
      </c>
      <c r="X8239" s="2">
        <f ca="1"/>
        <v>78.412549421526364</v>
      </c>
      <c r="AG8239" s="2">
        <f ca="1"/>
        <v>0.15178162957281538</v>
      </c>
      <c r="AH8239" s="2" t="str">
        <f ca="1"/>
        <v>OK</v>
      </c>
    </row>
    <row r="8240" spans="2:34" x14ac:dyDescent="0.2">
      <c r="B8240" s="2">
        <f ca="1"/>
        <v>0.41939993102295392</v>
      </c>
      <c r="O8240" s="2">
        <f ca="1"/>
        <v>0.68544888661010639</v>
      </c>
      <c r="X8240" s="2">
        <f ca="1"/>
        <v>52.352574336891649</v>
      </c>
      <c r="AG8240" s="2">
        <f ca="1"/>
        <v>0.97227430751944532</v>
      </c>
      <c r="AH8240" s="2" t="str">
        <f ca="1"/>
        <v>Bad</v>
      </c>
    </row>
    <row r="8241" spans="2:34" x14ac:dyDescent="0.2">
      <c r="B8241" s="2">
        <f ca="1"/>
        <v>0.88514249036865178</v>
      </c>
      <c r="O8241" s="2">
        <f ca="1"/>
        <v>-0.24964063925318258</v>
      </c>
      <c r="X8241" s="2">
        <f ca="1"/>
        <v>42.318000515785826</v>
      </c>
      <c r="AG8241" s="2">
        <f ca="1"/>
        <v>0.13107188164881589</v>
      </c>
      <c r="AH8241" s="2" t="str">
        <f ca="1"/>
        <v>OK</v>
      </c>
    </row>
    <row r="8242" spans="2:34" x14ac:dyDescent="0.2">
      <c r="B8242" s="2">
        <f ca="1"/>
        <v>5.4772797681822194E-2</v>
      </c>
      <c r="O8242" s="2">
        <f ca="1"/>
        <v>-0.19549595328280414</v>
      </c>
      <c r="X8242" s="2">
        <f ca="1"/>
        <v>40.881450923154858</v>
      </c>
      <c r="AG8242" s="2">
        <f ca="1"/>
        <v>0.60548204586131282</v>
      </c>
      <c r="AH8242" s="2" t="str">
        <f ca="1"/>
        <v>Bad</v>
      </c>
    </row>
    <row r="8243" spans="2:34" x14ac:dyDescent="0.2">
      <c r="B8243" s="2">
        <f ca="1"/>
        <v>0.30553137088926419</v>
      </c>
      <c r="O8243" s="2">
        <f ca="1"/>
        <v>-0.39096871682453488</v>
      </c>
      <c r="X8243" s="2">
        <f ca="1"/>
        <v>48.030730556693932</v>
      </c>
      <c r="AG8243" s="2">
        <f ca="1"/>
        <v>0.52670213291699408</v>
      </c>
      <c r="AH8243" s="2" t="str">
        <f ca="1"/>
        <v>Bad</v>
      </c>
    </row>
    <row r="8244" spans="2:34" x14ac:dyDescent="0.2">
      <c r="B8244" s="2">
        <f ca="1"/>
        <v>0.2989375338326723</v>
      </c>
      <c r="O8244" s="2">
        <f ca="1"/>
        <v>-0.51242536656603488</v>
      </c>
      <c r="X8244" s="2">
        <f ca="1"/>
        <v>33.577834961877087</v>
      </c>
      <c r="AG8244" s="2">
        <f ca="1"/>
        <v>0.68967463119703032</v>
      </c>
      <c r="AH8244" s="2" t="str">
        <f ca="1"/>
        <v>Bad</v>
      </c>
    </row>
    <row r="8245" spans="2:34" x14ac:dyDescent="0.2">
      <c r="B8245" s="2">
        <f ca="1"/>
        <v>4.6580713181039624E-2</v>
      </c>
      <c r="O8245" s="2">
        <f ca="1"/>
        <v>0.73821853998688047</v>
      </c>
      <c r="X8245" s="2">
        <f ca="1"/>
        <v>49.383172592164037</v>
      </c>
      <c r="AG8245" s="2">
        <f ca="1"/>
        <v>0.53126577208960213</v>
      </c>
      <c r="AH8245" s="2" t="str">
        <f ca="1"/>
        <v>Bad</v>
      </c>
    </row>
    <row r="8246" spans="2:34" x14ac:dyDescent="0.2">
      <c r="B8246" s="2">
        <f ca="1"/>
        <v>7.3060835031250493E-2</v>
      </c>
      <c r="O8246" s="2">
        <f ca="1"/>
        <v>0.33635488473240072</v>
      </c>
      <c r="X8246" s="2">
        <f ca="1"/>
        <v>27.150336133185142</v>
      </c>
      <c r="AG8246" s="2">
        <f ca="1"/>
        <v>0.4530888551954706</v>
      </c>
      <c r="AH8246" s="2" t="str">
        <f ca="1"/>
        <v>Bad</v>
      </c>
    </row>
    <row r="8247" spans="2:34" x14ac:dyDescent="0.2">
      <c r="B8247" s="2">
        <f ca="1"/>
        <v>0.60173923616900238</v>
      </c>
      <c r="O8247" s="2">
        <f ca="1"/>
        <v>-5.2185959483526702E-2</v>
      </c>
      <c r="X8247" s="2">
        <f ca="1"/>
        <v>39.973856799312507</v>
      </c>
      <c r="AG8247" s="2">
        <f ca="1"/>
        <v>0.63891491585631566</v>
      </c>
      <c r="AH8247" s="2" t="str">
        <f ca="1"/>
        <v>Bad</v>
      </c>
    </row>
    <row r="8248" spans="2:34" x14ac:dyDescent="0.2">
      <c r="B8248" s="2">
        <f ca="1"/>
        <v>0.48821549312992163</v>
      </c>
      <c r="O8248" s="2">
        <f ca="1"/>
        <v>2.0921846342771349</v>
      </c>
      <c r="X8248" s="2">
        <f ca="1"/>
        <v>75.761550311862024</v>
      </c>
      <c r="AG8248" s="2">
        <f ca="1"/>
        <v>0.92519312778077611</v>
      </c>
      <c r="AH8248" s="2" t="str">
        <f ca="1"/>
        <v>Bad</v>
      </c>
    </row>
    <row r="8249" spans="2:34" x14ac:dyDescent="0.2">
      <c r="B8249" s="2">
        <f ca="1"/>
        <v>0.54807215578738555</v>
      </c>
      <c r="O8249" s="2">
        <f ca="1"/>
        <v>0.28850507284572174</v>
      </c>
      <c r="X8249" s="2">
        <f ca="1"/>
        <v>65.514898923907637</v>
      </c>
      <c r="AG8249" s="2">
        <f ca="1"/>
        <v>0.57300556948506909</v>
      </c>
      <c r="AH8249" s="2" t="str">
        <f ca="1"/>
        <v>Bad</v>
      </c>
    </row>
    <row r="8250" spans="2:34" x14ac:dyDescent="0.2">
      <c r="B8250" s="2">
        <f ca="1"/>
        <v>0.93640619723266783</v>
      </c>
      <c r="O8250" s="2">
        <f ca="1"/>
        <v>1.3409930044634233</v>
      </c>
      <c r="X8250" s="2">
        <f ca="1"/>
        <v>28.422331147873386</v>
      </c>
      <c r="AG8250" s="2">
        <f ca="1"/>
        <v>0.18395573673410293</v>
      </c>
      <c r="AH8250" s="2" t="str">
        <f ca="1"/>
        <v>OK</v>
      </c>
    </row>
    <row r="8251" spans="2:34" x14ac:dyDescent="0.2">
      <c r="B8251" s="2">
        <f ca="1"/>
        <v>6.4675674282770323E-2</v>
      </c>
      <c r="O8251" s="2">
        <f ca="1"/>
        <v>-0.87914852078441064</v>
      </c>
      <c r="X8251" s="2">
        <f ca="1"/>
        <v>52.664225492258026</v>
      </c>
      <c r="AG8251" s="2">
        <f ca="1"/>
        <v>2.545211663197211E-3</v>
      </c>
      <c r="AH8251" s="2" t="str">
        <f ca="1"/>
        <v>Good</v>
      </c>
    </row>
    <row r="8252" spans="2:34" x14ac:dyDescent="0.2">
      <c r="B8252" s="2">
        <f ca="1"/>
        <v>0.50255262724782601</v>
      </c>
      <c r="O8252" s="2">
        <f ca="1"/>
        <v>0.44398451245377152</v>
      </c>
      <c r="X8252" s="2">
        <f ca="1"/>
        <v>34.85888535202934</v>
      </c>
      <c r="AG8252" s="2">
        <f ca="1"/>
        <v>0.17066849485254565</v>
      </c>
      <c r="AH8252" s="2" t="str">
        <f ca="1"/>
        <v>OK</v>
      </c>
    </row>
    <row r="8253" spans="2:34" x14ac:dyDescent="0.2">
      <c r="B8253" s="2">
        <f ca="1"/>
        <v>0.19594844348161766</v>
      </c>
      <c r="O8253" s="2">
        <f ca="1"/>
        <v>-0.63184802631061943</v>
      </c>
      <c r="X8253" s="2">
        <f ca="1"/>
        <v>46.780893079379446</v>
      </c>
      <c r="AG8253" s="2">
        <f ca="1"/>
        <v>0.32280276550975739</v>
      </c>
      <c r="AH8253" s="2" t="str">
        <f ca="1"/>
        <v>OK</v>
      </c>
    </row>
    <row r="8254" spans="2:34" x14ac:dyDescent="0.2">
      <c r="B8254" s="2">
        <f ca="1"/>
        <v>0.85706814193932579</v>
      </c>
      <c r="O8254" s="2">
        <f ca="1"/>
        <v>-0.37863341526424527</v>
      </c>
      <c r="X8254" s="2">
        <f ca="1"/>
        <v>49.56645962741365</v>
      </c>
      <c r="AG8254" s="2">
        <f ca="1"/>
        <v>0.28222488960871539</v>
      </c>
      <c r="AH8254" s="2" t="str">
        <f ca="1"/>
        <v>OK</v>
      </c>
    </row>
    <row r="8255" spans="2:34" x14ac:dyDescent="0.2">
      <c r="B8255" s="2">
        <f ca="1"/>
        <v>0.74024541937307342</v>
      </c>
      <c r="O8255" s="2">
        <f ca="1"/>
        <v>0.14177667123939469</v>
      </c>
      <c r="X8255" s="2">
        <f ca="1"/>
        <v>44.716015995585252</v>
      </c>
      <c r="AG8255" s="2">
        <f ca="1"/>
        <v>0.23564066363873049</v>
      </c>
      <c r="AH8255" s="2" t="str">
        <f ca="1"/>
        <v>OK</v>
      </c>
    </row>
    <row r="8256" spans="2:34" x14ac:dyDescent="0.2">
      <c r="B8256" s="2">
        <f ca="1"/>
        <v>0.7104833260361203</v>
      </c>
      <c r="O8256" s="2">
        <f ca="1"/>
        <v>-0.26463224069416225</v>
      </c>
      <c r="X8256" s="2">
        <f ca="1"/>
        <v>47.200467053774702</v>
      </c>
      <c r="AG8256" s="2">
        <f ca="1"/>
        <v>0.81438280418600217</v>
      </c>
      <c r="AH8256" s="2" t="str">
        <f ca="1"/>
        <v>Bad</v>
      </c>
    </row>
    <row r="8257" spans="2:34" x14ac:dyDescent="0.2">
      <c r="B8257" s="2">
        <f ca="1"/>
        <v>0.26290793085704989</v>
      </c>
      <c r="O8257" s="2">
        <f ca="1"/>
        <v>0.57610325425876574</v>
      </c>
      <c r="X8257" s="2">
        <f ca="1"/>
        <v>57.486806205697285</v>
      </c>
      <c r="AG8257" s="2">
        <f ca="1"/>
        <v>0.75937946377967247</v>
      </c>
      <c r="AH8257" s="2" t="str">
        <f ca="1"/>
        <v>Bad</v>
      </c>
    </row>
    <row r="8258" spans="2:34" x14ac:dyDescent="0.2">
      <c r="B8258" s="2">
        <f ca="1"/>
        <v>0.29260261577885438</v>
      </c>
      <c r="O8258" s="2">
        <f ca="1"/>
        <v>0.24204134107938846</v>
      </c>
      <c r="X8258" s="2">
        <f ca="1"/>
        <v>42.191227343099136</v>
      </c>
      <c r="AG8258" s="2">
        <f ca="1"/>
        <v>0.87129699669579241</v>
      </c>
      <c r="AH8258" s="2" t="str">
        <f ca="1"/>
        <v>Bad</v>
      </c>
    </row>
    <row r="8259" spans="2:34" x14ac:dyDescent="0.2">
      <c r="B8259" s="2">
        <f ca="1"/>
        <v>0.83889706633804773</v>
      </c>
      <c r="O8259" s="2">
        <f ca="1"/>
        <v>-2.1609380737381185</v>
      </c>
      <c r="X8259" s="2">
        <f ca="1"/>
        <v>27.962567178432312</v>
      </c>
      <c r="AG8259" s="2">
        <f ca="1"/>
        <v>0.34562400644368241</v>
      </c>
      <c r="AH8259" s="2" t="str">
        <f ca="1"/>
        <v>OK</v>
      </c>
    </row>
    <row r="8260" spans="2:34" x14ac:dyDescent="0.2">
      <c r="B8260" s="2">
        <f ca="1"/>
        <v>0.4919350574022483</v>
      </c>
      <c r="O8260" s="2">
        <f ca="1"/>
        <v>0.39028807270652216</v>
      </c>
      <c r="X8260" s="2">
        <f ca="1"/>
        <v>50.870227368758343</v>
      </c>
      <c r="AG8260" s="2">
        <f ca="1"/>
        <v>0.99822660151238973</v>
      </c>
      <c r="AH8260" s="2" t="str">
        <f ca="1"/>
        <v>Bad</v>
      </c>
    </row>
    <row r="8261" spans="2:34" x14ac:dyDescent="0.2">
      <c r="B8261" s="2">
        <f ca="1"/>
        <v>0.19031889253855905</v>
      </c>
      <c r="O8261" s="2">
        <f ca="1"/>
        <v>-0.48637574634060232</v>
      </c>
      <c r="X8261" s="2">
        <f ca="1"/>
        <v>43.938221638632193</v>
      </c>
      <c r="AG8261" s="2">
        <f ca="1"/>
        <v>0.87520383021743053</v>
      </c>
      <c r="AH8261" s="2" t="str">
        <f ca="1"/>
        <v>Bad</v>
      </c>
    </row>
    <row r="8262" spans="2:34" x14ac:dyDescent="0.2">
      <c r="B8262" s="2">
        <f ca="1"/>
        <v>0.1538865294309093</v>
      </c>
      <c r="O8262" s="2">
        <f ca="1"/>
        <v>-3.0629597574282577</v>
      </c>
      <c r="X8262" s="2">
        <f ca="1"/>
        <v>25.088000224919568</v>
      </c>
      <c r="AG8262" s="2">
        <f ca="1"/>
        <v>0.83706809234856783</v>
      </c>
      <c r="AH8262" s="2" t="str">
        <f ca="1"/>
        <v>Bad</v>
      </c>
    </row>
    <row r="8263" spans="2:34" x14ac:dyDescent="0.2">
      <c r="B8263" s="2">
        <f ca="1"/>
        <v>0.4798037384249414</v>
      </c>
      <c r="O8263" s="2">
        <f ca="1"/>
        <v>-1.9486688831574637</v>
      </c>
      <c r="X8263" s="2">
        <f ca="1"/>
        <v>50.6757723596182</v>
      </c>
      <c r="AG8263" s="2">
        <f ca="1"/>
        <v>0.50485681453462861</v>
      </c>
      <c r="AH8263" s="2" t="str">
        <f ca="1"/>
        <v>Bad</v>
      </c>
    </row>
    <row r="8264" spans="2:34" x14ac:dyDescent="0.2">
      <c r="B8264" s="2">
        <f ca="1"/>
        <v>0.40876531011193662</v>
      </c>
      <c r="O8264" s="2">
        <f ca="1"/>
        <v>1.0747239373059201</v>
      </c>
      <c r="X8264" s="2">
        <f ca="1"/>
        <v>51.574793957870988</v>
      </c>
      <c r="AG8264" s="2">
        <f ca="1"/>
        <v>0.95851676785839857</v>
      </c>
      <c r="AH8264" s="2" t="str">
        <f ca="1"/>
        <v>Bad</v>
      </c>
    </row>
    <row r="8265" spans="2:34" x14ac:dyDescent="0.2">
      <c r="B8265" s="2">
        <f ca="1"/>
        <v>0.21618469948603436</v>
      </c>
      <c r="O8265" s="2">
        <f ca="1"/>
        <v>-0.69184388343851244</v>
      </c>
      <c r="X8265" s="2">
        <f ca="1"/>
        <v>58.216448327453172</v>
      </c>
      <c r="AG8265" s="2">
        <f ca="1"/>
        <v>0.94664686134996945</v>
      </c>
      <c r="AH8265" s="2" t="str">
        <f ca="1"/>
        <v>Bad</v>
      </c>
    </row>
    <row r="8266" spans="2:34" x14ac:dyDescent="0.2">
      <c r="B8266" s="2">
        <f ca="1"/>
        <v>0.37495434602514743</v>
      </c>
      <c r="O8266" s="2">
        <f ca="1"/>
        <v>-0.37542918136988868</v>
      </c>
      <c r="X8266" s="2">
        <f ca="1"/>
        <v>54.175283053604851</v>
      </c>
      <c r="AG8266" s="2">
        <f ca="1"/>
        <v>0.47073768748124478</v>
      </c>
      <c r="AH8266" s="2" t="str">
        <f ca="1"/>
        <v>Bad</v>
      </c>
    </row>
    <row r="8267" spans="2:34" x14ac:dyDescent="0.2">
      <c r="B8267" s="2">
        <f ca="1"/>
        <v>5.6595304431652504E-2</v>
      </c>
      <c r="O8267" s="2">
        <f ca="1"/>
        <v>0.87324933857536269</v>
      </c>
      <c r="X8267" s="2">
        <f ca="1"/>
        <v>55.44436700939174</v>
      </c>
      <c r="AG8267" s="2">
        <f ca="1"/>
        <v>0.20435029071274924</v>
      </c>
      <c r="AH8267" s="2" t="str">
        <f ca="1"/>
        <v>OK</v>
      </c>
    </row>
    <row r="8268" spans="2:34" x14ac:dyDescent="0.2">
      <c r="B8268" s="2">
        <f ca="1"/>
        <v>0.75835197022241907</v>
      </c>
      <c r="O8268" s="2">
        <f ca="1"/>
        <v>-1.070743735155594</v>
      </c>
      <c r="X8268" s="2">
        <f ca="1"/>
        <v>55.611483176722992</v>
      </c>
      <c r="AG8268" s="2">
        <f ca="1"/>
        <v>0.21371861724526786</v>
      </c>
      <c r="AH8268" s="2" t="str">
        <f ca="1"/>
        <v>OK</v>
      </c>
    </row>
    <row r="8269" spans="2:34" x14ac:dyDescent="0.2">
      <c r="B8269" s="2">
        <f ca="1"/>
        <v>0.65542127374906922</v>
      </c>
      <c r="O8269" s="2">
        <f ca="1"/>
        <v>-0.60613352106061336</v>
      </c>
      <c r="X8269" s="2">
        <f ca="1"/>
        <v>59.858961478983204</v>
      </c>
      <c r="AG8269" s="2">
        <f ca="1"/>
        <v>0.83589320553033875</v>
      </c>
      <c r="AH8269" s="2" t="str">
        <f ca="1"/>
        <v>Bad</v>
      </c>
    </row>
    <row r="8270" spans="2:34" x14ac:dyDescent="0.2">
      <c r="B8270" s="2">
        <f ca="1"/>
        <v>0.74983786709425226</v>
      </c>
      <c r="O8270" s="2">
        <f ca="1"/>
        <v>-0.26141328590732166</v>
      </c>
      <c r="X8270" s="2">
        <f ca="1"/>
        <v>49.694545504302184</v>
      </c>
      <c r="AG8270" s="2">
        <f ca="1"/>
        <v>4.0277614096964287E-2</v>
      </c>
      <c r="AH8270" s="2" t="str">
        <f ca="1"/>
        <v>Good</v>
      </c>
    </row>
    <row r="8271" spans="2:34" x14ac:dyDescent="0.2">
      <c r="B8271" s="2">
        <f ca="1"/>
        <v>0.86340466067129928</v>
      </c>
      <c r="O8271" s="2">
        <f ca="1"/>
        <v>1.6650419341319731</v>
      </c>
      <c r="X8271" s="2">
        <f ca="1"/>
        <v>68.52684811820248</v>
      </c>
      <c r="AG8271" s="2">
        <f ca="1"/>
        <v>0.15240875949707244</v>
      </c>
      <c r="AH8271" s="2" t="str">
        <f ca="1"/>
        <v>OK</v>
      </c>
    </row>
    <row r="8272" spans="2:34" x14ac:dyDescent="0.2">
      <c r="B8272" s="2">
        <f ca="1"/>
        <v>0.78293555114428792</v>
      </c>
      <c r="O8272" s="2">
        <f ca="1"/>
        <v>1.7315284454686151</v>
      </c>
      <c r="X8272" s="2">
        <f ca="1"/>
        <v>37.377658842717935</v>
      </c>
      <c r="AG8272" s="2">
        <f ca="1"/>
        <v>0.95299402334603389</v>
      </c>
      <c r="AH8272" s="2" t="str">
        <f ca="1"/>
        <v>Bad</v>
      </c>
    </row>
    <row r="8273" spans="2:34" x14ac:dyDescent="0.2">
      <c r="B8273" s="2">
        <f ca="1"/>
        <v>0.72274181898474632</v>
      </c>
      <c r="O8273" s="2">
        <f ca="1"/>
        <v>0.99305057626507154</v>
      </c>
      <c r="X8273" s="2">
        <f ca="1"/>
        <v>42.891831164245446</v>
      </c>
      <c r="AG8273" s="2">
        <f ca="1"/>
        <v>0.60738061881170791</v>
      </c>
      <c r="AH8273" s="2" t="str">
        <f ca="1"/>
        <v>Bad</v>
      </c>
    </row>
    <row r="8274" spans="2:34" x14ac:dyDescent="0.2">
      <c r="B8274" s="2">
        <f ca="1"/>
        <v>0.21553050936275109</v>
      </c>
      <c r="O8274" s="2">
        <f ca="1"/>
        <v>8.6455368385083248E-2</v>
      </c>
      <c r="X8274" s="2">
        <f ca="1"/>
        <v>22.586435985073336</v>
      </c>
      <c r="AG8274" s="2">
        <f ca="1"/>
        <v>0.40902141146387949</v>
      </c>
      <c r="AH8274" s="2" t="str">
        <f ca="1"/>
        <v>Bad</v>
      </c>
    </row>
    <row r="8275" spans="2:34" x14ac:dyDescent="0.2">
      <c r="B8275" s="2">
        <f ca="1"/>
        <v>0.27398905003830709</v>
      </c>
      <c r="O8275" s="2">
        <f ca="1"/>
        <v>-1.1808372692612705</v>
      </c>
      <c r="X8275" s="2">
        <f ca="1"/>
        <v>46.05850251671221</v>
      </c>
      <c r="AG8275" s="2">
        <f ca="1"/>
        <v>0.12651174013961786</v>
      </c>
      <c r="AH8275" s="2" t="str">
        <f ca="1"/>
        <v>OK</v>
      </c>
    </row>
    <row r="8276" spans="2:34" x14ac:dyDescent="0.2">
      <c r="B8276" s="2">
        <f ca="1"/>
        <v>0.40551821859617609</v>
      </c>
      <c r="O8276" s="2">
        <f ca="1"/>
        <v>-0.84720799156362903</v>
      </c>
      <c r="X8276" s="2">
        <f ca="1"/>
        <v>96.653627871885732</v>
      </c>
      <c r="AG8276" s="2">
        <f ca="1"/>
        <v>0.77768364064389495</v>
      </c>
      <c r="AH8276" s="2" t="str">
        <f ca="1"/>
        <v>Bad</v>
      </c>
    </row>
    <row r="8277" spans="2:34" x14ac:dyDescent="0.2">
      <c r="B8277" s="2">
        <f ca="1"/>
        <v>0.78658598292512516</v>
      </c>
      <c r="O8277" s="2">
        <f ca="1"/>
        <v>-0.6832559156441903</v>
      </c>
      <c r="X8277" s="2">
        <f ca="1"/>
        <v>35.198505129315308</v>
      </c>
      <c r="AG8277" s="2">
        <f ca="1"/>
        <v>0.5513846951394783</v>
      </c>
      <c r="AH8277" s="2" t="str">
        <f ca="1"/>
        <v>Bad</v>
      </c>
    </row>
    <row r="8278" spans="2:34" x14ac:dyDescent="0.2">
      <c r="B8278" s="2">
        <f ca="1"/>
        <v>0.21482240727423951</v>
      </c>
      <c r="O8278" s="2">
        <f ca="1"/>
        <v>-1.2199170180799108</v>
      </c>
      <c r="X8278" s="2">
        <f ca="1"/>
        <v>43.179935335016104</v>
      </c>
      <c r="AG8278" s="2">
        <f ca="1"/>
        <v>0.50008723577984671</v>
      </c>
      <c r="AH8278" s="2" t="str">
        <f ca="1"/>
        <v>Bad</v>
      </c>
    </row>
    <row r="8279" spans="2:34" x14ac:dyDescent="0.2">
      <c r="B8279" s="2">
        <f ca="1"/>
        <v>0.76389617557555045</v>
      </c>
      <c r="O8279" s="2">
        <f ca="1"/>
        <v>7.5847298823701979E-3</v>
      </c>
      <c r="X8279" s="2">
        <f ca="1"/>
        <v>52.245982095038357</v>
      </c>
      <c r="AG8279" s="2">
        <f ca="1"/>
        <v>0.64545454152345494</v>
      </c>
      <c r="AH8279" s="2" t="str">
        <f ca="1"/>
        <v>Bad</v>
      </c>
    </row>
    <row r="8280" spans="2:34" x14ac:dyDescent="0.2">
      <c r="B8280" s="2">
        <f ca="1"/>
        <v>0.44633979642432964</v>
      </c>
      <c r="O8280" s="2">
        <f ca="1"/>
        <v>1.160554444764839</v>
      </c>
      <c r="X8280" s="2">
        <f ca="1"/>
        <v>55.314352449504113</v>
      </c>
      <c r="AG8280" s="2">
        <f ca="1"/>
        <v>0.75889588797410235</v>
      </c>
      <c r="AH8280" s="2" t="str">
        <f ca="1"/>
        <v>Bad</v>
      </c>
    </row>
    <row r="8281" spans="2:34" x14ac:dyDescent="0.2">
      <c r="B8281" s="2">
        <f ca="1"/>
        <v>0.68796908602871887</v>
      </c>
      <c r="O8281" s="2">
        <f ca="1"/>
        <v>0.88629171633763537</v>
      </c>
      <c r="X8281" s="2">
        <f ca="1"/>
        <v>78.644955434044292</v>
      </c>
      <c r="AG8281" s="2">
        <f ca="1"/>
        <v>0.13433221147814267</v>
      </c>
      <c r="AH8281" s="2" t="str">
        <f ca="1"/>
        <v>OK</v>
      </c>
    </row>
    <row r="8282" spans="2:34" x14ac:dyDescent="0.2">
      <c r="B8282" s="2">
        <f ca="1"/>
        <v>9.5972371621051877E-2</v>
      </c>
      <c r="O8282" s="2">
        <f ca="1"/>
        <v>0.12617910036778088</v>
      </c>
      <c r="X8282" s="2">
        <f ca="1"/>
        <v>44.509938349966596</v>
      </c>
      <c r="AG8282" s="2">
        <f ca="1"/>
        <v>0.92921028791472193</v>
      </c>
      <c r="AH8282" s="2" t="str">
        <f ca="1"/>
        <v>Bad</v>
      </c>
    </row>
    <row r="8283" spans="2:34" x14ac:dyDescent="0.2">
      <c r="B8283" s="2">
        <f ca="1"/>
        <v>0.52851938582858438</v>
      </c>
      <c r="O8283" s="2">
        <f ca="1"/>
        <v>0.9088600620847147</v>
      </c>
      <c r="X8283" s="2">
        <f ca="1"/>
        <v>35.825532660309989</v>
      </c>
      <c r="AG8283" s="2">
        <f ca="1"/>
        <v>0.33902122333858231</v>
      </c>
      <c r="AH8283" s="2" t="str">
        <f ca="1"/>
        <v>OK</v>
      </c>
    </row>
    <row r="8284" spans="2:34" x14ac:dyDescent="0.2">
      <c r="B8284" s="2">
        <f ca="1"/>
        <v>0.43143095226255879</v>
      </c>
      <c r="O8284" s="2">
        <f ca="1"/>
        <v>-1.7027520306757806</v>
      </c>
      <c r="X8284" s="2">
        <f ca="1"/>
        <v>27.649794840393792</v>
      </c>
      <c r="AG8284" s="2">
        <f ca="1"/>
        <v>0.78522643356085897</v>
      </c>
      <c r="AH8284" s="2" t="str">
        <f ca="1"/>
        <v>Bad</v>
      </c>
    </row>
    <row r="8285" spans="2:34" x14ac:dyDescent="0.2">
      <c r="B8285" s="2">
        <f ca="1"/>
        <v>0.4625856933196284</v>
      </c>
      <c r="O8285" s="2">
        <f ca="1"/>
        <v>-0.13152558083022245</v>
      </c>
      <c r="X8285" s="2">
        <f ca="1"/>
        <v>52.249135083454654</v>
      </c>
      <c r="AG8285" s="2">
        <f ca="1"/>
        <v>0.96208540098745154</v>
      </c>
      <c r="AH8285" s="2" t="str">
        <f ca="1"/>
        <v>Bad</v>
      </c>
    </row>
    <row r="8286" spans="2:34" x14ac:dyDescent="0.2">
      <c r="B8286" s="2">
        <f ca="1"/>
        <v>0.19157565945591082</v>
      </c>
      <c r="O8286" s="2">
        <f ca="1"/>
        <v>-0.19896880640439699</v>
      </c>
      <c r="X8286" s="2">
        <f ca="1"/>
        <v>80.673778665933384</v>
      </c>
      <c r="AG8286" s="2">
        <f ca="1"/>
        <v>0.790541793005892</v>
      </c>
      <c r="AH8286" s="2" t="str">
        <f ca="1"/>
        <v>Bad</v>
      </c>
    </row>
    <row r="8287" spans="2:34" x14ac:dyDescent="0.2">
      <c r="B8287" s="2">
        <f ca="1"/>
        <v>0.99426010542129006</v>
      </c>
      <c r="O8287" s="2">
        <f ca="1"/>
        <v>-1.2349845806583872</v>
      </c>
      <c r="X8287" s="2">
        <f ca="1"/>
        <v>16.402332638919134</v>
      </c>
      <c r="AG8287" s="2">
        <f ca="1"/>
        <v>0.7069824919006451</v>
      </c>
      <c r="AH8287" s="2" t="str">
        <f ca="1"/>
        <v>Bad</v>
      </c>
    </row>
    <row r="8288" spans="2:34" x14ac:dyDescent="0.2">
      <c r="B8288" s="2">
        <f ca="1"/>
        <v>0.18162694709158211</v>
      </c>
      <c r="O8288" s="2">
        <f ca="1"/>
        <v>0.31792216303341003</v>
      </c>
      <c r="X8288" s="2">
        <f ca="1"/>
        <v>33.953882117699209</v>
      </c>
      <c r="AG8288" s="2">
        <f ca="1"/>
        <v>0.70268861396142523</v>
      </c>
      <c r="AH8288" s="2" t="str">
        <f ca="1"/>
        <v>Bad</v>
      </c>
    </row>
    <row r="8289" spans="2:34" x14ac:dyDescent="0.2">
      <c r="B8289" s="2">
        <f ca="1"/>
        <v>0.46469839329991958</v>
      </c>
      <c r="O8289" s="2">
        <f ca="1"/>
        <v>0.15529807846615865</v>
      </c>
      <c r="X8289" s="2">
        <f ca="1"/>
        <v>59.836208835391062</v>
      </c>
      <c r="AG8289" s="2">
        <f ca="1"/>
        <v>0.43212566200447666</v>
      </c>
      <c r="AH8289" s="2" t="str">
        <f ca="1"/>
        <v>Bad</v>
      </c>
    </row>
    <row r="8290" spans="2:34" x14ac:dyDescent="0.2">
      <c r="B8290" s="2">
        <f ca="1"/>
        <v>0.90890341904070282</v>
      </c>
      <c r="O8290" s="2">
        <f ca="1"/>
        <v>1.6918010320097263</v>
      </c>
      <c r="X8290" s="2">
        <f ca="1"/>
        <v>41.858558755977562</v>
      </c>
      <c r="AG8290" s="2">
        <f ca="1"/>
        <v>0.27946904848696663</v>
      </c>
      <c r="AH8290" s="2" t="str">
        <f ca="1"/>
        <v>OK</v>
      </c>
    </row>
    <row r="8291" spans="2:34" x14ac:dyDescent="0.2">
      <c r="B8291" s="2">
        <f ca="1"/>
        <v>4.9653502688788098E-2</v>
      </c>
      <c r="O8291" s="2">
        <f ca="1"/>
        <v>0.98280243967607317</v>
      </c>
      <c r="X8291" s="2">
        <f ca="1"/>
        <v>45.2719241063052</v>
      </c>
      <c r="AG8291" s="2">
        <f ca="1"/>
        <v>0.80121601867781611</v>
      </c>
      <c r="AH8291" s="2" t="str">
        <f ca="1"/>
        <v>Bad</v>
      </c>
    </row>
    <row r="8292" spans="2:34" x14ac:dyDescent="0.2">
      <c r="B8292" s="2">
        <f ca="1"/>
        <v>0.95205650371747996</v>
      </c>
      <c r="O8292" s="2">
        <f ca="1"/>
        <v>0.75329682569769085</v>
      </c>
      <c r="X8292" s="2">
        <f ca="1"/>
        <v>38.52739394523838</v>
      </c>
      <c r="AG8292" s="2">
        <f ca="1"/>
        <v>0.87115249903178338</v>
      </c>
      <c r="AH8292" s="2" t="str">
        <f ca="1"/>
        <v>Bad</v>
      </c>
    </row>
    <row r="8293" spans="2:34" x14ac:dyDescent="0.2">
      <c r="B8293" s="2">
        <f ca="1"/>
        <v>0.43351829272538045</v>
      </c>
      <c r="O8293" s="2">
        <f ca="1"/>
        <v>-1.2496421669849518</v>
      </c>
      <c r="X8293" s="2">
        <f ca="1"/>
        <v>75.584457747002361</v>
      </c>
      <c r="AG8293" s="2">
        <f ca="1"/>
        <v>0.31034303098322047</v>
      </c>
      <c r="AH8293" s="2" t="str">
        <f ca="1"/>
        <v>OK</v>
      </c>
    </row>
    <row r="8294" spans="2:34" x14ac:dyDescent="0.2">
      <c r="B8294" s="2">
        <f ca="1"/>
        <v>0.87912171849714071</v>
      </c>
      <c r="O8294" s="2">
        <f ca="1"/>
        <v>-0.39889599408346832</v>
      </c>
      <c r="X8294" s="2">
        <f ca="1"/>
        <v>32.638290665087567</v>
      </c>
      <c r="AG8294" s="2">
        <f ca="1"/>
        <v>0.74356552402228115</v>
      </c>
      <c r="AH8294" s="2" t="str">
        <f ca="1"/>
        <v>Bad</v>
      </c>
    </row>
    <row r="8295" spans="2:34" x14ac:dyDescent="0.2">
      <c r="B8295" s="2">
        <f ca="1"/>
        <v>0.6132383008271558</v>
      </c>
      <c r="O8295" s="2">
        <f ca="1"/>
        <v>-0.45997998684144548</v>
      </c>
      <c r="X8295" s="2">
        <f ca="1"/>
        <v>21.755200478472364</v>
      </c>
      <c r="AG8295" s="2">
        <f ca="1"/>
        <v>1.5538158209860597E-2</v>
      </c>
      <c r="AH8295" s="2" t="str">
        <f ca="1"/>
        <v>Good</v>
      </c>
    </row>
    <row r="8296" spans="2:34" x14ac:dyDescent="0.2">
      <c r="B8296" s="2">
        <f ca="1"/>
        <v>0.32236355230127156</v>
      </c>
      <c r="O8296" s="2">
        <f ca="1"/>
        <v>-0.55396989250011797</v>
      </c>
      <c r="X8296" s="2">
        <f ca="1"/>
        <v>32.812231134442349</v>
      </c>
      <c r="AG8296" s="2">
        <f ca="1"/>
        <v>0.18164358735936381</v>
      </c>
      <c r="AH8296" s="2" t="str">
        <f ca="1"/>
        <v>OK</v>
      </c>
    </row>
    <row r="8297" spans="2:34" x14ac:dyDescent="0.2">
      <c r="B8297" s="2">
        <f ca="1"/>
        <v>0.46851348493468903</v>
      </c>
      <c r="O8297" s="2">
        <f ca="1"/>
        <v>4.7668788874842454E-3</v>
      </c>
      <c r="X8297" s="2">
        <f ca="1"/>
        <v>35.229459168412653</v>
      </c>
      <c r="AG8297" s="2">
        <f ca="1"/>
        <v>0.23736228397396641</v>
      </c>
      <c r="AH8297" s="2" t="str">
        <f ca="1"/>
        <v>OK</v>
      </c>
    </row>
    <row r="8298" spans="2:34" x14ac:dyDescent="0.2">
      <c r="B8298" s="2">
        <f ca="1"/>
        <v>0.66346081020598335</v>
      </c>
      <c r="O8298" s="2">
        <f ca="1"/>
        <v>-1.4723263592008964</v>
      </c>
      <c r="X8298" s="2">
        <f ca="1"/>
        <v>62.094224919703805</v>
      </c>
      <c r="AG8298" s="2">
        <f ca="1"/>
        <v>0.31258375575010744</v>
      </c>
      <c r="AH8298" s="2" t="str">
        <f ca="1"/>
        <v>OK</v>
      </c>
    </row>
    <row r="8299" spans="2:34" x14ac:dyDescent="0.2">
      <c r="B8299" s="2">
        <f ca="1"/>
        <v>0.90807494646677589</v>
      </c>
      <c r="O8299" s="2">
        <f ca="1"/>
        <v>1.2824854942031363E-2</v>
      </c>
      <c r="X8299" s="2">
        <f ca="1"/>
        <v>52.212952080692048</v>
      </c>
      <c r="AG8299" s="2">
        <f ca="1"/>
        <v>0.87516189793442312</v>
      </c>
      <c r="AH8299" s="2" t="str">
        <f ca="1"/>
        <v>Bad</v>
      </c>
    </row>
    <row r="8300" spans="2:34" x14ac:dyDescent="0.2">
      <c r="B8300" s="2">
        <f ca="1"/>
        <v>0.68843338809850652</v>
      </c>
      <c r="O8300" s="2">
        <f ca="1"/>
        <v>-0.12433219291877362</v>
      </c>
      <c r="X8300" s="2">
        <f ca="1"/>
        <v>64.82023230804289</v>
      </c>
      <c r="AG8300" s="2">
        <f ca="1"/>
        <v>0.79476297260826612</v>
      </c>
      <c r="AH8300" s="2" t="str">
        <f ca="1"/>
        <v>Bad</v>
      </c>
    </row>
    <row r="8301" spans="2:34" x14ac:dyDescent="0.2">
      <c r="B8301" s="2">
        <f ca="1"/>
        <v>4.4754855990053244E-2</v>
      </c>
      <c r="O8301" s="2">
        <f ca="1"/>
        <v>0.35917850604782525</v>
      </c>
      <c r="X8301" s="2">
        <f ca="1"/>
        <v>35.475102496102167</v>
      </c>
      <c r="AG8301" s="2">
        <f ca="1"/>
        <v>2.4307213828271168E-2</v>
      </c>
      <c r="AH8301" s="2" t="str">
        <f ca="1"/>
        <v>Good</v>
      </c>
    </row>
    <row r="8302" spans="2:34" x14ac:dyDescent="0.2">
      <c r="B8302" s="2">
        <f ca="1"/>
        <v>0.49621960463938453</v>
      </c>
      <c r="O8302" s="2">
        <f ca="1"/>
        <v>-0.77265282816481529</v>
      </c>
      <c r="X8302" s="2">
        <f ca="1"/>
        <v>48.721117425740729</v>
      </c>
      <c r="AG8302" s="2">
        <f ca="1"/>
        <v>0.87197061912852547</v>
      </c>
      <c r="AH8302" s="2" t="str">
        <f ca="1"/>
        <v>Bad</v>
      </c>
    </row>
    <row r="8303" spans="2:34" x14ac:dyDescent="0.2">
      <c r="B8303" s="2">
        <f ca="1"/>
        <v>0.22465605117296317</v>
      </c>
      <c r="O8303" s="2">
        <f ca="1"/>
        <v>-1.3950830251140749</v>
      </c>
      <c r="X8303" s="2">
        <f ca="1"/>
        <v>58.650965697344077</v>
      </c>
      <c r="AG8303" s="2">
        <f ca="1"/>
        <v>0.21386131359137273</v>
      </c>
      <c r="AH8303" s="2" t="str">
        <f ca="1"/>
        <v>OK</v>
      </c>
    </row>
    <row r="8304" spans="2:34" x14ac:dyDescent="0.2">
      <c r="B8304" s="2">
        <f ca="1"/>
        <v>9.032254885596247E-2</v>
      </c>
      <c r="O8304" s="2">
        <f ca="1"/>
        <v>1.928688512244805</v>
      </c>
      <c r="X8304" s="2">
        <f ca="1"/>
        <v>58.053623551365206</v>
      </c>
      <c r="AG8304" s="2">
        <f ca="1"/>
        <v>0.62029604875825828</v>
      </c>
      <c r="AH8304" s="2" t="str">
        <f ca="1"/>
        <v>Bad</v>
      </c>
    </row>
    <row r="8305" spans="2:34" x14ac:dyDescent="0.2">
      <c r="B8305" s="2">
        <f ca="1"/>
        <v>0.67410078099225568</v>
      </c>
      <c r="O8305" s="2">
        <f ca="1"/>
        <v>0.59194660661729692</v>
      </c>
      <c r="X8305" s="2">
        <f ca="1"/>
        <v>50.133295733922893</v>
      </c>
      <c r="AG8305" s="2">
        <f ca="1"/>
        <v>0.70338735101710159</v>
      </c>
      <c r="AH8305" s="2" t="str">
        <f ca="1"/>
        <v>Bad</v>
      </c>
    </row>
    <row r="8306" spans="2:34" x14ac:dyDescent="0.2">
      <c r="B8306" s="2">
        <f ca="1"/>
        <v>0.67886208535401682</v>
      </c>
      <c r="O8306" s="2">
        <f ca="1"/>
        <v>-1.4569662641755317</v>
      </c>
      <c r="X8306" s="2">
        <f ca="1"/>
        <v>49.041115409505174</v>
      </c>
      <c r="AG8306" s="2">
        <f ca="1"/>
        <v>0.67360575759008112</v>
      </c>
      <c r="AH8306" s="2" t="str">
        <f ca="1"/>
        <v>Bad</v>
      </c>
    </row>
    <row r="8307" spans="2:34" x14ac:dyDescent="0.2">
      <c r="B8307" s="2">
        <f ca="1"/>
        <v>0.23909234167371185</v>
      </c>
      <c r="O8307" s="2">
        <f ca="1"/>
        <v>2.1162501535245108</v>
      </c>
      <c r="X8307" s="2">
        <f ca="1"/>
        <v>50.977670427199072</v>
      </c>
      <c r="AG8307" s="2">
        <f ca="1"/>
        <v>0.48019938682637586</v>
      </c>
      <c r="AH8307" s="2" t="str">
        <f ca="1"/>
        <v>Bad</v>
      </c>
    </row>
    <row r="8308" spans="2:34" x14ac:dyDescent="0.2">
      <c r="B8308" s="2">
        <f ca="1"/>
        <v>0.15864702036545708</v>
      </c>
      <c r="O8308" s="2">
        <f ca="1"/>
        <v>-0.87469935560720158</v>
      </c>
      <c r="X8308" s="2">
        <f ca="1"/>
        <v>55.969602285527841</v>
      </c>
      <c r="AG8308" s="2">
        <f ca="1"/>
        <v>8.5956957139978307E-2</v>
      </c>
      <c r="AH8308" s="2" t="str">
        <f ca="1"/>
        <v>OK</v>
      </c>
    </row>
    <row r="8309" spans="2:34" x14ac:dyDescent="0.2">
      <c r="B8309" s="2">
        <f ca="1"/>
        <v>0.65850451549367506</v>
      </c>
      <c r="O8309" s="2">
        <f ca="1"/>
        <v>-0.52962694710505398</v>
      </c>
      <c r="X8309" s="2">
        <f ca="1"/>
        <v>65.660245359391908</v>
      </c>
      <c r="AG8309" s="2">
        <f ca="1"/>
        <v>0.56294024928763919</v>
      </c>
      <c r="AH8309" s="2" t="str">
        <f ca="1"/>
        <v>Bad</v>
      </c>
    </row>
    <row r="8310" spans="2:34" x14ac:dyDescent="0.2">
      <c r="B8310" s="2">
        <f ca="1"/>
        <v>0.49070291534411092</v>
      </c>
      <c r="O8310" s="2">
        <f ca="1"/>
        <v>-1.8815253751456569</v>
      </c>
      <c r="X8310" s="2">
        <f ca="1"/>
        <v>71.941841936645901</v>
      </c>
      <c r="AG8310" s="2">
        <f ca="1"/>
        <v>0.87178523703653199</v>
      </c>
      <c r="AH8310" s="2" t="str">
        <f ca="1"/>
        <v>Bad</v>
      </c>
    </row>
    <row r="8311" spans="2:34" x14ac:dyDescent="0.2">
      <c r="B8311" s="2">
        <f ca="1"/>
        <v>0.23701865517620546</v>
      </c>
      <c r="O8311" s="2">
        <f ca="1"/>
        <v>0.82742250346962221</v>
      </c>
      <c r="X8311" s="2">
        <f ca="1"/>
        <v>78.970454325666509</v>
      </c>
      <c r="AG8311" s="2">
        <f ca="1"/>
        <v>0.11655458019442677</v>
      </c>
      <c r="AH8311" s="2" t="str">
        <f ca="1"/>
        <v>OK</v>
      </c>
    </row>
    <row r="8312" spans="2:34" x14ac:dyDescent="0.2">
      <c r="B8312" s="2">
        <f ca="1"/>
        <v>0.51859746948290919</v>
      </c>
      <c r="O8312" s="2">
        <f ca="1"/>
        <v>-0.65654865771981952</v>
      </c>
      <c r="X8312" s="2">
        <f ca="1"/>
        <v>45.728254856963304</v>
      </c>
      <c r="AG8312" s="2">
        <f ca="1"/>
        <v>0.72709576008643029</v>
      </c>
      <c r="AH8312" s="2" t="str">
        <f ca="1"/>
        <v>Bad</v>
      </c>
    </row>
    <row r="8313" spans="2:34" x14ac:dyDescent="0.2">
      <c r="B8313" s="2">
        <f ca="1"/>
        <v>0.49947408405816884</v>
      </c>
      <c r="O8313" s="2">
        <f ca="1"/>
        <v>-0.51033180566399261</v>
      </c>
      <c r="X8313" s="2">
        <f ca="1"/>
        <v>33.455408721088041</v>
      </c>
      <c r="AG8313" s="2">
        <f ca="1"/>
        <v>0.2394399310855162</v>
      </c>
      <c r="AH8313" s="2" t="str">
        <f ca="1"/>
        <v>OK</v>
      </c>
    </row>
    <row r="8314" spans="2:34" x14ac:dyDescent="0.2">
      <c r="B8314" s="2">
        <f ca="1"/>
        <v>0.95859117293064422</v>
      </c>
      <c r="O8314" s="2">
        <f ca="1"/>
        <v>1.3525402936595743</v>
      </c>
      <c r="X8314" s="2">
        <f ca="1"/>
        <v>44.684468193997986</v>
      </c>
      <c r="AG8314" s="2">
        <f ca="1"/>
        <v>0.54744042255730019</v>
      </c>
      <c r="AH8314" s="2" t="str">
        <f ca="1"/>
        <v>Bad</v>
      </c>
    </row>
    <row r="8315" spans="2:34" x14ac:dyDescent="0.2">
      <c r="B8315" s="2">
        <f ca="1"/>
        <v>0.25973332425442197</v>
      </c>
      <c r="O8315" s="2">
        <f ca="1"/>
        <v>-0.36589716253662991</v>
      </c>
      <c r="X8315" s="2">
        <f ca="1"/>
        <v>47.553749671231067</v>
      </c>
      <c r="AG8315" s="2">
        <f ca="1"/>
        <v>0.61843298588060991</v>
      </c>
      <c r="AH8315" s="2" t="str">
        <f ca="1"/>
        <v>Bad</v>
      </c>
    </row>
    <row r="8316" spans="2:34" x14ac:dyDescent="0.2">
      <c r="B8316" s="2">
        <f ca="1"/>
        <v>0.26839524182982499</v>
      </c>
      <c r="O8316" s="2">
        <f ca="1"/>
        <v>-0.11895125586034611</v>
      </c>
      <c r="X8316" s="2">
        <f ca="1"/>
        <v>65.616463962486847</v>
      </c>
      <c r="AG8316" s="2">
        <f ca="1"/>
        <v>0.46802825208429621</v>
      </c>
      <c r="AH8316" s="2" t="str">
        <f ca="1"/>
        <v>Bad</v>
      </c>
    </row>
    <row r="8317" spans="2:34" x14ac:dyDescent="0.2">
      <c r="B8317" s="2">
        <f ca="1"/>
        <v>0.53302172247122992</v>
      </c>
      <c r="O8317" s="2">
        <f ca="1"/>
        <v>0.26895646885257041</v>
      </c>
      <c r="X8317" s="2">
        <f ca="1"/>
        <v>81.083282377365293</v>
      </c>
      <c r="AG8317" s="2">
        <f ca="1"/>
        <v>0.59676513539909259</v>
      </c>
      <c r="AH8317" s="2" t="str">
        <f ca="1"/>
        <v>Bad</v>
      </c>
    </row>
    <row r="8318" spans="2:34" x14ac:dyDescent="0.2">
      <c r="B8318" s="2">
        <f ca="1"/>
        <v>0.83723826755116981</v>
      </c>
      <c r="O8318" s="2">
        <f ca="1"/>
        <v>-0.43221265208792575</v>
      </c>
      <c r="X8318" s="2">
        <f ca="1"/>
        <v>71.77256345998731</v>
      </c>
      <c r="AG8318" s="2">
        <f ca="1"/>
        <v>7.0449891096926676E-2</v>
      </c>
      <c r="AH8318" s="2" t="str">
        <f ca="1"/>
        <v>OK</v>
      </c>
    </row>
    <row r="8319" spans="2:34" x14ac:dyDescent="0.2">
      <c r="B8319" s="2">
        <f ca="1"/>
        <v>0.12935474444132899</v>
      </c>
      <c r="O8319" s="2">
        <f ca="1"/>
        <v>-1.2559140455359215</v>
      </c>
      <c r="X8319" s="2">
        <f ca="1"/>
        <v>47.065742302466127</v>
      </c>
      <c r="AG8319" s="2">
        <f ca="1"/>
        <v>0.21428085950443032</v>
      </c>
      <c r="AH8319" s="2" t="str">
        <f ca="1"/>
        <v>OK</v>
      </c>
    </row>
    <row r="8320" spans="2:34" x14ac:dyDescent="0.2">
      <c r="B8320" s="2">
        <f ca="1"/>
        <v>0.68057413712735926</v>
      </c>
      <c r="O8320" s="2">
        <f ca="1"/>
        <v>0.19450643942387832</v>
      </c>
      <c r="X8320" s="2">
        <f ca="1"/>
        <v>30.914195147005721</v>
      </c>
      <c r="AG8320" s="2">
        <f ca="1"/>
        <v>0.81338740802537868</v>
      </c>
      <c r="AH8320" s="2" t="str">
        <f ca="1"/>
        <v>Bad</v>
      </c>
    </row>
    <row r="8321" spans="2:34" x14ac:dyDescent="0.2">
      <c r="B8321" s="2">
        <f ca="1"/>
        <v>0.44530852884465566</v>
      </c>
      <c r="O8321" s="2">
        <f ca="1"/>
        <v>1.4410296382528336</v>
      </c>
      <c r="X8321" s="2">
        <f ca="1"/>
        <v>44.087901457225115</v>
      </c>
      <c r="AG8321" s="2">
        <f ca="1"/>
        <v>0.53410281043269858</v>
      </c>
      <c r="AH8321" s="2" t="str">
        <f ca="1"/>
        <v>Bad</v>
      </c>
    </row>
    <row r="8322" spans="2:34" x14ac:dyDescent="0.2">
      <c r="B8322" s="2">
        <f ca="1"/>
        <v>0.43565081406516604</v>
      </c>
      <c r="O8322" s="2">
        <f ca="1"/>
        <v>0.20130637757533457</v>
      </c>
      <c r="X8322" s="2">
        <f ca="1"/>
        <v>62.095715145236127</v>
      </c>
      <c r="AG8322" s="2">
        <f ca="1"/>
        <v>0.37493615365498334</v>
      </c>
      <c r="AH8322" s="2" t="str">
        <f ca="1"/>
        <v>OK</v>
      </c>
    </row>
    <row r="8323" spans="2:34" x14ac:dyDescent="0.2">
      <c r="B8323" s="2">
        <f ca="1"/>
        <v>0.78397765155474208</v>
      </c>
      <c r="O8323" s="2">
        <f ca="1"/>
        <v>-2.8941172921140081</v>
      </c>
      <c r="X8323" s="2">
        <f ca="1"/>
        <v>78.361789700058935</v>
      </c>
      <c r="AG8323" s="2">
        <f ca="1"/>
        <v>0.35210869869631822</v>
      </c>
      <c r="AH8323" s="2" t="str">
        <f ca="1"/>
        <v>OK</v>
      </c>
    </row>
    <row r="8324" spans="2:34" x14ac:dyDescent="0.2">
      <c r="B8324" s="2">
        <f ca="1"/>
        <v>0.11768864250989197</v>
      </c>
      <c r="O8324" s="2">
        <f ca="1"/>
        <v>-0.3176145592863891</v>
      </c>
      <c r="X8324" s="2">
        <f ca="1"/>
        <v>40.86871746169863</v>
      </c>
      <c r="AG8324" s="2">
        <f ca="1"/>
        <v>0.84053880803130809</v>
      </c>
      <c r="AH8324" s="2" t="str">
        <f ca="1"/>
        <v>Bad</v>
      </c>
    </row>
    <row r="8325" spans="2:34" x14ac:dyDescent="0.2">
      <c r="B8325" s="2">
        <f ca="1"/>
        <v>0.85003111134167186</v>
      </c>
      <c r="O8325" s="2">
        <f ca="1"/>
        <v>-0.20141004360805467</v>
      </c>
      <c r="X8325" s="2">
        <f ca="1"/>
        <v>43.506904280373433</v>
      </c>
      <c r="AG8325" s="2">
        <f ca="1"/>
        <v>0.10681260529146241</v>
      </c>
      <c r="AH8325" s="2" t="str">
        <f ca="1"/>
        <v>OK</v>
      </c>
    </row>
    <row r="8326" spans="2:34" x14ac:dyDescent="0.2">
      <c r="B8326" s="2">
        <f ca="1"/>
        <v>9.8150624387813856E-2</v>
      </c>
      <c r="O8326" s="2">
        <f ca="1"/>
        <v>-1.3069683711461935</v>
      </c>
      <c r="X8326" s="2">
        <f ca="1"/>
        <v>45.312697334926526</v>
      </c>
      <c r="AG8326" s="2">
        <f ca="1"/>
        <v>0.62497432632522254</v>
      </c>
      <c r="AH8326" s="2" t="str">
        <f ca="1"/>
        <v>Bad</v>
      </c>
    </row>
    <row r="8327" spans="2:34" x14ac:dyDescent="0.2">
      <c r="B8327" s="2">
        <f ca="1"/>
        <v>0.39606397392137116</v>
      </c>
      <c r="O8327" s="2">
        <f ca="1"/>
        <v>1.0339261199501804</v>
      </c>
      <c r="X8327" s="2">
        <f ca="1"/>
        <v>84.564077554448431</v>
      </c>
      <c r="AG8327" s="2">
        <f ca="1"/>
        <v>0.65271165107391438</v>
      </c>
      <c r="AH8327" s="2" t="str">
        <f ca="1"/>
        <v>Bad</v>
      </c>
    </row>
    <row r="8328" spans="2:34" x14ac:dyDescent="0.2">
      <c r="B8328" s="2">
        <f ca="1"/>
        <v>0.47755841512645225</v>
      </c>
      <c r="O8328" s="2">
        <f ca="1"/>
        <v>0.55574957954365711</v>
      </c>
      <c r="X8328" s="2">
        <f ca="1"/>
        <v>65.174583317826603</v>
      </c>
      <c r="AG8328" s="2">
        <f ca="1"/>
        <v>0.10038110310597292</v>
      </c>
      <c r="AH8328" s="2" t="str">
        <f ca="1"/>
        <v>OK</v>
      </c>
    </row>
    <row r="8329" spans="2:34" x14ac:dyDescent="0.2">
      <c r="B8329" s="2">
        <f ca="1"/>
        <v>0.29516379092448952</v>
      </c>
      <c r="O8329" s="2">
        <f ca="1"/>
        <v>-1.6640355525431096</v>
      </c>
      <c r="X8329" s="2">
        <f ca="1"/>
        <v>28.711153988535454</v>
      </c>
      <c r="AG8329" s="2">
        <f ca="1"/>
        <v>0.31631726242906533</v>
      </c>
      <c r="AH8329" s="2" t="str">
        <f ca="1"/>
        <v>OK</v>
      </c>
    </row>
    <row r="8330" spans="2:34" x14ac:dyDescent="0.2">
      <c r="B8330" s="2">
        <f ca="1"/>
        <v>0.85503826063716293</v>
      </c>
      <c r="O8330" s="2">
        <f ca="1"/>
        <v>-0.88435569824229154</v>
      </c>
      <c r="X8330" s="2">
        <f ca="1"/>
        <v>72.181462083500875</v>
      </c>
      <c r="AG8330" s="2">
        <f ca="1"/>
        <v>1.6168509287605159E-2</v>
      </c>
      <c r="AH8330" s="2" t="str">
        <f ca="1"/>
        <v>Good</v>
      </c>
    </row>
    <row r="8331" spans="2:34" x14ac:dyDescent="0.2">
      <c r="B8331" s="2">
        <f ca="1"/>
        <v>0.62602982624207981</v>
      </c>
      <c r="O8331" s="2">
        <f ca="1"/>
        <v>-1.1052041798314653</v>
      </c>
      <c r="X8331" s="2">
        <f ca="1"/>
        <v>34.679529797291664</v>
      </c>
      <c r="AG8331" s="2">
        <f ca="1"/>
        <v>0.25580388312286395</v>
      </c>
      <c r="AH8331" s="2" t="str">
        <f ca="1"/>
        <v>OK</v>
      </c>
    </row>
    <row r="8332" spans="2:34" x14ac:dyDescent="0.2">
      <c r="B8332" s="2">
        <f ca="1"/>
        <v>0.77036600301450653</v>
      </c>
      <c r="O8332" s="2">
        <f ca="1"/>
        <v>1.4628220576379118</v>
      </c>
      <c r="X8332" s="2">
        <f ca="1"/>
        <v>22.788199311995431</v>
      </c>
      <c r="AG8332" s="2">
        <f ca="1"/>
        <v>0.87811923068917519</v>
      </c>
      <c r="AH8332" s="2" t="str">
        <f ca="1"/>
        <v>Bad</v>
      </c>
    </row>
    <row r="8333" spans="2:34" x14ac:dyDescent="0.2">
      <c r="B8333" s="2">
        <f ca="1"/>
        <v>0.64075087168513556</v>
      </c>
      <c r="O8333" s="2">
        <f ca="1"/>
        <v>-0.11939007763612285</v>
      </c>
      <c r="X8333" s="2">
        <f ca="1"/>
        <v>53.057341591969248</v>
      </c>
      <c r="AG8333" s="2">
        <f ca="1"/>
        <v>0.64004064778125525</v>
      </c>
      <c r="AH8333" s="2" t="str">
        <f ca="1"/>
        <v>Bad</v>
      </c>
    </row>
    <row r="8334" spans="2:34" x14ac:dyDescent="0.2">
      <c r="B8334" s="2">
        <f ca="1"/>
        <v>0.10781256468315026</v>
      </c>
      <c r="O8334" s="2">
        <f ca="1"/>
        <v>-0.51830194975544053</v>
      </c>
      <c r="X8334" s="2">
        <f ca="1"/>
        <v>62.882034575359114</v>
      </c>
      <c r="AG8334" s="2">
        <f ca="1"/>
        <v>0.13998800066862405</v>
      </c>
      <c r="AH8334" s="2" t="str">
        <f ca="1"/>
        <v>OK</v>
      </c>
    </row>
    <row r="8335" spans="2:34" x14ac:dyDescent="0.2">
      <c r="B8335" s="2">
        <f ca="1"/>
        <v>0.3125499709145998</v>
      </c>
      <c r="O8335" s="2">
        <f ca="1"/>
        <v>-0.4319592180281604</v>
      </c>
      <c r="X8335" s="2">
        <f ca="1"/>
        <v>50.578132189889629</v>
      </c>
      <c r="AG8335" s="2">
        <f ca="1"/>
        <v>0.43370869460389572</v>
      </c>
      <c r="AH8335" s="2" t="str">
        <f ca="1"/>
        <v>Bad</v>
      </c>
    </row>
    <row r="8336" spans="2:34" x14ac:dyDescent="0.2">
      <c r="B8336" s="2">
        <f ca="1"/>
        <v>3.431374411802901E-2</v>
      </c>
      <c r="O8336" s="2">
        <f ca="1"/>
        <v>-0.44581979228032104</v>
      </c>
      <c r="X8336" s="2">
        <f ca="1"/>
        <v>40.617152071849702</v>
      </c>
      <c r="AG8336" s="2">
        <f ca="1"/>
        <v>0.59897920589642073</v>
      </c>
      <c r="AH8336" s="2" t="str">
        <f ca="1"/>
        <v>Bad</v>
      </c>
    </row>
    <row r="8337" spans="2:34" x14ac:dyDescent="0.2">
      <c r="B8337" s="2">
        <f ca="1"/>
        <v>0.78709407256880359</v>
      </c>
      <c r="O8337" s="2">
        <f ca="1"/>
        <v>0.1982139771698519</v>
      </c>
      <c r="X8337" s="2">
        <f ca="1"/>
        <v>51.678753124677222</v>
      </c>
      <c r="AG8337" s="2">
        <f ca="1"/>
        <v>0.37202631678936249</v>
      </c>
      <c r="AH8337" s="2" t="str">
        <f ca="1"/>
        <v>OK</v>
      </c>
    </row>
    <row r="8338" spans="2:34" x14ac:dyDescent="0.2">
      <c r="B8338" s="2">
        <f ca="1"/>
        <v>0.88215916782243076</v>
      </c>
      <c r="O8338" s="2">
        <f ca="1"/>
        <v>-1.7273809629223662</v>
      </c>
      <c r="X8338" s="2">
        <f ca="1"/>
        <v>69.304449271380022</v>
      </c>
      <c r="AG8338" s="2">
        <f ca="1"/>
        <v>0.83229139069585911</v>
      </c>
      <c r="AH8338" s="2" t="str">
        <f ca="1"/>
        <v>Bad</v>
      </c>
    </row>
    <row r="8339" spans="2:34" x14ac:dyDescent="0.2">
      <c r="B8339" s="2">
        <f ca="1"/>
        <v>0.70841874049160936</v>
      </c>
      <c r="O8339" s="2">
        <f ca="1"/>
        <v>-0.36601042714821902</v>
      </c>
      <c r="X8339" s="2">
        <f ca="1"/>
        <v>30.958931222602097</v>
      </c>
      <c r="AG8339" s="2">
        <f ca="1"/>
        <v>0.8902367897301251</v>
      </c>
      <c r="AH8339" s="2" t="str">
        <f ca="1"/>
        <v>Bad</v>
      </c>
    </row>
    <row r="8340" spans="2:34" x14ac:dyDescent="0.2">
      <c r="B8340" s="2">
        <f ca="1"/>
        <v>0.53888176309466251</v>
      </c>
      <c r="O8340" s="2">
        <f ca="1"/>
        <v>0.51635743080532037</v>
      </c>
      <c r="X8340" s="2">
        <f ca="1"/>
        <v>34.672028817408879</v>
      </c>
      <c r="AG8340" s="2">
        <f ca="1"/>
        <v>0.11136909609912515</v>
      </c>
      <c r="AH8340" s="2" t="str">
        <f ca="1"/>
        <v>OK</v>
      </c>
    </row>
    <row r="8341" spans="2:34" x14ac:dyDescent="0.2">
      <c r="B8341" s="2">
        <f ca="1"/>
        <v>0.99279076323037541</v>
      </c>
      <c r="O8341" s="2">
        <f ca="1"/>
        <v>-0.19315568525529792</v>
      </c>
      <c r="X8341" s="2">
        <f ca="1"/>
        <v>53.034535942558072</v>
      </c>
      <c r="AG8341" s="2">
        <f ca="1"/>
        <v>0.13497826050891693</v>
      </c>
      <c r="AH8341" s="2" t="str">
        <f ca="1"/>
        <v>OK</v>
      </c>
    </row>
    <row r="8342" spans="2:34" x14ac:dyDescent="0.2">
      <c r="B8342" s="2">
        <f ca="1"/>
        <v>0.26545873805548448</v>
      </c>
      <c r="O8342" s="2">
        <f ca="1"/>
        <v>0.23044678683840802</v>
      </c>
      <c r="X8342" s="2">
        <f ca="1"/>
        <v>33.858104537969147</v>
      </c>
      <c r="AG8342" s="2">
        <f ca="1"/>
        <v>6.5319799929111078E-3</v>
      </c>
      <c r="AH8342" s="2" t="str">
        <f ca="1"/>
        <v>Good</v>
      </c>
    </row>
    <row r="8343" spans="2:34" x14ac:dyDescent="0.2">
      <c r="B8343" s="2">
        <f ca="1"/>
        <v>0.14723461165919893</v>
      </c>
      <c r="O8343" s="2">
        <f ca="1"/>
        <v>-1.5855010087505361</v>
      </c>
      <c r="X8343" s="2">
        <f ca="1"/>
        <v>49.850195998470639</v>
      </c>
      <c r="AG8343" s="2">
        <f ca="1"/>
        <v>0.36593754840090864</v>
      </c>
      <c r="AH8343" s="2" t="str">
        <f ca="1"/>
        <v>OK</v>
      </c>
    </row>
    <row r="8344" spans="2:34" x14ac:dyDescent="0.2">
      <c r="B8344" s="2">
        <f ca="1"/>
        <v>0.89873559931666791</v>
      </c>
      <c r="O8344" s="2">
        <f ca="1"/>
        <v>-0.67958988146828114</v>
      </c>
      <c r="X8344" s="2">
        <f ca="1"/>
        <v>54.165378827598836</v>
      </c>
      <c r="AG8344" s="2">
        <f ca="1"/>
        <v>0.88102411043101858</v>
      </c>
      <c r="AH8344" s="2" t="str">
        <f ca="1"/>
        <v>Bad</v>
      </c>
    </row>
    <row r="8345" spans="2:34" x14ac:dyDescent="0.2">
      <c r="B8345" s="2">
        <f ca="1"/>
        <v>0.76732763298287399</v>
      </c>
      <c r="O8345" s="2">
        <f ca="1"/>
        <v>1.2312791243042607</v>
      </c>
      <c r="X8345" s="2">
        <f ca="1"/>
        <v>78.809611037407606</v>
      </c>
      <c r="AG8345" s="2">
        <f ca="1"/>
        <v>0.70654488770158563</v>
      </c>
      <c r="AH8345" s="2" t="str">
        <f ca="1"/>
        <v>Bad</v>
      </c>
    </row>
    <row r="8346" spans="2:34" x14ac:dyDescent="0.2">
      <c r="B8346" s="2">
        <f ca="1"/>
        <v>0.89296934318354082</v>
      </c>
      <c r="O8346" s="2">
        <f ca="1"/>
        <v>0.43853249020760987</v>
      </c>
      <c r="X8346" s="2">
        <f ca="1"/>
        <v>46.903990192475831</v>
      </c>
      <c r="AG8346" s="2">
        <f ca="1"/>
        <v>0.37490756298324857</v>
      </c>
      <c r="AH8346" s="2" t="str">
        <f ca="1"/>
        <v>OK</v>
      </c>
    </row>
    <row r="8347" spans="2:34" x14ac:dyDescent="0.2">
      <c r="B8347" s="2">
        <f ca="1"/>
        <v>0.2198403991296769</v>
      </c>
      <c r="O8347" s="2">
        <f ca="1"/>
        <v>0.91179395125361895</v>
      </c>
      <c r="X8347" s="2">
        <f ca="1"/>
        <v>38.985075219705003</v>
      </c>
      <c r="AG8347" s="2">
        <f ca="1"/>
        <v>8.9593153734685238E-2</v>
      </c>
      <c r="AH8347" s="2" t="str">
        <f ca="1"/>
        <v>OK</v>
      </c>
    </row>
    <row r="8348" spans="2:34" x14ac:dyDescent="0.2">
      <c r="B8348" s="2">
        <f ca="1"/>
        <v>0.48960315853838088</v>
      </c>
      <c r="O8348" s="2">
        <f ca="1"/>
        <v>0.27450596770655694</v>
      </c>
      <c r="X8348" s="2">
        <f ca="1"/>
        <v>58.165360345916525</v>
      </c>
      <c r="AG8348" s="2">
        <f ca="1"/>
        <v>0.18836013712173827</v>
      </c>
      <c r="AH8348" s="2" t="str">
        <f ca="1"/>
        <v>OK</v>
      </c>
    </row>
    <row r="8349" spans="2:34" x14ac:dyDescent="0.2">
      <c r="B8349" s="2">
        <f ca="1"/>
        <v>0.72789784938228008</v>
      </c>
      <c r="O8349" s="2">
        <f ca="1"/>
        <v>0.4521333190907274</v>
      </c>
      <c r="X8349" s="2">
        <f ca="1"/>
        <v>42.73734505893362</v>
      </c>
      <c r="AG8349" s="2">
        <f ca="1"/>
        <v>0.5425294161762948</v>
      </c>
      <c r="AH8349" s="2" t="str">
        <f ca="1"/>
        <v>Bad</v>
      </c>
    </row>
    <row r="8350" spans="2:34" x14ac:dyDescent="0.2">
      <c r="B8350" s="2">
        <f ca="1"/>
        <v>0.26805949232570536</v>
      </c>
      <c r="O8350" s="2">
        <f ca="1"/>
        <v>-0.27651676152201726</v>
      </c>
      <c r="X8350" s="2">
        <f ca="1"/>
        <v>89.713774076844871</v>
      </c>
      <c r="AG8350" s="2">
        <f ca="1"/>
        <v>9.3298302457455851E-2</v>
      </c>
      <c r="AH8350" s="2" t="str">
        <f ca="1"/>
        <v>OK</v>
      </c>
    </row>
    <row r="8351" spans="2:34" x14ac:dyDescent="0.2">
      <c r="B8351" s="2">
        <f ca="1"/>
        <v>0.22459364598005505</v>
      </c>
      <c r="O8351" s="2">
        <f ca="1"/>
        <v>-0.50540758549476816</v>
      </c>
      <c r="X8351" s="2">
        <f ca="1"/>
        <v>19.427507905043264</v>
      </c>
      <c r="AG8351" s="2">
        <f ca="1"/>
        <v>0.88493563575274181</v>
      </c>
      <c r="AH8351" s="2" t="str">
        <f ca="1"/>
        <v>Bad</v>
      </c>
    </row>
    <row r="8352" spans="2:34" x14ac:dyDescent="0.2">
      <c r="B8352" s="2">
        <f ca="1"/>
        <v>0.55644545462915485</v>
      </c>
      <c r="O8352" s="2">
        <f ca="1"/>
        <v>-0.23240609182430466</v>
      </c>
      <c r="X8352" s="2">
        <f ca="1"/>
        <v>47.199817250111018</v>
      </c>
      <c r="AG8352" s="2">
        <f ca="1"/>
        <v>0.62542623566829936</v>
      </c>
      <c r="AH8352" s="2" t="str">
        <f ca="1"/>
        <v>Bad</v>
      </c>
    </row>
    <row r="8353" spans="2:34" x14ac:dyDescent="0.2">
      <c r="B8353" s="2">
        <f ca="1"/>
        <v>0.32979256361344134</v>
      </c>
      <c r="O8353" s="2">
        <f ca="1"/>
        <v>0.7535478272513666</v>
      </c>
      <c r="X8353" s="2">
        <f ca="1"/>
        <v>31.313866167212382</v>
      </c>
      <c r="AG8353" s="2">
        <f ca="1"/>
        <v>0.98622146151339685</v>
      </c>
      <c r="AH8353" s="2" t="str">
        <f ca="1"/>
        <v>Bad</v>
      </c>
    </row>
    <row r="8354" spans="2:34" x14ac:dyDescent="0.2">
      <c r="B8354" s="2">
        <f ca="1"/>
        <v>0.78172831915424323</v>
      </c>
      <c r="O8354" s="2">
        <f ca="1"/>
        <v>0.83944342870868438</v>
      </c>
      <c r="X8354" s="2">
        <f ca="1"/>
        <v>33.53954177346224</v>
      </c>
      <c r="AG8354" s="2">
        <f ca="1"/>
        <v>0.16919537033762477</v>
      </c>
      <c r="AH8354" s="2" t="str">
        <f ca="1"/>
        <v>OK</v>
      </c>
    </row>
    <row r="8355" spans="2:34" x14ac:dyDescent="0.2">
      <c r="B8355" s="2">
        <f ca="1"/>
        <v>0.12794585867409469</v>
      </c>
      <c r="O8355" s="2">
        <f ca="1"/>
        <v>-0.64204626105510654</v>
      </c>
      <c r="X8355" s="2">
        <f ca="1"/>
        <v>67.517071782275806</v>
      </c>
      <c r="AG8355" s="2">
        <f ca="1"/>
        <v>0.62921392555741829</v>
      </c>
      <c r="AH8355" s="2" t="str">
        <f ca="1"/>
        <v>Bad</v>
      </c>
    </row>
    <row r="8356" spans="2:34" x14ac:dyDescent="0.2">
      <c r="B8356" s="2">
        <f ca="1"/>
        <v>0.40994023161272075</v>
      </c>
      <c r="O8356" s="2">
        <f ca="1"/>
        <v>0.88237417495361004</v>
      </c>
      <c r="X8356" s="2">
        <f ca="1"/>
        <v>37.754010894021796</v>
      </c>
      <c r="AG8356" s="2">
        <f ca="1"/>
        <v>0.74904618637926834</v>
      </c>
      <c r="AH8356" s="2" t="str">
        <f ca="1"/>
        <v>Bad</v>
      </c>
    </row>
    <row r="8357" spans="2:34" x14ac:dyDescent="0.2">
      <c r="B8357" s="2">
        <f ca="1"/>
        <v>0.14887733927325009</v>
      </c>
      <c r="O8357" s="2">
        <f ca="1"/>
        <v>0.72284356703215247</v>
      </c>
      <c r="X8357" s="2">
        <f ca="1"/>
        <v>83.42063179001569</v>
      </c>
      <c r="AG8357" s="2">
        <f ca="1"/>
        <v>0.72062115403300031</v>
      </c>
      <c r="AH8357" s="2" t="str">
        <f ca="1"/>
        <v>Bad</v>
      </c>
    </row>
    <row r="8358" spans="2:34" x14ac:dyDescent="0.2">
      <c r="B8358" s="2">
        <f ca="1"/>
        <v>0.86770659040115516</v>
      </c>
      <c r="O8358" s="2">
        <f ca="1"/>
        <v>-0.23789245955368518</v>
      </c>
      <c r="X8358" s="2">
        <f ca="1"/>
        <v>62.968256025723264</v>
      </c>
      <c r="AG8358" s="2">
        <f ca="1"/>
        <v>0.19947579939700821</v>
      </c>
      <c r="AH8358" s="2" t="str">
        <f ca="1"/>
        <v>OK</v>
      </c>
    </row>
    <row r="8359" spans="2:34" x14ac:dyDescent="0.2">
      <c r="B8359" s="2">
        <f ca="1"/>
        <v>0.20842876259946275</v>
      </c>
      <c r="O8359" s="2">
        <f ca="1"/>
        <v>-0.52870278299816731</v>
      </c>
      <c r="X8359" s="2">
        <f ca="1"/>
        <v>56.561751403761306</v>
      </c>
      <c r="AG8359" s="2">
        <f ca="1"/>
        <v>0.8165320142022372</v>
      </c>
      <c r="AH8359" s="2" t="str">
        <f ca="1"/>
        <v>Bad</v>
      </c>
    </row>
    <row r="8360" spans="2:34" x14ac:dyDescent="0.2">
      <c r="B8360" s="2">
        <f ca="1"/>
        <v>0.62228584795817521</v>
      </c>
      <c r="O8360" s="2">
        <f ca="1"/>
        <v>-0.79982703596167504</v>
      </c>
      <c r="X8360" s="2">
        <f ca="1"/>
        <v>42.645144722031041</v>
      </c>
      <c r="AG8360" s="2">
        <f ca="1"/>
        <v>0.64660171592473104</v>
      </c>
      <c r="AH8360" s="2" t="str">
        <f ca="1"/>
        <v>Bad</v>
      </c>
    </row>
    <row r="8361" spans="2:34" x14ac:dyDescent="0.2">
      <c r="B8361" s="2">
        <f ca="1"/>
        <v>0.99659999837942492</v>
      </c>
      <c r="O8361" s="2">
        <f ca="1"/>
        <v>0.28921299642512494</v>
      </c>
      <c r="X8361" s="2">
        <f ca="1"/>
        <v>57.955195013504905</v>
      </c>
      <c r="AG8361" s="2">
        <f ca="1"/>
        <v>0.95065746395561157</v>
      </c>
      <c r="AH8361" s="2" t="str">
        <f ca="1"/>
        <v>Bad</v>
      </c>
    </row>
    <row r="8362" spans="2:34" x14ac:dyDescent="0.2">
      <c r="B8362" s="2">
        <f ca="1"/>
        <v>0.10496995303217682</v>
      </c>
      <c r="O8362" s="2">
        <f ca="1"/>
        <v>0.3539309430496228</v>
      </c>
      <c r="X8362" s="2">
        <f ca="1"/>
        <v>35.214442386488393</v>
      </c>
      <c r="AG8362" s="2">
        <f ca="1"/>
        <v>0.70108158268534781</v>
      </c>
      <c r="AH8362" s="2" t="str">
        <f ca="1"/>
        <v>Bad</v>
      </c>
    </row>
    <row r="8363" spans="2:34" x14ac:dyDescent="0.2">
      <c r="B8363" s="2">
        <f ca="1"/>
        <v>0.28339165888155171</v>
      </c>
      <c r="O8363" s="2">
        <f ca="1"/>
        <v>-1.581063841640159</v>
      </c>
      <c r="X8363" s="2">
        <f ca="1"/>
        <v>65.814022707754845</v>
      </c>
      <c r="AG8363" s="2">
        <f ca="1"/>
        <v>0.88438487233294016</v>
      </c>
      <c r="AH8363" s="2" t="str">
        <f ca="1"/>
        <v>Bad</v>
      </c>
    </row>
    <row r="8364" spans="2:34" x14ac:dyDescent="0.2">
      <c r="B8364" s="2">
        <f ca="1"/>
        <v>0.77155288252668064</v>
      </c>
      <c r="O8364" s="2">
        <f ca="1"/>
        <v>-7.1731860171431516E-2</v>
      </c>
      <c r="X8364" s="2">
        <f ca="1"/>
        <v>48.722935891107284</v>
      </c>
      <c r="AG8364" s="2">
        <f ca="1"/>
        <v>0.70192416382874701</v>
      </c>
      <c r="AH8364" s="2" t="str">
        <f ca="1"/>
        <v>Bad</v>
      </c>
    </row>
    <row r="8365" spans="2:34" x14ac:dyDescent="0.2">
      <c r="B8365" s="2">
        <f ca="1"/>
        <v>0.70423308764606252</v>
      </c>
      <c r="O8365" s="2">
        <f ca="1"/>
        <v>-6.5987507327976258E-2</v>
      </c>
      <c r="X8365" s="2">
        <f ca="1"/>
        <v>45.396508862202069</v>
      </c>
      <c r="AG8365" s="2">
        <f ca="1"/>
        <v>0.22977364029047864</v>
      </c>
      <c r="AH8365" s="2" t="str">
        <f ca="1"/>
        <v>OK</v>
      </c>
    </row>
    <row r="8366" spans="2:34" x14ac:dyDescent="0.2">
      <c r="B8366" s="2">
        <f ca="1"/>
        <v>0.99744129329595688</v>
      </c>
      <c r="O8366" s="2">
        <f ca="1"/>
        <v>0.6938288794807429</v>
      </c>
      <c r="X8366" s="2">
        <f ca="1"/>
        <v>60.020838625687816</v>
      </c>
      <c r="AG8366" s="2">
        <f ca="1"/>
        <v>0.87647513582544501</v>
      </c>
      <c r="AH8366" s="2" t="str">
        <f ca="1"/>
        <v>Bad</v>
      </c>
    </row>
    <row r="8367" spans="2:34" x14ac:dyDescent="0.2">
      <c r="B8367" s="2">
        <f ca="1"/>
        <v>0.79686789326462337</v>
      </c>
      <c r="O8367" s="2">
        <f ca="1"/>
        <v>0.82311325377574707</v>
      </c>
      <c r="X8367" s="2">
        <f ca="1"/>
        <v>32.539961605501546</v>
      </c>
      <c r="AG8367" s="2">
        <f ca="1"/>
        <v>0.65194019641107293</v>
      </c>
      <c r="AH8367" s="2" t="str">
        <f ca="1"/>
        <v>Bad</v>
      </c>
    </row>
    <row r="8368" spans="2:34" x14ac:dyDescent="0.2">
      <c r="B8368" s="2">
        <f ca="1"/>
        <v>2.0696682202270722E-2</v>
      </c>
      <c r="O8368" s="2">
        <f ca="1"/>
        <v>-0.30503441175850443</v>
      </c>
      <c r="X8368" s="2">
        <f ca="1"/>
        <v>53.620724379371801</v>
      </c>
      <c r="AG8368" s="2">
        <f ca="1"/>
        <v>4.2296386396156072E-2</v>
      </c>
      <c r="AH8368" s="2" t="str">
        <f ca="1"/>
        <v>Good</v>
      </c>
    </row>
    <row r="8369" spans="2:34" x14ac:dyDescent="0.2">
      <c r="B8369" s="2">
        <f ca="1"/>
        <v>0.19035587657470021</v>
      </c>
      <c r="O8369" s="2">
        <f ca="1"/>
        <v>-0.46538636981047221</v>
      </c>
      <c r="X8369" s="2">
        <f ca="1"/>
        <v>35.152079801231075</v>
      </c>
      <c r="AG8369" s="2">
        <f ca="1"/>
        <v>3.887081733621911E-2</v>
      </c>
      <c r="AH8369" s="2" t="str">
        <f ca="1"/>
        <v>Good</v>
      </c>
    </row>
    <row r="8370" spans="2:34" x14ac:dyDescent="0.2">
      <c r="B8370" s="2">
        <f ca="1"/>
        <v>5.4439018734570466E-2</v>
      </c>
      <c r="O8370" s="2">
        <f ca="1"/>
        <v>-0.70181579776296743</v>
      </c>
      <c r="X8370" s="2">
        <f ca="1"/>
        <v>30.622736487290659</v>
      </c>
      <c r="AG8370" s="2">
        <f ca="1"/>
        <v>0.29148810507516032</v>
      </c>
      <c r="AH8370" s="2" t="str">
        <f ca="1"/>
        <v>OK</v>
      </c>
    </row>
    <row r="8371" spans="2:34" x14ac:dyDescent="0.2">
      <c r="B8371" s="2">
        <f ca="1"/>
        <v>0.16651655261984244</v>
      </c>
      <c r="O8371" s="2">
        <f ca="1"/>
        <v>-1.2292652596941451</v>
      </c>
      <c r="X8371" s="2">
        <f ca="1"/>
        <v>71.221359643190965</v>
      </c>
      <c r="AG8371" s="2">
        <f ca="1"/>
        <v>0.87038155941504236</v>
      </c>
      <c r="AH8371" s="2" t="str">
        <f ca="1"/>
        <v>Bad</v>
      </c>
    </row>
    <row r="8372" spans="2:34" x14ac:dyDescent="0.2">
      <c r="B8372" s="2">
        <f ca="1"/>
        <v>7.2651221080595629E-2</v>
      </c>
      <c r="O8372" s="2">
        <f ca="1"/>
        <v>0.66158178629806486</v>
      </c>
      <c r="X8372" s="2">
        <f ca="1"/>
        <v>42.152482801998381</v>
      </c>
      <c r="AG8372" s="2">
        <f ca="1"/>
        <v>0.95096362677241442</v>
      </c>
      <c r="AH8372" s="2" t="str">
        <f ca="1"/>
        <v>Bad</v>
      </c>
    </row>
    <row r="8373" spans="2:34" x14ac:dyDescent="0.2">
      <c r="B8373" s="2">
        <f ca="1"/>
        <v>0.97032631346983078</v>
      </c>
      <c r="O8373" s="2">
        <f ca="1"/>
        <v>-0.15500938008609161</v>
      </c>
      <c r="X8373" s="2">
        <f ca="1"/>
        <v>45.418524964354802</v>
      </c>
      <c r="AG8373" s="2">
        <f ca="1"/>
        <v>0.50027995264417857</v>
      </c>
      <c r="AH8373" s="2" t="str">
        <f ca="1"/>
        <v>Bad</v>
      </c>
    </row>
    <row r="8374" spans="2:34" x14ac:dyDescent="0.2">
      <c r="B8374" s="2">
        <f ca="1"/>
        <v>0.12367087564328738</v>
      </c>
      <c r="O8374" s="2">
        <f ca="1"/>
        <v>1.5624383473931276</v>
      </c>
      <c r="X8374" s="2">
        <f ca="1"/>
        <v>62.667391427405477</v>
      </c>
      <c r="AG8374" s="2">
        <f ca="1"/>
        <v>0.56173316346678481</v>
      </c>
      <c r="AH8374" s="2" t="str">
        <f ca="1"/>
        <v>Bad</v>
      </c>
    </row>
    <row r="8375" spans="2:34" x14ac:dyDescent="0.2">
      <c r="B8375" s="2">
        <f ca="1"/>
        <v>0.99214063914644823</v>
      </c>
      <c r="O8375" s="2">
        <f ca="1"/>
        <v>-1.1764002159872289</v>
      </c>
      <c r="X8375" s="2">
        <f ca="1"/>
        <v>62.633563200292606</v>
      </c>
      <c r="AG8375" s="2">
        <f ca="1"/>
        <v>0.84571350987264049</v>
      </c>
      <c r="AH8375" s="2" t="str">
        <f ca="1"/>
        <v>Bad</v>
      </c>
    </row>
    <row r="8376" spans="2:34" x14ac:dyDescent="0.2">
      <c r="B8376" s="2">
        <f ca="1"/>
        <v>0.71808035290452144</v>
      </c>
      <c r="O8376" s="2">
        <f ca="1"/>
        <v>0.41443738083360626</v>
      </c>
      <c r="X8376" s="2">
        <f ca="1"/>
        <v>45.274649306579953</v>
      </c>
      <c r="AG8376" s="2">
        <f ca="1"/>
        <v>0.31553670103456355</v>
      </c>
      <c r="AH8376" s="2" t="str">
        <f ca="1"/>
        <v>OK</v>
      </c>
    </row>
    <row r="8377" spans="2:34" x14ac:dyDescent="0.2">
      <c r="B8377" s="2">
        <f ca="1"/>
        <v>0.88150801928729727</v>
      </c>
      <c r="O8377" s="2">
        <f ca="1"/>
        <v>-1.2525418349159654</v>
      </c>
      <c r="X8377" s="2">
        <f ca="1"/>
        <v>31.547907352301287</v>
      </c>
      <c r="AG8377" s="2">
        <f ca="1"/>
        <v>0.46113611426340584</v>
      </c>
      <c r="AH8377" s="2" t="str">
        <f ca="1"/>
        <v>Bad</v>
      </c>
    </row>
    <row r="8378" spans="2:34" x14ac:dyDescent="0.2">
      <c r="B8378" s="2">
        <f ca="1"/>
        <v>0.91046218793684197</v>
      </c>
      <c r="O8378" s="2">
        <f ca="1"/>
        <v>0.12909103823893933</v>
      </c>
      <c r="X8378" s="2">
        <f ca="1"/>
        <v>44.642851521106309</v>
      </c>
      <c r="AG8378" s="2">
        <f ca="1"/>
        <v>0.14510284597820955</v>
      </c>
      <c r="AH8378" s="2" t="str">
        <f ca="1"/>
        <v>OK</v>
      </c>
    </row>
    <row r="8379" spans="2:34" x14ac:dyDescent="0.2">
      <c r="B8379" s="2">
        <f ca="1"/>
        <v>0.51893909109223224</v>
      </c>
      <c r="O8379" s="2">
        <f ca="1"/>
        <v>0.58075007305380077</v>
      </c>
      <c r="X8379" s="2">
        <f ca="1"/>
        <v>62.81311549562092</v>
      </c>
      <c r="AG8379" s="2">
        <f ca="1"/>
        <v>0.84713983444078433</v>
      </c>
      <c r="AH8379" s="2" t="str">
        <f ca="1"/>
        <v>Bad</v>
      </c>
    </row>
    <row r="8380" spans="2:34" x14ac:dyDescent="0.2">
      <c r="B8380" s="2">
        <f ca="1"/>
        <v>0.1912828702551943</v>
      </c>
      <c r="O8380" s="2">
        <f ca="1"/>
        <v>-1.5877026735507573</v>
      </c>
      <c r="X8380" s="2">
        <f ca="1"/>
        <v>53.909340393641749</v>
      </c>
      <c r="AG8380" s="2">
        <f ca="1"/>
        <v>0.21043625313154224</v>
      </c>
      <c r="AH8380" s="2" t="str">
        <f ca="1"/>
        <v>OK</v>
      </c>
    </row>
    <row r="8381" spans="2:34" x14ac:dyDescent="0.2">
      <c r="B8381" s="2">
        <f ca="1"/>
        <v>1.9920993987218027E-2</v>
      </c>
      <c r="O8381" s="2">
        <f ca="1"/>
        <v>0.29109854261188794</v>
      </c>
      <c r="X8381" s="2">
        <f ca="1"/>
        <v>49.498172216824614</v>
      </c>
      <c r="AG8381" s="2">
        <f ca="1"/>
        <v>0.15954571880859669</v>
      </c>
      <c r="AH8381" s="2" t="str">
        <f ca="1"/>
        <v>OK</v>
      </c>
    </row>
    <row r="8382" spans="2:34" x14ac:dyDescent="0.2">
      <c r="B8382" s="2">
        <f ca="1"/>
        <v>0.10216496864524349</v>
      </c>
      <c r="O8382" s="2">
        <f ca="1"/>
        <v>-0.18840189150746353</v>
      </c>
      <c r="X8382" s="2">
        <f ca="1"/>
        <v>42.99021139360498</v>
      </c>
      <c r="AG8382" s="2">
        <f ca="1"/>
        <v>0.53481372428136775</v>
      </c>
      <c r="AH8382" s="2" t="str">
        <f ca="1"/>
        <v>Bad</v>
      </c>
    </row>
    <row r="8383" spans="2:34" x14ac:dyDescent="0.2">
      <c r="B8383" s="2">
        <f ca="1"/>
        <v>0.4448158560803106</v>
      </c>
      <c r="O8383" s="2">
        <f ca="1"/>
        <v>-0.21494778002975953</v>
      </c>
      <c r="X8383" s="2">
        <f ca="1"/>
        <v>37.525117970161482</v>
      </c>
      <c r="AG8383" s="2">
        <f ca="1"/>
        <v>1.8585510611433653E-2</v>
      </c>
      <c r="AH8383" s="2" t="str">
        <f ca="1"/>
        <v>Good</v>
      </c>
    </row>
    <row r="8384" spans="2:34" x14ac:dyDescent="0.2">
      <c r="B8384" s="2">
        <f ca="1"/>
        <v>0.61773796142964565</v>
      </c>
      <c r="O8384" s="2">
        <f ca="1"/>
        <v>1.2303122467148588</v>
      </c>
      <c r="X8384" s="2">
        <f ca="1"/>
        <v>26.167437270940432</v>
      </c>
      <c r="AG8384" s="2">
        <f ca="1"/>
        <v>0.86959438211621376</v>
      </c>
      <c r="AH8384" s="2" t="str">
        <f ca="1"/>
        <v>Bad</v>
      </c>
    </row>
    <row r="8385" spans="2:34" x14ac:dyDescent="0.2">
      <c r="B8385" s="2">
        <f ca="1"/>
        <v>0.4556304829055724</v>
      </c>
      <c r="O8385" s="2">
        <f ca="1"/>
        <v>-0.64045259151444567</v>
      </c>
      <c r="X8385" s="2">
        <f ca="1"/>
        <v>29.379761631808371</v>
      </c>
      <c r="AG8385" s="2">
        <f ca="1"/>
        <v>0.19413736439500484</v>
      </c>
      <c r="AH8385" s="2" t="str">
        <f ca="1"/>
        <v>OK</v>
      </c>
    </row>
    <row r="8386" spans="2:34" x14ac:dyDescent="0.2">
      <c r="B8386" s="2">
        <f ca="1"/>
        <v>0.65859142257411274</v>
      </c>
      <c r="O8386" s="2">
        <f ca="1"/>
        <v>0.11921719995023936</v>
      </c>
      <c r="X8386" s="2">
        <f ca="1"/>
        <v>27.691285323214206</v>
      </c>
      <c r="AG8386" s="2">
        <f ca="1"/>
        <v>0.32985527516383817</v>
      </c>
      <c r="AH8386" s="2" t="str">
        <f ca="1"/>
        <v>OK</v>
      </c>
    </row>
    <row r="8387" spans="2:34" x14ac:dyDescent="0.2">
      <c r="B8387" s="2">
        <f ca="1"/>
        <v>0.68680832435888406</v>
      </c>
      <c r="O8387" s="2">
        <f ca="1"/>
        <v>0.54508273065283963</v>
      </c>
      <c r="X8387" s="2">
        <f ca="1"/>
        <v>20.671365651314602</v>
      </c>
      <c r="AG8387" s="2">
        <f ca="1"/>
        <v>0.65266964889477985</v>
      </c>
      <c r="AH8387" s="2" t="str">
        <f ca="1"/>
        <v>Bad</v>
      </c>
    </row>
    <row r="8388" spans="2:34" x14ac:dyDescent="0.2">
      <c r="B8388" s="2">
        <f ca="1"/>
        <v>0.41289658037549448</v>
      </c>
      <c r="O8388" s="2">
        <f ca="1"/>
        <v>-0.4866242804441876</v>
      </c>
      <c r="X8388" s="2">
        <f ca="1"/>
        <v>45.341272299818691</v>
      </c>
      <c r="AG8388" s="2">
        <f ca="1"/>
        <v>0.3995863300525726</v>
      </c>
      <c r="AH8388" s="2" t="str">
        <f ca="1"/>
        <v>OK</v>
      </c>
    </row>
    <row r="8389" spans="2:34" x14ac:dyDescent="0.2">
      <c r="B8389" s="2">
        <f ca="1"/>
        <v>0.61810499838124144</v>
      </c>
      <c r="O8389" s="2">
        <f ca="1"/>
        <v>-0.91219872764089049</v>
      </c>
      <c r="X8389" s="2">
        <f ca="1"/>
        <v>48.883869557302901</v>
      </c>
      <c r="AG8389" s="2">
        <f ca="1"/>
        <v>0.3839335099411898</v>
      </c>
      <c r="AH8389" s="2" t="str">
        <f ca="1"/>
        <v>OK</v>
      </c>
    </row>
    <row r="8390" spans="2:34" x14ac:dyDescent="0.2">
      <c r="B8390" s="2">
        <f ca="1"/>
        <v>0.8809374732018922</v>
      </c>
      <c r="O8390" s="2">
        <f ca="1"/>
        <v>-0.1504220896722695</v>
      </c>
      <c r="X8390" s="2">
        <f ca="1"/>
        <v>28.188159565351306</v>
      </c>
      <c r="AG8390" s="2">
        <f ca="1"/>
        <v>0.19093588132379513</v>
      </c>
      <c r="AH8390" s="2" t="str">
        <f ca="1"/>
        <v>OK</v>
      </c>
    </row>
    <row r="8391" spans="2:34" x14ac:dyDescent="0.2">
      <c r="B8391" s="2">
        <f ca="1"/>
        <v>3.5143304889803995E-2</v>
      </c>
      <c r="O8391" s="2">
        <f ca="1"/>
        <v>0.31336973991486333</v>
      </c>
      <c r="X8391" s="2">
        <f ca="1"/>
        <v>37.407772387767082</v>
      </c>
      <c r="AG8391" s="2">
        <f ca="1"/>
        <v>0.12571590255761866</v>
      </c>
      <c r="AH8391" s="2" t="str">
        <f ca="1"/>
        <v>OK</v>
      </c>
    </row>
    <row r="8392" spans="2:34" x14ac:dyDescent="0.2">
      <c r="B8392" s="2">
        <f ca="1"/>
        <v>0.38034480215690536</v>
      </c>
      <c r="O8392" s="2">
        <f ca="1"/>
        <v>0.20863346332100904</v>
      </c>
      <c r="X8392" s="2">
        <f ca="1"/>
        <v>44.035852079320918</v>
      </c>
      <c r="AG8392" s="2">
        <f ca="1"/>
        <v>0.5618660783909335</v>
      </c>
      <c r="AH8392" s="2" t="str">
        <f ca="1"/>
        <v>Bad</v>
      </c>
    </row>
    <row r="8393" spans="2:34" x14ac:dyDescent="0.2">
      <c r="B8393" s="2">
        <f ca="1"/>
        <v>0.61200101687130282</v>
      </c>
      <c r="O8393" s="2">
        <f ca="1"/>
        <v>1.3564836907245303</v>
      </c>
      <c r="X8393" s="2">
        <f ca="1"/>
        <v>27.795073763550278</v>
      </c>
      <c r="AG8393" s="2">
        <f ca="1"/>
        <v>0.93507974829294782</v>
      </c>
      <c r="AH8393" s="2" t="str">
        <f ca="1"/>
        <v>Bad</v>
      </c>
    </row>
    <row r="8394" spans="2:34" x14ac:dyDescent="0.2">
      <c r="B8394" s="2">
        <f ca="1"/>
        <v>4.5129114050557861E-2</v>
      </c>
      <c r="O8394" s="2">
        <f ca="1"/>
        <v>-0.44737108635765604</v>
      </c>
      <c r="X8394" s="2">
        <f ca="1"/>
        <v>40.26774368327824</v>
      </c>
      <c r="AG8394" s="2">
        <f ca="1"/>
        <v>3.1733038112481848E-2</v>
      </c>
      <c r="AH8394" s="2" t="str">
        <f ca="1"/>
        <v>Good</v>
      </c>
    </row>
    <row r="8395" spans="2:34" x14ac:dyDescent="0.2">
      <c r="B8395" s="2">
        <f ca="1"/>
        <v>0.79574291972702516</v>
      </c>
      <c r="O8395" s="2">
        <f ca="1"/>
        <v>0.76441858055617184</v>
      </c>
      <c r="X8395" s="2">
        <f ca="1"/>
        <v>41.850332099667121</v>
      </c>
      <c r="AG8395" s="2">
        <f ca="1"/>
        <v>0.48375201285016534</v>
      </c>
      <c r="AH8395" s="2" t="str">
        <f ca="1"/>
        <v>Bad</v>
      </c>
    </row>
    <row r="8396" spans="2:34" x14ac:dyDescent="0.2">
      <c r="B8396" s="2">
        <f ca="1"/>
        <v>0.16175625829123463</v>
      </c>
      <c r="O8396" s="2">
        <f ca="1"/>
        <v>1.0770178611642547</v>
      </c>
      <c r="X8396" s="2">
        <f ca="1"/>
        <v>42.182762914765519</v>
      </c>
      <c r="AG8396" s="2">
        <f ca="1"/>
        <v>0.48977362200448082</v>
      </c>
      <c r="AH8396" s="2" t="str">
        <f ca="1"/>
        <v>Bad</v>
      </c>
    </row>
    <row r="8397" spans="2:34" x14ac:dyDescent="0.2">
      <c r="B8397" s="2">
        <f ca="1"/>
        <v>9.0015180617255997E-2</v>
      </c>
      <c r="O8397" s="2">
        <f ca="1"/>
        <v>-1.6112924008298475</v>
      </c>
      <c r="X8397" s="2">
        <f ca="1"/>
        <v>37.419872252300401</v>
      </c>
      <c r="AG8397" s="2">
        <f ca="1"/>
        <v>0.96175963415411592</v>
      </c>
      <c r="AH8397" s="2" t="str">
        <f ca="1"/>
        <v>Bad</v>
      </c>
    </row>
    <row r="8398" spans="2:34" x14ac:dyDescent="0.2">
      <c r="B8398" s="2">
        <f ca="1"/>
        <v>0.77993151814178874</v>
      </c>
      <c r="O8398" s="2">
        <f ca="1"/>
        <v>-0.83772434405192808</v>
      </c>
      <c r="X8398" s="2">
        <f ca="1"/>
        <v>34.747181487545987</v>
      </c>
      <c r="AG8398" s="2">
        <f ca="1"/>
        <v>0.37000857903690032</v>
      </c>
      <c r="AH8398" s="2" t="str">
        <f ca="1"/>
        <v>OK</v>
      </c>
    </row>
    <row r="8399" spans="2:34" x14ac:dyDescent="0.2">
      <c r="B8399" s="2">
        <f ca="1"/>
        <v>0.89872424265345341</v>
      </c>
      <c r="O8399" s="2">
        <f ca="1"/>
        <v>-0.1160680712807742</v>
      </c>
      <c r="X8399" s="2">
        <f ca="1"/>
        <v>64.434800969865123</v>
      </c>
      <c r="AG8399" s="2">
        <f ca="1"/>
        <v>0.1612245551153948</v>
      </c>
      <c r="AH8399" s="2" t="str">
        <f ca="1"/>
        <v>OK</v>
      </c>
    </row>
    <row r="8400" spans="2:34" x14ac:dyDescent="0.2">
      <c r="B8400" s="2">
        <f ca="1"/>
        <v>0.36144795323227163</v>
      </c>
      <c r="O8400" s="2">
        <f ca="1"/>
        <v>0.78676144399098025</v>
      </c>
      <c r="X8400" s="2">
        <f ca="1"/>
        <v>51.995992840868219</v>
      </c>
      <c r="AG8400" s="2">
        <f ca="1"/>
        <v>0.87789256645013958</v>
      </c>
      <c r="AH8400" s="2" t="str">
        <f ca="1"/>
        <v>Bad</v>
      </c>
    </row>
    <row r="8401" spans="2:34" x14ac:dyDescent="0.2">
      <c r="B8401" s="2">
        <f ca="1"/>
        <v>0.46227434601211503</v>
      </c>
      <c r="O8401" s="2">
        <f ca="1"/>
        <v>-0.66883027401012651</v>
      </c>
      <c r="X8401" s="2">
        <f ca="1"/>
        <v>37.273724393671898</v>
      </c>
      <c r="AG8401" s="2">
        <f ca="1"/>
        <v>0.33861826591509137</v>
      </c>
      <c r="AH8401" s="2" t="str">
        <f ca="1"/>
        <v>OK</v>
      </c>
    </row>
    <row r="8402" spans="2:34" x14ac:dyDescent="0.2">
      <c r="B8402" s="2">
        <f ca="1"/>
        <v>0.944551523272674</v>
      </c>
      <c r="O8402" s="2">
        <f ca="1"/>
        <v>0.5194351239022571</v>
      </c>
      <c r="X8402" s="2">
        <f ca="1"/>
        <v>39.035012639300426</v>
      </c>
      <c r="AG8402" s="2">
        <f ca="1"/>
        <v>0.51600564441637586</v>
      </c>
      <c r="AH8402" s="2" t="str">
        <f ca="1"/>
        <v>Bad</v>
      </c>
    </row>
    <row r="8403" spans="2:34" x14ac:dyDescent="0.2">
      <c r="B8403" s="2">
        <f ca="1"/>
        <v>0.4395679188197239</v>
      </c>
      <c r="O8403" s="2">
        <f ca="1"/>
        <v>-0.2692953912869222</v>
      </c>
      <c r="X8403" s="2">
        <f ca="1"/>
        <v>59.851717418368295</v>
      </c>
      <c r="AG8403" s="2">
        <f ca="1"/>
        <v>0.23769794692105228</v>
      </c>
      <c r="AH8403" s="2" t="str">
        <f ca="1"/>
        <v>OK</v>
      </c>
    </row>
    <row r="8404" spans="2:34" x14ac:dyDescent="0.2">
      <c r="B8404" s="2">
        <f ca="1"/>
        <v>0.98684673354937424</v>
      </c>
      <c r="O8404" s="2">
        <f ca="1"/>
        <v>-0.68783025530433251</v>
      </c>
      <c r="X8404" s="2">
        <f ca="1"/>
        <v>58.017368835205716</v>
      </c>
      <c r="AG8404" s="2">
        <f ca="1"/>
        <v>0.40300814277191344</v>
      </c>
      <c r="AH8404" s="2" t="str">
        <f ca="1"/>
        <v>Bad</v>
      </c>
    </row>
    <row r="8405" spans="2:34" x14ac:dyDescent="0.2">
      <c r="B8405" s="2">
        <f ca="1"/>
        <v>0.61901513974145739</v>
      </c>
      <c r="O8405" s="2">
        <f ca="1"/>
        <v>0.56731953319726203</v>
      </c>
      <c r="X8405" s="2">
        <f ca="1"/>
        <v>71.294327508601228</v>
      </c>
      <c r="AG8405" s="2">
        <f ca="1"/>
        <v>0.32095366139010872</v>
      </c>
      <c r="AH8405" s="2" t="str">
        <f ca="1"/>
        <v>OK</v>
      </c>
    </row>
    <row r="8406" spans="2:34" x14ac:dyDescent="0.2">
      <c r="B8406" s="2">
        <f ca="1"/>
        <v>0.58808801925717469</v>
      </c>
      <c r="O8406" s="2">
        <f ca="1"/>
        <v>1.5387666210367843</v>
      </c>
      <c r="X8406" s="2">
        <f ca="1"/>
        <v>68.071391807941581</v>
      </c>
      <c r="AG8406" s="2">
        <f ca="1"/>
        <v>0.98037371215122815</v>
      </c>
      <c r="AH8406" s="2" t="str">
        <f ca="1"/>
        <v>Bad</v>
      </c>
    </row>
    <row r="8407" spans="2:34" x14ac:dyDescent="0.2">
      <c r="B8407" s="2">
        <f ca="1"/>
        <v>0.94354247816049153</v>
      </c>
      <c r="O8407" s="2">
        <f ca="1"/>
        <v>-0.41317158456006664</v>
      </c>
      <c r="X8407" s="2">
        <f ca="1"/>
        <v>59.777323332437398</v>
      </c>
      <c r="AG8407" s="2">
        <f ca="1"/>
        <v>0.50548496605373061</v>
      </c>
      <c r="AH8407" s="2" t="str">
        <f ca="1"/>
        <v>Bad</v>
      </c>
    </row>
    <row r="8408" spans="2:34" x14ac:dyDescent="0.2">
      <c r="B8408" s="2">
        <f ca="1"/>
        <v>0.92313962256931559</v>
      </c>
      <c r="O8408" s="2">
        <f ca="1"/>
        <v>-8.6343455476143079E-3</v>
      </c>
      <c r="X8408" s="2">
        <f ca="1"/>
        <v>82.263515096234158</v>
      </c>
      <c r="AG8408" s="2">
        <f ca="1"/>
        <v>0.40150035766591308</v>
      </c>
      <c r="AH8408" s="2" t="str">
        <f ca="1"/>
        <v>Bad</v>
      </c>
    </row>
    <row r="8409" spans="2:34" x14ac:dyDescent="0.2">
      <c r="B8409" s="2">
        <f ca="1"/>
        <v>0.18832575736580348</v>
      </c>
      <c r="O8409" s="2">
        <f ca="1"/>
        <v>1.2673194949621018</v>
      </c>
      <c r="X8409" s="2">
        <f ca="1"/>
        <v>24.448676664400494</v>
      </c>
      <c r="AG8409" s="2">
        <f ca="1"/>
        <v>0.14840388173205277</v>
      </c>
      <c r="AH8409" s="2" t="str">
        <f ca="1"/>
        <v>OK</v>
      </c>
    </row>
    <row r="8410" spans="2:34" x14ac:dyDescent="0.2">
      <c r="B8410" s="2">
        <f ca="1"/>
        <v>0.16248905366510846</v>
      </c>
      <c r="O8410" s="2">
        <f ca="1"/>
        <v>-0.88664305297844803</v>
      </c>
      <c r="X8410" s="2">
        <f ca="1"/>
        <v>53.753966474630694</v>
      </c>
      <c r="AG8410" s="2">
        <f ca="1"/>
        <v>0.33572841636280448</v>
      </c>
      <c r="AH8410" s="2" t="str">
        <f ca="1"/>
        <v>OK</v>
      </c>
    </row>
    <row r="8411" spans="2:34" x14ac:dyDescent="0.2">
      <c r="B8411" s="2">
        <f ca="1"/>
        <v>0.52159171291934525</v>
      </c>
      <c r="O8411" s="2">
        <f ca="1"/>
        <v>-1.0352524141205837</v>
      </c>
      <c r="X8411" s="2">
        <f ca="1"/>
        <v>67.792183099135954</v>
      </c>
      <c r="AG8411" s="2">
        <f ca="1"/>
        <v>0.13000398631392196</v>
      </c>
      <c r="AH8411" s="2" t="str">
        <f ca="1"/>
        <v>OK</v>
      </c>
    </row>
    <row r="8412" spans="2:34" x14ac:dyDescent="0.2">
      <c r="B8412" s="2">
        <f ca="1"/>
        <v>0.71655651913020302</v>
      </c>
      <c r="O8412" s="2">
        <f ca="1"/>
        <v>-0.4314423213544073</v>
      </c>
      <c r="X8412" s="2">
        <f ca="1"/>
        <v>35.513239371863619</v>
      </c>
      <c r="AG8412" s="2">
        <f ca="1"/>
        <v>0.30363341628330298</v>
      </c>
      <c r="AH8412" s="2" t="str">
        <f ca="1"/>
        <v>OK</v>
      </c>
    </row>
    <row r="8413" spans="2:34" x14ac:dyDescent="0.2">
      <c r="B8413" s="2">
        <f ca="1"/>
        <v>0.49923751401831828</v>
      </c>
      <c r="O8413" s="2">
        <f ca="1"/>
        <v>5.6229167084037884E-2</v>
      </c>
      <c r="X8413" s="2">
        <f ca="1"/>
        <v>44.347254209117068</v>
      </c>
      <c r="AG8413" s="2">
        <f ca="1"/>
        <v>0.92537453456306262</v>
      </c>
      <c r="AH8413" s="2" t="str">
        <f ca="1"/>
        <v>Bad</v>
      </c>
    </row>
    <row r="8414" spans="2:34" x14ac:dyDescent="0.2">
      <c r="B8414" s="2">
        <f ca="1"/>
        <v>0.13753153219129577</v>
      </c>
      <c r="O8414" s="2">
        <f ca="1"/>
        <v>6.8942009614602034E-2</v>
      </c>
      <c r="X8414" s="2">
        <f ca="1"/>
        <v>33.541073237392446</v>
      </c>
      <c r="AG8414" s="2">
        <f ca="1"/>
        <v>0.39001892798414661</v>
      </c>
      <c r="AH8414" s="2" t="str">
        <f ca="1"/>
        <v>OK</v>
      </c>
    </row>
    <row r="8415" spans="2:34" x14ac:dyDescent="0.2">
      <c r="B8415" s="2">
        <f ca="1"/>
        <v>0.61064501448156894</v>
      </c>
      <c r="O8415" s="2">
        <f ca="1"/>
        <v>-1.1790353498976005</v>
      </c>
      <c r="X8415" s="2">
        <f ca="1"/>
        <v>53.402491245940993</v>
      </c>
      <c r="AG8415" s="2">
        <f ca="1"/>
        <v>0.58554263878296431</v>
      </c>
      <c r="AH8415" s="2" t="str">
        <f ca="1"/>
        <v>Bad</v>
      </c>
    </row>
    <row r="8416" spans="2:34" x14ac:dyDescent="0.2">
      <c r="B8416" s="2">
        <f ca="1"/>
        <v>0.38055322351662579</v>
      </c>
      <c r="O8416" s="2">
        <f ca="1"/>
        <v>-0.51960480037896906</v>
      </c>
      <c r="X8416" s="2">
        <f ca="1"/>
        <v>24.988832614263558</v>
      </c>
      <c r="AG8416" s="2">
        <f ca="1"/>
        <v>0.56027878559418709</v>
      </c>
      <c r="AH8416" s="2" t="str">
        <f ca="1"/>
        <v>Bad</v>
      </c>
    </row>
    <row r="8417" spans="2:34" x14ac:dyDescent="0.2">
      <c r="B8417" s="2">
        <f ca="1"/>
        <v>0.8083197294572626</v>
      </c>
      <c r="O8417" s="2">
        <f ca="1"/>
        <v>0.62591610827168909</v>
      </c>
      <c r="X8417" s="2">
        <f ca="1"/>
        <v>60.981481135072229</v>
      </c>
      <c r="AG8417" s="2">
        <f ca="1"/>
        <v>9.7527593596839823E-2</v>
      </c>
      <c r="AH8417" s="2" t="str">
        <f ca="1"/>
        <v>OK</v>
      </c>
    </row>
    <row r="8418" spans="2:34" x14ac:dyDescent="0.2">
      <c r="B8418" s="2">
        <f ca="1"/>
        <v>4.8712982161116303E-2</v>
      </c>
      <c r="O8418" s="2">
        <f ca="1"/>
        <v>1.0678217783680932</v>
      </c>
      <c r="X8418" s="2">
        <f ca="1"/>
        <v>52.051531349640818</v>
      </c>
      <c r="AG8418" s="2">
        <f ca="1"/>
        <v>0.15192605585846386</v>
      </c>
      <c r="AH8418" s="2" t="str">
        <f ca="1"/>
        <v>OK</v>
      </c>
    </row>
    <row r="8419" spans="2:34" x14ac:dyDescent="0.2">
      <c r="B8419" s="2">
        <f ca="1"/>
        <v>0.8056378921580043</v>
      </c>
      <c r="O8419" s="2">
        <f ca="1"/>
        <v>-0.81761275569806524</v>
      </c>
      <c r="X8419" s="2">
        <f ca="1"/>
        <v>41.215254393615332</v>
      </c>
      <c r="AG8419" s="2">
        <f ca="1"/>
        <v>0.61522293555425156</v>
      </c>
      <c r="AH8419" s="2" t="str">
        <f ca="1"/>
        <v>Bad</v>
      </c>
    </row>
    <row r="8420" spans="2:34" x14ac:dyDescent="0.2">
      <c r="B8420" s="2">
        <f ca="1"/>
        <v>0.75185592861081507</v>
      </c>
      <c r="O8420" s="2">
        <f ca="1"/>
        <v>-0.34105533163784246</v>
      </c>
      <c r="X8420" s="2">
        <f ca="1"/>
        <v>40.48222874475379</v>
      </c>
      <c r="AG8420" s="2">
        <f ca="1"/>
        <v>9.402554414583375E-2</v>
      </c>
      <c r="AH8420" s="2" t="str">
        <f ca="1"/>
        <v>OK</v>
      </c>
    </row>
    <row r="8421" spans="2:34" x14ac:dyDescent="0.2">
      <c r="B8421" s="2">
        <f ca="1"/>
        <v>0.5780483493585451</v>
      </c>
      <c r="O8421" s="2">
        <f ca="1"/>
        <v>7.7073147068219564E-2</v>
      </c>
      <c r="X8421" s="2">
        <f ca="1"/>
        <v>65.290272237022961</v>
      </c>
      <c r="AG8421" s="2">
        <f ca="1"/>
        <v>0.26081058389253586</v>
      </c>
      <c r="AH8421" s="2" t="str">
        <f ca="1"/>
        <v>OK</v>
      </c>
    </row>
    <row r="8422" spans="2:34" x14ac:dyDescent="0.2">
      <c r="B8422" s="2">
        <f ca="1"/>
        <v>0.5861351589432866</v>
      </c>
      <c r="O8422" s="2">
        <f ca="1"/>
        <v>1.2500871537449776</v>
      </c>
      <c r="X8422" s="2">
        <f ca="1"/>
        <v>32.37960536826624</v>
      </c>
      <c r="AG8422" s="2">
        <f ca="1"/>
        <v>0.85310441275454241</v>
      </c>
      <c r="AH8422" s="2" t="str">
        <f ca="1"/>
        <v>Bad</v>
      </c>
    </row>
    <row r="8423" spans="2:34" x14ac:dyDescent="0.2">
      <c r="B8423" s="2">
        <f ca="1"/>
        <v>0.5242873364722922</v>
      </c>
      <c r="O8423" s="2">
        <f ca="1"/>
        <v>0.42326622945928744</v>
      </c>
      <c r="X8423" s="2">
        <f ca="1"/>
        <v>41.768113294755345</v>
      </c>
      <c r="AG8423" s="2">
        <f ca="1"/>
        <v>0.290794565360456</v>
      </c>
      <c r="AH8423" s="2" t="str">
        <f ca="1"/>
        <v>OK</v>
      </c>
    </row>
    <row r="8424" spans="2:34" x14ac:dyDescent="0.2">
      <c r="B8424" s="2">
        <f ca="1"/>
        <v>0.77102506922311909</v>
      </c>
      <c r="O8424" s="2">
        <f ca="1"/>
        <v>-2.2865658714235133</v>
      </c>
      <c r="X8424" s="2">
        <f ca="1"/>
        <v>46.09759430837088</v>
      </c>
      <c r="AG8424" s="2">
        <f ca="1"/>
        <v>0.55274046238600372</v>
      </c>
      <c r="AH8424" s="2" t="str">
        <f ca="1"/>
        <v>Bad</v>
      </c>
    </row>
    <row r="8425" spans="2:34" x14ac:dyDescent="0.2">
      <c r="B8425" s="2">
        <f ca="1"/>
        <v>0.36551661926754564</v>
      </c>
      <c r="O8425" s="2">
        <f ca="1"/>
        <v>0.71380330492957855</v>
      </c>
      <c r="X8425" s="2">
        <f ca="1"/>
        <v>55.930980627073666</v>
      </c>
      <c r="AG8425" s="2">
        <f ca="1"/>
        <v>0.23667283749335599</v>
      </c>
      <c r="AH8425" s="2" t="str">
        <f ca="1"/>
        <v>OK</v>
      </c>
    </row>
    <row r="8426" spans="2:34" x14ac:dyDescent="0.2">
      <c r="B8426" s="2">
        <f ca="1"/>
        <v>0.48906632218697599</v>
      </c>
      <c r="O8426" s="2">
        <f ca="1"/>
        <v>2.1311476242481304</v>
      </c>
      <c r="X8426" s="2">
        <f ca="1"/>
        <v>64.919896178877266</v>
      </c>
      <c r="AG8426" s="2">
        <f ca="1"/>
        <v>0.34093489732347693</v>
      </c>
      <c r="AH8426" s="2" t="str">
        <f ca="1"/>
        <v>OK</v>
      </c>
    </row>
    <row r="8427" spans="2:34" x14ac:dyDescent="0.2">
      <c r="B8427" s="2">
        <f ca="1"/>
        <v>2.4662623670841155E-2</v>
      </c>
      <c r="O8427" s="2">
        <f ca="1"/>
        <v>0.31363843975877737</v>
      </c>
      <c r="X8427" s="2">
        <f ca="1"/>
        <v>44.115734609726957</v>
      </c>
      <c r="AG8427" s="2">
        <f ca="1"/>
        <v>0.32035696878217257</v>
      </c>
      <c r="AH8427" s="2" t="str">
        <f ca="1"/>
        <v>OK</v>
      </c>
    </row>
    <row r="8428" spans="2:34" x14ac:dyDescent="0.2">
      <c r="B8428" s="2">
        <f ca="1"/>
        <v>0.7852607097724138</v>
      </c>
      <c r="O8428" s="2">
        <f ca="1"/>
        <v>-0.89945928636285766</v>
      </c>
      <c r="X8428" s="2">
        <f ca="1"/>
        <v>75.331245589959778</v>
      </c>
      <c r="AG8428" s="2">
        <f ca="1"/>
        <v>0.90272607840119035</v>
      </c>
      <c r="AH8428" s="2" t="str">
        <f ca="1"/>
        <v>Bad</v>
      </c>
    </row>
    <row r="8429" spans="2:34" x14ac:dyDescent="0.2">
      <c r="B8429" s="2">
        <f ca="1"/>
        <v>0.89920680318065527</v>
      </c>
      <c r="O8429" s="2">
        <f ca="1"/>
        <v>-2.190018829517379</v>
      </c>
      <c r="X8429" s="2">
        <f ca="1"/>
        <v>51.740581000554698</v>
      </c>
      <c r="AG8429" s="2">
        <f ca="1"/>
        <v>0.26423076392977629</v>
      </c>
      <c r="AH8429" s="2" t="str">
        <f ca="1"/>
        <v>OK</v>
      </c>
    </row>
    <row r="8430" spans="2:34" x14ac:dyDescent="0.2">
      <c r="B8430" s="2">
        <f ca="1"/>
        <v>0.60187629516905528</v>
      </c>
      <c r="O8430" s="2">
        <f ca="1"/>
        <v>0.45577663036653299</v>
      </c>
      <c r="X8430" s="2">
        <f ca="1"/>
        <v>42.089001294630883</v>
      </c>
      <c r="AG8430" s="2">
        <f ca="1"/>
        <v>0.34388255588946515</v>
      </c>
      <c r="AH8430" s="2" t="str">
        <f ca="1"/>
        <v>OK</v>
      </c>
    </row>
    <row r="8431" spans="2:34" x14ac:dyDescent="0.2">
      <c r="B8431" s="2">
        <f ca="1"/>
        <v>0.90766958039695766</v>
      </c>
      <c r="O8431" s="2">
        <f ca="1"/>
        <v>0.69141255543296043</v>
      </c>
      <c r="X8431" s="2">
        <f ca="1"/>
        <v>29.944942815770972</v>
      </c>
      <c r="AG8431" s="2">
        <f ca="1"/>
        <v>0.5270937398894755</v>
      </c>
      <c r="AH8431" s="2" t="str">
        <f ca="1"/>
        <v>Bad</v>
      </c>
    </row>
    <row r="8432" spans="2:34" x14ac:dyDescent="0.2">
      <c r="B8432" s="2">
        <f ca="1"/>
        <v>0.10963973028658658</v>
      </c>
      <c r="O8432" s="2">
        <f ca="1"/>
        <v>-0.91541756431058485</v>
      </c>
      <c r="X8432" s="2">
        <f ca="1"/>
        <v>58.70375025586835</v>
      </c>
      <c r="AG8432" s="2">
        <f ca="1"/>
        <v>0.53427758591582619</v>
      </c>
      <c r="AH8432" s="2" t="str">
        <f ca="1"/>
        <v>Bad</v>
      </c>
    </row>
    <row r="8433" spans="2:34" x14ac:dyDescent="0.2">
      <c r="B8433" s="2">
        <f ca="1"/>
        <v>0.1648272141228504</v>
      </c>
      <c r="O8433" s="2">
        <f ca="1"/>
        <v>-0.66053240679904113</v>
      </c>
      <c r="X8433" s="2">
        <f ca="1"/>
        <v>37.24110914863985</v>
      </c>
      <c r="AG8433" s="2">
        <f ca="1"/>
        <v>0.48543903774033592</v>
      </c>
      <c r="AH8433" s="2" t="str">
        <f ca="1"/>
        <v>Bad</v>
      </c>
    </row>
    <row r="8434" spans="2:34" x14ac:dyDescent="0.2">
      <c r="B8434" s="2">
        <f ca="1"/>
        <v>0.73069562415898548</v>
      </c>
      <c r="O8434" s="2">
        <f ca="1"/>
        <v>-1.7315936037655917</v>
      </c>
      <c r="X8434" s="2">
        <f ca="1"/>
        <v>23.298095281339034</v>
      </c>
      <c r="AG8434" s="2">
        <f ca="1"/>
        <v>0.49716218376696797</v>
      </c>
      <c r="AH8434" s="2" t="str">
        <f ca="1"/>
        <v>Bad</v>
      </c>
    </row>
    <row r="8435" spans="2:34" x14ac:dyDescent="0.2">
      <c r="B8435" s="2">
        <f ca="1"/>
        <v>0.30787259212952689</v>
      </c>
      <c r="O8435" s="2">
        <f ca="1"/>
        <v>0.20468509768168039</v>
      </c>
      <c r="X8435" s="2">
        <f ca="1"/>
        <v>60.991426774379619</v>
      </c>
      <c r="AG8435" s="2">
        <f ca="1"/>
        <v>3.2759839440836824E-3</v>
      </c>
      <c r="AH8435" s="2" t="str">
        <f ca="1"/>
        <v>Good</v>
      </c>
    </row>
    <row r="8436" spans="2:34" x14ac:dyDescent="0.2">
      <c r="B8436" s="2">
        <f ca="1"/>
        <v>0.67366197868121325</v>
      </c>
      <c r="O8436" s="2">
        <f ca="1"/>
        <v>1.1530234626682825</v>
      </c>
      <c r="X8436" s="2">
        <f ca="1"/>
        <v>95.603367498126943</v>
      </c>
      <c r="AG8436" s="2">
        <f ca="1"/>
        <v>8.1870812885441957E-2</v>
      </c>
      <c r="AH8436" s="2" t="str">
        <f ca="1"/>
        <v>OK</v>
      </c>
    </row>
    <row r="8437" spans="2:34" x14ac:dyDescent="0.2">
      <c r="B8437" s="2">
        <f ca="1"/>
        <v>0.74030002283746299</v>
      </c>
      <c r="O8437" s="2">
        <f ca="1"/>
        <v>-0.4860248962318422</v>
      </c>
      <c r="X8437" s="2">
        <f ca="1"/>
        <v>41.413252656831865</v>
      </c>
      <c r="AG8437" s="2">
        <f ca="1"/>
        <v>0.14717858780543103</v>
      </c>
      <c r="AH8437" s="2" t="str">
        <f ca="1"/>
        <v>OK</v>
      </c>
    </row>
    <row r="8438" spans="2:34" x14ac:dyDescent="0.2">
      <c r="B8438" s="2">
        <f ca="1"/>
        <v>0.62724527741913816</v>
      </c>
      <c r="O8438" s="2">
        <f ca="1"/>
        <v>0.41770654858478734</v>
      </c>
      <c r="X8438" s="2">
        <f ca="1"/>
        <v>61.56519434760115</v>
      </c>
      <c r="AG8438" s="2">
        <f ca="1"/>
        <v>0.54832277871524826</v>
      </c>
      <c r="AH8438" s="2" t="str">
        <f ca="1"/>
        <v>Bad</v>
      </c>
    </row>
    <row r="8439" spans="2:34" x14ac:dyDescent="0.2">
      <c r="B8439" s="2">
        <f ca="1"/>
        <v>0.30846185933973636</v>
      </c>
      <c r="O8439" s="2">
        <f ca="1"/>
        <v>-1.5007657032123101</v>
      </c>
      <c r="X8439" s="2">
        <f ca="1"/>
        <v>39.54496554686358</v>
      </c>
      <c r="AG8439" s="2">
        <f ca="1"/>
        <v>0.22229313277404872</v>
      </c>
      <c r="AH8439" s="2" t="str">
        <f ca="1"/>
        <v>OK</v>
      </c>
    </row>
    <row r="8440" spans="2:34" x14ac:dyDescent="0.2">
      <c r="B8440" s="2">
        <f ca="1"/>
        <v>0.9106232990863854</v>
      </c>
      <c r="O8440" s="2">
        <f ca="1"/>
        <v>-0.90590902489748604</v>
      </c>
      <c r="X8440" s="2">
        <f ca="1"/>
        <v>41.04905107095162</v>
      </c>
      <c r="AG8440" s="2">
        <f ca="1"/>
        <v>0.37709738490667433</v>
      </c>
      <c r="AH8440" s="2" t="str">
        <f ca="1"/>
        <v>OK</v>
      </c>
    </row>
    <row r="8441" spans="2:34" x14ac:dyDescent="0.2">
      <c r="B8441" s="2">
        <f ca="1"/>
        <v>0.65147854869058364</v>
      </c>
      <c r="O8441" s="2">
        <f ca="1"/>
        <v>-0.21658968217623026</v>
      </c>
      <c r="X8441" s="2">
        <f ca="1"/>
        <v>49.03852017511084</v>
      </c>
      <c r="AG8441" s="2">
        <f ca="1"/>
        <v>0.12499239099044823</v>
      </c>
      <c r="AH8441" s="2" t="str">
        <f ca="1"/>
        <v>OK</v>
      </c>
    </row>
    <row r="8442" spans="2:34" x14ac:dyDescent="0.2">
      <c r="B8442" s="2">
        <f ca="1"/>
        <v>0.60177511095217007</v>
      </c>
      <c r="O8442" s="2">
        <f ca="1"/>
        <v>-0.42455838907363491</v>
      </c>
      <c r="X8442" s="2">
        <f ca="1"/>
        <v>37.602428848438485</v>
      </c>
      <c r="AG8442" s="2">
        <f ca="1"/>
        <v>0.94536905140179739</v>
      </c>
      <c r="AH8442" s="2" t="str">
        <f ca="1"/>
        <v>Bad</v>
      </c>
    </row>
    <row r="8443" spans="2:34" x14ac:dyDescent="0.2">
      <c r="B8443" s="2">
        <f ca="1"/>
        <v>0.95556882760231265</v>
      </c>
      <c r="O8443" s="2">
        <f ca="1"/>
        <v>1.3837362066507581</v>
      </c>
      <c r="X8443" s="2">
        <f ca="1"/>
        <v>37.728700904421018</v>
      </c>
      <c r="AG8443" s="2">
        <f ca="1"/>
        <v>0.13372191705207692</v>
      </c>
      <c r="AH8443" s="2" t="str">
        <f ca="1"/>
        <v>OK</v>
      </c>
    </row>
    <row r="8444" spans="2:34" x14ac:dyDescent="0.2">
      <c r="B8444" s="2">
        <f ca="1"/>
        <v>0.62452607576383423</v>
      </c>
      <c r="O8444" s="2">
        <f ca="1"/>
        <v>-0.93646369804537577</v>
      </c>
      <c r="X8444" s="2">
        <f ca="1"/>
        <v>47.857003966484164</v>
      </c>
      <c r="AG8444" s="2">
        <f ca="1"/>
        <v>7.8450007476850159E-2</v>
      </c>
      <c r="AH8444" s="2" t="str">
        <f ca="1"/>
        <v>OK</v>
      </c>
    </row>
    <row r="8445" spans="2:34" x14ac:dyDescent="0.2">
      <c r="B8445" s="2">
        <f ca="1"/>
        <v>0.80136158005738323</v>
      </c>
      <c r="O8445" s="2">
        <f ca="1"/>
        <v>0.78583601834680294</v>
      </c>
      <c r="X8445" s="2">
        <f ca="1"/>
        <v>48.231462945281159</v>
      </c>
      <c r="AG8445" s="2">
        <f ca="1"/>
        <v>0.68526465581384821</v>
      </c>
      <c r="AH8445" s="2" t="str">
        <f ca="1"/>
        <v>Bad</v>
      </c>
    </row>
    <row r="8446" spans="2:34" x14ac:dyDescent="0.2">
      <c r="B8446" s="2">
        <f ca="1"/>
        <v>0.89321399704621629</v>
      </c>
      <c r="O8446" s="2">
        <f ca="1"/>
        <v>0.2536416933219327</v>
      </c>
      <c r="X8446" s="2">
        <f ca="1"/>
        <v>38.022728819276416</v>
      </c>
      <c r="AG8446" s="2">
        <f ca="1"/>
        <v>0.14573425442123322</v>
      </c>
      <c r="AH8446" s="2" t="str">
        <f ca="1"/>
        <v>OK</v>
      </c>
    </row>
    <row r="8447" spans="2:34" x14ac:dyDescent="0.2">
      <c r="B8447" s="2">
        <f ca="1"/>
        <v>0.15983413792332279</v>
      </c>
      <c r="O8447" s="2">
        <f ca="1"/>
        <v>-8.1247835314500613E-4</v>
      </c>
      <c r="X8447" s="2">
        <f ca="1"/>
        <v>46.58156894925736</v>
      </c>
      <c r="AG8447" s="2">
        <f ca="1"/>
        <v>0.12652375463430832</v>
      </c>
      <c r="AH8447" s="2" t="str">
        <f ca="1"/>
        <v>OK</v>
      </c>
    </row>
    <row r="8448" spans="2:34" x14ac:dyDescent="0.2">
      <c r="B8448" s="2">
        <f ca="1"/>
        <v>0.39720610956338276</v>
      </c>
      <c r="O8448" s="2">
        <f ca="1"/>
        <v>-0.8827865070140074</v>
      </c>
      <c r="X8448" s="2">
        <f ca="1"/>
        <v>20.75270692846879</v>
      </c>
      <c r="AG8448" s="2">
        <f ca="1"/>
        <v>0.11187474943971187</v>
      </c>
      <c r="AH8448" s="2" t="str">
        <f ca="1"/>
        <v>OK</v>
      </c>
    </row>
    <row r="8449" spans="2:34" x14ac:dyDescent="0.2">
      <c r="B8449" s="2">
        <f ca="1"/>
        <v>0.18201559175695703</v>
      </c>
      <c r="O8449" s="2">
        <f ca="1"/>
        <v>-1.9058513445645484</v>
      </c>
      <c r="X8449" s="2">
        <f ca="1"/>
        <v>38.6395278431891</v>
      </c>
      <c r="AG8449" s="2">
        <f ca="1"/>
        <v>0.90807662637175057</v>
      </c>
      <c r="AH8449" s="2" t="str">
        <f ca="1"/>
        <v>Bad</v>
      </c>
    </row>
    <row r="8450" spans="2:34" x14ac:dyDescent="0.2">
      <c r="B8450" s="2">
        <f ca="1"/>
        <v>0.41692663273523367</v>
      </c>
      <c r="O8450" s="2">
        <f ca="1"/>
        <v>1.9511769577775919</v>
      </c>
      <c r="X8450" s="2">
        <f ca="1"/>
        <v>72.444722151248271</v>
      </c>
      <c r="AG8450" s="2">
        <f ca="1"/>
        <v>0.18993930288893712</v>
      </c>
      <c r="AH8450" s="2" t="str">
        <f ca="1"/>
        <v>OK</v>
      </c>
    </row>
    <row r="8451" spans="2:34" x14ac:dyDescent="0.2">
      <c r="B8451" s="2">
        <f ca="1"/>
        <v>0.23273526545903223</v>
      </c>
      <c r="O8451" s="2">
        <f ca="1"/>
        <v>-0.60862921018734906</v>
      </c>
      <c r="X8451" s="2">
        <f ca="1"/>
        <v>70.755112678280113</v>
      </c>
      <c r="AG8451" s="2">
        <f ca="1"/>
        <v>0.2864157107716836</v>
      </c>
      <c r="AH8451" s="2" t="str">
        <f ca="1"/>
        <v>OK</v>
      </c>
    </row>
    <row r="8452" spans="2:34" x14ac:dyDescent="0.2">
      <c r="B8452" s="2">
        <f ca="1"/>
        <v>0.81426799366860569</v>
      </c>
      <c r="O8452" s="2">
        <f ca="1"/>
        <v>0.54150248572639825</v>
      </c>
      <c r="X8452" s="2">
        <f ca="1"/>
        <v>34.264381401752424</v>
      </c>
      <c r="AG8452" s="2">
        <f ca="1"/>
        <v>0.7211791144062667</v>
      </c>
      <c r="AH8452" s="2" t="str">
        <f ca="1"/>
        <v>Bad</v>
      </c>
    </row>
    <row r="8453" spans="2:34" x14ac:dyDescent="0.2">
      <c r="B8453" s="2">
        <f ca="1"/>
        <v>0.48565751509647792</v>
      </c>
      <c r="O8453" s="2">
        <f ca="1"/>
        <v>1.7184349346533889</v>
      </c>
      <c r="X8453" s="2">
        <f ca="1"/>
        <v>78.441134579961641</v>
      </c>
      <c r="AG8453" s="2">
        <f ca="1"/>
        <v>0.85130542849737778</v>
      </c>
      <c r="AH8453" s="2" t="str">
        <f ca="1"/>
        <v>Bad</v>
      </c>
    </row>
    <row r="8454" spans="2:34" x14ac:dyDescent="0.2">
      <c r="B8454" s="2">
        <f ca="1"/>
        <v>0.55918188090821452</v>
      </c>
      <c r="O8454" s="2">
        <f ca="1"/>
        <v>-1.0691487497077234</v>
      </c>
      <c r="X8454" s="2">
        <f ca="1"/>
        <v>47.879232793314117</v>
      </c>
      <c r="AG8454" s="2">
        <f ca="1"/>
        <v>0.83067518279411812</v>
      </c>
      <c r="AH8454" s="2" t="str">
        <f ca="1"/>
        <v>Bad</v>
      </c>
    </row>
    <row r="8455" spans="2:34" x14ac:dyDescent="0.2">
      <c r="B8455" s="2">
        <f ca="1"/>
        <v>0.76068597777513047</v>
      </c>
      <c r="O8455" s="2">
        <f ca="1"/>
        <v>0.13623023841121482</v>
      </c>
      <c r="X8455" s="2">
        <f ca="1"/>
        <v>39.678829950476015</v>
      </c>
      <c r="AG8455" s="2">
        <f ca="1"/>
        <v>0.45521079032165268</v>
      </c>
      <c r="AH8455" s="2" t="str">
        <f ca="1"/>
        <v>Bad</v>
      </c>
    </row>
    <row r="8456" spans="2:34" x14ac:dyDescent="0.2">
      <c r="B8456" s="2">
        <f ca="1"/>
        <v>0.6526856485710435</v>
      </c>
      <c r="O8456" s="2">
        <f ca="1"/>
        <v>-0.17281411257976845</v>
      </c>
      <c r="X8456" s="2">
        <f ca="1"/>
        <v>53.856035665058187</v>
      </c>
      <c r="AG8456" s="2">
        <f ca="1"/>
        <v>0.90642101805810427</v>
      </c>
      <c r="AH8456" s="2" t="str">
        <f ca="1"/>
        <v>Bad</v>
      </c>
    </row>
    <row r="8457" spans="2:34" x14ac:dyDescent="0.2">
      <c r="B8457" s="2">
        <f ca="1"/>
        <v>0.9543078302264465</v>
      </c>
      <c r="O8457" s="2">
        <f ca="1"/>
        <v>-0.49378823199888405</v>
      </c>
      <c r="X8457" s="2">
        <f ca="1"/>
        <v>49.090822790324317</v>
      </c>
      <c r="AG8457" s="2">
        <f ca="1"/>
        <v>0.20314208988017279</v>
      </c>
      <c r="AH8457" s="2" t="str">
        <f ca="1"/>
        <v>OK</v>
      </c>
    </row>
    <row r="8458" spans="2:34" x14ac:dyDescent="0.2">
      <c r="B8458" s="2">
        <f ca="1"/>
        <v>0.66024795620761934</v>
      </c>
      <c r="O8458" s="2">
        <f ca="1"/>
        <v>-0.84019002094044781</v>
      </c>
      <c r="X8458" s="2">
        <f ca="1"/>
        <v>35.595253656155926</v>
      </c>
      <c r="AG8458" s="2">
        <f ca="1"/>
        <v>0.9271501988194899</v>
      </c>
      <c r="AH8458" s="2" t="str">
        <f ca="1"/>
        <v>Bad</v>
      </c>
    </row>
    <row r="8459" spans="2:34" x14ac:dyDescent="0.2">
      <c r="B8459" s="2">
        <f ca="1"/>
        <v>0.67057038991527329</v>
      </c>
      <c r="O8459" s="2">
        <f ca="1"/>
        <v>1.1011323941739599</v>
      </c>
      <c r="X8459" s="2">
        <f ca="1"/>
        <v>44.883212041843386</v>
      </c>
      <c r="AG8459" s="2">
        <f ca="1"/>
        <v>0.27841214228373068</v>
      </c>
      <c r="AH8459" s="2" t="str">
        <f ca="1"/>
        <v>OK</v>
      </c>
    </row>
    <row r="8460" spans="2:34" x14ac:dyDescent="0.2">
      <c r="B8460" s="2">
        <f ca="1"/>
        <v>0.81051342663355963</v>
      </c>
      <c r="O8460" s="2">
        <f ca="1"/>
        <v>-0.52215536914558425</v>
      </c>
      <c r="X8460" s="2">
        <f ca="1"/>
        <v>34.254293803008458</v>
      </c>
      <c r="AG8460" s="2">
        <f ca="1"/>
        <v>0.44459745762088043</v>
      </c>
      <c r="AH8460" s="2" t="str">
        <f ca="1"/>
        <v>Bad</v>
      </c>
    </row>
    <row r="8461" spans="2:34" x14ac:dyDescent="0.2">
      <c r="B8461" s="2">
        <f ca="1"/>
        <v>0.57810540613257455</v>
      </c>
      <c r="O8461" s="2">
        <f ca="1"/>
        <v>-0.65678752410766827</v>
      </c>
      <c r="X8461" s="2">
        <f ca="1"/>
        <v>31.401010836979523</v>
      </c>
      <c r="AG8461" s="2">
        <f ca="1"/>
        <v>0.24371511716579497</v>
      </c>
      <c r="AH8461" s="2" t="str">
        <f ca="1"/>
        <v>OK</v>
      </c>
    </row>
    <row r="8462" spans="2:34" x14ac:dyDescent="0.2">
      <c r="B8462" s="2">
        <f ca="1"/>
        <v>0.59183280758898649</v>
      </c>
      <c r="O8462" s="2">
        <f ca="1"/>
        <v>-0.28963544375941752</v>
      </c>
      <c r="X8462" s="2">
        <f ca="1"/>
        <v>57.900485834190874</v>
      </c>
      <c r="AG8462" s="2">
        <f ca="1"/>
        <v>0.77004048860241481</v>
      </c>
      <c r="AH8462" s="2" t="str">
        <f ca="1"/>
        <v>Bad</v>
      </c>
    </row>
    <row r="8463" spans="2:34" x14ac:dyDescent="0.2">
      <c r="B8463" s="2">
        <f ca="1"/>
        <v>0.48492944529055038</v>
      </c>
      <c r="O8463" s="2">
        <f ca="1"/>
        <v>0.92853787342932903</v>
      </c>
      <c r="X8463" s="2">
        <f ca="1"/>
        <v>47.138221851741307</v>
      </c>
      <c r="AG8463" s="2">
        <f ca="1"/>
        <v>0.18815983686335813</v>
      </c>
      <c r="AH8463" s="2" t="str">
        <f ca="1"/>
        <v>OK</v>
      </c>
    </row>
    <row r="8464" spans="2:34" x14ac:dyDescent="0.2">
      <c r="B8464" s="2">
        <f ca="1"/>
        <v>0.25699702821736836</v>
      </c>
      <c r="O8464" s="2">
        <f ca="1"/>
        <v>0.82731387867336015</v>
      </c>
      <c r="X8464" s="2">
        <f ca="1"/>
        <v>33.012439029133304</v>
      </c>
      <c r="AG8464" s="2">
        <f ca="1"/>
        <v>0.48587865249995787</v>
      </c>
      <c r="AH8464" s="2" t="str">
        <f ca="1"/>
        <v>Bad</v>
      </c>
    </row>
    <row r="8465" spans="2:34" x14ac:dyDescent="0.2">
      <c r="B8465" s="2">
        <f ca="1"/>
        <v>0.12997812898329575</v>
      </c>
      <c r="O8465" s="2">
        <f ca="1"/>
        <v>0.15868400528599746</v>
      </c>
      <c r="X8465" s="2">
        <f ca="1"/>
        <v>42.241720857167913</v>
      </c>
      <c r="AG8465" s="2">
        <f ca="1"/>
        <v>1.4294859082728095E-2</v>
      </c>
      <c r="AH8465" s="2" t="str">
        <f ca="1"/>
        <v>Good</v>
      </c>
    </row>
    <row r="8466" spans="2:34" x14ac:dyDescent="0.2">
      <c r="B8466" s="2">
        <f ca="1"/>
        <v>0.54864220242154271</v>
      </c>
      <c r="O8466" s="2">
        <f ca="1"/>
        <v>-0.5919588564217777</v>
      </c>
      <c r="X8466" s="2">
        <f ca="1"/>
        <v>50.861204670568966</v>
      </c>
      <c r="AG8466" s="2">
        <f ca="1"/>
        <v>0.72419409343839214</v>
      </c>
      <c r="AH8466" s="2" t="str">
        <f ca="1"/>
        <v>Bad</v>
      </c>
    </row>
    <row r="8467" spans="2:34" x14ac:dyDescent="0.2">
      <c r="B8467" s="2">
        <f ca="1"/>
        <v>0.22209871013308624</v>
      </c>
      <c r="O8467" s="2">
        <f ca="1"/>
        <v>0.65892259489569771</v>
      </c>
      <c r="X8467" s="2">
        <f ca="1"/>
        <v>39.766355742534429</v>
      </c>
      <c r="AG8467" s="2">
        <f ca="1"/>
        <v>0.19617177430705235</v>
      </c>
      <c r="AH8467" s="2" t="str">
        <f ca="1"/>
        <v>OK</v>
      </c>
    </row>
    <row r="8468" spans="2:34" x14ac:dyDescent="0.2">
      <c r="B8468" s="2">
        <f ca="1"/>
        <v>0.63151867519920279</v>
      </c>
      <c r="O8468" s="2">
        <f ca="1"/>
        <v>-0.39442768514170889</v>
      </c>
      <c r="X8468" s="2">
        <f ca="1"/>
        <v>45.421200580873645</v>
      </c>
      <c r="AG8468" s="2">
        <f ca="1"/>
        <v>0.86823800084268554</v>
      </c>
      <c r="AH8468" s="2" t="str">
        <f ca="1"/>
        <v>Bad</v>
      </c>
    </row>
    <row r="8469" spans="2:34" x14ac:dyDescent="0.2">
      <c r="B8469" s="2">
        <f ca="1"/>
        <v>0.99623659997740033</v>
      </c>
      <c r="O8469" s="2">
        <f ca="1"/>
        <v>-0.42632508878780545</v>
      </c>
      <c r="X8469" s="2">
        <f ca="1"/>
        <v>27.542179000534418</v>
      </c>
      <c r="AG8469" s="2">
        <f ca="1"/>
        <v>0.45591395264801715</v>
      </c>
      <c r="AH8469" s="2" t="str">
        <f ca="1"/>
        <v>Bad</v>
      </c>
    </row>
    <row r="8470" spans="2:34" x14ac:dyDescent="0.2">
      <c r="B8470" s="2">
        <f ca="1"/>
        <v>0.84876651820750104</v>
      </c>
      <c r="O8470" s="2">
        <f ca="1"/>
        <v>-0.82027172961170947</v>
      </c>
      <c r="X8470" s="2">
        <f ca="1"/>
        <v>46.626135377953418</v>
      </c>
      <c r="AG8470" s="2">
        <f ca="1"/>
        <v>0.21982239777603207</v>
      </c>
      <c r="AH8470" s="2" t="str">
        <f ca="1"/>
        <v>OK</v>
      </c>
    </row>
    <row r="8471" spans="2:34" x14ac:dyDescent="0.2">
      <c r="B8471" s="2">
        <f ca="1"/>
        <v>0.24331577998251896</v>
      </c>
      <c r="O8471" s="2">
        <f ca="1"/>
        <v>1.4461940537222888</v>
      </c>
      <c r="X8471" s="2">
        <f ca="1"/>
        <v>36.858967078371585</v>
      </c>
      <c r="AG8471" s="2">
        <f ca="1"/>
        <v>0.39542357673944828</v>
      </c>
      <c r="AH8471" s="2" t="str">
        <f ca="1"/>
        <v>OK</v>
      </c>
    </row>
    <row r="8472" spans="2:34" x14ac:dyDescent="0.2">
      <c r="B8472" s="2">
        <f ca="1"/>
        <v>0.97208041435703985</v>
      </c>
      <c r="O8472" s="2">
        <f ca="1"/>
        <v>-1.674941659082531</v>
      </c>
      <c r="X8472" s="2">
        <f ca="1"/>
        <v>52.870672173695468</v>
      </c>
      <c r="AG8472" s="2">
        <f ca="1"/>
        <v>0.82538922188452957</v>
      </c>
      <c r="AH8472" s="2" t="str">
        <f ca="1"/>
        <v>Bad</v>
      </c>
    </row>
    <row r="8473" spans="2:34" x14ac:dyDescent="0.2">
      <c r="B8473" s="2">
        <f ca="1"/>
        <v>0.35309363506240188</v>
      </c>
      <c r="O8473" s="2">
        <f ca="1"/>
        <v>-1.0852621892604457</v>
      </c>
      <c r="X8473" s="2">
        <f ca="1"/>
        <v>48.460553663679008</v>
      </c>
      <c r="AG8473" s="2">
        <f ca="1"/>
        <v>0.52191550526857688</v>
      </c>
      <c r="AH8473" s="2" t="str">
        <f ca="1"/>
        <v>Bad</v>
      </c>
    </row>
    <row r="8474" spans="2:34" x14ac:dyDescent="0.2">
      <c r="B8474" s="2">
        <f ca="1"/>
        <v>0.58692949573552666</v>
      </c>
      <c r="O8474" s="2">
        <f ca="1"/>
        <v>-0.33469342132404739</v>
      </c>
      <c r="X8474" s="2">
        <f ca="1"/>
        <v>55.243601057099511</v>
      </c>
      <c r="AG8474" s="2">
        <f ca="1"/>
        <v>1.4064172099398586E-2</v>
      </c>
      <c r="AH8474" s="2" t="str">
        <f ca="1"/>
        <v>Good</v>
      </c>
    </row>
    <row r="8475" spans="2:34" x14ac:dyDescent="0.2">
      <c r="B8475" s="2">
        <f ca="1"/>
        <v>0.27837597235575062</v>
      </c>
      <c r="O8475" s="2">
        <f ca="1"/>
        <v>0.91073325768551872</v>
      </c>
      <c r="X8475" s="2">
        <f ca="1"/>
        <v>31.816860441414704</v>
      </c>
      <c r="AG8475" s="2">
        <f ca="1"/>
        <v>0.24962918880994556</v>
      </c>
      <c r="AH8475" s="2" t="str">
        <f ca="1"/>
        <v>OK</v>
      </c>
    </row>
    <row r="8476" spans="2:34" x14ac:dyDescent="0.2">
      <c r="B8476" s="2">
        <f ca="1"/>
        <v>0.84458646304855423</v>
      </c>
      <c r="O8476" s="2">
        <f ca="1"/>
        <v>-0.19501885140130815</v>
      </c>
      <c r="X8476" s="2">
        <f ca="1"/>
        <v>63.418755100039192</v>
      </c>
      <c r="AG8476" s="2">
        <f ca="1"/>
        <v>0.49753136843437673</v>
      </c>
      <c r="AH8476" s="2" t="str">
        <f ca="1"/>
        <v>Bad</v>
      </c>
    </row>
    <row r="8477" spans="2:34" x14ac:dyDescent="0.2">
      <c r="B8477" s="2">
        <f ca="1"/>
        <v>0.70440823136089414</v>
      </c>
      <c r="O8477" s="2">
        <f ca="1"/>
        <v>0.81797552525547468</v>
      </c>
      <c r="X8477" s="2">
        <f ca="1"/>
        <v>89.0778185264125</v>
      </c>
      <c r="AG8477" s="2">
        <f ca="1"/>
        <v>0.42476084483380983</v>
      </c>
      <c r="AH8477" s="2" t="str">
        <f ca="1"/>
        <v>Bad</v>
      </c>
    </row>
    <row r="8478" spans="2:34" x14ac:dyDescent="0.2">
      <c r="B8478" s="2">
        <f ca="1"/>
        <v>0.55268941460432153</v>
      </c>
      <c r="O8478" s="2">
        <f ca="1"/>
        <v>-0.70022452106516819</v>
      </c>
      <c r="X8478" s="2">
        <f ca="1"/>
        <v>62.160491847347345</v>
      </c>
      <c r="AG8478" s="2">
        <f ca="1"/>
        <v>0.62986988581320991</v>
      </c>
      <c r="AH8478" s="2" t="str">
        <f ca="1"/>
        <v>Bad</v>
      </c>
    </row>
    <row r="8479" spans="2:34" x14ac:dyDescent="0.2">
      <c r="B8479" s="2">
        <f ca="1"/>
        <v>0.15232056735137323</v>
      </c>
      <c r="O8479" s="2">
        <f ca="1"/>
        <v>-0.82962283702118222</v>
      </c>
      <c r="X8479" s="2">
        <f ca="1"/>
        <v>68.05159624378183</v>
      </c>
      <c r="AG8479" s="2">
        <f ca="1"/>
        <v>0.12178519792551445</v>
      </c>
      <c r="AH8479" s="2" t="str">
        <f ca="1"/>
        <v>OK</v>
      </c>
    </row>
    <row r="8480" spans="2:34" x14ac:dyDescent="0.2">
      <c r="B8480" s="2">
        <f ca="1"/>
        <v>0.95964740040781971</v>
      </c>
      <c r="O8480" s="2">
        <f ca="1"/>
        <v>-1.3218554522295602</v>
      </c>
      <c r="X8480" s="2">
        <f ca="1"/>
        <v>42.923610514613415</v>
      </c>
      <c r="AG8480" s="2">
        <f ca="1"/>
        <v>0.16919231857409733</v>
      </c>
      <c r="AH8480" s="2" t="str">
        <f ca="1"/>
        <v>OK</v>
      </c>
    </row>
    <row r="8481" spans="2:34" x14ac:dyDescent="0.2">
      <c r="B8481" s="2">
        <f ca="1"/>
        <v>0.4380090750681358</v>
      </c>
      <c r="O8481" s="2">
        <f ca="1"/>
        <v>7.8904119882871993E-2</v>
      </c>
      <c r="X8481" s="2">
        <f ca="1"/>
        <v>45.074057394932524</v>
      </c>
      <c r="AG8481" s="2">
        <f ca="1"/>
        <v>7.3404103353150285E-2</v>
      </c>
      <c r="AH8481" s="2" t="str">
        <f ca="1"/>
        <v>OK</v>
      </c>
    </row>
    <row r="8482" spans="2:34" x14ac:dyDescent="0.2">
      <c r="B8482" s="2">
        <f ca="1"/>
        <v>0.71818540890688176</v>
      </c>
      <c r="O8482" s="2">
        <f ca="1"/>
        <v>0.42359656339626139</v>
      </c>
      <c r="X8482" s="2">
        <f ca="1"/>
        <v>42.477145778989929</v>
      </c>
      <c r="AG8482" s="2">
        <f ca="1"/>
        <v>0.2834480146547611</v>
      </c>
      <c r="AH8482" s="2" t="str">
        <f ca="1"/>
        <v>OK</v>
      </c>
    </row>
    <row r="8483" spans="2:34" x14ac:dyDescent="0.2">
      <c r="B8483" s="2">
        <f ca="1"/>
        <v>0.52990308996872804</v>
      </c>
      <c r="O8483" s="2">
        <f ca="1"/>
        <v>0.76477008541708158</v>
      </c>
      <c r="X8483" s="2">
        <f ca="1"/>
        <v>41.804932061616185</v>
      </c>
      <c r="AG8483" s="2">
        <f ca="1"/>
        <v>0.77250438376620445</v>
      </c>
      <c r="AH8483" s="2" t="str">
        <f ca="1"/>
        <v>Bad</v>
      </c>
    </row>
    <row r="8484" spans="2:34" x14ac:dyDescent="0.2">
      <c r="B8484" s="2">
        <f ca="1"/>
        <v>0.54616411561187594</v>
      </c>
      <c r="O8484" s="2">
        <f ca="1"/>
        <v>0.54478302238636933</v>
      </c>
      <c r="X8484" s="2">
        <f ca="1"/>
        <v>68.582048016920766</v>
      </c>
      <c r="AG8484" s="2">
        <f ca="1"/>
        <v>0.83008556839055814</v>
      </c>
      <c r="AH8484" s="2" t="str">
        <f ca="1"/>
        <v>Bad</v>
      </c>
    </row>
    <row r="8485" spans="2:34" x14ac:dyDescent="0.2">
      <c r="B8485" s="2">
        <f ca="1"/>
        <v>0.33401918444215872</v>
      </c>
      <c r="O8485" s="2">
        <f ca="1"/>
        <v>0.36263412801244266</v>
      </c>
      <c r="X8485" s="2">
        <f ca="1"/>
        <v>31.249876030439829</v>
      </c>
      <c r="AG8485" s="2">
        <f ca="1"/>
        <v>0.5029729991992824</v>
      </c>
      <c r="AH8485" s="2" t="str">
        <f ca="1"/>
        <v>Bad</v>
      </c>
    </row>
    <row r="8486" spans="2:34" x14ac:dyDescent="0.2">
      <c r="B8486" s="2">
        <f ca="1"/>
        <v>0.66192248571886503</v>
      </c>
      <c r="O8486" s="2">
        <f ca="1"/>
        <v>0.49406890346751853</v>
      </c>
      <c r="X8486" s="2">
        <f ca="1"/>
        <v>52.765643000145744</v>
      </c>
      <c r="AG8486" s="2">
        <f ca="1"/>
        <v>0.68192187637566271</v>
      </c>
      <c r="AH8486" s="2" t="str">
        <f ca="1"/>
        <v>Bad</v>
      </c>
    </row>
    <row r="8487" spans="2:34" x14ac:dyDescent="0.2">
      <c r="B8487" s="2">
        <f ca="1"/>
        <v>0.96779038972004883</v>
      </c>
      <c r="O8487" s="2">
        <f ca="1"/>
        <v>1.6036242792871089</v>
      </c>
      <c r="X8487" s="2">
        <f ca="1"/>
        <v>53.606225693186943</v>
      </c>
      <c r="AG8487" s="2">
        <f ca="1"/>
        <v>0.36822497542340904</v>
      </c>
      <c r="AH8487" s="2" t="str">
        <f ca="1"/>
        <v>OK</v>
      </c>
    </row>
    <row r="8488" spans="2:34" x14ac:dyDescent="0.2">
      <c r="B8488" s="2">
        <f ca="1"/>
        <v>0.49136950964469772</v>
      </c>
      <c r="O8488" s="2">
        <f ca="1"/>
        <v>1.8432046014835766</v>
      </c>
      <c r="X8488" s="2">
        <f ca="1"/>
        <v>81.665898249383204</v>
      </c>
      <c r="AG8488" s="2">
        <f ca="1"/>
        <v>4.9062686309219394E-2</v>
      </c>
      <c r="AH8488" s="2" t="str">
        <f ca="1"/>
        <v>Good</v>
      </c>
    </row>
    <row r="8489" spans="2:34" x14ac:dyDescent="0.2">
      <c r="B8489" s="2">
        <f ca="1"/>
        <v>0.15764150580263681</v>
      </c>
      <c r="O8489" s="2">
        <f ca="1"/>
        <v>0.51260305367560322</v>
      </c>
      <c r="X8489" s="2">
        <f ca="1"/>
        <v>50.911860303395848</v>
      </c>
      <c r="AG8489" s="2">
        <f ca="1"/>
        <v>0.13336674405205895</v>
      </c>
      <c r="AH8489" s="2" t="str">
        <f ca="1"/>
        <v>OK</v>
      </c>
    </row>
    <row r="8490" spans="2:34" x14ac:dyDescent="0.2">
      <c r="B8490" s="2">
        <f ca="1"/>
        <v>0.44964387727188782</v>
      </c>
      <c r="O8490" s="2">
        <f ca="1"/>
        <v>1.0722486842597314</v>
      </c>
      <c r="X8490" s="2">
        <f ca="1"/>
        <v>53.44645078024466</v>
      </c>
      <c r="AG8490" s="2">
        <f ca="1"/>
        <v>0.96045642361952233</v>
      </c>
      <c r="AH8490" s="2" t="str">
        <f ca="1"/>
        <v>Bad</v>
      </c>
    </row>
    <row r="8491" spans="2:34" x14ac:dyDescent="0.2">
      <c r="B8491" s="2">
        <f ca="1"/>
        <v>1.3509348309194369E-2</v>
      </c>
      <c r="O8491" s="2">
        <f ca="1"/>
        <v>5.5634380080933625E-2</v>
      </c>
      <c r="X8491" s="2">
        <f ca="1"/>
        <v>23.378297478459267</v>
      </c>
      <c r="AG8491" s="2">
        <f ca="1"/>
        <v>0.13932944248848544</v>
      </c>
      <c r="AH8491" s="2" t="str">
        <f ca="1"/>
        <v>OK</v>
      </c>
    </row>
    <row r="8492" spans="2:34" x14ac:dyDescent="0.2">
      <c r="B8492" s="2">
        <f ca="1"/>
        <v>0.67934170017729389</v>
      </c>
      <c r="O8492" s="2">
        <f ca="1"/>
        <v>2.0167770957713453</v>
      </c>
      <c r="X8492" s="2">
        <f ca="1"/>
        <v>56.099946614095508</v>
      </c>
      <c r="AG8492" s="2">
        <f ca="1"/>
        <v>0.10864704566355177</v>
      </c>
      <c r="AH8492" s="2" t="str">
        <f ca="1"/>
        <v>OK</v>
      </c>
    </row>
    <row r="8493" spans="2:34" x14ac:dyDescent="0.2">
      <c r="B8493" s="2">
        <f ca="1"/>
        <v>0.13709269353882458</v>
      </c>
      <c r="O8493" s="2">
        <f ca="1"/>
        <v>0.69324764233087477</v>
      </c>
      <c r="X8493" s="2">
        <f ca="1"/>
        <v>44.1941356474101</v>
      </c>
      <c r="AG8493" s="2">
        <f ca="1"/>
        <v>0.93342294650046642</v>
      </c>
      <c r="AH8493" s="2" t="str">
        <f ca="1"/>
        <v>Bad</v>
      </c>
    </row>
    <row r="8494" spans="2:34" x14ac:dyDescent="0.2">
      <c r="B8494" s="2">
        <f ca="1"/>
        <v>0.38688518144735617</v>
      </c>
      <c r="O8494" s="2">
        <f ca="1"/>
        <v>1.5039378481487466</v>
      </c>
      <c r="X8494" s="2">
        <f ca="1"/>
        <v>40.099734811125856</v>
      </c>
      <c r="AG8494" s="2">
        <f ca="1"/>
        <v>0.15568440679605944</v>
      </c>
      <c r="AH8494" s="2" t="str">
        <f ca="1"/>
        <v>OK</v>
      </c>
    </row>
    <row r="8495" spans="2:34" x14ac:dyDescent="0.2">
      <c r="B8495" s="2">
        <f ca="1"/>
        <v>0.99949731979677092</v>
      </c>
      <c r="O8495" s="2">
        <f ca="1"/>
        <v>0.15199879837856656</v>
      </c>
      <c r="X8495" s="2">
        <f ca="1"/>
        <v>42.277785550948543</v>
      </c>
      <c r="AG8495" s="2">
        <f ca="1"/>
        <v>0.66567930660329422</v>
      </c>
      <c r="AH8495" s="2" t="str">
        <f ca="1"/>
        <v>Bad</v>
      </c>
    </row>
    <row r="8496" spans="2:34" x14ac:dyDescent="0.2">
      <c r="B8496" s="2">
        <f ca="1"/>
        <v>0.40534698753685983</v>
      </c>
      <c r="O8496" s="2">
        <f ca="1"/>
        <v>-1.0585060280109351</v>
      </c>
      <c r="X8496" s="2">
        <f ca="1"/>
        <v>49.458989736903973</v>
      </c>
      <c r="AG8496" s="2">
        <f ca="1"/>
        <v>0.68525491415925566</v>
      </c>
      <c r="AH8496" s="2" t="str">
        <f ca="1"/>
        <v>Bad</v>
      </c>
    </row>
    <row r="8497" spans="2:34" x14ac:dyDescent="0.2">
      <c r="B8497" s="2">
        <f ca="1"/>
        <v>0.66739766486848162</v>
      </c>
      <c r="O8497" s="2">
        <f ca="1"/>
        <v>-0.43526567651006176</v>
      </c>
      <c r="X8497" s="2">
        <f ca="1"/>
        <v>30.613896886223198</v>
      </c>
      <c r="AG8497" s="2">
        <f ca="1"/>
        <v>0.54619042557821529</v>
      </c>
      <c r="AH8497" s="2" t="str">
        <f ca="1"/>
        <v>Bad</v>
      </c>
    </row>
    <row r="8498" spans="2:34" x14ac:dyDescent="0.2">
      <c r="B8498" s="2">
        <f ca="1"/>
        <v>0.35736677493892133</v>
      </c>
      <c r="O8498" s="2">
        <f ca="1"/>
        <v>-3.2358869658538188E-2</v>
      </c>
      <c r="X8498" s="2">
        <f ca="1"/>
        <v>42.943839603739747</v>
      </c>
      <c r="AG8498" s="2">
        <f ca="1"/>
        <v>0.42848916862982378</v>
      </c>
      <c r="AH8498" s="2" t="str">
        <f ca="1"/>
        <v>Bad</v>
      </c>
    </row>
    <row r="8499" spans="2:34" x14ac:dyDescent="0.2">
      <c r="B8499" s="2">
        <f ca="1"/>
        <v>0.77144702403081133</v>
      </c>
      <c r="O8499" s="2">
        <f ca="1"/>
        <v>-2.0773570630387534</v>
      </c>
      <c r="X8499" s="2">
        <f ca="1"/>
        <v>40.128474330637225</v>
      </c>
      <c r="AG8499" s="2">
        <f ca="1"/>
        <v>0.12639291372477923</v>
      </c>
      <c r="AH8499" s="2" t="str">
        <f ca="1"/>
        <v>OK</v>
      </c>
    </row>
    <row r="8500" spans="2:34" x14ac:dyDescent="0.2">
      <c r="B8500" s="2">
        <f ca="1"/>
        <v>0.1235177799236824</v>
      </c>
      <c r="O8500" s="2">
        <f ca="1"/>
        <v>0.6228871835951223</v>
      </c>
      <c r="X8500" s="2">
        <f ca="1"/>
        <v>52.561386487746049</v>
      </c>
      <c r="AG8500" s="2">
        <f ca="1"/>
        <v>7.5796989073770416E-2</v>
      </c>
      <c r="AH8500" s="2" t="str">
        <f ca="1"/>
        <v>OK</v>
      </c>
    </row>
    <row r="8501" spans="2:34" x14ac:dyDescent="0.2">
      <c r="B8501" s="2">
        <f ca="1"/>
        <v>0.29691835595976102</v>
      </c>
      <c r="O8501" s="2">
        <f ca="1"/>
        <v>-1.6212175478897128</v>
      </c>
      <c r="X8501" s="2">
        <f ca="1"/>
        <v>59.250952613494412</v>
      </c>
      <c r="AG8501" s="2">
        <f ca="1"/>
        <v>0.38154251627967284</v>
      </c>
      <c r="AH8501" s="2" t="str">
        <f ca="1"/>
        <v>OK</v>
      </c>
    </row>
    <row r="8502" spans="2:34" x14ac:dyDescent="0.2">
      <c r="B8502" s="2">
        <f ca="1"/>
        <v>9.0140441061849153E-2</v>
      </c>
      <c r="O8502" s="2">
        <f ca="1"/>
        <v>0.96630395942226177</v>
      </c>
      <c r="X8502" s="2">
        <f ca="1"/>
        <v>90.43055647893641</v>
      </c>
      <c r="AG8502" s="2">
        <f ca="1"/>
        <v>0.17990738362052738</v>
      </c>
      <c r="AH8502" s="2" t="str">
        <f ca="1"/>
        <v>OK</v>
      </c>
    </row>
    <row r="8503" spans="2:34" x14ac:dyDescent="0.2">
      <c r="B8503" s="2">
        <f ca="1"/>
        <v>0.6434343996054892</v>
      </c>
      <c r="O8503" s="2">
        <f ca="1"/>
        <v>-0.91610163928190802</v>
      </c>
      <c r="X8503" s="2">
        <f ca="1"/>
        <v>58.11743862239868</v>
      </c>
      <c r="AG8503" s="2">
        <f ca="1"/>
        <v>0.7415271570787636</v>
      </c>
      <c r="AH8503" s="2" t="str">
        <f ca="1"/>
        <v>Bad</v>
      </c>
    </row>
    <row r="8504" spans="2:34" x14ac:dyDescent="0.2">
      <c r="B8504" s="2">
        <f ca="1"/>
        <v>0.44427758780937698</v>
      </c>
      <c r="O8504" s="2">
        <f ca="1"/>
        <v>-1.0118417186184603</v>
      </c>
      <c r="X8504" s="2">
        <f ca="1"/>
        <v>69.64186675995856</v>
      </c>
      <c r="AG8504" s="2">
        <f ca="1"/>
        <v>0.2738802802931104</v>
      </c>
      <c r="AH8504" s="2" t="str">
        <f ca="1"/>
        <v>OK</v>
      </c>
    </row>
    <row r="8505" spans="2:34" x14ac:dyDescent="0.2">
      <c r="B8505" s="2">
        <f ca="1"/>
        <v>2.8528168897656858E-2</v>
      </c>
      <c r="O8505" s="2">
        <f ca="1"/>
        <v>-0.52272702538580984</v>
      </c>
      <c r="X8505" s="2">
        <f ca="1"/>
        <v>28.760987937257116</v>
      </c>
      <c r="AG8505" s="2">
        <f ca="1"/>
        <v>0.73806942966684308</v>
      </c>
      <c r="AH8505" s="2" t="str">
        <f ca="1"/>
        <v>Bad</v>
      </c>
    </row>
    <row r="8506" spans="2:34" x14ac:dyDescent="0.2">
      <c r="B8506" s="2">
        <f ca="1"/>
        <v>0.38475759585099434</v>
      </c>
      <c r="O8506" s="2">
        <f ca="1"/>
        <v>0.10865366303092869</v>
      </c>
      <c r="X8506" s="2">
        <f ca="1"/>
        <v>34.751160603183536</v>
      </c>
      <c r="AG8506" s="2">
        <f ca="1"/>
        <v>0.46865373835888691</v>
      </c>
      <c r="AH8506" s="2" t="str">
        <f ca="1"/>
        <v>Bad</v>
      </c>
    </row>
    <row r="8507" spans="2:34" x14ac:dyDescent="0.2">
      <c r="B8507" s="2">
        <f ca="1"/>
        <v>0.78604101479044663</v>
      </c>
      <c r="O8507" s="2">
        <f ca="1"/>
        <v>6.3220974131768373E-2</v>
      </c>
      <c r="X8507" s="2">
        <f ca="1"/>
        <v>50.083609596263543</v>
      </c>
      <c r="AG8507" s="2">
        <f ca="1"/>
        <v>0.24913867226207675</v>
      </c>
      <c r="AH8507" s="2" t="str">
        <f ca="1"/>
        <v>OK</v>
      </c>
    </row>
    <row r="8508" spans="2:34" x14ac:dyDescent="0.2">
      <c r="B8508" s="2">
        <f ca="1"/>
        <v>3.4572756169834129E-2</v>
      </c>
      <c r="O8508" s="2">
        <f ca="1"/>
        <v>-0.58977901511875375</v>
      </c>
      <c r="X8508" s="2">
        <f ca="1"/>
        <v>40.180576569347899</v>
      </c>
      <c r="AG8508" s="2">
        <f ca="1"/>
        <v>0.15253613910709451</v>
      </c>
      <c r="AH8508" s="2" t="str">
        <f ca="1"/>
        <v>OK</v>
      </c>
    </row>
    <row r="8509" spans="2:34" x14ac:dyDescent="0.2">
      <c r="B8509" s="2">
        <f ca="1"/>
        <v>2.6738844932722383E-2</v>
      </c>
      <c r="O8509" s="2">
        <f ca="1"/>
        <v>1.9343048074985169E-2</v>
      </c>
      <c r="X8509" s="2">
        <f ca="1"/>
        <v>55.012046879874603</v>
      </c>
      <c r="AG8509" s="2">
        <f ca="1"/>
        <v>0.98233899559029281</v>
      </c>
      <c r="AH8509" s="2" t="str">
        <f ca="1"/>
        <v>Bad</v>
      </c>
    </row>
    <row r="8510" spans="2:34" x14ac:dyDescent="0.2">
      <c r="B8510" s="2">
        <f ca="1"/>
        <v>0.17505428281252811</v>
      </c>
      <c r="O8510" s="2">
        <f ca="1"/>
        <v>0.17347365086879774</v>
      </c>
      <c r="X8510" s="2">
        <f ca="1"/>
        <v>71.689409902472164</v>
      </c>
      <c r="AG8510" s="2">
        <f ca="1"/>
        <v>0.9608725912000311</v>
      </c>
      <c r="AH8510" s="2" t="str">
        <f ca="1"/>
        <v>Bad</v>
      </c>
    </row>
    <row r="8511" spans="2:34" x14ac:dyDescent="0.2">
      <c r="B8511" s="2">
        <f ca="1"/>
        <v>0.75114394590560329</v>
      </c>
      <c r="O8511" s="2">
        <f ca="1"/>
        <v>1.2432420387583185</v>
      </c>
      <c r="X8511" s="2">
        <f ca="1"/>
        <v>56.880528389525729</v>
      </c>
      <c r="AG8511" s="2">
        <f ca="1"/>
        <v>0.79385526733262246</v>
      </c>
      <c r="AH8511" s="2" t="str">
        <f ca="1"/>
        <v>Bad</v>
      </c>
    </row>
    <row r="8512" spans="2:34" x14ac:dyDescent="0.2">
      <c r="B8512" s="2">
        <f ca="1"/>
        <v>0.75241840221294543</v>
      </c>
      <c r="O8512" s="2">
        <f ca="1"/>
        <v>-0.17375100292150095</v>
      </c>
      <c r="X8512" s="2">
        <f ca="1"/>
        <v>43.295003924313491</v>
      </c>
      <c r="AG8512" s="2">
        <f ca="1"/>
        <v>0.41226345400476316</v>
      </c>
      <c r="AH8512" s="2" t="str">
        <f ca="1"/>
        <v>Bad</v>
      </c>
    </row>
    <row r="8513" spans="2:34" x14ac:dyDescent="0.2">
      <c r="B8513" s="2">
        <f ca="1"/>
        <v>0.22167372553303655</v>
      </c>
      <c r="O8513" s="2">
        <f ca="1"/>
        <v>-1.3475047653205816</v>
      </c>
      <c r="X8513" s="2">
        <f ca="1"/>
        <v>28.217310427719369</v>
      </c>
      <c r="AG8513" s="2">
        <f ca="1"/>
        <v>0.99462572625403745</v>
      </c>
      <c r="AH8513" s="2" t="str">
        <f ca="1"/>
        <v>Bad</v>
      </c>
    </row>
    <row r="8514" spans="2:34" x14ac:dyDescent="0.2">
      <c r="B8514" s="2">
        <f ca="1"/>
        <v>0.70171534761101739</v>
      </c>
      <c r="O8514" s="2">
        <f ca="1"/>
        <v>-0.81830818744666722</v>
      </c>
      <c r="X8514" s="2">
        <f ca="1"/>
        <v>71.230534035014003</v>
      </c>
      <c r="AG8514" s="2">
        <f ca="1"/>
        <v>0.29128917736830684</v>
      </c>
      <c r="AH8514" s="2" t="str">
        <f ca="1"/>
        <v>OK</v>
      </c>
    </row>
    <row r="8515" spans="2:34" x14ac:dyDescent="0.2">
      <c r="B8515" s="2">
        <f ca="1"/>
        <v>0.2063309729319478</v>
      </c>
      <c r="O8515" s="2">
        <f ca="1"/>
        <v>-0.64734764641494669</v>
      </c>
      <c r="X8515" s="2">
        <f ca="1"/>
        <v>31.869143364563115</v>
      </c>
      <c r="AG8515" s="2">
        <f ca="1"/>
        <v>0.99693828837443443</v>
      </c>
      <c r="AH8515" s="2" t="str">
        <f ca="1"/>
        <v>Bad</v>
      </c>
    </row>
    <row r="8516" spans="2:34" x14ac:dyDescent="0.2">
      <c r="B8516" s="2">
        <f ca="1"/>
        <v>0.45423343744799394</v>
      </c>
      <c r="O8516" s="2">
        <f ca="1"/>
        <v>1.220813452486935</v>
      </c>
      <c r="X8516" s="2">
        <f ca="1"/>
        <v>41.106853415869622</v>
      </c>
      <c r="AG8516" s="2">
        <f ca="1"/>
        <v>0.37123662164785576</v>
      </c>
      <c r="AH8516" s="2" t="str">
        <f ca="1"/>
        <v>OK</v>
      </c>
    </row>
    <row r="8517" spans="2:34" x14ac:dyDescent="0.2">
      <c r="B8517" s="2">
        <f ca="1"/>
        <v>0.80488923227877796</v>
      </c>
      <c r="O8517" s="2">
        <f ca="1"/>
        <v>0.35383255487628662</v>
      </c>
      <c r="X8517" s="2">
        <f ca="1"/>
        <v>44.636271416456736</v>
      </c>
      <c r="AG8517" s="2">
        <f ca="1"/>
        <v>0.99582420839169283</v>
      </c>
      <c r="AH8517" s="2" t="str">
        <f ca="1"/>
        <v>Bad</v>
      </c>
    </row>
    <row r="8518" spans="2:34" x14ac:dyDescent="0.2">
      <c r="B8518" s="2">
        <f ca="1"/>
        <v>0.5653865441899466</v>
      </c>
      <c r="O8518" s="2">
        <f ca="1"/>
        <v>0.95188581658842175</v>
      </c>
      <c r="X8518" s="2">
        <f ca="1"/>
        <v>64.146390359076108</v>
      </c>
      <c r="AG8518" s="2">
        <f ca="1"/>
        <v>0.84024285825645495</v>
      </c>
      <c r="AH8518" s="2" t="str">
        <f ca="1"/>
        <v>Bad</v>
      </c>
    </row>
    <row r="8519" spans="2:34" x14ac:dyDescent="0.2">
      <c r="B8519" s="2">
        <f ca="1"/>
        <v>0.3913077756585488</v>
      </c>
      <c r="O8519" s="2">
        <f ca="1"/>
        <v>1.0378787075681051</v>
      </c>
      <c r="X8519" s="2">
        <f ca="1"/>
        <v>69.07317840937408</v>
      </c>
      <c r="AG8519" s="2">
        <f ca="1"/>
        <v>0.64065306673346156</v>
      </c>
      <c r="AH8519" s="2" t="str">
        <f ca="1"/>
        <v>Bad</v>
      </c>
    </row>
    <row r="8520" spans="2:34" x14ac:dyDescent="0.2">
      <c r="B8520" s="2">
        <f ca="1"/>
        <v>4.363231145059876E-2</v>
      </c>
      <c r="O8520" s="2">
        <f ca="1"/>
        <v>0.72868051136708445</v>
      </c>
      <c r="X8520" s="2">
        <f ca="1"/>
        <v>61.176637479095788</v>
      </c>
      <c r="AG8520" s="2">
        <f ca="1"/>
        <v>0.84578232952407961</v>
      </c>
      <c r="AH8520" s="2" t="str">
        <f ca="1"/>
        <v>Bad</v>
      </c>
    </row>
    <row r="8521" spans="2:34" x14ac:dyDescent="0.2">
      <c r="B8521" s="2">
        <f ca="1"/>
        <v>0.2823333457959778</v>
      </c>
      <c r="O8521" s="2">
        <f ca="1"/>
        <v>-1.0638775357014043</v>
      </c>
      <c r="X8521" s="2">
        <f ca="1"/>
        <v>43.969645929927594</v>
      </c>
      <c r="AG8521" s="2">
        <f ca="1"/>
        <v>0.97170004304893309</v>
      </c>
      <c r="AH8521" s="2" t="str">
        <f ca="1"/>
        <v>Bad</v>
      </c>
    </row>
    <row r="8522" spans="2:34" x14ac:dyDescent="0.2">
      <c r="B8522" s="2">
        <f ca="1"/>
        <v>0.18109430437133978</v>
      </c>
      <c r="O8522" s="2">
        <f ca="1"/>
        <v>-1.4988948784457268</v>
      </c>
      <c r="X8522" s="2">
        <f ca="1"/>
        <v>85.929577073747765</v>
      </c>
      <c r="AG8522" s="2">
        <f ca="1"/>
        <v>3.6781425375202348E-2</v>
      </c>
      <c r="AH8522" s="2" t="str">
        <f ca="1"/>
        <v>Good</v>
      </c>
    </row>
    <row r="8523" spans="2:34" x14ac:dyDescent="0.2">
      <c r="B8523" s="2">
        <f ca="1"/>
        <v>0.16266603912648203</v>
      </c>
      <c r="O8523" s="2">
        <f ca="1"/>
        <v>1.4170904741191467E-2</v>
      </c>
      <c r="X8523" s="2">
        <f ca="1"/>
        <v>42.562517897212437</v>
      </c>
      <c r="AG8523" s="2">
        <f ca="1"/>
        <v>0.74190988194833474</v>
      </c>
      <c r="AH8523" s="2" t="str">
        <f ca="1"/>
        <v>Bad</v>
      </c>
    </row>
    <row r="8524" spans="2:34" x14ac:dyDescent="0.2">
      <c r="B8524" s="2">
        <f ca="1"/>
        <v>0.25686426411882546</v>
      </c>
      <c r="O8524" s="2">
        <f ca="1"/>
        <v>-0.22097398871521182</v>
      </c>
      <c r="X8524" s="2">
        <f ca="1"/>
        <v>36.890867074285524</v>
      </c>
      <c r="AG8524" s="2">
        <f ca="1"/>
        <v>6.034977443906353E-3</v>
      </c>
      <c r="AH8524" s="2" t="str">
        <f ca="1"/>
        <v>Good</v>
      </c>
    </row>
    <row r="8525" spans="2:34" x14ac:dyDescent="0.2">
      <c r="B8525" s="2">
        <f ca="1"/>
        <v>0.21654369409329921</v>
      </c>
      <c r="O8525" s="2">
        <f ca="1"/>
        <v>-8.9243155002508734E-2</v>
      </c>
      <c r="X8525" s="2">
        <f ca="1"/>
        <v>60.777765289467453</v>
      </c>
      <c r="AG8525" s="2">
        <f ca="1"/>
        <v>0.97154185027697615</v>
      </c>
      <c r="AH8525" s="2" t="str">
        <f ca="1"/>
        <v>Bad</v>
      </c>
    </row>
    <row r="8526" spans="2:34" x14ac:dyDescent="0.2">
      <c r="B8526" s="2">
        <f ca="1"/>
        <v>0.14118622992791963</v>
      </c>
      <c r="O8526" s="2">
        <f ca="1"/>
        <v>0.22903471075881426</v>
      </c>
      <c r="X8526" s="2">
        <f ca="1"/>
        <v>27.953858115918337</v>
      </c>
      <c r="AG8526" s="2">
        <f ca="1"/>
        <v>0.91134383577361588</v>
      </c>
      <c r="AH8526" s="2" t="str">
        <f ca="1"/>
        <v>Bad</v>
      </c>
    </row>
    <row r="8527" spans="2:34" x14ac:dyDescent="0.2">
      <c r="B8527" s="2">
        <f ca="1"/>
        <v>0.78672451675188704</v>
      </c>
      <c r="O8527" s="2">
        <f ca="1"/>
        <v>1.8424348025946533</v>
      </c>
      <c r="X8527" s="2">
        <f ca="1"/>
        <v>89.342709037882585</v>
      </c>
      <c r="AG8527" s="2">
        <f ca="1"/>
        <v>0.14742690134437031</v>
      </c>
      <c r="AH8527" s="2" t="str">
        <f ca="1"/>
        <v>OK</v>
      </c>
    </row>
    <row r="8528" spans="2:34" x14ac:dyDescent="0.2">
      <c r="B8528" s="2">
        <f ca="1"/>
        <v>0.65332398417445026</v>
      </c>
      <c r="O8528" s="2">
        <f ca="1"/>
        <v>-0.49780040151601229</v>
      </c>
      <c r="X8528" s="2">
        <f ca="1"/>
        <v>85.770997331115126</v>
      </c>
      <c r="AG8528" s="2">
        <f ca="1"/>
        <v>0.26157881564250562</v>
      </c>
      <c r="AH8528" s="2" t="str">
        <f ca="1"/>
        <v>OK</v>
      </c>
    </row>
    <row r="8529" spans="2:34" x14ac:dyDescent="0.2">
      <c r="B8529" s="2">
        <f ca="1"/>
        <v>3.3819965980719235E-3</v>
      </c>
      <c r="O8529" s="2">
        <f ca="1"/>
        <v>-0.73245238481567898</v>
      </c>
      <c r="X8529" s="2">
        <f ca="1"/>
        <v>71.143755196471048</v>
      </c>
      <c r="AG8529" s="2">
        <f ca="1"/>
        <v>0.22532270473343563</v>
      </c>
      <c r="AH8529" s="2" t="str">
        <f ca="1"/>
        <v>OK</v>
      </c>
    </row>
    <row r="8530" spans="2:34" x14ac:dyDescent="0.2">
      <c r="B8530" s="2">
        <f ca="1"/>
        <v>0.39496732821205405</v>
      </c>
      <c r="O8530" s="2">
        <f ca="1"/>
        <v>-8.5887069981908912E-2</v>
      </c>
      <c r="X8530" s="2">
        <f ca="1"/>
        <v>47.750495859384074</v>
      </c>
      <c r="AG8530" s="2">
        <f ca="1"/>
        <v>0.55416000369745078</v>
      </c>
      <c r="AH8530" s="2" t="str">
        <f ca="1"/>
        <v>Bad</v>
      </c>
    </row>
    <row r="8531" spans="2:34" x14ac:dyDescent="0.2">
      <c r="B8531" s="2">
        <f ca="1"/>
        <v>0.54104341185375526</v>
      </c>
      <c r="O8531" s="2">
        <f ca="1"/>
        <v>-0.29217533169567889</v>
      </c>
      <c r="X8531" s="2">
        <f ca="1"/>
        <v>47.970539882161205</v>
      </c>
      <c r="AG8531" s="2">
        <f ca="1"/>
        <v>0.77670203541341643</v>
      </c>
      <c r="AH8531" s="2" t="str">
        <f ca="1"/>
        <v>Bad</v>
      </c>
    </row>
    <row r="8532" spans="2:34" x14ac:dyDescent="0.2">
      <c r="B8532" s="2">
        <f ca="1"/>
        <v>0.78125432652036508</v>
      </c>
      <c r="O8532" s="2">
        <f ca="1"/>
        <v>0.64740211417949534</v>
      </c>
      <c r="X8532" s="2">
        <f ca="1"/>
        <v>56.508840152978451</v>
      </c>
      <c r="AG8532" s="2">
        <f ca="1"/>
        <v>0.18793070286521996</v>
      </c>
      <c r="AH8532" s="2" t="str">
        <f ca="1"/>
        <v>OK</v>
      </c>
    </row>
    <row r="8533" spans="2:34" x14ac:dyDescent="0.2">
      <c r="B8533" s="2">
        <f ca="1"/>
        <v>0.10935177597622703</v>
      </c>
      <c r="O8533" s="2">
        <f ca="1"/>
        <v>-1.4085425722160396</v>
      </c>
      <c r="X8533" s="2">
        <f ca="1"/>
        <v>70.060489448661983</v>
      </c>
      <c r="AG8533" s="2">
        <f ca="1"/>
        <v>0.24691735787218616</v>
      </c>
      <c r="AH8533" s="2" t="str">
        <f ca="1"/>
        <v>OK</v>
      </c>
    </row>
    <row r="8534" spans="2:34" x14ac:dyDescent="0.2">
      <c r="B8534" s="2">
        <f ca="1"/>
        <v>0.18391821436017564</v>
      </c>
      <c r="O8534" s="2">
        <f ca="1"/>
        <v>-9.1687773465235267E-2</v>
      </c>
      <c r="X8534" s="2">
        <f ca="1"/>
        <v>82.151772429673215</v>
      </c>
      <c r="AG8534" s="2">
        <f ca="1"/>
        <v>0.49201523721084217</v>
      </c>
      <c r="AH8534" s="2" t="str">
        <f ca="1"/>
        <v>Bad</v>
      </c>
    </row>
    <row r="8535" spans="2:34" x14ac:dyDescent="0.2">
      <c r="B8535" s="2">
        <f ca="1"/>
        <v>0.41747135693772619</v>
      </c>
      <c r="O8535" s="2">
        <f ca="1"/>
        <v>-0.27764912339272091</v>
      </c>
      <c r="X8535" s="2">
        <f ca="1"/>
        <v>40.986927738168227</v>
      </c>
      <c r="AG8535" s="2">
        <f ca="1"/>
        <v>0.59455757552654132</v>
      </c>
      <c r="AH8535" s="2" t="str">
        <f ca="1"/>
        <v>Bad</v>
      </c>
    </row>
    <row r="8536" spans="2:34" x14ac:dyDescent="0.2">
      <c r="B8536" s="2">
        <f ca="1"/>
        <v>0.90942194828230272</v>
      </c>
      <c r="O8536" s="2">
        <f ca="1"/>
        <v>0.53686589910319849</v>
      </c>
      <c r="X8536" s="2">
        <f ca="1"/>
        <v>45.226231838554057</v>
      </c>
      <c r="AG8536" s="2">
        <f ca="1"/>
        <v>0.58425918345973016</v>
      </c>
      <c r="AH8536" s="2" t="str">
        <f ca="1"/>
        <v>Bad</v>
      </c>
    </row>
    <row r="8537" spans="2:34" x14ac:dyDescent="0.2">
      <c r="B8537" s="2">
        <f ca="1"/>
        <v>0.64614920776760276</v>
      </c>
      <c r="O8537" s="2">
        <f ca="1"/>
        <v>-0.79439784477067965</v>
      </c>
      <c r="X8537" s="2">
        <f ca="1"/>
        <v>55.050912911578749</v>
      </c>
      <c r="AG8537" s="2">
        <f ca="1"/>
        <v>0.16758805655914921</v>
      </c>
      <c r="AH8537" s="2" t="str">
        <f ca="1"/>
        <v>OK</v>
      </c>
    </row>
    <row r="8538" spans="2:34" x14ac:dyDescent="0.2">
      <c r="B8538" s="2">
        <f ca="1"/>
        <v>0.88925159935806297</v>
      </c>
      <c r="O8538" s="2">
        <f ca="1"/>
        <v>1.040959394863322</v>
      </c>
      <c r="X8538" s="2">
        <f ca="1"/>
        <v>62.06350949360268</v>
      </c>
      <c r="AG8538" s="2">
        <f ca="1"/>
        <v>0.18972611764070768</v>
      </c>
      <c r="AH8538" s="2" t="str">
        <f ca="1"/>
        <v>OK</v>
      </c>
    </row>
    <row r="8539" spans="2:34" x14ac:dyDescent="0.2">
      <c r="B8539" s="2">
        <f ca="1"/>
        <v>0.48968037712820589</v>
      </c>
      <c r="O8539" s="2">
        <f ca="1"/>
        <v>1.3674306871454314</v>
      </c>
      <c r="X8539" s="2">
        <f ca="1"/>
        <v>68.076982743206827</v>
      </c>
      <c r="AG8539" s="2">
        <f ca="1"/>
        <v>0.99539322283453502</v>
      </c>
      <c r="AH8539" s="2" t="str">
        <f ca="1"/>
        <v>Bad</v>
      </c>
    </row>
    <row r="8540" spans="2:34" x14ac:dyDescent="0.2">
      <c r="B8540" s="2">
        <f ca="1"/>
        <v>0.57356905683278336</v>
      </c>
      <c r="O8540" s="2">
        <f ca="1"/>
        <v>1.1346233152201251</v>
      </c>
      <c r="X8540" s="2">
        <f ca="1"/>
        <v>61.281950486154827</v>
      </c>
      <c r="AG8540" s="2">
        <f ca="1"/>
        <v>0.31997007708138736</v>
      </c>
      <c r="AH8540" s="2" t="str">
        <f ca="1"/>
        <v>OK</v>
      </c>
    </row>
    <row r="8541" spans="2:34" x14ac:dyDescent="0.2">
      <c r="B8541" s="2">
        <f ca="1"/>
        <v>0.36715654486946891</v>
      </c>
      <c r="O8541" s="2">
        <f ca="1"/>
        <v>1.3552214780974765</v>
      </c>
      <c r="X8541" s="2">
        <f ca="1"/>
        <v>41.983520207198268</v>
      </c>
      <c r="AG8541" s="2">
        <f ca="1"/>
        <v>0.52252742470188207</v>
      </c>
      <c r="AH8541" s="2" t="str">
        <f ca="1"/>
        <v>Bad</v>
      </c>
    </row>
    <row r="8542" spans="2:34" x14ac:dyDescent="0.2">
      <c r="B8542" s="2">
        <f ca="1"/>
        <v>0.76412982906232418</v>
      </c>
      <c r="O8542" s="2">
        <f ca="1"/>
        <v>0.76040300829942464</v>
      </c>
      <c r="X8542" s="2">
        <f ca="1"/>
        <v>48.315415924907427</v>
      </c>
      <c r="AG8542" s="2">
        <f ca="1"/>
        <v>0.92154121243784415</v>
      </c>
      <c r="AH8542" s="2" t="str">
        <f ca="1"/>
        <v>Bad</v>
      </c>
    </row>
    <row r="8543" spans="2:34" x14ac:dyDescent="0.2">
      <c r="B8543" s="2">
        <f ca="1"/>
        <v>0.15879255580698137</v>
      </c>
      <c r="O8543" s="2">
        <f ca="1"/>
        <v>0.39392830937649298</v>
      </c>
      <c r="X8543" s="2">
        <f ca="1"/>
        <v>54.862162915090778</v>
      </c>
      <c r="AG8543" s="2">
        <f ca="1"/>
        <v>0.30241350616367701</v>
      </c>
      <c r="AH8543" s="2" t="str">
        <f ca="1"/>
        <v>OK</v>
      </c>
    </row>
    <row r="8544" spans="2:34" x14ac:dyDescent="0.2">
      <c r="B8544" s="2">
        <f ca="1"/>
        <v>0.75262537696479659</v>
      </c>
      <c r="O8544" s="2">
        <f ca="1"/>
        <v>0.58212972433418675</v>
      </c>
      <c r="X8544" s="2">
        <f ca="1"/>
        <v>47.13018606396983</v>
      </c>
      <c r="AG8544" s="2">
        <f ca="1"/>
        <v>0.62088191857490704</v>
      </c>
      <c r="AH8544" s="2" t="str">
        <f ca="1"/>
        <v>Bad</v>
      </c>
    </row>
    <row r="8545" spans="2:34" x14ac:dyDescent="0.2">
      <c r="B8545" s="2">
        <f ca="1"/>
        <v>0.20872887570988885</v>
      </c>
      <c r="O8545" s="2">
        <f ca="1"/>
        <v>0.37779844425671366</v>
      </c>
      <c r="X8545" s="2">
        <f ca="1"/>
        <v>46.214579123611784</v>
      </c>
      <c r="AG8545" s="2">
        <f ca="1"/>
        <v>0.44736183757858061</v>
      </c>
      <c r="AH8545" s="2" t="str">
        <f ca="1"/>
        <v>Bad</v>
      </c>
    </row>
    <row r="8546" spans="2:34" x14ac:dyDescent="0.2">
      <c r="B8546" s="2">
        <f ca="1"/>
        <v>0.47424946268111268</v>
      </c>
      <c r="O8546" s="2">
        <f ca="1"/>
        <v>-0.89465182806875732</v>
      </c>
      <c r="X8546" s="2">
        <f ca="1"/>
        <v>44.298822453486807</v>
      </c>
      <c r="AG8546" s="2">
        <f ca="1"/>
        <v>0.36035291293040217</v>
      </c>
      <c r="AH8546" s="2" t="str">
        <f ca="1"/>
        <v>OK</v>
      </c>
    </row>
    <row r="8547" spans="2:34" x14ac:dyDescent="0.2">
      <c r="B8547" s="2">
        <f ca="1"/>
        <v>0.70984685369943312</v>
      </c>
      <c r="O8547" s="2">
        <f ca="1"/>
        <v>-0.6210385795251554</v>
      </c>
      <c r="X8547" s="2">
        <f ca="1"/>
        <v>41.243440177455959</v>
      </c>
      <c r="AG8547" s="2">
        <f ca="1"/>
        <v>0.77750820398391407</v>
      </c>
      <c r="AH8547" s="2" t="str">
        <f ca="1"/>
        <v>Bad</v>
      </c>
    </row>
    <row r="8548" spans="2:34" x14ac:dyDescent="0.2">
      <c r="B8548" s="2">
        <f ca="1"/>
        <v>0.49025262420881788</v>
      </c>
      <c r="O8548" s="2">
        <f ca="1"/>
        <v>0.64384156269029613</v>
      </c>
      <c r="X8548" s="2">
        <f ca="1"/>
        <v>76.744790909274414</v>
      </c>
      <c r="AG8548" s="2">
        <f ca="1"/>
        <v>0.53536078944577814</v>
      </c>
      <c r="AH8548" s="2" t="str">
        <f ca="1"/>
        <v>Bad</v>
      </c>
    </row>
    <row r="8549" spans="2:34" x14ac:dyDescent="0.2">
      <c r="B8549" s="2">
        <f ca="1"/>
        <v>0.40374805654692691</v>
      </c>
      <c r="O8549" s="2">
        <f ca="1"/>
        <v>-0.44542587922094717</v>
      </c>
      <c r="X8549" s="2">
        <f ca="1"/>
        <v>86.715648273257642</v>
      </c>
      <c r="AG8549" s="2">
        <f ca="1"/>
        <v>0.35493543939416128</v>
      </c>
      <c r="AH8549" s="2" t="str">
        <f ca="1"/>
        <v>OK</v>
      </c>
    </row>
    <row r="8550" spans="2:34" x14ac:dyDescent="0.2">
      <c r="B8550" s="2">
        <f ca="1"/>
        <v>0.75458243176143291</v>
      </c>
      <c r="O8550" s="2">
        <f ca="1"/>
        <v>-0.69181418182314924</v>
      </c>
      <c r="X8550" s="2">
        <f ca="1"/>
        <v>64.944900921762397</v>
      </c>
      <c r="AG8550" s="2">
        <f ca="1"/>
        <v>0.19936446120684348</v>
      </c>
      <c r="AH8550" s="2" t="str">
        <f ca="1"/>
        <v>OK</v>
      </c>
    </row>
    <row r="8551" spans="2:34" x14ac:dyDescent="0.2">
      <c r="B8551" s="2">
        <f ca="1"/>
        <v>0.52748078924039166</v>
      </c>
      <c r="O8551" s="2">
        <f ca="1"/>
        <v>0.25316242707506642</v>
      </c>
      <c r="X8551" s="2">
        <f ca="1"/>
        <v>34.348753534232749</v>
      </c>
      <c r="AG8551" s="2">
        <f ca="1"/>
        <v>0.67100718570099915</v>
      </c>
      <c r="AH8551" s="2" t="str">
        <f ca="1"/>
        <v>Bad</v>
      </c>
    </row>
    <row r="8552" spans="2:34" x14ac:dyDescent="0.2">
      <c r="B8552" s="2">
        <f ca="1"/>
        <v>0.78685117370551105</v>
      </c>
      <c r="O8552" s="2">
        <f ca="1"/>
        <v>-0.10065807476047928</v>
      </c>
      <c r="X8552" s="2">
        <f ca="1"/>
        <v>65.844286995056478</v>
      </c>
      <c r="AG8552" s="2">
        <f ca="1"/>
        <v>0.8125889883246884</v>
      </c>
      <c r="AH8552" s="2" t="str">
        <f ca="1"/>
        <v>Bad</v>
      </c>
    </row>
    <row r="8553" spans="2:34" x14ac:dyDescent="0.2">
      <c r="B8553" s="2">
        <f ca="1"/>
        <v>0.27193164951847115</v>
      </c>
      <c r="O8553" s="2">
        <f ca="1"/>
        <v>-5.665811633279063E-2</v>
      </c>
      <c r="X8553" s="2">
        <f ca="1"/>
        <v>72.728842023373019</v>
      </c>
      <c r="AG8553" s="2">
        <f ca="1"/>
        <v>0.1596998583397391</v>
      </c>
      <c r="AH8553" s="2" t="str">
        <f ca="1"/>
        <v>OK</v>
      </c>
    </row>
    <row r="8554" spans="2:34" x14ac:dyDescent="0.2">
      <c r="B8554" s="2">
        <f ca="1"/>
        <v>0.97557160080072003</v>
      </c>
      <c r="O8554" s="2">
        <f ca="1"/>
        <v>-9.5572086455379957E-2</v>
      </c>
      <c r="X8554" s="2">
        <f ca="1"/>
        <v>41.39753953923146</v>
      </c>
      <c r="AG8554" s="2">
        <f ca="1"/>
        <v>0.48110309270953922</v>
      </c>
      <c r="AH8554" s="2" t="str">
        <f ca="1"/>
        <v>Bad</v>
      </c>
    </row>
    <row r="8555" spans="2:34" x14ac:dyDescent="0.2">
      <c r="B8555" s="2">
        <f ca="1"/>
        <v>0.25774519202539747</v>
      </c>
      <c r="O8555" s="2">
        <f ca="1"/>
        <v>-0.60202162192904973</v>
      </c>
      <c r="X8555" s="2">
        <f ca="1"/>
        <v>55.914631069630438</v>
      </c>
      <c r="AG8555" s="2">
        <f ca="1"/>
        <v>0.99891086509993432</v>
      </c>
      <c r="AH8555" s="2" t="str">
        <f ca="1"/>
        <v>Bad</v>
      </c>
    </row>
    <row r="8556" spans="2:34" x14ac:dyDescent="0.2">
      <c r="B8556" s="2">
        <f ca="1"/>
        <v>0.24018478033822199</v>
      </c>
      <c r="O8556" s="2">
        <f ca="1"/>
        <v>1.4347008169865494</v>
      </c>
      <c r="X8556" s="2">
        <f ca="1"/>
        <v>37.245176803249372</v>
      </c>
      <c r="AG8556" s="2">
        <f ca="1"/>
        <v>1.2162445591510584E-2</v>
      </c>
      <c r="AH8556" s="2" t="str">
        <f ca="1"/>
        <v>Good</v>
      </c>
    </row>
    <row r="8557" spans="2:34" x14ac:dyDescent="0.2">
      <c r="B8557" s="2">
        <f ca="1"/>
        <v>0.21572566926366021</v>
      </c>
      <c r="O8557" s="2">
        <f ca="1"/>
        <v>0.43612741615557021</v>
      </c>
      <c r="X8557" s="2">
        <f ca="1"/>
        <v>45.791203875065356</v>
      </c>
      <c r="AG8557" s="2">
        <f ca="1"/>
        <v>0.35555209510595764</v>
      </c>
      <c r="AH8557" s="2" t="str">
        <f ca="1"/>
        <v>OK</v>
      </c>
    </row>
    <row r="8558" spans="2:34" x14ac:dyDescent="0.2">
      <c r="B8558" s="2">
        <f ca="1"/>
        <v>0.13875805395444973</v>
      </c>
      <c r="O8558" s="2">
        <f ca="1"/>
        <v>1.6110706733875719</v>
      </c>
      <c r="X8558" s="2">
        <f ca="1"/>
        <v>41.768223205776074</v>
      </c>
      <c r="AG8558" s="2">
        <f ca="1"/>
        <v>0.19781235697851041</v>
      </c>
      <c r="AH8558" s="2" t="str">
        <f ca="1"/>
        <v>OK</v>
      </c>
    </row>
    <row r="8559" spans="2:34" x14ac:dyDescent="0.2">
      <c r="B8559" s="2">
        <f ca="1"/>
        <v>0.79018630417000968</v>
      </c>
      <c r="O8559" s="2">
        <f ca="1"/>
        <v>-0.62396190460351308</v>
      </c>
      <c r="X8559" s="2">
        <f ca="1"/>
        <v>51.744944754705159</v>
      </c>
      <c r="AG8559" s="2">
        <f ca="1"/>
        <v>0.57862561066621687</v>
      </c>
      <c r="AH8559" s="2" t="str">
        <f ca="1"/>
        <v>Bad</v>
      </c>
    </row>
    <row r="8560" spans="2:34" x14ac:dyDescent="0.2">
      <c r="B8560" s="2">
        <f ca="1"/>
        <v>0.49105024748132431</v>
      </c>
      <c r="O8560" s="2">
        <f ca="1"/>
        <v>0.89600444004078228</v>
      </c>
      <c r="X8560" s="2">
        <f ca="1"/>
        <v>29.859980628272073</v>
      </c>
      <c r="AG8560" s="2">
        <f ca="1"/>
        <v>0.45742487533431353</v>
      </c>
      <c r="AH8560" s="2" t="str">
        <f ca="1"/>
        <v>Bad</v>
      </c>
    </row>
    <row r="8561" spans="2:34" x14ac:dyDescent="0.2">
      <c r="B8561" s="2">
        <f ca="1"/>
        <v>0.30085346683762104</v>
      </c>
      <c r="O8561" s="2">
        <f ca="1"/>
        <v>0.28937738043323741</v>
      </c>
      <c r="X8561" s="2">
        <f ca="1"/>
        <v>46.345529780547245</v>
      </c>
      <c r="AG8561" s="2">
        <f ca="1"/>
        <v>0.65789276078571213</v>
      </c>
      <c r="AH8561" s="2" t="str">
        <f ca="1"/>
        <v>Bad</v>
      </c>
    </row>
    <row r="8562" spans="2:34" x14ac:dyDescent="0.2">
      <c r="B8562" s="2">
        <f ca="1"/>
        <v>1.1083981011469346E-2</v>
      </c>
      <c r="O8562" s="2">
        <f ca="1"/>
        <v>1.2032508323656421</v>
      </c>
      <c r="X8562" s="2">
        <f ca="1"/>
        <v>44.587895290595654</v>
      </c>
      <c r="AG8562" s="2">
        <f ca="1"/>
        <v>0.79736796907593366</v>
      </c>
      <c r="AH8562" s="2" t="str">
        <f ca="1"/>
        <v>Bad</v>
      </c>
    </row>
    <row r="8563" spans="2:34" x14ac:dyDescent="0.2">
      <c r="B8563" s="2">
        <f ca="1"/>
        <v>0.27977009205106418</v>
      </c>
      <c r="O8563" s="2">
        <f ca="1"/>
        <v>-1.7229664366827442</v>
      </c>
      <c r="X8563" s="2">
        <f ca="1"/>
        <v>53.175439195640976</v>
      </c>
      <c r="AG8563" s="2">
        <f ca="1"/>
        <v>0.76027718906903941</v>
      </c>
      <c r="AH8563" s="2" t="str">
        <f ca="1"/>
        <v>Bad</v>
      </c>
    </row>
    <row r="8564" spans="2:34" x14ac:dyDescent="0.2">
      <c r="B8564" s="2">
        <f ca="1"/>
        <v>0.65396758471792893</v>
      </c>
      <c r="O8564" s="2">
        <f ca="1"/>
        <v>-0.54137279144206507</v>
      </c>
      <c r="X8564" s="2">
        <f ca="1"/>
        <v>50.159227122159294</v>
      </c>
      <c r="AG8564" s="2">
        <f ca="1"/>
        <v>0.93532624953006427</v>
      </c>
      <c r="AH8564" s="2" t="str">
        <f ca="1"/>
        <v>Bad</v>
      </c>
    </row>
    <row r="8565" spans="2:34" x14ac:dyDescent="0.2">
      <c r="B8565" s="2">
        <f ca="1"/>
        <v>0.74548840454160858</v>
      </c>
      <c r="O8565" s="2">
        <f ca="1"/>
        <v>-0.42376662519513647</v>
      </c>
      <c r="X8565" s="2">
        <f ca="1"/>
        <v>26.476356394016733</v>
      </c>
      <c r="AG8565" s="2">
        <f ca="1"/>
        <v>0.67867647357403893</v>
      </c>
      <c r="AH8565" s="2" t="str">
        <f ca="1"/>
        <v>Bad</v>
      </c>
    </row>
    <row r="8566" spans="2:34" x14ac:dyDescent="0.2">
      <c r="B8566" s="2">
        <f ca="1"/>
        <v>3.3715323034777089E-2</v>
      </c>
      <c r="O8566" s="2">
        <f ca="1"/>
        <v>-0.53395159633064904</v>
      </c>
      <c r="X8566" s="2">
        <f ca="1"/>
        <v>61.98614323936166</v>
      </c>
      <c r="AG8566" s="2">
        <f ca="1"/>
        <v>0.31835605683807389</v>
      </c>
      <c r="AH8566" s="2" t="str">
        <f ca="1"/>
        <v>OK</v>
      </c>
    </row>
    <row r="8567" spans="2:34" x14ac:dyDescent="0.2">
      <c r="B8567" s="2">
        <f ca="1"/>
        <v>0.5477861544558309</v>
      </c>
      <c r="O8567" s="2">
        <f ca="1"/>
        <v>1.9853962235218306E-2</v>
      </c>
      <c r="X8567" s="2">
        <f ca="1"/>
        <v>50.145617937034181</v>
      </c>
      <c r="AG8567" s="2">
        <f ca="1"/>
        <v>0.52055430342908604</v>
      </c>
      <c r="AH8567" s="2" t="str">
        <f ca="1"/>
        <v>Bad</v>
      </c>
    </row>
    <row r="8568" spans="2:34" x14ac:dyDescent="0.2">
      <c r="B8568" s="2">
        <f ca="1"/>
        <v>0.70743557798105061</v>
      </c>
      <c r="O8568" s="2">
        <f ca="1"/>
        <v>-0.56388222134317378</v>
      </c>
      <c r="X8568" s="2">
        <f ca="1"/>
        <v>34.702572106606773</v>
      </c>
      <c r="AG8568" s="2">
        <f ca="1"/>
        <v>0.52087921819095184</v>
      </c>
      <c r="AH8568" s="2" t="str">
        <f ca="1"/>
        <v>Bad</v>
      </c>
    </row>
    <row r="8569" spans="2:34" x14ac:dyDescent="0.2">
      <c r="B8569" s="2">
        <f ca="1"/>
        <v>0.34519641915588939</v>
      </c>
      <c r="O8569" s="2">
        <f ca="1"/>
        <v>0.26115667645636059</v>
      </c>
      <c r="X8569" s="2">
        <f ca="1"/>
        <v>51.721068627487099</v>
      </c>
      <c r="AG8569" s="2">
        <f ca="1"/>
        <v>0.42817425554967681</v>
      </c>
      <c r="AH8569" s="2" t="str">
        <f ca="1"/>
        <v>Bad</v>
      </c>
    </row>
    <row r="8570" spans="2:34" x14ac:dyDescent="0.2">
      <c r="B8570" s="2">
        <f ca="1"/>
        <v>0.57553982840255569</v>
      </c>
      <c r="O8570" s="2">
        <f ca="1"/>
        <v>0.57718037115960541</v>
      </c>
      <c r="X8570" s="2">
        <f ca="1"/>
        <v>76.384074760205237</v>
      </c>
      <c r="AG8570" s="2">
        <f ca="1"/>
        <v>0.69713361314743838</v>
      </c>
      <c r="AH8570" s="2" t="str">
        <f ca="1"/>
        <v>Bad</v>
      </c>
    </row>
    <row r="8571" spans="2:34" x14ac:dyDescent="0.2">
      <c r="B8571" s="2">
        <f ca="1"/>
        <v>0.88716749575067078</v>
      </c>
      <c r="O8571" s="2">
        <f ca="1"/>
        <v>0.62497517131174307</v>
      </c>
      <c r="X8571" s="2">
        <f ca="1"/>
        <v>38.080630861342712</v>
      </c>
      <c r="AG8571" s="2">
        <f ca="1"/>
        <v>0.89641323074698032</v>
      </c>
      <c r="AH8571" s="2" t="str">
        <f ca="1"/>
        <v>Bad</v>
      </c>
    </row>
    <row r="8572" spans="2:34" x14ac:dyDescent="0.2">
      <c r="B8572" s="2">
        <f ca="1"/>
        <v>0.36280998927704156</v>
      </c>
      <c r="O8572" s="2">
        <f ca="1"/>
        <v>0.4150726297449906</v>
      </c>
      <c r="X8572" s="2">
        <f ca="1"/>
        <v>65.397084858309412</v>
      </c>
      <c r="AG8572" s="2">
        <f ca="1"/>
        <v>0.97326197918050616</v>
      </c>
      <c r="AH8572" s="2" t="str">
        <f ca="1"/>
        <v>Bad</v>
      </c>
    </row>
    <row r="8573" spans="2:34" x14ac:dyDescent="0.2">
      <c r="B8573" s="2">
        <f ca="1"/>
        <v>0.59635227599508567</v>
      </c>
      <c r="O8573" s="2">
        <f ca="1"/>
        <v>-0.29976129993530221</v>
      </c>
      <c r="X8573" s="2">
        <f ca="1"/>
        <v>39.572204825927543</v>
      </c>
      <c r="AG8573" s="2">
        <f ca="1"/>
        <v>0.42166795804746338</v>
      </c>
      <c r="AH8573" s="2" t="str">
        <f ca="1"/>
        <v>Bad</v>
      </c>
    </row>
    <row r="8574" spans="2:34" x14ac:dyDescent="0.2">
      <c r="B8574" s="2">
        <f ca="1"/>
        <v>0.67586071204993758</v>
      </c>
      <c r="O8574" s="2">
        <f ca="1"/>
        <v>-1.0681803565150974</v>
      </c>
      <c r="X8574" s="2">
        <f ca="1"/>
        <v>35.624305620717408</v>
      </c>
      <c r="AG8574" s="2">
        <f ca="1"/>
        <v>0.39093729886420658</v>
      </c>
      <c r="AH8574" s="2" t="str">
        <f ca="1"/>
        <v>OK</v>
      </c>
    </row>
    <row r="8575" spans="2:34" x14ac:dyDescent="0.2">
      <c r="B8575" s="2">
        <f ca="1"/>
        <v>3.2323658135074984E-2</v>
      </c>
      <c r="O8575" s="2">
        <f ca="1"/>
        <v>-0.92947921932967148</v>
      </c>
      <c r="X8575" s="2">
        <f ca="1"/>
        <v>37.332753137648695</v>
      </c>
      <c r="AG8575" s="2">
        <f ca="1"/>
        <v>0.91475006358858768</v>
      </c>
      <c r="AH8575" s="2" t="str">
        <f ca="1"/>
        <v>Bad</v>
      </c>
    </row>
    <row r="8576" spans="2:34" x14ac:dyDescent="0.2">
      <c r="B8576" s="2">
        <f ca="1"/>
        <v>0.51354525235147919</v>
      </c>
      <c r="O8576" s="2">
        <f ca="1"/>
        <v>-1.175574224313175</v>
      </c>
      <c r="X8576" s="2">
        <f ca="1"/>
        <v>55.610595844938011</v>
      </c>
      <c r="AG8576" s="2">
        <f ca="1"/>
        <v>0.75121186597202572</v>
      </c>
      <c r="AH8576" s="2" t="str">
        <f ca="1"/>
        <v>Bad</v>
      </c>
    </row>
    <row r="8577" spans="2:34" x14ac:dyDescent="0.2">
      <c r="B8577" s="2">
        <f ca="1"/>
        <v>0.59417759836349471</v>
      </c>
      <c r="O8577" s="2">
        <f ca="1"/>
        <v>2.2780014713361196</v>
      </c>
      <c r="X8577" s="2">
        <f ca="1"/>
        <v>53.34633416180165</v>
      </c>
      <c r="AG8577" s="2">
        <f ca="1"/>
        <v>0.85014360593369731</v>
      </c>
      <c r="AH8577" s="2" t="str">
        <f ca="1"/>
        <v>Bad</v>
      </c>
    </row>
    <row r="8578" spans="2:34" x14ac:dyDescent="0.2">
      <c r="B8578" s="2">
        <f ca="1"/>
        <v>0.84580132207462255</v>
      </c>
      <c r="O8578" s="2">
        <f ca="1"/>
        <v>-2.1288750786586252</v>
      </c>
      <c r="X8578" s="2">
        <f ca="1"/>
        <v>40.665184572888947</v>
      </c>
      <c r="AG8578" s="2">
        <f ca="1"/>
        <v>0.77380604585433321</v>
      </c>
      <c r="AH8578" s="2" t="str">
        <f ca="1"/>
        <v>Bad</v>
      </c>
    </row>
    <row r="8579" spans="2:34" x14ac:dyDescent="0.2">
      <c r="B8579" s="2">
        <f ca="1"/>
        <v>0.21909978311153266</v>
      </c>
      <c r="O8579" s="2">
        <f ca="1"/>
        <v>-0.51659208135840307</v>
      </c>
      <c r="X8579" s="2">
        <f ca="1"/>
        <v>65.475313987669068</v>
      </c>
      <c r="AG8579" s="2">
        <f ca="1"/>
        <v>0.82776511855899537</v>
      </c>
      <c r="AH8579" s="2" t="str">
        <f ca="1"/>
        <v>Bad</v>
      </c>
    </row>
    <row r="8580" spans="2:34" x14ac:dyDescent="0.2">
      <c r="B8580" s="2">
        <f ca="1"/>
        <v>0.80740268332650644</v>
      </c>
      <c r="O8580" s="2">
        <f ca="1"/>
        <v>0.17462266377760119</v>
      </c>
      <c r="X8580" s="2">
        <f ca="1"/>
        <v>86.94686061886307</v>
      </c>
      <c r="AG8580" s="2">
        <f ca="1"/>
        <v>0.44648671766213011</v>
      </c>
      <c r="AH8580" s="2" t="str">
        <f ca="1"/>
        <v>Bad</v>
      </c>
    </row>
    <row r="8581" spans="2:34" x14ac:dyDescent="0.2">
      <c r="B8581" s="2">
        <f ca="1"/>
        <v>0.70253671961264397</v>
      </c>
      <c r="O8581" s="2">
        <f ca="1"/>
        <v>0.91206957710046088</v>
      </c>
      <c r="X8581" s="2">
        <f ca="1"/>
        <v>50.032692719789573</v>
      </c>
      <c r="AG8581" s="2">
        <f ca="1"/>
        <v>0.15597927738646167</v>
      </c>
      <c r="AH8581" s="2" t="str">
        <f ca="1"/>
        <v>OK</v>
      </c>
    </row>
    <row r="8582" spans="2:34" x14ac:dyDescent="0.2">
      <c r="B8582" s="2">
        <f ca="1"/>
        <v>0.81757775134337862</v>
      </c>
      <c r="O8582" s="2">
        <f ca="1"/>
        <v>-0.24314948615955639</v>
      </c>
      <c r="X8582" s="2">
        <f ca="1"/>
        <v>60.40802054532891</v>
      </c>
      <c r="AG8582" s="2">
        <f ca="1"/>
        <v>0.51693994497815665</v>
      </c>
      <c r="AH8582" s="2" t="str">
        <f ca="1"/>
        <v>Bad</v>
      </c>
    </row>
    <row r="8583" spans="2:34" x14ac:dyDescent="0.2">
      <c r="B8583" s="2">
        <f ca="1"/>
        <v>0.18212329221047918</v>
      </c>
      <c r="O8583" s="2">
        <f ca="1"/>
        <v>1.0253158637025315</v>
      </c>
      <c r="X8583" s="2">
        <f ca="1"/>
        <v>30.21649559606572</v>
      </c>
      <c r="AG8583" s="2">
        <f ca="1"/>
        <v>0.11507272164788529</v>
      </c>
      <c r="AH8583" s="2" t="str">
        <f ca="1"/>
        <v>OK</v>
      </c>
    </row>
    <row r="8584" spans="2:34" x14ac:dyDescent="0.2">
      <c r="B8584" s="2">
        <f ca="1"/>
        <v>0.70783375692101735</v>
      </c>
      <c r="O8584" s="2">
        <f ca="1"/>
        <v>0.25354767903166503</v>
      </c>
      <c r="X8584" s="2">
        <f ca="1"/>
        <v>50.262763885589344</v>
      </c>
      <c r="AG8584" s="2">
        <f ca="1"/>
        <v>0.88035265147884956</v>
      </c>
      <c r="AH8584" s="2" t="str">
        <f ca="1"/>
        <v>Bad</v>
      </c>
    </row>
    <row r="8585" spans="2:34" x14ac:dyDescent="0.2">
      <c r="B8585" s="2">
        <f ca="1"/>
        <v>0.94076296578602148</v>
      </c>
      <c r="O8585" s="2">
        <f ca="1"/>
        <v>3.9296162052598844E-2</v>
      </c>
      <c r="X8585" s="2">
        <f ca="1"/>
        <v>49.039040673801388</v>
      </c>
      <c r="AG8585" s="2">
        <f ca="1"/>
        <v>0.20967968936480275</v>
      </c>
      <c r="AH8585" s="2" t="str">
        <f ca="1"/>
        <v>OK</v>
      </c>
    </row>
    <row r="8586" spans="2:34" x14ac:dyDescent="0.2">
      <c r="B8586" s="2">
        <f ca="1"/>
        <v>0.54967135571257053</v>
      </c>
      <c r="O8586" s="2">
        <f ca="1"/>
        <v>-0.51551260954754485</v>
      </c>
      <c r="X8586" s="2">
        <f ca="1"/>
        <v>59.871189251464372</v>
      </c>
      <c r="AG8586" s="2">
        <f ca="1"/>
        <v>0.10681030261464608</v>
      </c>
      <c r="AH8586" s="2" t="str">
        <f ca="1"/>
        <v>OK</v>
      </c>
    </row>
    <row r="8587" spans="2:34" x14ac:dyDescent="0.2">
      <c r="B8587" s="2">
        <f ca="1"/>
        <v>0.20447194339236785</v>
      </c>
      <c r="O8587" s="2">
        <f ca="1"/>
        <v>-1.7783098469533818</v>
      </c>
      <c r="X8587" s="2">
        <f ca="1"/>
        <v>36.076387939070578</v>
      </c>
      <c r="AG8587" s="2">
        <f ca="1"/>
        <v>0.60600881015890251</v>
      </c>
      <c r="AH8587" s="2" t="str">
        <f ca="1"/>
        <v>Bad</v>
      </c>
    </row>
    <row r="8588" spans="2:34" x14ac:dyDescent="0.2">
      <c r="B8588" s="2">
        <f ca="1"/>
        <v>0.16633443779685275</v>
      </c>
      <c r="O8588" s="2">
        <f ca="1"/>
        <v>1.3686969361664174</v>
      </c>
      <c r="X8588" s="2">
        <f ca="1"/>
        <v>42.660686322429328</v>
      </c>
      <c r="AG8588" s="2">
        <f ca="1"/>
        <v>0.8567087453088984</v>
      </c>
      <c r="AH8588" s="2" t="str">
        <f ca="1"/>
        <v>Bad</v>
      </c>
    </row>
    <row r="8589" spans="2:34" x14ac:dyDescent="0.2">
      <c r="B8589" s="2">
        <f ca="1"/>
        <v>0.60182151411582296</v>
      </c>
      <c r="O8589" s="2">
        <f ca="1"/>
        <v>1.7369794958533373</v>
      </c>
      <c r="X8589" s="2">
        <f ca="1"/>
        <v>52.998620172419834</v>
      </c>
      <c r="AG8589" s="2">
        <f ca="1"/>
        <v>0.38552273601855558</v>
      </c>
      <c r="AH8589" s="2" t="str">
        <f ca="1"/>
        <v>OK</v>
      </c>
    </row>
    <row r="8590" spans="2:34" x14ac:dyDescent="0.2">
      <c r="B8590" s="2">
        <f ca="1"/>
        <v>0.66721354175483771</v>
      </c>
      <c r="O8590" s="2">
        <f ca="1"/>
        <v>2.0752719449451229</v>
      </c>
      <c r="X8590" s="2">
        <f ca="1"/>
        <v>37.391297662456509</v>
      </c>
      <c r="AG8590" s="2">
        <f ca="1"/>
        <v>0.61399940882772563</v>
      </c>
      <c r="AH8590" s="2" t="str">
        <f ca="1"/>
        <v>Bad</v>
      </c>
    </row>
    <row r="8591" spans="2:34" x14ac:dyDescent="0.2">
      <c r="B8591" s="2">
        <f ca="1"/>
        <v>0.67656495949419848</v>
      </c>
      <c r="O8591" s="2">
        <f ca="1"/>
        <v>1.5731672542824588</v>
      </c>
      <c r="X8591" s="2">
        <f ca="1"/>
        <v>110.02683250249797</v>
      </c>
      <c r="AG8591" s="2">
        <f ca="1"/>
        <v>0.71099944095473755</v>
      </c>
      <c r="AH8591" s="2" t="str">
        <f ca="1"/>
        <v>Bad</v>
      </c>
    </row>
    <row r="8592" spans="2:34" x14ac:dyDescent="0.2">
      <c r="B8592" s="2">
        <f ca="1"/>
        <v>0.88978322484550287</v>
      </c>
      <c r="O8592" s="2">
        <f ca="1"/>
        <v>-0.16827536806131496</v>
      </c>
      <c r="X8592" s="2">
        <f ca="1"/>
        <v>47.243457139831911</v>
      </c>
      <c r="AG8592" s="2">
        <f ca="1"/>
        <v>0.87101761877749029</v>
      </c>
      <c r="AH8592" s="2" t="str">
        <f ca="1"/>
        <v>Bad</v>
      </c>
    </row>
    <row r="8593" spans="2:34" x14ac:dyDescent="0.2">
      <c r="B8593" s="2">
        <f ca="1"/>
        <v>0.19942993596435832</v>
      </c>
      <c r="O8593" s="2">
        <f ca="1"/>
        <v>0.90917503168228087</v>
      </c>
      <c r="X8593" s="2">
        <f ca="1"/>
        <v>50.170712857776138</v>
      </c>
      <c r="AG8593" s="2">
        <f ca="1"/>
        <v>0.37868744839654833</v>
      </c>
      <c r="AH8593" s="2" t="str">
        <f ca="1"/>
        <v>OK</v>
      </c>
    </row>
    <row r="8594" spans="2:34" x14ac:dyDescent="0.2">
      <c r="B8594" s="2">
        <f ca="1"/>
        <v>0.89121487037796099</v>
      </c>
      <c r="O8594" s="2">
        <f ca="1"/>
        <v>0.21073529015247319</v>
      </c>
      <c r="X8594" s="2">
        <f ca="1"/>
        <v>21.066672452716773</v>
      </c>
      <c r="AG8594" s="2">
        <f ca="1"/>
        <v>0.8560737042869857</v>
      </c>
      <c r="AH8594" s="2" t="str">
        <f ca="1"/>
        <v>Bad</v>
      </c>
    </row>
    <row r="8595" spans="2:34" x14ac:dyDescent="0.2">
      <c r="B8595" s="2">
        <f ca="1"/>
        <v>0.28661855451261609</v>
      </c>
      <c r="O8595" s="2">
        <f ca="1"/>
        <v>-0.61832609950954187</v>
      </c>
      <c r="X8595" s="2">
        <f ca="1"/>
        <v>42.411196639256126</v>
      </c>
      <c r="AG8595" s="2">
        <f ca="1"/>
        <v>0.68725243904402955</v>
      </c>
      <c r="AH8595" s="2" t="str">
        <f ca="1"/>
        <v>Bad</v>
      </c>
    </row>
    <row r="8596" spans="2:34" x14ac:dyDescent="0.2">
      <c r="B8596" s="2">
        <f ca="1"/>
        <v>0.85864768956984805</v>
      </c>
      <c r="O8596" s="2">
        <f ca="1"/>
        <v>-0.79657409678199431</v>
      </c>
      <c r="X8596" s="2">
        <f ca="1"/>
        <v>57.841838150568449</v>
      </c>
      <c r="AG8596" s="2">
        <f ca="1"/>
        <v>0.40607050870990857</v>
      </c>
      <c r="AH8596" s="2" t="str">
        <f ca="1"/>
        <v>Bad</v>
      </c>
    </row>
    <row r="8597" spans="2:34" x14ac:dyDescent="0.2">
      <c r="B8597" s="2">
        <f ca="1"/>
        <v>0.52985835349405419</v>
      </c>
      <c r="O8597" s="2">
        <f ca="1"/>
        <v>-1.1896494003787892</v>
      </c>
      <c r="X8597" s="2">
        <f ca="1"/>
        <v>82.813158220632474</v>
      </c>
      <c r="AG8597" s="2">
        <f ca="1"/>
        <v>0.72688332088956242</v>
      </c>
      <c r="AH8597" s="2" t="str">
        <f ca="1"/>
        <v>Bad</v>
      </c>
    </row>
    <row r="8598" spans="2:34" x14ac:dyDescent="0.2">
      <c r="B8598" s="2">
        <f ca="1"/>
        <v>0.79159197226864975</v>
      </c>
      <c r="O8598" s="2">
        <f ca="1"/>
        <v>-0.60722095719497116</v>
      </c>
      <c r="X8598" s="2">
        <f ca="1"/>
        <v>23.47964563897014</v>
      </c>
      <c r="AG8598" s="2">
        <f ca="1"/>
        <v>0.59636102406624847</v>
      </c>
      <c r="AH8598" s="2" t="str">
        <f ca="1"/>
        <v>Bad</v>
      </c>
    </row>
    <row r="8599" spans="2:34" x14ac:dyDescent="0.2">
      <c r="B8599" s="2">
        <f ca="1"/>
        <v>0.61264780328313972</v>
      </c>
      <c r="O8599" s="2">
        <f ca="1"/>
        <v>-0.53506608474311534</v>
      </c>
      <c r="X8599" s="2">
        <f ca="1"/>
        <v>46.770953088036926</v>
      </c>
      <c r="AG8599" s="2">
        <f ca="1"/>
        <v>0.3948316931947955</v>
      </c>
      <c r="AH8599" s="2" t="str">
        <f ca="1"/>
        <v>OK</v>
      </c>
    </row>
    <row r="8600" spans="2:34" x14ac:dyDescent="0.2">
      <c r="B8600" s="2">
        <f ca="1"/>
        <v>0.45542538762318685</v>
      </c>
      <c r="O8600" s="2">
        <f ca="1"/>
        <v>-0.96428672871115728</v>
      </c>
      <c r="X8600" s="2">
        <f ca="1"/>
        <v>44.048275065873781</v>
      </c>
      <c r="AG8600" s="2">
        <f ca="1"/>
        <v>0.61538167239325192</v>
      </c>
      <c r="AH8600" s="2" t="str">
        <f ca="1"/>
        <v>Bad</v>
      </c>
    </row>
    <row r="8601" spans="2:34" x14ac:dyDescent="0.2">
      <c r="B8601" s="2">
        <f ca="1"/>
        <v>0.87827799657357142</v>
      </c>
      <c r="O8601" s="2">
        <f ca="1"/>
        <v>0.83867425584319177</v>
      </c>
      <c r="X8601" s="2">
        <f ca="1"/>
        <v>54.576217002267704</v>
      </c>
      <c r="AG8601" s="2">
        <f ca="1"/>
        <v>0.91881622083942638</v>
      </c>
      <c r="AH8601" s="2" t="str">
        <f ca="1"/>
        <v>Bad</v>
      </c>
    </row>
    <row r="8602" spans="2:34" x14ac:dyDescent="0.2">
      <c r="B8602" s="2">
        <f ca="1"/>
        <v>0.88672602274283685</v>
      </c>
      <c r="O8602" s="2">
        <f ca="1"/>
        <v>-0.16879129559748779</v>
      </c>
      <c r="X8602" s="2">
        <f ca="1"/>
        <v>81.482281083155243</v>
      </c>
      <c r="AG8602" s="2">
        <f ca="1"/>
        <v>0.94688246201610582</v>
      </c>
      <c r="AH8602" s="2" t="str">
        <f ca="1"/>
        <v>Bad</v>
      </c>
    </row>
    <row r="8603" spans="2:34" x14ac:dyDescent="0.2">
      <c r="B8603" s="2">
        <f ca="1"/>
        <v>0.95130494124060139</v>
      </c>
      <c r="O8603" s="2">
        <f ca="1"/>
        <v>0.21366983966601885</v>
      </c>
      <c r="X8603" s="2">
        <f ca="1"/>
        <v>22.785970348244135</v>
      </c>
      <c r="AG8603" s="2">
        <f ca="1"/>
        <v>0.44203237119990901</v>
      </c>
      <c r="AH8603" s="2" t="str">
        <f ca="1"/>
        <v>Bad</v>
      </c>
    </row>
    <row r="8604" spans="2:34" x14ac:dyDescent="0.2">
      <c r="B8604" s="2">
        <f ca="1"/>
        <v>5.0067821890286801E-2</v>
      </c>
      <c r="O8604" s="2">
        <f ca="1"/>
        <v>1.5095798607226287</v>
      </c>
      <c r="X8604" s="2">
        <f ca="1"/>
        <v>48.27382609412372</v>
      </c>
      <c r="AG8604" s="2">
        <f ca="1"/>
        <v>0.47125165076226372</v>
      </c>
      <c r="AH8604" s="2" t="str">
        <f ca="1"/>
        <v>Bad</v>
      </c>
    </row>
    <row r="8605" spans="2:34" x14ac:dyDescent="0.2">
      <c r="B8605" s="2">
        <f ca="1"/>
        <v>0.89460715198984064</v>
      </c>
      <c r="O8605" s="2">
        <f ca="1"/>
        <v>1.1227248745447305</v>
      </c>
      <c r="X8605" s="2">
        <f ca="1"/>
        <v>49.066167435820553</v>
      </c>
      <c r="AG8605" s="2">
        <f ca="1"/>
        <v>6.181101961267621E-2</v>
      </c>
      <c r="AH8605" s="2" t="str">
        <f ca="1"/>
        <v>OK</v>
      </c>
    </row>
    <row r="8606" spans="2:34" x14ac:dyDescent="0.2">
      <c r="B8606" s="2">
        <f ca="1"/>
        <v>0.83685036146260727</v>
      </c>
      <c r="O8606" s="2">
        <f ca="1"/>
        <v>-1.2845341636814867</v>
      </c>
      <c r="X8606" s="2">
        <f ca="1"/>
        <v>32.95878697544547</v>
      </c>
      <c r="AG8606" s="2">
        <f ca="1"/>
        <v>3.3922994242376658E-2</v>
      </c>
      <c r="AH8606" s="2" t="str">
        <f ca="1"/>
        <v>Good</v>
      </c>
    </row>
    <row r="8607" spans="2:34" x14ac:dyDescent="0.2">
      <c r="B8607" s="2">
        <f ca="1"/>
        <v>6.9423879043945647E-2</v>
      </c>
      <c r="O8607" s="2">
        <f ca="1"/>
        <v>-0.54916488355760262</v>
      </c>
      <c r="X8607" s="2">
        <f ca="1"/>
        <v>44.436044060342553</v>
      </c>
      <c r="AG8607" s="2">
        <f ca="1"/>
        <v>0.41358755776735423</v>
      </c>
      <c r="AH8607" s="2" t="str">
        <f ca="1"/>
        <v>Bad</v>
      </c>
    </row>
    <row r="8608" spans="2:34" x14ac:dyDescent="0.2">
      <c r="B8608" s="2">
        <f ca="1"/>
        <v>0.31097876516146705</v>
      </c>
      <c r="O8608" s="2">
        <f ca="1"/>
        <v>-1.0482448198106036</v>
      </c>
      <c r="X8608" s="2">
        <f ca="1"/>
        <v>25.379534638752794</v>
      </c>
      <c r="AG8608" s="2">
        <f ca="1"/>
        <v>0.31458405073209272</v>
      </c>
      <c r="AH8608" s="2" t="str">
        <f ca="1"/>
        <v>OK</v>
      </c>
    </row>
    <row r="8609" spans="2:34" x14ac:dyDescent="0.2">
      <c r="B8609" s="2">
        <f ca="1"/>
        <v>0.48324798605492236</v>
      </c>
      <c r="O8609" s="2">
        <f ca="1"/>
        <v>-0.1162033996307813</v>
      </c>
      <c r="X8609" s="2">
        <f ca="1"/>
        <v>55.527215088278112</v>
      </c>
      <c r="AG8609" s="2">
        <f ca="1"/>
        <v>0.78941605857048436</v>
      </c>
      <c r="AH8609" s="2" t="str">
        <f ca="1"/>
        <v>Bad</v>
      </c>
    </row>
    <row r="8610" spans="2:34" x14ac:dyDescent="0.2">
      <c r="B8610" s="2">
        <f ca="1"/>
        <v>0.72725507741405515</v>
      </c>
      <c r="O8610" s="2">
        <f ca="1"/>
        <v>0.95279347522567248</v>
      </c>
      <c r="X8610" s="2">
        <f ca="1"/>
        <v>55.255427778756967</v>
      </c>
      <c r="AG8610" s="2">
        <f ca="1"/>
        <v>0.22749398269691778</v>
      </c>
      <c r="AH8610" s="2" t="str">
        <f ca="1"/>
        <v>OK</v>
      </c>
    </row>
    <row r="8611" spans="2:34" x14ac:dyDescent="0.2">
      <c r="B8611" s="2">
        <f ca="1"/>
        <v>0.21347614434830842</v>
      </c>
      <c r="O8611" s="2">
        <f ca="1"/>
        <v>2.2280940446041684</v>
      </c>
      <c r="X8611" s="2">
        <f ca="1"/>
        <v>35.830664017553183</v>
      </c>
      <c r="AG8611" s="2">
        <f ca="1"/>
        <v>0.27781263081420948</v>
      </c>
      <c r="AH8611" s="2" t="str">
        <f ca="1"/>
        <v>OK</v>
      </c>
    </row>
    <row r="8612" spans="2:34" x14ac:dyDescent="0.2">
      <c r="B8612" s="2">
        <f ca="1"/>
        <v>0.23581643480744297</v>
      </c>
      <c r="O8612" s="2">
        <f ca="1"/>
        <v>0.16760113467030416</v>
      </c>
      <c r="X8612" s="2">
        <f ca="1"/>
        <v>57.683640356601707</v>
      </c>
      <c r="AG8612" s="2">
        <f ca="1"/>
        <v>0.72580218802781649</v>
      </c>
      <c r="AH8612" s="2" t="str">
        <f ca="1"/>
        <v>Bad</v>
      </c>
    </row>
    <row r="8613" spans="2:34" x14ac:dyDescent="0.2">
      <c r="B8613" s="2">
        <f ca="1"/>
        <v>0.68781901481339713</v>
      </c>
      <c r="O8613" s="2">
        <f ca="1"/>
        <v>-1.6095247213796497</v>
      </c>
      <c r="X8613" s="2">
        <f ca="1"/>
        <v>45.715391039578705</v>
      </c>
      <c r="AG8613" s="2">
        <f ca="1"/>
        <v>0.59332387282593713</v>
      </c>
      <c r="AH8613" s="2" t="str">
        <f ca="1"/>
        <v>Bad</v>
      </c>
    </row>
    <row r="8614" spans="2:34" x14ac:dyDescent="0.2">
      <c r="B8614" s="2">
        <f ca="1"/>
        <v>6.8633302301915222E-2</v>
      </c>
      <c r="O8614" s="2">
        <f ca="1"/>
        <v>1.0555284430257548</v>
      </c>
      <c r="X8614" s="2">
        <f ca="1"/>
        <v>58.115544284506306</v>
      </c>
      <c r="AG8614" s="2">
        <f ca="1"/>
        <v>0.31730284483844362</v>
      </c>
      <c r="AH8614" s="2" t="str">
        <f ca="1"/>
        <v>OK</v>
      </c>
    </row>
    <row r="8615" spans="2:34" x14ac:dyDescent="0.2">
      <c r="B8615" s="2">
        <f ca="1"/>
        <v>0.95102777321189058</v>
      </c>
      <c r="O8615" s="2">
        <f ca="1"/>
        <v>-1.1589504721739337</v>
      </c>
      <c r="X8615" s="2">
        <f ca="1"/>
        <v>47.234823174004042</v>
      </c>
      <c r="AG8615" s="2">
        <f ca="1"/>
        <v>0.77748837612799448</v>
      </c>
      <c r="AH8615" s="2" t="str">
        <f ca="1"/>
        <v>Bad</v>
      </c>
    </row>
    <row r="8616" spans="2:34" x14ac:dyDescent="0.2">
      <c r="B8616" s="2">
        <f ca="1"/>
        <v>0.84380646645295854</v>
      </c>
      <c r="O8616" s="2">
        <f ca="1"/>
        <v>-0.19292126820103997</v>
      </c>
      <c r="X8616" s="2">
        <f ca="1"/>
        <v>20.665194636939543</v>
      </c>
      <c r="AG8616" s="2">
        <f ca="1"/>
        <v>0.80378076586888336</v>
      </c>
      <c r="AH8616" s="2" t="str">
        <f ca="1"/>
        <v>Bad</v>
      </c>
    </row>
    <row r="8617" spans="2:34" x14ac:dyDescent="0.2">
      <c r="B8617" s="2">
        <f ca="1"/>
        <v>0.31930921532201251</v>
      </c>
      <c r="O8617" s="2">
        <f ca="1"/>
        <v>-0.18421857354339902</v>
      </c>
      <c r="X8617" s="2">
        <f ca="1"/>
        <v>46.226601424948797</v>
      </c>
      <c r="AG8617" s="2">
        <f ca="1"/>
        <v>0.73418037826071791</v>
      </c>
      <c r="AH8617" s="2" t="str">
        <f ca="1"/>
        <v>Bad</v>
      </c>
    </row>
    <row r="8618" spans="2:34" x14ac:dyDescent="0.2">
      <c r="B8618" s="2">
        <f ca="1"/>
        <v>1.8674289937778088E-2</v>
      </c>
      <c r="O8618" s="2">
        <f ca="1"/>
        <v>-0.22098760495085079</v>
      </c>
      <c r="X8618" s="2">
        <f ca="1"/>
        <v>39.351616873054411</v>
      </c>
      <c r="AG8618" s="2">
        <f ca="1"/>
        <v>0.26214486279407212</v>
      </c>
      <c r="AH8618" s="2" t="str">
        <f ca="1"/>
        <v>OK</v>
      </c>
    </row>
    <row r="8619" spans="2:34" x14ac:dyDescent="0.2">
      <c r="B8619" s="2">
        <f ca="1"/>
        <v>0.65520229472350877</v>
      </c>
      <c r="O8619" s="2">
        <f ca="1"/>
        <v>-1.569594669354381</v>
      </c>
      <c r="X8619" s="2">
        <f ca="1"/>
        <v>50.031192829832314</v>
      </c>
      <c r="AG8619" s="2">
        <f ca="1"/>
        <v>0.24111246582623247</v>
      </c>
      <c r="AH8619" s="2" t="str">
        <f ca="1"/>
        <v>OK</v>
      </c>
    </row>
    <row r="8620" spans="2:34" x14ac:dyDescent="0.2">
      <c r="B8620" s="2">
        <f ca="1"/>
        <v>0.22197079191841973</v>
      </c>
      <c r="O8620" s="2">
        <f ca="1"/>
        <v>-0.14282395381315427</v>
      </c>
      <c r="X8620" s="2">
        <f ca="1"/>
        <v>82.845601478019248</v>
      </c>
      <c r="AG8620" s="2">
        <f ca="1"/>
        <v>0.92276528931988211</v>
      </c>
      <c r="AH8620" s="2" t="str">
        <f ca="1"/>
        <v>Bad</v>
      </c>
    </row>
    <row r="8621" spans="2:34" x14ac:dyDescent="0.2">
      <c r="B8621" s="2">
        <f ca="1"/>
        <v>0.53065572750413059</v>
      </c>
      <c r="O8621" s="2">
        <f ca="1"/>
        <v>1.4148546761026453</v>
      </c>
      <c r="X8621" s="2">
        <f ca="1"/>
        <v>65.16302058409893</v>
      </c>
      <c r="AG8621" s="2">
        <f ca="1"/>
        <v>0.30459419497175722</v>
      </c>
      <c r="AH8621" s="2" t="str">
        <f ca="1"/>
        <v>OK</v>
      </c>
    </row>
    <row r="8622" spans="2:34" x14ac:dyDescent="0.2">
      <c r="B8622" s="2">
        <f ca="1"/>
        <v>0.68361397886913711</v>
      </c>
      <c r="O8622" s="2">
        <f ca="1"/>
        <v>-0.17722272833655003</v>
      </c>
      <c r="X8622" s="2">
        <f ca="1"/>
        <v>54.629963835516982</v>
      </c>
      <c r="AG8622" s="2">
        <f ca="1"/>
        <v>0.95480265737120318</v>
      </c>
      <c r="AH8622" s="2" t="str">
        <f ca="1"/>
        <v>Bad</v>
      </c>
    </row>
    <row r="8623" spans="2:34" x14ac:dyDescent="0.2">
      <c r="B8623" s="2">
        <f ca="1"/>
        <v>0.85491583543000171</v>
      </c>
      <c r="O8623" s="2">
        <f ca="1"/>
        <v>-0.35334121755058967</v>
      </c>
      <c r="X8623" s="2">
        <f ca="1"/>
        <v>43.209785497812376</v>
      </c>
      <c r="AG8623" s="2">
        <f ca="1"/>
        <v>0.24677026747185637</v>
      </c>
      <c r="AH8623" s="2" t="str">
        <f ca="1"/>
        <v>OK</v>
      </c>
    </row>
    <row r="8624" spans="2:34" x14ac:dyDescent="0.2">
      <c r="B8624" s="2">
        <f ca="1"/>
        <v>0.83596247921457389</v>
      </c>
      <c r="O8624" s="2">
        <f ca="1"/>
        <v>-1.3625895541938113</v>
      </c>
      <c r="X8624" s="2">
        <f ca="1"/>
        <v>47.430748147586456</v>
      </c>
      <c r="AG8624" s="2">
        <f ca="1"/>
        <v>0.97163863068453349</v>
      </c>
      <c r="AH8624" s="2" t="str">
        <f ca="1"/>
        <v>Bad</v>
      </c>
    </row>
    <row r="8625" spans="2:34" x14ac:dyDescent="0.2">
      <c r="B8625" s="2">
        <f ca="1"/>
        <v>0.2264729945876609</v>
      </c>
      <c r="O8625" s="2">
        <f ca="1"/>
        <v>1.0258613330016659</v>
      </c>
      <c r="X8625" s="2">
        <f ca="1"/>
        <v>43.920501950949458</v>
      </c>
      <c r="AG8625" s="2">
        <f ca="1"/>
        <v>0.12793490263122731</v>
      </c>
      <c r="AH8625" s="2" t="str">
        <f ca="1"/>
        <v>OK</v>
      </c>
    </row>
    <row r="8626" spans="2:34" x14ac:dyDescent="0.2">
      <c r="B8626" s="2">
        <f ca="1"/>
        <v>0.54559232244885147</v>
      </c>
      <c r="O8626" s="2">
        <f ca="1"/>
        <v>-1.0176615316563948</v>
      </c>
      <c r="X8626" s="2">
        <f ca="1"/>
        <v>58.449842465533173</v>
      </c>
      <c r="AG8626" s="2">
        <f ca="1"/>
        <v>0.59747882229510774</v>
      </c>
      <c r="AH8626" s="2" t="str">
        <f ca="1"/>
        <v>Bad</v>
      </c>
    </row>
    <row r="8627" spans="2:34" x14ac:dyDescent="0.2">
      <c r="B8627" s="2">
        <f ca="1"/>
        <v>0.15036751556516803</v>
      </c>
      <c r="O8627" s="2">
        <f ca="1"/>
        <v>0.62035239448051149</v>
      </c>
      <c r="X8627" s="2">
        <f ca="1"/>
        <v>41.714954014801009</v>
      </c>
      <c r="AG8627" s="2">
        <f ca="1"/>
        <v>0.83194753032062785</v>
      </c>
      <c r="AH8627" s="2" t="str">
        <f ca="1"/>
        <v>Bad</v>
      </c>
    </row>
    <row r="8628" spans="2:34" x14ac:dyDescent="0.2">
      <c r="B8628" s="2">
        <f ca="1"/>
        <v>0.1861141696541162</v>
      </c>
      <c r="O8628" s="2">
        <f ca="1"/>
        <v>0.21609193887347358</v>
      </c>
      <c r="X8628" s="2">
        <f ca="1"/>
        <v>66.748892144666826</v>
      </c>
      <c r="AG8628" s="2">
        <f ca="1"/>
        <v>0.19439140257805576</v>
      </c>
      <c r="AH8628" s="2" t="str">
        <f ca="1"/>
        <v>OK</v>
      </c>
    </row>
    <row r="8629" spans="2:34" x14ac:dyDescent="0.2">
      <c r="B8629" s="2">
        <f ca="1"/>
        <v>0.1506486854074649</v>
      </c>
      <c r="O8629" s="2">
        <f ca="1"/>
        <v>0.82409088825188603</v>
      </c>
      <c r="X8629" s="2">
        <f ca="1"/>
        <v>63.099623764411106</v>
      </c>
      <c r="AG8629" s="2">
        <f ca="1"/>
        <v>0.28794216443782439</v>
      </c>
      <c r="AH8629" s="2" t="str">
        <f ca="1"/>
        <v>OK</v>
      </c>
    </row>
    <row r="8630" spans="2:34" x14ac:dyDescent="0.2">
      <c r="B8630" s="2">
        <f ca="1"/>
        <v>0.61425277334324768</v>
      </c>
      <c r="O8630" s="2">
        <f ca="1"/>
        <v>1.1858715076935515</v>
      </c>
      <c r="X8630" s="2">
        <f ca="1"/>
        <v>52.045525399513785</v>
      </c>
      <c r="AG8630" s="2">
        <f ca="1"/>
        <v>9.9808177403308163E-2</v>
      </c>
      <c r="AH8630" s="2" t="str">
        <f ca="1"/>
        <v>OK</v>
      </c>
    </row>
    <row r="8631" spans="2:34" x14ac:dyDescent="0.2">
      <c r="B8631" s="2">
        <f ca="1"/>
        <v>0.77789798031060076</v>
      </c>
      <c r="O8631" s="2">
        <f ca="1"/>
        <v>0.55888872506149123</v>
      </c>
      <c r="X8631" s="2">
        <f ca="1"/>
        <v>34.141016982992625</v>
      </c>
      <c r="AG8631" s="2">
        <f ca="1"/>
        <v>0.47730106709339903</v>
      </c>
      <c r="AH8631" s="2" t="str">
        <f ca="1"/>
        <v>Bad</v>
      </c>
    </row>
    <row r="8632" spans="2:34" x14ac:dyDescent="0.2">
      <c r="B8632" s="2">
        <f ca="1"/>
        <v>0.58418900846849064</v>
      </c>
      <c r="O8632" s="2">
        <f ca="1"/>
        <v>1.5588066556856053</v>
      </c>
      <c r="X8632" s="2">
        <f ca="1"/>
        <v>36.801390698716311</v>
      </c>
      <c r="AG8632" s="2">
        <f ca="1"/>
        <v>0.96755186785153824</v>
      </c>
      <c r="AH8632" s="2" t="str">
        <f ca="1"/>
        <v>Bad</v>
      </c>
    </row>
    <row r="8633" spans="2:34" x14ac:dyDescent="0.2">
      <c r="B8633" s="2">
        <f ca="1"/>
        <v>0.60813531178174607</v>
      </c>
      <c r="O8633" s="2">
        <f ca="1"/>
        <v>1.3320570598296071</v>
      </c>
      <c r="X8633" s="2">
        <f ca="1"/>
        <v>54.787479178383045</v>
      </c>
      <c r="AG8633" s="2">
        <f ca="1"/>
        <v>0.21973235618316656</v>
      </c>
      <c r="AH8633" s="2" t="str">
        <f ca="1"/>
        <v>OK</v>
      </c>
    </row>
    <row r="8634" spans="2:34" x14ac:dyDescent="0.2">
      <c r="B8634" s="2">
        <f ca="1"/>
        <v>0.18906328982858289</v>
      </c>
      <c r="O8634" s="2">
        <f ca="1"/>
        <v>-0.25495255862481114</v>
      </c>
      <c r="X8634" s="2">
        <f ca="1"/>
        <v>45.041656442342841</v>
      </c>
      <c r="AG8634" s="2">
        <f ca="1"/>
        <v>0.50641186384085568</v>
      </c>
      <c r="AH8634" s="2" t="str">
        <f ca="1"/>
        <v>Bad</v>
      </c>
    </row>
    <row r="8635" spans="2:34" x14ac:dyDescent="0.2">
      <c r="B8635" s="2">
        <f ca="1"/>
        <v>0.64606172643368098</v>
      </c>
      <c r="O8635" s="2">
        <f ca="1"/>
        <v>0.45565380507006958</v>
      </c>
      <c r="X8635" s="2">
        <f ca="1"/>
        <v>60.956038269618062</v>
      </c>
      <c r="AG8635" s="2">
        <f ca="1"/>
        <v>0.97871823700105587</v>
      </c>
      <c r="AH8635" s="2" t="str">
        <f ca="1"/>
        <v>Bad</v>
      </c>
    </row>
    <row r="8636" spans="2:34" x14ac:dyDescent="0.2">
      <c r="B8636" s="2">
        <f ca="1"/>
        <v>0.50041119881463469</v>
      </c>
      <c r="O8636" s="2">
        <f ca="1"/>
        <v>0.25362986991293512</v>
      </c>
      <c r="X8636" s="2">
        <f ca="1"/>
        <v>38.252101908178126</v>
      </c>
      <c r="AG8636" s="2">
        <f ca="1"/>
        <v>0.76376707380554487</v>
      </c>
      <c r="AH8636" s="2" t="str">
        <f ca="1"/>
        <v>Bad</v>
      </c>
    </row>
    <row r="8637" spans="2:34" x14ac:dyDescent="0.2">
      <c r="B8637" s="2">
        <f ca="1"/>
        <v>0.55834529221811247</v>
      </c>
      <c r="O8637" s="2">
        <f ca="1"/>
        <v>1.2648222664942883</v>
      </c>
      <c r="X8637" s="2">
        <f ca="1"/>
        <v>43.021477314418235</v>
      </c>
      <c r="AG8637" s="2">
        <f ca="1"/>
        <v>0.88008607483101686</v>
      </c>
      <c r="AH8637" s="2" t="str">
        <f ca="1"/>
        <v>Bad</v>
      </c>
    </row>
    <row r="8638" spans="2:34" x14ac:dyDescent="0.2">
      <c r="B8638" s="2">
        <f ca="1"/>
        <v>0.76723827571145087</v>
      </c>
      <c r="O8638" s="2">
        <f ca="1"/>
        <v>-0.1443678198275492</v>
      </c>
      <c r="X8638" s="2">
        <f ca="1"/>
        <v>71.495970994865644</v>
      </c>
      <c r="AG8638" s="2">
        <f ca="1"/>
        <v>0.19888169226539198</v>
      </c>
      <c r="AH8638" s="2" t="str">
        <f ca="1"/>
        <v>OK</v>
      </c>
    </row>
    <row r="8639" spans="2:34" x14ac:dyDescent="0.2">
      <c r="B8639" s="2">
        <f ca="1"/>
        <v>0.9232041127353936</v>
      </c>
      <c r="O8639" s="2">
        <f ca="1"/>
        <v>0.1805176154911125</v>
      </c>
      <c r="X8639" s="2">
        <f ca="1"/>
        <v>58.042715794552251</v>
      </c>
      <c r="AG8639" s="2">
        <f ca="1"/>
        <v>0.69987596200051105</v>
      </c>
      <c r="AH8639" s="2" t="str">
        <f ca="1"/>
        <v>Bad</v>
      </c>
    </row>
    <row r="8640" spans="2:34" x14ac:dyDescent="0.2">
      <c r="B8640" s="2">
        <f ca="1"/>
        <v>8.4298730297243107E-2</v>
      </c>
      <c r="O8640" s="2">
        <f ca="1"/>
        <v>0.27574483572092207</v>
      </c>
      <c r="X8640" s="2">
        <f ca="1"/>
        <v>29.077109919472708</v>
      </c>
      <c r="AG8640" s="2">
        <f ca="1"/>
        <v>1.911689297422603E-2</v>
      </c>
      <c r="AH8640" s="2" t="str">
        <f ca="1"/>
        <v>Good</v>
      </c>
    </row>
    <row r="8641" spans="2:34" x14ac:dyDescent="0.2">
      <c r="B8641" s="2">
        <f ca="1"/>
        <v>0.66867476822858274</v>
      </c>
      <c r="O8641" s="2">
        <f ca="1"/>
        <v>-1.3359973479393594</v>
      </c>
      <c r="X8641" s="2">
        <f ca="1"/>
        <v>21.911872310478277</v>
      </c>
      <c r="AG8641" s="2">
        <f ca="1"/>
        <v>0.18881984498806514</v>
      </c>
      <c r="AH8641" s="2" t="str">
        <f ca="1"/>
        <v>OK</v>
      </c>
    </row>
    <row r="8642" spans="2:34" x14ac:dyDescent="0.2">
      <c r="B8642" s="2">
        <f ca="1"/>
        <v>1.6945193787471835E-2</v>
      </c>
      <c r="O8642" s="2">
        <f ca="1"/>
        <v>-0.31533979708384807</v>
      </c>
      <c r="X8642" s="2">
        <f ca="1"/>
        <v>19.760544503346765</v>
      </c>
      <c r="AG8642" s="2">
        <f ca="1"/>
        <v>0.88059659525255451</v>
      </c>
      <c r="AH8642" s="2" t="str">
        <f ca="1"/>
        <v>Bad</v>
      </c>
    </row>
    <row r="8643" spans="2:34" x14ac:dyDescent="0.2">
      <c r="B8643" s="2">
        <f ca="1"/>
        <v>6.6523184520045797E-2</v>
      </c>
      <c r="O8643" s="2">
        <f ca="1"/>
        <v>-1.7759194032638628</v>
      </c>
      <c r="X8643" s="2">
        <f ca="1"/>
        <v>27.094113800888117</v>
      </c>
      <c r="AG8643" s="2">
        <f ca="1"/>
        <v>0.74018898892598006</v>
      </c>
      <c r="AH8643" s="2" t="str">
        <f ca="1"/>
        <v>Bad</v>
      </c>
    </row>
    <row r="8644" spans="2:34" x14ac:dyDescent="0.2">
      <c r="B8644" s="2">
        <f ca="1"/>
        <v>0.3550393087931869</v>
      </c>
      <c r="O8644" s="2">
        <f ca="1"/>
        <v>2.583776975261217</v>
      </c>
      <c r="X8644" s="2">
        <f ca="1"/>
        <v>30.263358846325907</v>
      </c>
      <c r="AG8644" s="2">
        <f ca="1"/>
        <v>0.6368944231167617</v>
      </c>
      <c r="AH8644" s="2" t="str">
        <f ca="1"/>
        <v>Bad</v>
      </c>
    </row>
    <row r="8645" spans="2:34" x14ac:dyDescent="0.2">
      <c r="B8645" s="2">
        <f ca="1"/>
        <v>0.31538862964370296</v>
      </c>
      <c r="O8645" s="2">
        <f ca="1"/>
        <v>0.74729291093617622</v>
      </c>
      <c r="X8645" s="2">
        <f ca="1"/>
        <v>39.298671477817663</v>
      </c>
      <c r="AG8645" s="2">
        <f ca="1"/>
        <v>0.20893231877395912</v>
      </c>
      <c r="AH8645" s="2" t="str">
        <f ca="1"/>
        <v>OK</v>
      </c>
    </row>
    <row r="8646" spans="2:34" x14ac:dyDescent="0.2">
      <c r="B8646" s="2">
        <f ca="1"/>
        <v>0.2557258072216948</v>
      </c>
      <c r="O8646" s="2">
        <f ca="1"/>
        <v>0.915650550832663</v>
      </c>
      <c r="X8646" s="2">
        <f ca="1"/>
        <v>53.045437757107202</v>
      </c>
      <c r="AG8646" s="2">
        <f ca="1"/>
        <v>9.1683499942614155E-3</v>
      </c>
      <c r="AH8646" s="2" t="str">
        <f ca="1"/>
        <v>Good</v>
      </c>
    </row>
    <row r="8647" spans="2:34" x14ac:dyDescent="0.2">
      <c r="B8647" s="2">
        <f ca="1"/>
        <v>0.45857249859405758</v>
      </c>
      <c r="O8647" s="2">
        <f ca="1"/>
        <v>-0.46194049209580823</v>
      </c>
      <c r="X8647" s="2">
        <f ca="1"/>
        <v>78.828368399929388</v>
      </c>
      <c r="AG8647" s="2">
        <f ca="1"/>
        <v>0.3739155236696603</v>
      </c>
      <c r="AH8647" s="2" t="str">
        <f ca="1"/>
        <v>OK</v>
      </c>
    </row>
    <row r="8648" spans="2:34" x14ac:dyDescent="0.2">
      <c r="B8648" s="2">
        <f ca="1"/>
        <v>0.73086403406167255</v>
      </c>
      <c r="O8648" s="2">
        <f ca="1"/>
        <v>0.43000623987604181</v>
      </c>
      <c r="X8648" s="2">
        <f ca="1"/>
        <v>48.613727710700729</v>
      </c>
      <c r="AG8648" s="2">
        <f ca="1"/>
        <v>0.45715121530030411</v>
      </c>
      <c r="AH8648" s="2" t="str">
        <f ca="1"/>
        <v>Bad</v>
      </c>
    </row>
    <row r="8649" spans="2:34" x14ac:dyDescent="0.2">
      <c r="B8649" s="2">
        <f ca="1"/>
        <v>0.71163872945072826</v>
      </c>
      <c r="O8649" s="2">
        <f ca="1"/>
        <v>0.6320014418591694</v>
      </c>
      <c r="X8649" s="2">
        <f ca="1"/>
        <v>30.416203718274591</v>
      </c>
      <c r="AG8649" s="2">
        <f ca="1"/>
        <v>0.14883768256415886</v>
      </c>
      <c r="AH8649" s="2" t="str">
        <f ca="1"/>
        <v>OK</v>
      </c>
    </row>
    <row r="8650" spans="2:34" x14ac:dyDescent="0.2">
      <c r="B8650" s="2">
        <f ca="1"/>
        <v>7.3073999233831399E-2</v>
      </c>
      <c r="O8650" s="2">
        <f ca="1"/>
        <v>0.52961510266414247</v>
      </c>
      <c r="X8650" s="2">
        <f ca="1"/>
        <v>68.497911950793082</v>
      </c>
      <c r="AG8650" s="2">
        <f ca="1"/>
        <v>0.37924337470948744</v>
      </c>
      <c r="AH8650" s="2" t="str">
        <f ca="1"/>
        <v>OK</v>
      </c>
    </row>
    <row r="8651" spans="2:34" x14ac:dyDescent="0.2">
      <c r="B8651" s="2">
        <f ca="1"/>
        <v>0.9151495562585803</v>
      </c>
      <c r="O8651" s="2">
        <f ca="1"/>
        <v>0.86986628728939519</v>
      </c>
      <c r="X8651" s="2">
        <f ca="1"/>
        <v>50.602923278947912</v>
      </c>
      <c r="AG8651" s="2">
        <f ca="1"/>
        <v>0.1312031655749657</v>
      </c>
      <c r="AH8651" s="2" t="str">
        <f ca="1"/>
        <v>OK</v>
      </c>
    </row>
    <row r="8652" spans="2:34" x14ac:dyDescent="0.2">
      <c r="B8652" s="2">
        <f ca="1"/>
        <v>0.82410672939665175</v>
      </c>
      <c r="O8652" s="2">
        <f ca="1"/>
        <v>-0.91208544520819501</v>
      </c>
      <c r="X8652" s="2">
        <f ca="1"/>
        <v>54.137274584114941</v>
      </c>
      <c r="AG8652" s="2">
        <f ca="1"/>
        <v>0.32923186911653146</v>
      </c>
      <c r="AH8652" s="2" t="str">
        <f ca="1"/>
        <v>OK</v>
      </c>
    </row>
    <row r="8653" spans="2:34" x14ac:dyDescent="0.2">
      <c r="B8653" s="2">
        <f ca="1"/>
        <v>0.31949219021774056</v>
      </c>
      <c r="O8653" s="2">
        <f ca="1"/>
        <v>-0.60087903650115237</v>
      </c>
      <c r="X8653" s="2">
        <f ca="1"/>
        <v>51.020278712182375</v>
      </c>
      <c r="AG8653" s="2">
        <f ca="1"/>
        <v>0.10065788056639868</v>
      </c>
      <c r="AH8653" s="2" t="str">
        <f ca="1"/>
        <v>OK</v>
      </c>
    </row>
    <row r="8654" spans="2:34" x14ac:dyDescent="0.2">
      <c r="B8654" s="2">
        <f ca="1"/>
        <v>0.24131227948815503</v>
      </c>
      <c r="O8654" s="2">
        <f ca="1"/>
        <v>-0.91770026958057405</v>
      </c>
      <c r="X8654" s="2">
        <f ca="1"/>
        <v>60.549802501677405</v>
      </c>
      <c r="AG8654" s="2">
        <f ca="1"/>
        <v>0.4393419590676042</v>
      </c>
      <c r="AH8654" s="2" t="str">
        <f ca="1"/>
        <v>Bad</v>
      </c>
    </row>
    <row r="8655" spans="2:34" x14ac:dyDescent="0.2">
      <c r="B8655" s="2">
        <f ca="1"/>
        <v>0.7836926735512435</v>
      </c>
      <c r="O8655" s="2">
        <f ca="1"/>
        <v>-0.31250936712852151</v>
      </c>
      <c r="X8655" s="2">
        <f ca="1"/>
        <v>46.189875602935963</v>
      </c>
      <c r="AG8655" s="2">
        <f ca="1"/>
        <v>0.5361419535925247</v>
      </c>
      <c r="AH8655" s="2" t="str">
        <f ca="1"/>
        <v>Bad</v>
      </c>
    </row>
    <row r="8656" spans="2:34" x14ac:dyDescent="0.2">
      <c r="B8656" s="2">
        <f ca="1"/>
        <v>0.48588361844476036</v>
      </c>
      <c r="O8656" s="2">
        <f ca="1"/>
        <v>0.50042176326909793</v>
      </c>
      <c r="X8656" s="2">
        <f ca="1"/>
        <v>27.559451938569836</v>
      </c>
      <c r="AG8656" s="2">
        <f ca="1"/>
        <v>0.89667548099021399</v>
      </c>
      <c r="AH8656" s="2" t="str">
        <f ca="1"/>
        <v>Bad</v>
      </c>
    </row>
    <row r="8657" spans="2:34" x14ac:dyDescent="0.2">
      <c r="B8657" s="2">
        <f ca="1"/>
        <v>0.31765082528560651</v>
      </c>
      <c r="O8657" s="2">
        <f ca="1"/>
        <v>1.6605341567716121</v>
      </c>
      <c r="X8657" s="2">
        <f ca="1"/>
        <v>40.345107711733164</v>
      </c>
      <c r="AG8657" s="2">
        <f ca="1"/>
        <v>0.53294693166597717</v>
      </c>
      <c r="AH8657" s="2" t="str">
        <f ca="1"/>
        <v>Bad</v>
      </c>
    </row>
    <row r="8658" spans="2:34" x14ac:dyDescent="0.2">
      <c r="B8658" s="2">
        <f ca="1"/>
        <v>0.96483581339435887</v>
      </c>
      <c r="O8658" s="2">
        <f ca="1"/>
        <v>-0.36381118965877668</v>
      </c>
      <c r="X8658" s="2">
        <f ca="1"/>
        <v>47.882564941512619</v>
      </c>
      <c r="AG8658" s="2">
        <f ca="1"/>
        <v>0.12932030029157882</v>
      </c>
      <c r="AH8658" s="2" t="str">
        <f ca="1"/>
        <v>OK</v>
      </c>
    </row>
    <row r="8659" spans="2:34" x14ac:dyDescent="0.2">
      <c r="B8659" s="2">
        <f ca="1"/>
        <v>7.9045609546679607E-3</v>
      </c>
      <c r="O8659" s="2">
        <f ca="1"/>
        <v>-0.62560612068262711</v>
      </c>
      <c r="X8659" s="2">
        <f ca="1"/>
        <v>95.261953486384414</v>
      </c>
      <c r="AG8659" s="2">
        <f ca="1"/>
        <v>1.5429033199792386E-2</v>
      </c>
      <c r="AH8659" s="2" t="str">
        <f ca="1"/>
        <v>Good</v>
      </c>
    </row>
    <row r="8660" spans="2:34" x14ac:dyDescent="0.2">
      <c r="B8660" s="2">
        <f ca="1"/>
        <v>0.97096072991941318</v>
      </c>
      <c r="O8660" s="2">
        <f ca="1"/>
        <v>1.2354161094334952</v>
      </c>
      <c r="X8660" s="2">
        <f ca="1"/>
        <v>46.69195899942639</v>
      </c>
      <c r="AG8660" s="2">
        <f ca="1"/>
        <v>0.68808755216390227</v>
      </c>
      <c r="AH8660" s="2" t="str">
        <f ca="1"/>
        <v>Bad</v>
      </c>
    </row>
    <row r="8661" spans="2:34" x14ac:dyDescent="0.2">
      <c r="B8661" s="2">
        <f ca="1"/>
        <v>7.2226659336440013E-2</v>
      </c>
      <c r="O8661" s="2">
        <f ca="1"/>
        <v>-2.0467155634910994</v>
      </c>
      <c r="X8661" s="2">
        <f ca="1"/>
        <v>50.781162918130114</v>
      </c>
      <c r="AG8661" s="2">
        <f ca="1"/>
        <v>0.13846503387997955</v>
      </c>
      <c r="AH8661" s="2" t="str">
        <f ca="1"/>
        <v>OK</v>
      </c>
    </row>
    <row r="8662" spans="2:34" x14ac:dyDescent="0.2">
      <c r="B8662" s="2">
        <f ca="1"/>
        <v>0.31601962890881197</v>
      </c>
      <c r="O8662" s="2">
        <f ca="1"/>
        <v>-1.2340399215625051</v>
      </c>
      <c r="X8662" s="2">
        <f ca="1"/>
        <v>40.93475700478475</v>
      </c>
      <c r="AG8662" s="2">
        <f ca="1"/>
        <v>0.56323167922941697</v>
      </c>
      <c r="AH8662" s="2" t="str">
        <f ca="1"/>
        <v>Bad</v>
      </c>
    </row>
    <row r="8663" spans="2:34" x14ac:dyDescent="0.2">
      <c r="B8663" s="2">
        <f ca="1"/>
        <v>2.892163648088264E-2</v>
      </c>
      <c r="O8663" s="2">
        <f ca="1"/>
        <v>1.0833611762026309</v>
      </c>
      <c r="X8663" s="2">
        <f ca="1"/>
        <v>52.895733274446535</v>
      </c>
      <c r="AG8663" s="2">
        <f ca="1"/>
        <v>0.782335613583786</v>
      </c>
      <c r="AH8663" s="2" t="str">
        <f ca="1"/>
        <v>Bad</v>
      </c>
    </row>
    <row r="8664" spans="2:34" x14ac:dyDescent="0.2">
      <c r="B8664" s="2">
        <f ca="1"/>
        <v>0.59726755924173358</v>
      </c>
      <c r="O8664" s="2">
        <f ca="1"/>
        <v>-1.6955479639874649</v>
      </c>
      <c r="X8664" s="2">
        <f ca="1"/>
        <v>30.200087307351104</v>
      </c>
      <c r="AG8664" s="2">
        <f ca="1"/>
        <v>0.67527386680189649</v>
      </c>
      <c r="AH8664" s="2" t="str">
        <f ca="1"/>
        <v>Bad</v>
      </c>
    </row>
    <row r="8665" spans="2:34" x14ac:dyDescent="0.2">
      <c r="B8665" s="2">
        <f ca="1"/>
        <v>4.6488928208469282E-2</v>
      </c>
      <c r="O8665" s="2">
        <f ca="1"/>
        <v>1.1917928632701233</v>
      </c>
      <c r="X8665" s="2">
        <f ca="1"/>
        <v>54.462673989748467</v>
      </c>
      <c r="AG8665" s="2">
        <f ca="1"/>
        <v>0.36558880416930672</v>
      </c>
      <c r="AH8665" s="2" t="str">
        <f ca="1"/>
        <v>OK</v>
      </c>
    </row>
    <row r="8666" spans="2:34" x14ac:dyDescent="0.2">
      <c r="B8666" s="2">
        <f ca="1"/>
        <v>0.22013723708562694</v>
      </c>
      <c r="O8666" s="2">
        <f ca="1"/>
        <v>1.1041509357779054</v>
      </c>
      <c r="X8666" s="2">
        <f ca="1"/>
        <v>48.645495664547099</v>
      </c>
      <c r="AG8666" s="2">
        <f ca="1"/>
        <v>0.78451970258883952</v>
      </c>
      <c r="AH8666" s="2" t="str">
        <f ca="1"/>
        <v>Bad</v>
      </c>
    </row>
    <row r="8667" spans="2:34" x14ac:dyDescent="0.2">
      <c r="B8667" s="2">
        <f ca="1"/>
        <v>0.18846586712505742</v>
      </c>
      <c r="O8667" s="2">
        <f ca="1"/>
        <v>1.6313936593602441</v>
      </c>
      <c r="X8667" s="2">
        <f ca="1"/>
        <v>46.953309884784069</v>
      </c>
      <c r="AG8667" s="2">
        <f ca="1"/>
        <v>7.9775688262792466E-2</v>
      </c>
      <c r="AH8667" s="2" t="str">
        <f ca="1"/>
        <v>OK</v>
      </c>
    </row>
    <row r="8668" spans="2:34" x14ac:dyDescent="0.2">
      <c r="B8668" s="2">
        <f ca="1"/>
        <v>0.6272130439834076</v>
      </c>
      <c r="O8668" s="2">
        <f ca="1"/>
        <v>0.2745614990722261</v>
      </c>
      <c r="X8668" s="2">
        <f ca="1"/>
        <v>40.211848448406528</v>
      </c>
      <c r="AG8668" s="2">
        <f ca="1"/>
        <v>0.81817505456946438</v>
      </c>
      <c r="AH8668" s="2" t="str">
        <f ca="1"/>
        <v>Bad</v>
      </c>
    </row>
    <row r="8669" spans="2:34" x14ac:dyDescent="0.2">
      <c r="B8669" s="2">
        <f ca="1"/>
        <v>0.88567946200984604</v>
      </c>
      <c r="O8669" s="2">
        <f ca="1"/>
        <v>1.0416668859697675</v>
      </c>
      <c r="X8669" s="2">
        <f ca="1"/>
        <v>61.29638366328993</v>
      </c>
      <c r="AG8669" s="2">
        <f ca="1"/>
        <v>0.1318272837697787</v>
      </c>
      <c r="AH8669" s="2" t="str">
        <f ca="1"/>
        <v>OK</v>
      </c>
    </row>
    <row r="8670" spans="2:34" x14ac:dyDescent="0.2">
      <c r="B8670" s="2">
        <f ca="1"/>
        <v>0.55941931400892786</v>
      </c>
      <c r="O8670" s="2">
        <f ca="1"/>
        <v>-0.98746149234133274</v>
      </c>
      <c r="X8670" s="2">
        <f ca="1"/>
        <v>81.491252465240564</v>
      </c>
      <c r="AG8670" s="2">
        <f ca="1"/>
        <v>0.94274073289038185</v>
      </c>
      <c r="AH8670" s="2" t="str">
        <f ca="1"/>
        <v>Bad</v>
      </c>
    </row>
    <row r="8671" spans="2:34" x14ac:dyDescent="0.2">
      <c r="B8671" s="2">
        <f ca="1"/>
        <v>0.25087344806540823</v>
      </c>
      <c r="O8671" s="2">
        <f ca="1"/>
        <v>0.84377465690788522</v>
      </c>
      <c r="X8671" s="2">
        <f ca="1"/>
        <v>77.120012324340195</v>
      </c>
      <c r="AG8671" s="2">
        <f ca="1"/>
        <v>0.74317012830081675</v>
      </c>
      <c r="AH8671" s="2" t="str">
        <f ca="1"/>
        <v>Bad</v>
      </c>
    </row>
    <row r="8672" spans="2:34" x14ac:dyDescent="0.2">
      <c r="B8672" s="2">
        <f ca="1"/>
        <v>0.53007591658834685</v>
      </c>
      <c r="O8672" s="2">
        <f ca="1"/>
        <v>-0.59460831635380962</v>
      </c>
      <c r="X8672" s="2">
        <f ca="1"/>
        <v>39.804440448182262</v>
      </c>
      <c r="AG8672" s="2">
        <f ca="1"/>
        <v>0.83164618089231679</v>
      </c>
      <c r="AH8672" s="2" t="str">
        <f ca="1"/>
        <v>Bad</v>
      </c>
    </row>
    <row r="8673" spans="2:34" x14ac:dyDescent="0.2">
      <c r="B8673" s="2">
        <f ca="1"/>
        <v>0.13701161337749412</v>
      </c>
      <c r="O8673" s="2">
        <f ca="1"/>
        <v>0.41390358626937884</v>
      </c>
      <c r="X8673" s="2">
        <f ca="1"/>
        <v>38.090818015542844</v>
      </c>
      <c r="AG8673" s="2">
        <f ca="1"/>
        <v>0.89733133877978122</v>
      </c>
      <c r="AH8673" s="2" t="str">
        <f ca="1"/>
        <v>Bad</v>
      </c>
    </row>
    <row r="8674" spans="2:34" x14ac:dyDescent="0.2">
      <c r="B8674" s="2">
        <f ca="1"/>
        <v>0.44986442894026091</v>
      </c>
      <c r="O8674" s="2">
        <f ca="1"/>
        <v>-2.1680276806029011</v>
      </c>
      <c r="X8674" s="2">
        <f ca="1"/>
        <v>37.11232822789475</v>
      </c>
      <c r="AG8674" s="2">
        <f ca="1"/>
        <v>0.27339850647103092</v>
      </c>
      <c r="AH8674" s="2" t="str">
        <f ca="1"/>
        <v>OK</v>
      </c>
    </row>
    <row r="8675" spans="2:34" x14ac:dyDescent="0.2">
      <c r="B8675" s="2">
        <f ca="1"/>
        <v>0.5256491719912153</v>
      </c>
      <c r="O8675" s="2">
        <f ca="1"/>
        <v>-0.65267743245224852</v>
      </c>
      <c r="X8675" s="2">
        <f ca="1"/>
        <v>33.01865319678528</v>
      </c>
      <c r="AG8675" s="2">
        <f ca="1"/>
        <v>0.13319478466791157</v>
      </c>
      <c r="AH8675" s="2" t="str">
        <f ca="1"/>
        <v>OK</v>
      </c>
    </row>
    <row r="8676" spans="2:34" x14ac:dyDescent="0.2">
      <c r="B8676" s="2">
        <f ca="1"/>
        <v>6.5603734514166012E-2</v>
      </c>
      <c r="O8676" s="2">
        <f ca="1"/>
        <v>-0.32682342870983472</v>
      </c>
      <c r="X8676" s="2">
        <f ca="1"/>
        <v>39.360416757774622</v>
      </c>
      <c r="AG8676" s="2">
        <f ca="1"/>
        <v>9.2225832758874526E-2</v>
      </c>
      <c r="AH8676" s="2" t="str">
        <f ca="1"/>
        <v>OK</v>
      </c>
    </row>
    <row r="8677" spans="2:34" x14ac:dyDescent="0.2">
      <c r="B8677" s="2">
        <f ca="1"/>
        <v>0.33444349709348309</v>
      </c>
      <c r="O8677" s="2">
        <f ca="1"/>
        <v>-1.6315325669309746</v>
      </c>
      <c r="X8677" s="2">
        <f ca="1"/>
        <v>29.342460788758615</v>
      </c>
      <c r="AG8677" s="2">
        <f ca="1"/>
        <v>0.13988824737787353</v>
      </c>
      <c r="AH8677" s="2" t="str">
        <f ca="1"/>
        <v>OK</v>
      </c>
    </row>
    <row r="8678" spans="2:34" x14ac:dyDescent="0.2">
      <c r="B8678" s="2">
        <f ca="1"/>
        <v>0.15160512571310236</v>
      </c>
      <c r="O8678" s="2">
        <f ca="1"/>
        <v>0.25154178853997849</v>
      </c>
      <c r="X8678" s="2">
        <f ca="1"/>
        <v>33.487643262183063</v>
      </c>
      <c r="AG8678" s="2">
        <f ca="1"/>
        <v>0.38755479882722321</v>
      </c>
      <c r="AH8678" s="2" t="str">
        <f ca="1"/>
        <v>OK</v>
      </c>
    </row>
    <row r="8679" spans="2:34" x14ac:dyDescent="0.2">
      <c r="B8679" s="2">
        <f ca="1"/>
        <v>0.15289610209826887</v>
      </c>
      <c r="O8679" s="2">
        <f ca="1"/>
        <v>-0.67906260586082734</v>
      </c>
      <c r="X8679" s="2">
        <f ca="1"/>
        <v>36.172218687244062</v>
      </c>
      <c r="AG8679" s="2">
        <f ca="1"/>
        <v>0.21813395020892368</v>
      </c>
      <c r="AH8679" s="2" t="str">
        <f ca="1"/>
        <v>OK</v>
      </c>
    </row>
    <row r="8680" spans="2:34" x14ac:dyDescent="0.2">
      <c r="B8680" s="2">
        <f ca="1"/>
        <v>0.23023400519577564</v>
      </c>
      <c r="O8680" s="2">
        <f ca="1"/>
        <v>-2.021560928646716</v>
      </c>
      <c r="X8680" s="2">
        <f ca="1"/>
        <v>58.574047614689746</v>
      </c>
      <c r="AG8680" s="2">
        <f ca="1"/>
        <v>0.8818202186991877</v>
      </c>
      <c r="AH8680" s="2" t="str">
        <f ca="1"/>
        <v>Bad</v>
      </c>
    </row>
    <row r="8681" spans="2:34" x14ac:dyDescent="0.2">
      <c r="B8681" s="2">
        <f ca="1"/>
        <v>0.5568923250302118</v>
      </c>
      <c r="O8681" s="2">
        <f ca="1"/>
        <v>-0.70518586777592729</v>
      </c>
      <c r="X8681" s="2">
        <f ca="1"/>
        <v>72.35941473280873</v>
      </c>
      <c r="AG8681" s="2">
        <f ca="1"/>
        <v>0.68750128714362413</v>
      </c>
      <c r="AH8681" s="2" t="str">
        <f ca="1"/>
        <v>Bad</v>
      </c>
    </row>
    <row r="8682" spans="2:34" x14ac:dyDescent="0.2">
      <c r="B8682" s="2">
        <f ca="1"/>
        <v>0.50756115913404187</v>
      </c>
      <c r="O8682" s="2">
        <f ca="1"/>
        <v>-0.27748915756759934</v>
      </c>
      <c r="X8682" s="2">
        <f ca="1"/>
        <v>49.086373371264699</v>
      </c>
      <c r="AG8682" s="2">
        <f ca="1"/>
        <v>0.29489724672325446</v>
      </c>
      <c r="AH8682" s="2" t="str">
        <f ca="1"/>
        <v>OK</v>
      </c>
    </row>
    <row r="8683" spans="2:34" x14ac:dyDescent="0.2">
      <c r="B8683" s="2">
        <f ca="1"/>
        <v>9.7321543821310197E-2</v>
      </c>
      <c r="O8683" s="2">
        <f ca="1"/>
        <v>-1.0305236057629494</v>
      </c>
      <c r="X8683" s="2">
        <f ca="1"/>
        <v>50.039938378319597</v>
      </c>
      <c r="AG8683" s="2">
        <f ca="1"/>
        <v>0.20252642510026408</v>
      </c>
      <c r="AH8683" s="2" t="str">
        <f ca="1"/>
        <v>OK</v>
      </c>
    </row>
    <row r="8684" spans="2:34" x14ac:dyDescent="0.2">
      <c r="B8684" s="2">
        <f ca="1"/>
        <v>0.50778723645523205</v>
      </c>
      <c r="O8684" s="2">
        <f ca="1"/>
        <v>-0.41160390338082392</v>
      </c>
      <c r="X8684" s="2">
        <f ca="1"/>
        <v>59.677524046109539</v>
      </c>
      <c r="AG8684" s="2">
        <f ca="1"/>
        <v>0.87091753824054496</v>
      </c>
      <c r="AH8684" s="2" t="str">
        <f ca="1"/>
        <v>Bad</v>
      </c>
    </row>
    <row r="8685" spans="2:34" x14ac:dyDescent="0.2">
      <c r="B8685" s="2">
        <f ca="1"/>
        <v>0.37842124348938144</v>
      </c>
      <c r="O8685" s="2">
        <f ca="1"/>
        <v>-0.10101467086717915</v>
      </c>
      <c r="X8685" s="2">
        <f ca="1"/>
        <v>37.006228426357069</v>
      </c>
      <c r="AG8685" s="2">
        <f ca="1"/>
        <v>0.37506670165023004</v>
      </c>
      <c r="AH8685" s="2" t="str">
        <f ca="1"/>
        <v>OK</v>
      </c>
    </row>
    <row r="8686" spans="2:34" x14ac:dyDescent="0.2">
      <c r="B8686" s="2">
        <f ca="1"/>
        <v>0.91125764217810135</v>
      </c>
      <c r="O8686" s="2">
        <f ca="1"/>
        <v>1.4979132196687581</v>
      </c>
      <c r="X8686" s="2">
        <f ca="1"/>
        <v>76.76708027785088</v>
      </c>
      <c r="AG8686" s="2">
        <f ca="1"/>
        <v>0.5859867965441663</v>
      </c>
      <c r="AH8686" s="2" t="str">
        <f ca="1"/>
        <v>Bad</v>
      </c>
    </row>
    <row r="8687" spans="2:34" x14ac:dyDescent="0.2">
      <c r="B8687" s="2">
        <f ca="1"/>
        <v>0.29417798564530773</v>
      </c>
      <c r="O8687" s="2">
        <f ca="1"/>
        <v>0.63154596266773233</v>
      </c>
      <c r="X8687" s="2">
        <f ca="1"/>
        <v>33.250417096586958</v>
      </c>
      <c r="AG8687" s="2">
        <f ca="1"/>
        <v>0.58536923591869416</v>
      </c>
      <c r="AH8687" s="2" t="str">
        <f ca="1"/>
        <v>Bad</v>
      </c>
    </row>
    <row r="8688" spans="2:34" x14ac:dyDescent="0.2">
      <c r="B8688" s="2">
        <f ca="1"/>
        <v>0.79678333278341285</v>
      </c>
      <c r="O8688" s="2">
        <f ca="1"/>
        <v>-2.339491790675861</v>
      </c>
      <c r="X8688" s="2">
        <f ca="1"/>
        <v>46.043054956985998</v>
      </c>
      <c r="AG8688" s="2">
        <f ca="1"/>
        <v>0.82316355029008159</v>
      </c>
      <c r="AH8688" s="2" t="str">
        <f ca="1"/>
        <v>Bad</v>
      </c>
    </row>
    <row r="8689" spans="2:34" x14ac:dyDescent="0.2">
      <c r="B8689" s="2">
        <f ca="1"/>
        <v>0.88537469761829146</v>
      </c>
      <c r="O8689" s="2">
        <f ca="1"/>
        <v>0.23425931830460853</v>
      </c>
      <c r="X8689" s="2">
        <f ca="1"/>
        <v>57.296636812495301</v>
      </c>
      <c r="AG8689" s="2">
        <f ca="1"/>
        <v>0.64566537692988901</v>
      </c>
      <c r="AH8689" s="2" t="str">
        <f ca="1"/>
        <v>Bad</v>
      </c>
    </row>
    <row r="8690" spans="2:34" x14ac:dyDescent="0.2">
      <c r="B8690" s="2">
        <f ca="1"/>
        <v>0.82541100659607913</v>
      </c>
      <c r="O8690" s="2">
        <f ca="1"/>
        <v>-0.49209164662291627</v>
      </c>
      <c r="X8690" s="2">
        <f ca="1"/>
        <v>61.463006518120835</v>
      </c>
      <c r="AG8690" s="2">
        <f ca="1"/>
        <v>0.19679133914151525</v>
      </c>
      <c r="AH8690" s="2" t="str">
        <f ca="1"/>
        <v>OK</v>
      </c>
    </row>
    <row r="8691" spans="2:34" x14ac:dyDescent="0.2">
      <c r="B8691" s="2">
        <f ca="1"/>
        <v>0.18661594877067333</v>
      </c>
      <c r="O8691" s="2">
        <f ca="1"/>
        <v>-1.1265590056231394</v>
      </c>
      <c r="X8691" s="2">
        <f ca="1"/>
        <v>51.578478435009423</v>
      </c>
      <c r="AG8691" s="2">
        <f ca="1"/>
        <v>8.6193615755580932E-3</v>
      </c>
      <c r="AH8691" s="2" t="str">
        <f ca="1"/>
        <v>Good</v>
      </c>
    </row>
    <row r="8692" spans="2:34" x14ac:dyDescent="0.2">
      <c r="B8692" s="2">
        <f ca="1"/>
        <v>8.3338341830825557E-2</v>
      </c>
      <c r="O8692" s="2">
        <f ca="1"/>
        <v>1.7374318510064974</v>
      </c>
      <c r="X8692" s="2">
        <f ca="1"/>
        <v>41.328596961771353</v>
      </c>
      <c r="AG8692" s="2">
        <f ca="1"/>
        <v>0.3689658049799367</v>
      </c>
      <c r="AH8692" s="2" t="str">
        <f ca="1"/>
        <v>OK</v>
      </c>
    </row>
    <row r="8693" spans="2:34" x14ac:dyDescent="0.2">
      <c r="B8693" s="2">
        <f ca="1"/>
        <v>0.74062442369341985</v>
      </c>
      <c r="O8693" s="2">
        <f ca="1"/>
        <v>0.69946916946072468</v>
      </c>
      <c r="X8693" s="2">
        <f ca="1"/>
        <v>40.649285037817421</v>
      </c>
      <c r="AG8693" s="2">
        <f ca="1"/>
        <v>0.36200960321083775</v>
      </c>
      <c r="AH8693" s="2" t="str">
        <f ca="1"/>
        <v>OK</v>
      </c>
    </row>
    <row r="8694" spans="2:34" x14ac:dyDescent="0.2">
      <c r="B8694" s="2">
        <f ca="1"/>
        <v>0.78104470300739437</v>
      </c>
      <c r="O8694" s="2">
        <f ca="1"/>
        <v>1.0463255851619124</v>
      </c>
      <c r="X8694" s="2">
        <f ca="1"/>
        <v>80.419923267835031</v>
      </c>
      <c r="AG8694" s="2">
        <f ca="1"/>
        <v>0.53949161565109205</v>
      </c>
      <c r="AH8694" s="2" t="str">
        <f ca="1"/>
        <v>Bad</v>
      </c>
    </row>
    <row r="8695" spans="2:34" x14ac:dyDescent="0.2">
      <c r="B8695" s="2">
        <f ca="1"/>
        <v>5.5799133715364491E-2</v>
      </c>
      <c r="O8695" s="2">
        <f ca="1"/>
        <v>-6.0050292212151524E-2</v>
      </c>
      <c r="X8695" s="2">
        <f ca="1"/>
        <v>32.152596108407529</v>
      </c>
      <c r="AG8695" s="2">
        <f ca="1"/>
        <v>0.98749200113725455</v>
      </c>
      <c r="AH8695" s="2" t="str">
        <f ca="1"/>
        <v>Bad</v>
      </c>
    </row>
    <row r="8696" spans="2:34" x14ac:dyDescent="0.2">
      <c r="B8696" s="2">
        <f ca="1"/>
        <v>0.2900780057423078</v>
      </c>
      <c r="O8696" s="2">
        <f ca="1"/>
        <v>-0.22160821021120813</v>
      </c>
      <c r="X8696" s="2">
        <f ca="1"/>
        <v>26.22513850396183</v>
      </c>
      <c r="AG8696" s="2">
        <f ca="1"/>
        <v>0.55336869951658496</v>
      </c>
      <c r="AH8696" s="2" t="str">
        <f ca="1"/>
        <v>Bad</v>
      </c>
    </row>
    <row r="8697" spans="2:34" x14ac:dyDescent="0.2">
      <c r="B8697" s="2">
        <f ca="1"/>
        <v>0.89998460441946859</v>
      </c>
      <c r="O8697" s="2">
        <f ca="1"/>
        <v>0.78103729500543517</v>
      </c>
      <c r="X8697" s="2">
        <f ca="1"/>
        <v>56.458323025832357</v>
      </c>
      <c r="AG8697" s="2">
        <f ca="1"/>
        <v>0.69366904457790013</v>
      </c>
      <c r="AH8697" s="2" t="str">
        <f ca="1"/>
        <v>Bad</v>
      </c>
    </row>
    <row r="8698" spans="2:34" x14ac:dyDescent="0.2">
      <c r="B8698" s="2">
        <f ca="1"/>
        <v>0.12740541807650918</v>
      </c>
      <c r="O8698" s="2">
        <f ca="1"/>
        <v>-0.22530789694273215</v>
      </c>
      <c r="X8698" s="2">
        <f ca="1"/>
        <v>76.410153884888544</v>
      </c>
      <c r="AG8698" s="2">
        <f ca="1"/>
        <v>0.95564939830707152</v>
      </c>
      <c r="AH8698" s="2" t="str">
        <f ca="1"/>
        <v>Bad</v>
      </c>
    </row>
    <row r="8699" spans="2:34" x14ac:dyDescent="0.2">
      <c r="B8699" s="2">
        <f ca="1"/>
        <v>0.98560996293972836</v>
      </c>
      <c r="O8699" s="2">
        <f ca="1"/>
        <v>-1.4293910592408861</v>
      </c>
      <c r="X8699" s="2">
        <f ca="1"/>
        <v>46.259020994213685</v>
      </c>
      <c r="AG8699" s="2">
        <f ca="1"/>
        <v>0.98183422919939334</v>
      </c>
      <c r="AH8699" s="2" t="str">
        <f ca="1"/>
        <v>Bad</v>
      </c>
    </row>
    <row r="8700" spans="2:34" x14ac:dyDescent="0.2">
      <c r="B8700" s="2">
        <f ca="1"/>
        <v>0.35162525765223784</v>
      </c>
      <c r="O8700" s="2">
        <f ca="1"/>
        <v>-0.58509207670685692</v>
      </c>
      <c r="X8700" s="2">
        <f ca="1"/>
        <v>34.588796954175216</v>
      </c>
      <c r="AG8700" s="2">
        <f ca="1"/>
        <v>0.86018611675880585</v>
      </c>
      <c r="AH8700" s="2" t="str">
        <f ca="1"/>
        <v>Bad</v>
      </c>
    </row>
    <row r="8701" spans="2:34" x14ac:dyDescent="0.2">
      <c r="B8701" s="2">
        <f ca="1"/>
        <v>0.96534612660008423</v>
      </c>
      <c r="O8701" s="2">
        <f ca="1"/>
        <v>1.7989871900757643E-2</v>
      </c>
      <c r="X8701" s="2">
        <f ca="1"/>
        <v>86.573491943388831</v>
      </c>
      <c r="AG8701" s="2">
        <f ca="1"/>
        <v>0.22502207492027604</v>
      </c>
      <c r="AH8701" s="2" t="str">
        <f ca="1"/>
        <v>OK</v>
      </c>
    </row>
    <row r="8702" spans="2:34" x14ac:dyDescent="0.2">
      <c r="B8702" s="2">
        <f ca="1"/>
        <v>6.6344820333566812E-2</v>
      </c>
      <c r="O8702" s="2">
        <f ca="1"/>
        <v>1.6974644275686366</v>
      </c>
      <c r="X8702" s="2">
        <f ca="1"/>
        <v>45.230917145460808</v>
      </c>
      <c r="AG8702" s="2">
        <f ca="1"/>
        <v>0.66713496626899671</v>
      </c>
      <c r="AH8702" s="2" t="str">
        <f ca="1"/>
        <v>Bad</v>
      </c>
    </row>
    <row r="8703" spans="2:34" x14ac:dyDescent="0.2">
      <c r="B8703" s="2">
        <f ca="1"/>
        <v>0.20941669327357793</v>
      </c>
      <c r="O8703" s="2">
        <f ca="1"/>
        <v>-0.59590425786915979</v>
      </c>
      <c r="X8703" s="2">
        <f ca="1"/>
        <v>42.812088229500695</v>
      </c>
      <c r="AG8703" s="2">
        <f ca="1"/>
        <v>0.6750236265077012</v>
      </c>
      <c r="AH8703" s="2" t="str">
        <f ca="1"/>
        <v>Bad</v>
      </c>
    </row>
    <row r="8704" spans="2:34" x14ac:dyDescent="0.2">
      <c r="B8704" s="2">
        <f ca="1"/>
        <v>0.60948258877366568</v>
      </c>
      <c r="O8704" s="2">
        <f ca="1"/>
        <v>-0.30277287099413835</v>
      </c>
      <c r="X8704" s="2">
        <f ca="1"/>
        <v>54.238759029570318</v>
      </c>
      <c r="AG8704" s="2">
        <f ca="1"/>
        <v>8.9926490523049685E-2</v>
      </c>
      <c r="AH8704" s="2" t="str">
        <f ca="1"/>
        <v>OK</v>
      </c>
    </row>
    <row r="8705" spans="2:34" x14ac:dyDescent="0.2">
      <c r="B8705" s="2">
        <f ca="1"/>
        <v>0.53878542474251723</v>
      </c>
      <c r="O8705" s="2">
        <f ca="1"/>
        <v>-0.4823637633205462</v>
      </c>
      <c r="X8705" s="2">
        <f ca="1"/>
        <v>63.219869283787745</v>
      </c>
      <c r="AG8705" s="2">
        <f ca="1"/>
        <v>0.33254636168209895</v>
      </c>
      <c r="AH8705" s="2" t="str">
        <f ca="1"/>
        <v>OK</v>
      </c>
    </row>
    <row r="8706" spans="2:34" x14ac:dyDescent="0.2">
      <c r="B8706" s="2">
        <f ca="1"/>
        <v>9.8746855679465506E-2</v>
      </c>
      <c r="O8706" s="2">
        <f ca="1"/>
        <v>-0.55955272070438</v>
      </c>
      <c r="X8706" s="2">
        <f ca="1"/>
        <v>47.503777229347179</v>
      </c>
      <c r="AG8706" s="2">
        <f ca="1"/>
        <v>0.99468100561614148</v>
      </c>
      <c r="AH8706" s="2" t="str">
        <f ca="1"/>
        <v>Bad</v>
      </c>
    </row>
    <row r="8707" spans="2:34" x14ac:dyDescent="0.2">
      <c r="B8707" s="2">
        <f ca="1"/>
        <v>0.43849399932369026</v>
      </c>
      <c r="O8707" s="2">
        <f ca="1"/>
        <v>0.97951135970507608</v>
      </c>
      <c r="X8707" s="2">
        <f ca="1"/>
        <v>36.790927777275137</v>
      </c>
      <c r="AG8707" s="2">
        <f ca="1"/>
        <v>0.68018183740903448</v>
      </c>
      <c r="AH8707" s="2" t="str">
        <f ca="1"/>
        <v>Bad</v>
      </c>
    </row>
    <row r="8708" spans="2:34" x14ac:dyDescent="0.2">
      <c r="B8708" s="2">
        <f ca="1"/>
        <v>0.73690261855378814</v>
      </c>
      <c r="O8708" s="2">
        <f ca="1"/>
        <v>-0.60818608288060427</v>
      </c>
      <c r="X8708" s="2">
        <f ca="1"/>
        <v>54.086175473501932</v>
      </c>
      <c r="AG8708" s="2">
        <f ca="1"/>
        <v>0.67716369969136703</v>
      </c>
      <c r="AH8708" s="2" t="str">
        <f ca="1"/>
        <v>Bad</v>
      </c>
    </row>
    <row r="8709" spans="2:34" x14ac:dyDescent="0.2">
      <c r="B8709" s="2">
        <f ca="1"/>
        <v>0.34109453250600374</v>
      </c>
      <c r="O8709" s="2">
        <f ca="1"/>
        <v>-0.8060478744754469</v>
      </c>
      <c r="X8709" s="2">
        <f ca="1"/>
        <v>118.93087239356467</v>
      </c>
      <c r="AG8709" s="2">
        <f ca="1"/>
        <v>0.92791307125101885</v>
      </c>
      <c r="AH8709" s="2" t="str">
        <f ca="1"/>
        <v>Bad</v>
      </c>
    </row>
    <row r="8710" spans="2:34" x14ac:dyDescent="0.2">
      <c r="B8710" s="2">
        <f ca="1"/>
        <v>0.26160268325494629</v>
      </c>
      <c r="O8710" s="2">
        <f ca="1"/>
        <v>0.30109225259457445</v>
      </c>
      <c r="X8710" s="2">
        <f ca="1"/>
        <v>29.569022414836439</v>
      </c>
      <c r="AG8710" s="2">
        <f ca="1"/>
        <v>0.69535427724369447</v>
      </c>
      <c r="AH8710" s="2" t="str">
        <f ca="1"/>
        <v>Bad</v>
      </c>
    </row>
    <row r="8711" spans="2:34" x14ac:dyDescent="0.2">
      <c r="B8711" s="2">
        <f ca="1"/>
        <v>0.17402646731378946</v>
      </c>
      <c r="O8711" s="2">
        <f ca="1"/>
        <v>-0.19796254532529436</v>
      </c>
      <c r="X8711" s="2">
        <f ca="1"/>
        <v>68.95755782301687</v>
      </c>
      <c r="AG8711" s="2">
        <f ca="1"/>
        <v>0.12521178425645862</v>
      </c>
      <c r="AH8711" s="2" t="str">
        <f ca="1"/>
        <v>OK</v>
      </c>
    </row>
    <row r="8712" spans="2:34" x14ac:dyDescent="0.2">
      <c r="B8712" s="2">
        <f ca="1"/>
        <v>0.22894012840392319</v>
      </c>
      <c r="O8712" s="2">
        <f ca="1"/>
        <v>0.86890332761485911</v>
      </c>
      <c r="X8712" s="2">
        <f ca="1"/>
        <v>33.909152714891036</v>
      </c>
      <c r="AG8712" s="2">
        <f ca="1"/>
        <v>0.40659557365268739</v>
      </c>
      <c r="AH8712" s="2" t="str">
        <f ca="1"/>
        <v>Bad</v>
      </c>
    </row>
    <row r="8713" spans="2:34" x14ac:dyDescent="0.2">
      <c r="B8713" s="2">
        <f ca="1"/>
        <v>0.47397005922196622</v>
      </c>
      <c r="O8713" s="2">
        <f ca="1"/>
        <v>1.4299957667637375</v>
      </c>
      <c r="X8713" s="2">
        <f ca="1"/>
        <v>42.40924663154231</v>
      </c>
      <c r="AG8713" s="2">
        <f ca="1"/>
        <v>0.93282733803030515</v>
      </c>
      <c r="AH8713" s="2" t="str">
        <f ca="1"/>
        <v>Bad</v>
      </c>
    </row>
    <row r="8714" spans="2:34" x14ac:dyDescent="0.2">
      <c r="B8714" s="2">
        <f ca="1"/>
        <v>0.31445982308428921</v>
      </c>
      <c r="O8714" s="2">
        <f ca="1"/>
        <v>1.0840644223828677</v>
      </c>
      <c r="X8714" s="2">
        <f ca="1"/>
        <v>27.802498810366686</v>
      </c>
      <c r="AG8714" s="2">
        <f ca="1"/>
        <v>0.19227776088313364</v>
      </c>
      <c r="AH8714" s="2" t="str">
        <f ca="1"/>
        <v>OK</v>
      </c>
    </row>
    <row r="8715" spans="2:34" x14ac:dyDescent="0.2">
      <c r="B8715" s="2">
        <f ca="1"/>
        <v>0.32922212056461442</v>
      </c>
      <c r="O8715" s="2">
        <f ca="1"/>
        <v>0.53230520932362346</v>
      </c>
      <c r="X8715" s="2">
        <f ca="1"/>
        <v>38.350313924032079</v>
      </c>
      <c r="AG8715" s="2">
        <f ca="1"/>
        <v>0.57733873343597075</v>
      </c>
      <c r="AH8715" s="2" t="str">
        <f ca="1"/>
        <v>Bad</v>
      </c>
    </row>
    <row r="8716" spans="2:34" x14ac:dyDescent="0.2">
      <c r="B8716" s="2">
        <f ca="1"/>
        <v>0.71282816661943982</v>
      </c>
      <c r="O8716" s="2">
        <f ca="1"/>
        <v>0.87275994743283314</v>
      </c>
      <c r="X8716" s="2">
        <f ca="1"/>
        <v>58.104180873884388</v>
      </c>
      <c r="AG8716" s="2">
        <f ca="1"/>
        <v>0.51759715581442522</v>
      </c>
      <c r="AH8716" s="2" t="str">
        <f ca="1"/>
        <v>Bad</v>
      </c>
    </row>
    <row r="8717" spans="2:34" x14ac:dyDescent="0.2">
      <c r="B8717" s="2">
        <f ca="1"/>
        <v>0.10535575463042512</v>
      </c>
      <c r="O8717" s="2">
        <f ca="1"/>
        <v>-0.18577209098670014</v>
      </c>
      <c r="X8717" s="2">
        <f ca="1"/>
        <v>33.048857778996165</v>
      </c>
      <c r="AG8717" s="2">
        <f ca="1"/>
        <v>0.71873200579035212</v>
      </c>
      <c r="AH8717" s="2" t="str">
        <f ca="1"/>
        <v>Bad</v>
      </c>
    </row>
    <row r="8718" spans="2:34" x14ac:dyDescent="0.2">
      <c r="B8718" s="2">
        <f ca="1"/>
        <v>0.24712155749253362</v>
      </c>
      <c r="O8718" s="2">
        <f ca="1"/>
        <v>-1.4422894487853848</v>
      </c>
      <c r="X8718" s="2">
        <f ca="1"/>
        <v>27.110571495177844</v>
      </c>
      <c r="AG8718" s="2">
        <f ca="1"/>
        <v>0.34891711131232794</v>
      </c>
      <c r="AH8718" s="2" t="str">
        <f ca="1"/>
        <v>OK</v>
      </c>
    </row>
    <row r="8719" spans="2:34" x14ac:dyDescent="0.2">
      <c r="B8719" s="2">
        <f ca="1"/>
        <v>0.39128670746209981</v>
      </c>
      <c r="O8719" s="2">
        <f ca="1"/>
        <v>1.9498847516725062</v>
      </c>
      <c r="X8719" s="2">
        <f ca="1"/>
        <v>64.609212514190645</v>
      </c>
      <c r="AG8719" s="2">
        <f ca="1"/>
        <v>0.10696847024020406</v>
      </c>
      <c r="AH8719" s="2" t="str">
        <f ca="1"/>
        <v>OK</v>
      </c>
    </row>
    <row r="8720" spans="2:34" x14ac:dyDescent="0.2">
      <c r="B8720" s="2">
        <f ca="1"/>
        <v>0.48269782067206091</v>
      </c>
      <c r="O8720" s="2">
        <f ca="1"/>
        <v>4.2403348151550807E-2</v>
      </c>
      <c r="X8720" s="2">
        <f ca="1"/>
        <v>49.366144076681884</v>
      </c>
      <c r="AG8720" s="2">
        <f ca="1"/>
        <v>0.16492488428477259</v>
      </c>
      <c r="AH8720" s="2" t="str">
        <f ca="1"/>
        <v>OK</v>
      </c>
    </row>
    <row r="8721" spans="2:34" x14ac:dyDescent="0.2">
      <c r="B8721" s="2">
        <f ca="1"/>
        <v>0.14610031047895067</v>
      </c>
      <c r="O8721" s="2">
        <f ca="1"/>
        <v>-0.50811896062289108</v>
      </c>
      <c r="X8721" s="2">
        <f ca="1"/>
        <v>50.784421969647155</v>
      </c>
      <c r="AG8721" s="2">
        <f ca="1"/>
        <v>1.6464203656007648E-2</v>
      </c>
      <c r="AH8721" s="2" t="str">
        <f ca="1"/>
        <v>Good</v>
      </c>
    </row>
    <row r="8722" spans="2:34" x14ac:dyDescent="0.2">
      <c r="B8722" s="2">
        <f ca="1"/>
        <v>0.44176693111579146</v>
      </c>
      <c r="O8722" s="2">
        <f ca="1"/>
        <v>1.1954102857838307</v>
      </c>
      <c r="X8722" s="2">
        <f ca="1"/>
        <v>50.740926034377111</v>
      </c>
      <c r="AG8722" s="2">
        <f ca="1"/>
        <v>0.13998087738216269</v>
      </c>
      <c r="AH8722" s="2" t="str">
        <f ca="1"/>
        <v>OK</v>
      </c>
    </row>
    <row r="8723" spans="2:34" x14ac:dyDescent="0.2">
      <c r="B8723" s="2">
        <f ca="1"/>
        <v>0.41819999494242222</v>
      </c>
      <c r="O8723" s="2">
        <f ca="1"/>
        <v>0.72834856649653656</v>
      </c>
      <c r="X8723" s="2">
        <f ca="1"/>
        <v>38.682442141292796</v>
      </c>
      <c r="AG8723" s="2">
        <f ca="1"/>
        <v>4.7740058610803882E-2</v>
      </c>
      <c r="AH8723" s="2" t="str">
        <f ca="1"/>
        <v>Good</v>
      </c>
    </row>
    <row r="8724" spans="2:34" x14ac:dyDescent="0.2">
      <c r="B8724" s="2">
        <f ca="1"/>
        <v>0.72709865892127001</v>
      </c>
      <c r="O8724" s="2">
        <f ca="1"/>
        <v>-1.4721039985315163</v>
      </c>
      <c r="X8724" s="2">
        <f ca="1"/>
        <v>40.165242397759684</v>
      </c>
      <c r="AG8724" s="2">
        <f ca="1"/>
        <v>0.34433776386373083</v>
      </c>
      <c r="AH8724" s="2" t="str">
        <f ca="1"/>
        <v>OK</v>
      </c>
    </row>
    <row r="8725" spans="2:34" x14ac:dyDescent="0.2">
      <c r="B8725" s="2">
        <f ca="1"/>
        <v>0.49944726877317103</v>
      </c>
      <c r="O8725" s="2">
        <f ca="1"/>
        <v>1.5435256559531005</v>
      </c>
      <c r="X8725" s="2">
        <f ca="1"/>
        <v>36.162023278562451</v>
      </c>
      <c r="AG8725" s="2">
        <f ca="1"/>
        <v>0.83279585084459695</v>
      </c>
      <c r="AH8725" s="2" t="str">
        <f ca="1"/>
        <v>Bad</v>
      </c>
    </row>
    <row r="8726" spans="2:34" x14ac:dyDescent="0.2">
      <c r="B8726" s="2">
        <f ca="1"/>
        <v>0.55707353419309436</v>
      </c>
      <c r="O8726" s="2">
        <f ca="1"/>
        <v>0.79513516376328897</v>
      </c>
      <c r="X8726" s="2">
        <f ca="1"/>
        <v>50.702919240695522</v>
      </c>
      <c r="AG8726" s="2">
        <f ca="1"/>
        <v>0.26262436131993172</v>
      </c>
      <c r="AH8726" s="2" t="str">
        <f ca="1"/>
        <v>OK</v>
      </c>
    </row>
    <row r="8727" spans="2:34" x14ac:dyDescent="0.2">
      <c r="B8727" s="2">
        <f ca="1"/>
        <v>0.38888907697166908</v>
      </c>
      <c r="O8727" s="2">
        <f ca="1"/>
        <v>0.17913951800825462</v>
      </c>
      <c r="X8727" s="2">
        <f ca="1"/>
        <v>67.872855786911813</v>
      </c>
      <c r="AG8727" s="2">
        <f ca="1"/>
        <v>0.92896586239029966</v>
      </c>
      <c r="AH8727" s="2" t="str">
        <f ca="1"/>
        <v>Bad</v>
      </c>
    </row>
    <row r="8728" spans="2:34" x14ac:dyDescent="0.2">
      <c r="B8728" s="2">
        <f ca="1"/>
        <v>0.39486690730286744</v>
      </c>
      <c r="O8728" s="2">
        <f ca="1"/>
        <v>-1.1986869691273716</v>
      </c>
      <c r="X8728" s="2">
        <f ca="1"/>
        <v>79.465642662927706</v>
      </c>
      <c r="AG8728" s="2">
        <f ca="1"/>
        <v>0.70142746832570091</v>
      </c>
      <c r="AH8728" s="2" t="str">
        <f ca="1"/>
        <v>Bad</v>
      </c>
    </row>
    <row r="8729" spans="2:34" x14ac:dyDescent="0.2">
      <c r="B8729" s="2">
        <f ca="1"/>
        <v>0.92438857929413887</v>
      </c>
      <c r="O8729" s="2">
        <f ca="1"/>
        <v>0.31067528901383018</v>
      </c>
      <c r="X8729" s="2">
        <f ca="1"/>
        <v>23.871409228418653</v>
      </c>
      <c r="AG8729" s="2">
        <f ca="1"/>
        <v>0.48586318498105774</v>
      </c>
      <c r="AH8729" s="2" t="str">
        <f ca="1"/>
        <v>Bad</v>
      </c>
    </row>
    <row r="8730" spans="2:34" x14ac:dyDescent="0.2">
      <c r="B8730" s="2">
        <f ca="1"/>
        <v>0.89651009206521359</v>
      </c>
      <c r="O8730" s="2">
        <f ca="1"/>
        <v>-0.34648772164180069</v>
      </c>
      <c r="X8730" s="2">
        <f ca="1"/>
        <v>50.941815142280696</v>
      </c>
      <c r="AG8730" s="2">
        <f ca="1"/>
        <v>0.97604235799930961</v>
      </c>
      <c r="AH8730" s="2" t="str">
        <f ca="1"/>
        <v>Bad</v>
      </c>
    </row>
    <row r="8731" spans="2:34" x14ac:dyDescent="0.2">
      <c r="B8731" s="2">
        <f ca="1"/>
        <v>0.8225305130078211</v>
      </c>
      <c r="O8731" s="2">
        <f ca="1"/>
        <v>2.4568411905564462E-2</v>
      </c>
      <c r="X8731" s="2">
        <f ca="1"/>
        <v>31.062435659015541</v>
      </c>
      <c r="AG8731" s="2">
        <f ca="1"/>
        <v>0.66156149767885153</v>
      </c>
      <c r="AH8731" s="2" t="str">
        <f ca="1"/>
        <v>Bad</v>
      </c>
    </row>
    <row r="8732" spans="2:34" x14ac:dyDescent="0.2">
      <c r="B8732" s="2">
        <f ca="1"/>
        <v>0.74154575258626809</v>
      </c>
      <c r="O8732" s="2">
        <f ca="1"/>
        <v>1.4250872044960616</v>
      </c>
      <c r="X8732" s="2">
        <f ca="1"/>
        <v>39.31200063350466</v>
      </c>
      <c r="AG8732" s="2">
        <f ca="1"/>
        <v>0.74307762408109679</v>
      </c>
      <c r="AH8732" s="2" t="str">
        <f ca="1"/>
        <v>Bad</v>
      </c>
    </row>
    <row r="8733" spans="2:34" x14ac:dyDescent="0.2">
      <c r="B8733" s="2">
        <f ca="1"/>
        <v>0.2204754745166706</v>
      </c>
      <c r="O8733" s="2">
        <f ca="1"/>
        <v>0.27079573132590201</v>
      </c>
      <c r="X8733" s="2">
        <f ca="1"/>
        <v>34.664267514221905</v>
      </c>
      <c r="AG8733" s="2">
        <f ca="1"/>
        <v>0.19617725688652343</v>
      </c>
      <c r="AH8733" s="2" t="str">
        <f ca="1"/>
        <v>OK</v>
      </c>
    </row>
    <row r="8734" spans="2:34" x14ac:dyDescent="0.2">
      <c r="B8734" s="2">
        <f ca="1"/>
        <v>0.12874115401129926</v>
      </c>
      <c r="O8734" s="2">
        <f ca="1"/>
        <v>-0.24405629508267279</v>
      </c>
      <c r="X8734" s="2">
        <f ca="1"/>
        <v>89.790129538911216</v>
      </c>
      <c r="AG8734" s="2">
        <f ca="1"/>
        <v>3.3395813812187036E-3</v>
      </c>
      <c r="AH8734" s="2" t="str">
        <f ca="1"/>
        <v>Good</v>
      </c>
    </row>
    <row r="8735" spans="2:34" x14ac:dyDescent="0.2">
      <c r="B8735" s="2">
        <f ca="1"/>
        <v>0.35024480609778008</v>
      </c>
      <c r="O8735" s="2">
        <f ca="1"/>
        <v>-0.19096403646200391</v>
      </c>
      <c r="X8735" s="2">
        <f ca="1"/>
        <v>39.808926462676688</v>
      </c>
      <c r="AG8735" s="2">
        <f ca="1"/>
        <v>0.67402268880824723</v>
      </c>
      <c r="AH8735" s="2" t="str">
        <f ca="1"/>
        <v>Bad</v>
      </c>
    </row>
    <row r="8736" spans="2:34" x14ac:dyDescent="0.2">
      <c r="B8736" s="2">
        <f ca="1"/>
        <v>0.51606761630259723</v>
      </c>
      <c r="O8736" s="2">
        <f ca="1"/>
        <v>-0.7055375980993297</v>
      </c>
      <c r="X8736" s="2">
        <f ca="1"/>
        <v>37.309666536031322</v>
      </c>
      <c r="AG8736" s="2">
        <f ca="1"/>
        <v>0.80394294038621839</v>
      </c>
      <c r="AH8736" s="2" t="str">
        <f ca="1"/>
        <v>Bad</v>
      </c>
    </row>
    <row r="8737" spans="2:34" x14ac:dyDescent="0.2">
      <c r="B8737" s="2">
        <f ca="1"/>
        <v>0.35562610255938787</v>
      </c>
      <c r="O8737" s="2">
        <f ca="1"/>
        <v>-0.14231328607337115</v>
      </c>
      <c r="X8737" s="2">
        <f ca="1"/>
        <v>37.290608108071581</v>
      </c>
      <c r="AG8737" s="2">
        <f ca="1"/>
        <v>0.11220682432451468</v>
      </c>
      <c r="AH8737" s="2" t="str">
        <f ca="1"/>
        <v>OK</v>
      </c>
    </row>
    <row r="8738" spans="2:34" x14ac:dyDescent="0.2">
      <c r="B8738" s="2">
        <f ca="1"/>
        <v>0.61669239143120436</v>
      </c>
      <c r="O8738" s="2">
        <f ca="1"/>
        <v>-0.6299455860510299</v>
      </c>
      <c r="X8738" s="2">
        <f ca="1"/>
        <v>72.865309720042831</v>
      </c>
      <c r="AG8738" s="2">
        <f ca="1"/>
        <v>0.19337695977545044</v>
      </c>
      <c r="AH8738" s="2" t="str">
        <f ca="1"/>
        <v>OK</v>
      </c>
    </row>
    <row r="8739" spans="2:34" x14ac:dyDescent="0.2">
      <c r="B8739" s="2">
        <f ca="1"/>
        <v>0.76751648381542892</v>
      </c>
      <c r="O8739" s="2">
        <f ca="1"/>
        <v>-0.37600639780453338</v>
      </c>
      <c r="X8739" s="2">
        <f ca="1"/>
        <v>39.312440915497959</v>
      </c>
      <c r="AG8739" s="2">
        <f ca="1"/>
        <v>0.93757822236378519</v>
      </c>
      <c r="AH8739" s="2" t="str">
        <f ca="1"/>
        <v>Bad</v>
      </c>
    </row>
    <row r="8740" spans="2:34" x14ac:dyDescent="0.2">
      <c r="B8740" s="2">
        <f ca="1"/>
        <v>0.70054284340158479</v>
      </c>
      <c r="O8740" s="2">
        <f ca="1"/>
        <v>1.1997308431044067</v>
      </c>
      <c r="X8740" s="2">
        <f ca="1"/>
        <v>94.62793702790421</v>
      </c>
      <c r="AG8740" s="2">
        <f ca="1"/>
        <v>0.81999128821028644</v>
      </c>
      <c r="AH8740" s="2" t="str">
        <f ca="1"/>
        <v>Bad</v>
      </c>
    </row>
    <row r="8741" spans="2:34" x14ac:dyDescent="0.2">
      <c r="B8741" s="2">
        <f ca="1"/>
        <v>0.76695081192014491</v>
      </c>
      <c r="O8741" s="2">
        <f ca="1"/>
        <v>1.3384561270299271</v>
      </c>
      <c r="X8741" s="2">
        <f ca="1"/>
        <v>68.157430711648232</v>
      </c>
      <c r="AG8741" s="2">
        <f ca="1"/>
        <v>0.75880244667643892</v>
      </c>
      <c r="AH8741" s="2" t="str">
        <f ca="1"/>
        <v>Bad</v>
      </c>
    </row>
    <row r="8742" spans="2:34" x14ac:dyDescent="0.2">
      <c r="B8742" s="2">
        <f ca="1"/>
        <v>0.13490754916308334</v>
      </c>
      <c r="O8742" s="2">
        <f ca="1"/>
        <v>-6.0867341628337492E-2</v>
      </c>
      <c r="X8742" s="2">
        <f ca="1"/>
        <v>41.504959895492746</v>
      </c>
      <c r="AG8742" s="2">
        <f ca="1"/>
        <v>0.27223206681755419</v>
      </c>
      <c r="AH8742" s="2" t="str">
        <f ca="1"/>
        <v>OK</v>
      </c>
    </row>
    <row r="8743" spans="2:34" x14ac:dyDescent="0.2">
      <c r="B8743" s="2">
        <f ca="1"/>
        <v>0.1084030779212859</v>
      </c>
      <c r="O8743" s="2">
        <f ca="1"/>
        <v>-0.85072996497968334</v>
      </c>
      <c r="X8743" s="2">
        <f ca="1"/>
        <v>19.173633419663322</v>
      </c>
      <c r="AG8743" s="2">
        <f ca="1"/>
        <v>0.8379741325557315</v>
      </c>
      <c r="AH8743" s="2" t="str">
        <f ca="1"/>
        <v>Bad</v>
      </c>
    </row>
    <row r="8744" spans="2:34" x14ac:dyDescent="0.2">
      <c r="B8744" s="2">
        <f ca="1"/>
        <v>0.75973522038717545</v>
      </c>
      <c r="O8744" s="2">
        <f ca="1"/>
        <v>1.0647473628814024</v>
      </c>
      <c r="X8744" s="2">
        <f ca="1"/>
        <v>31.630924197672844</v>
      </c>
      <c r="AG8744" s="2">
        <f ca="1"/>
        <v>9.8780820921762658E-2</v>
      </c>
      <c r="AH8744" s="2" t="str">
        <f ca="1"/>
        <v>OK</v>
      </c>
    </row>
    <row r="8745" spans="2:34" x14ac:dyDescent="0.2">
      <c r="B8745" s="2">
        <f ca="1"/>
        <v>0.58148509931294723</v>
      </c>
      <c r="O8745" s="2">
        <f ca="1"/>
        <v>-0.96418818905174097</v>
      </c>
      <c r="X8745" s="2">
        <f ca="1"/>
        <v>67.951599904416582</v>
      </c>
      <c r="AG8745" s="2">
        <f ca="1"/>
        <v>8.0193162774134574E-2</v>
      </c>
      <c r="AH8745" s="2" t="str">
        <f ca="1"/>
        <v>OK</v>
      </c>
    </row>
    <row r="8746" spans="2:34" x14ac:dyDescent="0.2">
      <c r="B8746" s="2">
        <f ca="1"/>
        <v>8.8559016599197848E-2</v>
      </c>
      <c r="O8746" s="2">
        <f ca="1"/>
        <v>-1.5807854692668872</v>
      </c>
      <c r="X8746" s="2">
        <f ca="1"/>
        <v>71.489313181656954</v>
      </c>
      <c r="AG8746" s="2">
        <f ca="1"/>
        <v>0.27460169171151705</v>
      </c>
      <c r="AH8746" s="2" t="str">
        <f ca="1"/>
        <v>OK</v>
      </c>
    </row>
    <row r="8747" spans="2:34" x14ac:dyDescent="0.2">
      <c r="B8747" s="2">
        <f ca="1"/>
        <v>0.22944484145568556</v>
      </c>
      <c r="O8747" s="2">
        <f ca="1"/>
        <v>1.381376576222644</v>
      </c>
      <c r="X8747" s="2">
        <f ca="1"/>
        <v>68.253021086946035</v>
      </c>
      <c r="AG8747" s="2">
        <f ca="1"/>
        <v>0.17303407334896059</v>
      </c>
      <c r="AH8747" s="2" t="str">
        <f ca="1"/>
        <v>OK</v>
      </c>
    </row>
    <row r="8748" spans="2:34" x14ac:dyDescent="0.2">
      <c r="B8748" s="2">
        <f ca="1"/>
        <v>0.10376606474894401</v>
      </c>
      <c r="O8748" s="2">
        <f ca="1"/>
        <v>0.12965296420266392</v>
      </c>
      <c r="X8748" s="2">
        <f ca="1"/>
        <v>55.844225341740625</v>
      </c>
      <c r="AG8748" s="2">
        <f ca="1"/>
        <v>0.44637552465690589</v>
      </c>
      <c r="AH8748" s="2" t="str">
        <f ca="1"/>
        <v>Bad</v>
      </c>
    </row>
    <row r="8749" spans="2:34" x14ac:dyDescent="0.2">
      <c r="B8749" s="2">
        <f ca="1"/>
        <v>0.87443903406234558</v>
      </c>
      <c r="O8749" s="2">
        <f ca="1"/>
        <v>0.66806960597801601</v>
      </c>
      <c r="X8749" s="2">
        <f ca="1"/>
        <v>63.835563358617563</v>
      </c>
      <c r="AG8749" s="2">
        <f ca="1"/>
        <v>0.98035031439635656</v>
      </c>
      <c r="AH8749" s="2" t="str">
        <f ca="1"/>
        <v>Bad</v>
      </c>
    </row>
    <row r="8750" spans="2:34" x14ac:dyDescent="0.2">
      <c r="B8750" s="2">
        <f ca="1"/>
        <v>0.86532121205617862</v>
      </c>
      <c r="O8750" s="2">
        <f ca="1"/>
        <v>0.37038944869184437</v>
      </c>
      <c r="X8750" s="2">
        <f ca="1"/>
        <v>42.551749129390011</v>
      </c>
      <c r="AG8750" s="2">
        <f ca="1"/>
        <v>0.55373204815331256</v>
      </c>
      <c r="AH8750" s="2" t="str">
        <f ca="1"/>
        <v>Bad</v>
      </c>
    </row>
    <row r="8751" spans="2:34" x14ac:dyDescent="0.2">
      <c r="B8751" s="2">
        <f ca="1"/>
        <v>0.6925009424915729</v>
      </c>
      <c r="O8751" s="2">
        <f ca="1"/>
        <v>0.78491654152542234</v>
      </c>
      <c r="X8751" s="2">
        <f ca="1"/>
        <v>47.873729530578061</v>
      </c>
      <c r="AG8751" s="2">
        <f ca="1"/>
        <v>0.87711227876296682</v>
      </c>
      <c r="AH8751" s="2" t="str">
        <f ca="1"/>
        <v>Bad</v>
      </c>
    </row>
    <row r="8752" spans="2:34" x14ac:dyDescent="0.2">
      <c r="B8752" s="2">
        <f ca="1"/>
        <v>0.96579503212242734</v>
      </c>
      <c r="O8752" s="2">
        <f ca="1"/>
        <v>1.849236689905297</v>
      </c>
      <c r="X8752" s="2">
        <f ca="1"/>
        <v>41.97784098322785</v>
      </c>
      <c r="AG8752" s="2">
        <f ca="1"/>
        <v>0.98510373261403661</v>
      </c>
      <c r="AH8752" s="2" t="str">
        <f ca="1"/>
        <v>Bad</v>
      </c>
    </row>
    <row r="8753" spans="2:34" x14ac:dyDescent="0.2">
      <c r="B8753" s="2">
        <f ca="1"/>
        <v>0.73109969801431074</v>
      </c>
      <c r="O8753" s="2">
        <f ca="1"/>
        <v>1.2424004918357274</v>
      </c>
      <c r="X8753" s="2">
        <f ca="1"/>
        <v>32.937196294818257</v>
      </c>
      <c r="AG8753" s="2">
        <f ca="1"/>
        <v>0.85789069124433581</v>
      </c>
      <c r="AH8753" s="2" t="str">
        <f ca="1"/>
        <v>Bad</v>
      </c>
    </row>
    <row r="8754" spans="2:34" x14ac:dyDescent="0.2">
      <c r="B8754" s="2">
        <f ca="1"/>
        <v>0.38589724226427791</v>
      </c>
      <c r="O8754" s="2">
        <f ca="1"/>
        <v>-2.0766054280658097</v>
      </c>
      <c r="X8754" s="2">
        <f ca="1"/>
        <v>43.162903765539212</v>
      </c>
      <c r="AG8754" s="2">
        <f ca="1"/>
        <v>0.29412911345128334</v>
      </c>
      <c r="AH8754" s="2" t="str">
        <f ca="1"/>
        <v>OK</v>
      </c>
    </row>
    <row r="8755" spans="2:34" x14ac:dyDescent="0.2">
      <c r="B8755" s="2">
        <f ca="1"/>
        <v>0.80342998453208958</v>
      </c>
      <c r="O8755" s="2">
        <f ca="1"/>
        <v>1.3278799633500851</v>
      </c>
      <c r="X8755" s="2">
        <f ca="1"/>
        <v>40.499259401915488</v>
      </c>
      <c r="AG8755" s="2">
        <f ca="1"/>
        <v>0.20926096891284351</v>
      </c>
      <c r="AH8755" s="2" t="str">
        <f ca="1"/>
        <v>OK</v>
      </c>
    </row>
    <row r="8756" spans="2:34" x14ac:dyDescent="0.2">
      <c r="B8756" s="2">
        <f ca="1"/>
        <v>0.16137314616498566</v>
      </c>
      <c r="O8756" s="2">
        <f ca="1"/>
        <v>0.5753098046346562</v>
      </c>
      <c r="X8756" s="2">
        <f ca="1"/>
        <v>43.829055738764154</v>
      </c>
      <c r="AG8756" s="2">
        <f ca="1"/>
        <v>0.96257446576702277</v>
      </c>
      <c r="AH8756" s="2" t="str">
        <f ca="1"/>
        <v>Bad</v>
      </c>
    </row>
    <row r="8757" spans="2:34" x14ac:dyDescent="0.2">
      <c r="B8757" s="2">
        <f ca="1"/>
        <v>0.33035764457409278</v>
      </c>
      <c r="O8757" s="2">
        <f ca="1"/>
        <v>-0.18684530002411809</v>
      </c>
      <c r="X8757" s="2">
        <f ca="1"/>
        <v>43.939138050912511</v>
      </c>
      <c r="AG8757" s="2">
        <f ca="1"/>
        <v>0.58950419467516069</v>
      </c>
      <c r="AH8757" s="2" t="str">
        <f ca="1"/>
        <v>Bad</v>
      </c>
    </row>
    <row r="8758" spans="2:34" x14ac:dyDescent="0.2">
      <c r="B8758" s="2">
        <f ca="1"/>
        <v>0.75427978644885885</v>
      </c>
      <c r="O8758" s="2">
        <f ca="1"/>
        <v>1.4846421501743201</v>
      </c>
      <c r="X8758" s="2">
        <f ca="1"/>
        <v>60.048627246864214</v>
      </c>
      <c r="AG8758" s="2">
        <f ca="1"/>
        <v>0.35296655309058456</v>
      </c>
      <c r="AH8758" s="2" t="str">
        <f ca="1"/>
        <v>OK</v>
      </c>
    </row>
    <row r="8759" spans="2:34" x14ac:dyDescent="0.2">
      <c r="B8759" s="2">
        <f ca="1"/>
        <v>0.39084704679312487</v>
      </c>
      <c r="O8759" s="2">
        <f ca="1"/>
        <v>0.10568385012819152</v>
      </c>
      <c r="X8759" s="2">
        <f ca="1"/>
        <v>47.197319704254312</v>
      </c>
      <c r="AG8759" s="2">
        <f ca="1"/>
        <v>0.64581627589732871</v>
      </c>
      <c r="AH8759" s="2" t="str">
        <f ca="1"/>
        <v>Bad</v>
      </c>
    </row>
    <row r="8760" spans="2:34" x14ac:dyDescent="0.2">
      <c r="B8760" s="2">
        <f ca="1"/>
        <v>0.93686776882075562</v>
      </c>
      <c r="O8760" s="2">
        <f ca="1"/>
        <v>-2.4951873346734565</v>
      </c>
      <c r="X8760" s="2">
        <f ca="1"/>
        <v>25.098342112404559</v>
      </c>
      <c r="AG8760" s="2">
        <f ca="1"/>
        <v>0.10843728627169202</v>
      </c>
      <c r="AH8760" s="2" t="str">
        <f ca="1"/>
        <v>OK</v>
      </c>
    </row>
    <row r="8761" spans="2:34" x14ac:dyDescent="0.2">
      <c r="B8761" s="2">
        <f ca="1"/>
        <v>0.29252823039658371</v>
      </c>
      <c r="O8761" s="2">
        <f ca="1"/>
        <v>1.4317270915998361</v>
      </c>
      <c r="X8761" s="2">
        <f ca="1"/>
        <v>46.912432351244313</v>
      </c>
      <c r="AG8761" s="2">
        <f ca="1"/>
        <v>0.54232406459798232</v>
      </c>
      <c r="AH8761" s="2" t="str">
        <f ca="1"/>
        <v>Bad</v>
      </c>
    </row>
    <row r="8762" spans="2:34" x14ac:dyDescent="0.2">
      <c r="B8762" s="2">
        <f ca="1"/>
        <v>0.55234647887659238</v>
      </c>
      <c r="O8762" s="2">
        <f ca="1"/>
        <v>-1.8156403346701839</v>
      </c>
      <c r="X8762" s="2">
        <f ca="1"/>
        <v>51.973122119244792</v>
      </c>
      <c r="AG8762" s="2">
        <f ca="1"/>
        <v>0.28178346331769544</v>
      </c>
      <c r="AH8762" s="2" t="str">
        <f ca="1"/>
        <v>OK</v>
      </c>
    </row>
    <row r="8763" spans="2:34" x14ac:dyDescent="0.2">
      <c r="B8763" s="2">
        <f ca="1"/>
        <v>0.93200781532009724</v>
      </c>
      <c r="O8763" s="2">
        <f ca="1"/>
        <v>1.190139418142794</v>
      </c>
      <c r="X8763" s="2">
        <f ca="1"/>
        <v>35.673236123832893</v>
      </c>
      <c r="AG8763" s="2">
        <f ca="1"/>
        <v>0.84498471774489126</v>
      </c>
      <c r="AH8763" s="2" t="str">
        <f ca="1"/>
        <v>Bad</v>
      </c>
    </row>
    <row r="8764" spans="2:34" x14ac:dyDescent="0.2">
      <c r="B8764" s="2">
        <f ca="1"/>
        <v>0.14471892067742265</v>
      </c>
      <c r="O8764" s="2">
        <f ca="1"/>
        <v>-7.129228824854221E-2</v>
      </c>
      <c r="X8764" s="2">
        <f ca="1"/>
        <v>55.68619958892743</v>
      </c>
      <c r="AG8764" s="2">
        <f ca="1"/>
        <v>0.28942802848503968</v>
      </c>
      <c r="AH8764" s="2" t="str">
        <f ca="1"/>
        <v>OK</v>
      </c>
    </row>
    <row r="8765" spans="2:34" x14ac:dyDescent="0.2">
      <c r="B8765" s="2">
        <f ca="1"/>
        <v>0.40364997689359461</v>
      </c>
      <c r="O8765" s="2">
        <f ca="1"/>
        <v>2.3184411453410068</v>
      </c>
      <c r="X8765" s="2">
        <f ca="1"/>
        <v>44.699731944825423</v>
      </c>
      <c r="AG8765" s="2">
        <f ca="1"/>
        <v>0.31156990900712245</v>
      </c>
      <c r="AH8765" s="2" t="str">
        <f ca="1"/>
        <v>OK</v>
      </c>
    </row>
    <row r="8766" spans="2:34" x14ac:dyDescent="0.2">
      <c r="B8766" s="2">
        <f ca="1"/>
        <v>6.5326082013332787E-3</v>
      </c>
      <c r="O8766" s="2">
        <f ca="1"/>
        <v>-1.0773233747788817</v>
      </c>
      <c r="X8766" s="2">
        <f ca="1"/>
        <v>34.265134667042759</v>
      </c>
      <c r="AG8766" s="2">
        <f ca="1"/>
        <v>0.30528201487373186</v>
      </c>
      <c r="AH8766" s="2" t="str">
        <f ca="1"/>
        <v>OK</v>
      </c>
    </row>
    <row r="8767" spans="2:34" x14ac:dyDescent="0.2">
      <c r="B8767" s="2">
        <f ca="1"/>
        <v>0.31959416460919932</v>
      </c>
      <c r="O8767" s="2">
        <f ca="1"/>
        <v>-0.1849027433111991</v>
      </c>
      <c r="X8767" s="2">
        <f ca="1"/>
        <v>33.215111470719862</v>
      </c>
      <c r="AG8767" s="2">
        <f ca="1"/>
        <v>0.70562658046108484</v>
      </c>
      <c r="AH8767" s="2" t="str">
        <f ca="1"/>
        <v>Bad</v>
      </c>
    </row>
    <row r="8768" spans="2:34" x14ac:dyDescent="0.2">
      <c r="B8768" s="2">
        <f ca="1"/>
        <v>0.6037826989440418</v>
      </c>
      <c r="O8768" s="2">
        <f ca="1"/>
        <v>0.65968939330943743</v>
      </c>
      <c r="X8768" s="2">
        <f ca="1"/>
        <v>47.596024256362497</v>
      </c>
      <c r="AG8768" s="2">
        <f ca="1"/>
        <v>0.79213381788622184</v>
      </c>
      <c r="AH8768" s="2" t="str">
        <f ca="1"/>
        <v>Bad</v>
      </c>
    </row>
    <row r="8769" spans="2:34" x14ac:dyDescent="0.2">
      <c r="B8769" s="2">
        <f ca="1"/>
        <v>0.30492188510328266</v>
      </c>
      <c r="O8769" s="2">
        <f ca="1"/>
        <v>-1.3646859353270704</v>
      </c>
      <c r="X8769" s="2">
        <f ca="1"/>
        <v>25.639431552470455</v>
      </c>
      <c r="AG8769" s="2">
        <f ca="1"/>
        <v>3.7967197178428114E-2</v>
      </c>
      <c r="AH8769" s="2" t="str">
        <f ca="1"/>
        <v>Good</v>
      </c>
    </row>
    <row r="8770" spans="2:34" x14ac:dyDescent="0.2">
      <c r="B8770" s="2">
        <f ca="1"/>
        <v>0.4429329609725996</v>
      </c>
      <c r="O8770" s="2">
        <f ca="1"/>
        <v>-0.65237331369852247</v>
      </c>
      <c r="X8770" s="2">
        <f ca="1"/>
        <v>41.331200687542363</v>
      </c>
      <c r="AG8770" s="2">
        <f ca="1"/>
        <v>0.56506959699002968</v>
      </c>
      <c r="AH8770" s="2" t="str">
        <f ca="1"/>
        <v>Bad</v>
      </c>
    </row>
    <row r="8771" spans="2:34" x14ac:dyDescent="0.2">
      <c r="B8771" s="2">
        <f ca="1"/>
        <v>0.49686427384075516</v>
      </c>
      <c r="O8771" s="2">
        <f ca="1"/>
        <v>0.62215595261057011</v>
      </c>
      <c r="X8771" s="2">
        <f ca="1"/>
        <v>74.662203274056466</v>
      </c>
      <c r="AG8771" s="2">
        <f ca="1"/>
        <v>0.60719473635789067</v>
      </c>
      <c r="AH8771" s="2" t="str">
        <f ca="1"/>
        <v>Bad</v>
      </c>
    </row>
    <row r="8772" spans="2:34" x14ac:dyDescent="0.2">
      <c r="B8772" s="2">
        <f ca="1"/>
        <v>0.11538307233563505</v>
      </c>
      <c r="O8772" s="2">
        <f ca="1"/>
        <v>0.13496437855257781</v>
      </c>
      <c r="X8772" s="2">
        <f ca="1"/>
        <v>61.091677520334798</v>
      </c>
      <c r="AG8772" s="2">
        <f ca="1"/>
        <v>0.76863799679834033</v>
      </c>
      <c r="AH8772" s="2" t="str">
        <f ca="1"/>
        <v>Bad</v>
      </c>
    </row>
    <row r="8773" spans="2:34" x14ac:dyDescent="0.2">
      <c r="B8773" s="2">
        <f ca="1"/>
        <v>0.85601234390628989</v>
      </c>
      <c r="O8773" s="2">
        <f ca="1"/>
        <v>-0.56285553678336042</v>
      </c>
      <c r="X8773" s="2">
        <f ca="1"/>
        <v>50.612852796383059</v>
      </c>
      <c r="AG8773" s="2">
        <f ca="1"/>
        <v>0.72965275628694459</v>
      </c>
      <c r="AH8773" s="2" t="str">
        <f ca="1"/>
        <v>Bad</v>
      </c>
    </row>
    <row r="8774" spans="2:34" x14ac:dyDescent="0.2">
      <c r="B8774" s="2">
        <f ca="1"/>
        <v>0.9375953485050279</v>
      </c>
      <c r="O8774" s="2">
        <f ca="1"/>
        <v>-0.16382368791836527</v>
      </c>
      <c r="X8774" s="2">
        <f ca="1"/>
        <v>34.270763878086996</v>
      </c>
      <c r="AG8774" s="2">
        <f ca="1"/>
        <v>0.43001318615191608</v>
      </c>
      <c r="AH8774" s="2" t="str">
        <f ca="1"/>
        <v>Bad</v>
      </c>
    </row>
    <row r="8775" spans="2:34" x14ac:dyDescent="0.2">
      <c r="B8775" s="2">
        <f ca="1"/>
        <v>0.78283361756857617</v>
      </c>
      <c r="O8775" s="2">
        <f ca="1"/>
        <v>-0.39383234063210809</v>
      </c>
      <c r="X8775" s="2">
        <f ca="1"/>
        <v>34.803605407313697</v>
      </c>
      <c r="AG8775" s="2">
        <f ca="1"/>
        <v>0.99896995217844364</v>
      </c>
      <c r="AH8775" s="2" t="str">
        <f ca="1"/>
        <v>Bad</v>
      </c>
    </row>
    <row r="8776" spans="2:34" x14ac:dyDescent="0.2">
      <c r="B8776" s="2">
        <f ca="1"/>
        <v>0.22692697054558919</v>
      </c>
      <c r="O8776" s="2">
        <f ca="1"/>
        <v>-1.2713855693242808</v>
      </c>
      <c r="X8776" s="2">
        <f ca="1"/>
        <v>64.573623624026141</v>
      </c>
      <c r="AG8776" s="2">
        <f ca="1"/>
        <v>0.19282177256794908</v>
      </c>
      <c r="AH8776" s="2" t="str">
        <f ca="1"/>
        <v>OK</v>
      </c>
    </row>
    <row r="8777" spans="2:34" x14ac:dyDescent="0.2">
      <c r="B8777" s="2">
        <f ca="1"/>
        <v>0.50063205715217785</v>
      </c>
      <c r="O8777" s="2">
        <f ca="1"/>
        <v>1.0958830912572646</v>
      </c>
      <c r="X8777" s="2">
        <f ca="1"/>
        <v>38.208252863371442</v>
      </c>
      <c r="AG8777" s="2">
        <f ca="1"/>
        <v>4.2346882565233113E-2</v>
      </c>
      <c r="AH8777" s="2" t="str">
        <f ca="1"/>
        <v>Good</v>
      </c>
    </row>
    <row r="8778" spans="2:34" x14ac:dyDescent="0.2">
      <c r="B8778" s="2">
        <f ca="1"/>
        <v>0.9080603763686339</v>
      </c>
      <c r="O8778" s="2">
        <f ca="1"/>
        <v>-3.7799094893607291E-2</v>
      </c>
      <c r="X8778" s="2">
        <f ca="1"/>
        <v>38.857200635407246</v>
      </c>
      <c r="AG8778" s="2">
        <f ca="1"/>
        <v>0.40013456047557017</v>
      </c>
      <c r="AH8778" s="2" t="str">
        <f ca="1"/>
        <v>Bad</v>
      </c>
    </row>
    <row r="8779" spans="2:34" x14ac:dyDescent="0.2">
      <c r="B8779" s="2">
        <f ca="1"/>
        <v>0.14313163166277132</v>
      </c>
      <c r="O8779" s="2">
        <f ca="1"/>
        <v>-2.160457882922575E-2</v>
      </c>
      <c r="X8779" s="2">
        <f ca="1"/>
        <v>36.915292813134812</v>
      </c>
      <c r="AG8779" s="2">
        <f ca="1"/>
        <v>0.22305490787988247</v>
      </c>
      <c r="AH8779" s="2" t="str">
        <f ca="1"/>
        <v>OK</v>
      </c>
    </row>
    <row r="8780" spans="2:34" x14ac:dyDescent="0.2">
      <c r="B8780" s="2">
        <f ca="1"/>
        <v>0.71229868976780963</v>
      </c>
      <c r="O8780" s="2">
        <f ca="1"/>
        <v>0.17769614603377865</v>
      </c>
      <c r="X8780" s="2">
        <f ca="1"/>
        <v>49.13111244269038</v>
      </c>
      <c r="AG8780" s="2">
        <f ca="1"/>
        <v>0.77748284815220758</v>
      </c>
      <c r="AH8780" s="2" t="str">
        <f ca="1"/>
        <v>Bad</v>
      </c>
    </row>
    <row r="8781" spans="2:34" x14ac:dyDescent="0.2">
      <c r="B8781" s="2">
        <f ca="1"/>
        <v>0.75338554146296399</v>
      </c>
      <c r="O8781" s="2">
        <f ca="1"/>
        <v>-1.210314409650189</v>
      </c>
      <c r="X8781" s="2">
        <f ca="1"/>
        <v>42.077360391073782</v>
      </c>
      <c r="AG8781" s="2">
        <f ca="1"/>
        <v>1.924080511890347E-2</v>
      </c>
      <c r="AH8781" s="2" t="str">
        <f ca="1"/>
        <v>Good</v>
      </c>
    </row>
    <row r="8782" spans="2:34" x14ac:dyDescent="0.2">
      <c r="B8782" s="2">
        <f ca="1"/>
        <v>0.40848435179254738</v>
      </c>
      <c r="O8782" s="2">
        <f ca="1"/>
        <v>-1.365351304483281</v>
      </c>
      <c r="X8782" s="2">
        <f ca="1"/>
        <v>33.881201497643417</v>
      </c>
      <c r="AG8782" s="2">
        <f ca="1"/>
        <v>0.43550696455042237</v>
      </c>
      <c r="AH8782" s="2" t="str">
        <f ca="1"/>
        <v>Bad</v>
      </c>
    </row>
    <row r="8783" spans="2:34" x14ac:dyDescent="0.2">
      <c r="B8783" s="2">
        <f ca="1"/>
        <v>3.8122615056517706E-2</v>
      </c>
      <c r="O8783" s="2">
        <f ca="1"/>
        <v>-0.23734793161508272</v>
      </c>
      <c r="X8783" s="2">
        <f ca="1"/>
        <v>74.940900382350321</v>
      </c>
      <c r="AG8783" s="2">
        <f ca="1"/>
        <v>0.95232109114613861</v>
      </c>
      <c r="AH8783" s="2" t="str">
        <f ca="1"/>
        <v>Bad</v>
      </c>
    </row>
    <row r="8784" spans="2:34" x14ac:dyDescent="0.2">
      <c r="B8784" s="2">
        <f ca="1"/>
        <v>0.49487526959253358</v>
      </c>
      <c r="O8784" s="2">
        <f ca="1"/>
        <v>-1.1359289514495408</v>
      </c>
      <c r="X8784" s="2">
        <f ca="1"/>
        <v>60.76987927027772</v>
      </c>
      <c r="AG8784" s="2">
        <f ca="1"/>
        <v>0.21776683395750873</v>
      </c>
      <c r="AH8784" s="2" t="str">
        <f ca="1"/>
        <v>OK</v>
      </c>
    </row>
    <row r="8785" spans="2:34" x14ac:dyDescent="0.2">
      <c r="B8785" s="2">
        <f ca="1"/>
        <v>0.99930107386721367</v>
      </c>
      <c r="O8785" s="2">
        <f ca="1"/>
        <v>8.0565459225274222E-2</v>
      </c>
      <c r="X8785" s="2">
        <f ca="1"/>
        <v>56.190521153914545</v>
      </c>
      <c r="AG8785" s="2">
        <f ca="1"/>
        <v>0.60246530687197408</v>
      </c>
      <c r="AH8785" s="2" t="str">
        <f ca="1"/>
        <v>Bad</v>
      </c>
    </row>
    <row r="8786" spans="2:34" x14ac:dyDescent="0.2">
      <c r="B8786" s="2">
        <f ca="1"/>
        <v>0.55896755572840395</v>
      </c>
      <c r="O8786" s="2">
        <f ca="1"/>
        <v>0.12664268607133528</v>
      </c>
      <c r="X8786" s="2">
        <f ca="1"/>
        <v>32.201981915892802</v>
      </c>
      <c r="AG8786" s="2">
        <f ca="1"/>
        <v>0.39734200830111499</v>
      </c>
      <c r="AH8786" s="2" t="str">
        <f ca="1"/>
        <v>OK</v>
      </c>
    </row>
    <row r="8787" spans="2:34" x14ac:dyDescent="0.2">
      <c r="B8787" s="2">
        <f ca="1"/>
        <v>0.7650214315604309</v>
      </c>
      <c r="O8787" s="2">
        <f ca="1"/>
        <v>-4.9933353921708654E-2</v>
      </c>
      <c r="X8787" s="2">
        <f ca="1"/>
        <v>59.192875858934627</v>
      </c>
      <c r="AG8787" s="2">
        <f ca="1"/>
        <v>2.3503472825613825E-2</v>
      </c>
      <c r="AH8787" s="2" t="str">
        <f ca="1"/>
        <v>Good</v>
      </c>
    </row>
    <row r="8788" spans="2:34" x14ac:dyDescent="0.2">
      <c r="B8788" s="2">
        <f ca="1"/>
        <v>0.24530091331758741</v>
      </c>
      <c r="O8788" s="2">
        <f ca="1"/>
        <v>0.10168455096547385</v>
      </c>
      <c r="X8788" s="2">
        <f ca="1"/>
        <v>68.845838502731567</v>
      </c>
      <c r="AG8788" s="2">
        <f ca="1"/>
        <v>0.26433379317413719</v>
      </c>
      <c r="AH8788" s="2" t="str">
        <f ca="1"/>
        <v>OK</v>
      </c>
    </row>
    <row r="8789" spans="2:34" x14ac:dyDescent="0.2">
      <c r="B8789" s="2">
        <f ca="1"/>
        <v>0.19792414507697909</v>
      </c>
      <c r="O8789" s="2">
        <f ca="1"/>
        <v>-0.3262593311887923</v>
      </c>
      <c r="X8789" s="2">
        <f ca="1"/>
        <v>46.161239849210588</v>
      </c>
      <c r="AG8789" s="2">
        <f ca="1"/>
        <v>0.27861888200648677</v>
      </c>
      <c r="AH8789" s="2" t="str">
        <f ca="1"/>
        <v>OK</v>
      </c>
    </row>
    <row r="8790" spans="2:34" x14ac:dyDescent="0.2">
      <c r="B8790" s="2">
        <f ca="1"/>
        <v>0.96743570345257601</v>
      </c>
      <c r="O8790" s="2">
        <f ca="1"/>
        <v>0.5542244965947638</v>
      </c>
      <c r="X8790" s="2">
        <f ca="1"/>
        <v>28.061441533607621</v>
      </c>
      <c r="AG8790" s="2">
        <f ca="1"/>
        <v>0.11496261980865574</v>
      </c>
      <c r="AH8790" s="2" t="str">
        <f ca="1"/>
        <v>OK</v>
      </c>
    </row>
    <row r="8791" spans="2:34" x14ac:dyDescent="0.2">
      <c r="B8791" s="2">
        <f ca="1"/>
        <v>0.80054532251078148</v>
      </c>
      <c r="O8791" s="2">
        <f ca="1"/>
        <v>-0.37941058101332459</v>
      </c>
      <c r="X8791" s="2">
        <f ca="1"/>
        <v>74.182882529917805</v>
      </c>
      <c r="AG8791" s="2">
        <f ca="1"/>
        <v>0.2716083794612747</v>
      </c>
      <c r="AH8791" s="2" t="str">
        <f ca="1"/>
        <v>OK</v>
      </c>
    </row>
    <row r="8792" spans="2:34" x14ac:dyDescent="0.2">
      <c r="B8792" s="2">
        <f ca="1"/>
        <v>5.64324031003689E-2</v>
      </c>
      <c r="O8792" s="2">
        <f ca="1"/>
        <v>0.31324280196511645</v>
      </c>
      <c r="X8792" s="2">
        <f ca="1"/>
        <v>78.318218609941908</v>
      </c>
      <c r="AG8792" s="2">
        <f ca="1"/>
        <v>0.22706625281652393</v>
      </c>
      <c r="AH8792" s="2" t="str">
        <f ca="1"/>
        <v>OK</v>
      </c>
    </row>
    <row r="8793" spans="2:34" x14ac:dyDescent="0.2">
      <c r="B8793" s="2">
        <f ca="1"/>
        <v>0.42366900541720409</v>
      </c>
      <c r="O8793" s="2">
        <f ca="1"/>
        <v>2.2555391056075522</v>
      </c>
      <c r="X8793" s="2">
        <f ca="1"/>
        <v>25.856868318466994</v>
      </c>
      <c r="AG8793" s="2">
        <f ca="1"/>
        <v>4.6731688130152493E-2</v>
      </c>
      <c r="AH8793" s="2" t="str">
        <f ca="1"/>
        <v>Good</v>
      </c>
    </row>
    <row r="8794" spans="2:34" x14ac:dyDescent="0.2">
      <c r="B8794" s="2">
        <f ca="1"/>
        <v>0.51310430068055957</v>
      </c>
      <c r="O8794" s="2">
        <f ca="1"/>
        <v>-0.32414219568537089</v>
      </c>
      <c r="X8794" s="2">
        <f ca="1"/>
        <v>19.412609215678781</v>
      </c>
      <c r="AG8794" s="2">
        <f ca="1"/>
        <v>0.24331561292882053</v>
      </c>
      <c r="AH8794" s="2" t="str">
        <f ca="1"/>
        <v>OK</v>
      </c>
    </row>
    <row r="8795" spans="2:34" x14ac:dyDescent="0.2">
      <c r="B8795" s="2">
        <f ca="1"/>
        <v>0.98637903017481432</v>
      </c>
      <c r="O8795" s="2">
        <f ca="1"/>
        <v>-0.10247135274967012</v>
      </c>
      <c r="X8795" s="2">
        <f ca="1"/>
        <v>38.418807199053454</v>
      </c>
      <c r="AG8795" s="2">
        <f ca="1"/>
        <v>0.77826559323210209</v>
      </c>
      <c r="AH8795" s="2" t="str">
        <f ca="1"/>
        <v>Bad</v>
      </c>
    </row>
    <row r="8796" spans="2:34" x14ac:dyDescent="0.2">
      <c r="B8796" s="2">
        <f ca="1"/>
        <v>0.62655197135403018</v>
      </c>
      <c r="O8796" s="2">
        <f ca="1"/>
        <v>-0.75919135623179168</v>
      </c>
      <c r="X8796" s="2">
        <f ca="1"/>
        <v>72.057658900008803</v>
      </c>
      <c r="AG8796" s="2">
        <f ca="1"/>
        <v>0.38370805444830158</v>
      </c>
      <c r="AH8796" s="2" t="str">
        <f ca="1"/>
        <v>OK</v>
      </c>
    </row>
    <row r="8797" spans="2:34" x14ac:dyDescent="0.2">
      <c r="B8797" s="2">
        <f ca="1"/>
        <v>0.78993728989054923</v>
      </c>
      <c r="O8797" s="2">
        <f ca="1"/>
        <v>0.88119917530388037</v>
      </c>
      <c r="X8797" s="2">
        <f ca="1"/>
        <v>36.587605721540221</v>
      </c>
      <c r="AG8797" s="2">
        <f ca="1"/>
        <v>0.32605321383544617</v>
      </c>
      <c r="AH8797" s="2" t="str">
        <f ca="1"/>
        <v>OK</v>
      </c>
    </row>
    <row r="8798" spans="2:34" x14ac:dyDescent="0.2">
      <c r="B8798" s="2">
        <f ca="1"/>
        <v>0.26479417568050301</v>
      </c>
      <c r="O8798" s="2">
        <f ca="1"/>
        <v>0.46238246918470605</v>
      </c>
      <c r="X8798" s="2">
        <f ca="1"/>
        <v>57.816681051333134</v>
      </c>
      <c r="AG8798" s="2">
        <f ca="1"/>
        <v>0.961955674879446</v>
      </c>
      <c r="AH8798" s="2" t="str">
        <f ca="1"/>
        <v>Bad</v>
      </c>
    </row>
    <row r="8799" spans="2:34" x14ac:dyDescent="0.2">
      <c r="B8799" s="2">
        <f ca="1"/>
        <v>0.75710108283854249</v>
      </c>
      <c r="O8799" s="2">
        <f ca="1"/>
        <v>1.0183989074186042</v>
      </c>
      <c r="X8799" s="2">
        <f ca="1"/>
        <v>50.650115889496902</v>
      </c>
      <c r="AG8799" s="2">
        <f ca="1"/>
        <v>0.13698906104172526</v>
      </c>
      <c r="AH8799" s="2" t="str">
        <f ca="1"/>
        <v>OK</v>
      </c>
    </row>
    <row r="8800" spans="2:34" x14ac:dyDescent="0.2">
      <c r="B8800" s="2">
        <f ca="1"/>
        <v>0.49627774175044936</v>
      </c>
      <c r="O8800" s="2">
        <f ca="1"/>
        <v>-0.51298116135649974</v>
      </c>
      <c r="X8800" s="2">
        <f ca="1"/>
        <v>64.311303960250513</v>
      </c>
      <c r="AG8800" s="2">
        <f ca="1"/>
        <v>0.77487525784934563</v>
      </c>
      <c r="AH8800" s="2" t="str">
        <f ca="1"/>
        <v>Bad</v>
      </c>
    </row>
    <row r="8801" spans="2:34" x14ac:dyDescent="0.2">
      <c r="B8801" s="2">
        <f ca="1"/>
        <v>0.88031072532698418</v>
      </c>
      <c r="O8801" s="2">
        <f ca="1"/>
        <v>1.0343127624535684</v>
      </c>
      <c r="X8801" s="2">
        <f ca="1"/>
        <v>43.933759466586331</v>
      </c>
      <c r="AG8801" s="2">
        <f ca="1"/>
        <v>0.9640842302980579</v>
      </c>
      <c r="AH8801" s="2" t="str">
        <f ca="1"/>
        <v>Bad</v>
      </c>
    </row>
    <row r="8802" spans="2:34" x14ac:dyDescent="0.2">
      <c r="B8802" s="2">
        <f ca="1"/>
        <v>0.15620258047882674</v>
      </c>
      <c r="O8802" s="2">
        <f ca="1"/>
        <v>0.25911867189260429</v>
      </c>
      <c r="X8802" s="2">
        <f ca="1"/>
        <v>43.764436869784724</v>
      </c>
      <c r="AG8802" s="2">
        <f ca="1"/>
        <v>0.36134150139735755</v>
      </c>
      <c r="AH8802" s="2" t="str">
        <f ca="1"/>
        <v>OK</v>
      </c>
    </row>
    <row r="8803" spans="2:34" x14ac:dyDescent="0.2">
      <c r="B8803" s="2">
        <f ca="1"/>
        <v>0.53105079492692608</v>
      </c>
      <c r="O8803" s="2">
        <f ca="1"/>
        <v>0.34927636917274363</v>
      </c>
      <c r="X8803" s="2">
        <f ca="1"/>
        <v>37.684644776725555</v>
      </c>
      <c r="AG8803" s="2">
        <f ca="1"/>
        <v>0.95336594527510043</v>
      </c>
      <c r="AH8803" s="2" t="str">
        <f ca="1"/>
        <v>Bad</v>
      </c>
    </row>
    <row r="8804" spans="2:34" x14ac:dyDescent="0.2">
      <c r="B8804" s="2">
        <f ca="1"/>
        <v>2.4391072641378297E-2</v>
      </c>
      <c r="O8804" s="2">
        <f ca="1"/>
        <v>3.4246326488276059E-2</v>
      </c>
      <c r="X8804" s="2">
        <f ca="1"/>
        <v>19.777964519595631</v>
      </c>
      <c r="AG8804" s="2">
        <f ca="1"/>
        <v>0.19082612205170535</v>
      </c>
      <c r="AH8804" s="2" t="str">
        <f ca="1"/>
        <v>OK</v>
      </c>
    </row>
    <row r="8805" spans="2:34" x14ac:dyDescent="0.2">
      <c r="B8805" s="2">
        <f ca="1"/>
        <v>0.32917935729493508</v>
      </c>
      <c r="O8805" s="2">
        <f ca="1"/>
        <v>0.51518522755953677</v>
      </c>
      <c r="X8805" s="2">
        <f ca="1"/>
        <v>61.795990905720146</v>
      </c>
      <c r="AG8805" s="2">
        <f ca="1"/>
        <v>0.23370968137320247</v>
      </c>
      <c r="AH8805" s="2" t="str">
        <f ca="1"/>
        <v>OK</v>
      </c>
    </row>
    <row r="8806" spans="2:34" x14ac:dyDescent="0.2">
      <c r="B8806" s="2">
        <f ca="1"/>
        <v>0.22371964024857238</v>
      </c>
      <c r="O8806" s="2">
        <f ca="1"/>
        <v>-0.43709870681524027</v>
      </c>
      <c r="X8806" s="2">
        <f ca="1"/>
        <v>75.074616286239234</v>
      </c>
      <c r="AG8806" s="2">
        <f ca="1"/>
        <v>0.36719912776222885</v>
      </c>
      <c r="AH8806" s="2" t="str">
        <f ca="1"/>
        <v>OK</v>
      </c>
    </row>
    <row r="8807" spans="2:34" x14ac:dyDescent="0.2">
      <c r="B8807" s="2">
        <f ca="1"/>
        <v>0.3320042153953211</v>
      </c>
      <c r="O8807" s="2">
        <f ca="1"/>
        <v>-0.8914818464244858</v>
      </c>
      <c r="X8807" s="2">
        <f ca="1"/>
        <v>47.404665907731143</v>
      </c>
      <c r="AG8807" s="2">
        <f ca="1"/>
        <v>0.65569594686489796</v>
      </c>
      <c r="AH8807" s="2" t="str">
        <f ca="1"/>
        <v>Bad</v>
      </c>
    </row>
    <row r="8808" spans="2:34" x14ac:dyDescent="0.2">
      <c r="B8808" s="2">
        <f ca="1"/>
        <v>0.34153374770667222</v>
      </c>
      <c r="O8808" s="2">
        <f ca="1"/>
        <v>0.2144852320974098</v>
      </c>
      <c r="X8808" s="2">
        <f ca="1"/>
        <v>56.987939543029213</v>
      </c>
      <c r="AG8808" s="2">
        <f ca="1"/>
        <v>0.68772974755883043</v>
      </c>
      <c r="AH8808" s="2" t="str">
        <f ca="1"/>
        <v>Bad</v>
      </c>
    </row>
    <row r="8809" spans="2:34" x14ac:dyDescent="0.2">
      <c r="B8809" s="2">
        <f ca="1"/>
        <v>0.47646160553223016</v>
      </c>
      <c r="O8809" s="2">
        <f ca="1"/>
        <v>0.52814038997312773</v>
      </c>
      <c r="X8809" s="2">
        <f ca="1"/>
        <v>63.112844194689011</v>
      </c>
      <c r="AG8809" s="2">
        <f ca="1"/>
        <v>0.65624714389043048</v>
      </c>
      <c r="AH8809" s="2" t="str">
        <f ca="1"/>
        <v>Bad</v>
      </c>
    </row>
    <row r="8810" spans="2:34" x14ac:dyDescent="0.2">
      <c r="B8810" s="2">
        <f ca="1"/>
        <v>0.22682691823378076</v>
      </c>
      <c r="O8810" s="2">
        <f ca="1"/>
        <v>-0.44303839455031346</v>
      </c>
      <c r="X8810" s="2">
        <f ca="1"/>
        <v>41.635678422440364</v>
      </c>
      <c r="AG8810" s="2">
        <f ca="1"/>
        <v>0.35904058165947816</v>
      </c>
      <c r="AH8810" s="2" t="str">
        <f ca="1"/>
        <v>OK</v>
      </c>
    </row>
    <row r="8811" spans="2:34" x14ac:dyDescent="0.2">
      <c r="B8811" s="2">
        <f ca="1"/>
        <v>0.61737899445471323</v>
      </c>
      <c r="O8811" s="2">
        <f ca="1"/>
        <v>-0.55225810383191776</v>
      </c>
      <c r="X8811" s="2">
        <f ca="1"/>
        <v>34.891646347958407</v>
      </c>
      <c r="AG8811" s="2">
        <f ca="1"/>
        <v>0.90650347700312683</v>
      </c>
      <c r="AH8811" s="2" t="str">
        <f ca="1"/>
        <v>Bad</v>
      </c>
    </row>
    <row r="8812" spans="2:34" x14ac:dyDescent="0.2">
      <c r="B8812" s="2">
        <f ca="1"/>
        <v>0.98822220699438823</v>
      </c>
      <c r="O8812" s="2">
        <f ca="1"/>
        <v>-0.90684935854604287</v>
      </c>
      <c r="X8812" s="2">
        <f ca="1"/>
        <v>38.36439524653121</v>
      </c>
      <c r="AG8812" s="2">
        <f ca="1"/>
        <v>0.92173947849758875</v>
      </c>
      <c r="AH8812" s="2" t="str">
        <f ca="1"/>
        <v>Bad</v>
      </c>
    </row>
    <row r="8813" spans="2:34" x14ac:dyDescent="0.2">
      <c r="B8813" s="2">
        <f ca="1"/>
        <v>0.9448051606536636</v>
      </c>
      <c r="O8813" s="2">
        <f ca="1"/>
        <v>1.327921213085232</v>
      </c>
      <c r="X8813" s="2">
        <f ca="1"/>
        <v>55.106482026283189</v>
      </c>
      <c r="AG8813" s="2">
        <f ca="1"/>
        <v>0.91452200195296585</v>
      </c>
      <c r="AH8813" s="2" t="str">
        <f ca="1"/>
        <v>Bad</v>
      </c>
    </row>
    <row r="8814" spans="2:34" x14ac:dyDescent="0.2">
      <c r="B8814" s="2">
        <f ca="1"/>
        <v>0.94777193516672131</v>
      </c>
      <c r="O8814" s="2">
        <f ca="1"/>
        <v>-0.29011188176226083</v>
      </c>
      <c r="X8814" s="2">
        <f ca="1"/>
        <v>49.05351355357179</v>
      </c>
      <c r="AG8814" s="2">
        <f ca="1"/>
        <v>0.50581862211788553</v>
      </c>
      <c r="AH8814" s="2" t="str">
        <f ca="1"/>
        <v>Bad</v>
      </c>
    </row>
    <row r="8815" spans="2:34" x14ac:dyDescent="0.2">
      <c r="B8815" s="2">
        <f ca="1"/>
        <v>0.95523046438590975</v>
      </c>
      <c r="O8815" s="2">
        <f ca="1"/>
        <v>-0.1915834954709334</v>
      </c>
      <c r="X8815" s="2">
        <f ca="1"/>
        <v>59.881477775346951</v>
      </c>
      <c r="AG8815" s="2">
        <f ca="1"/>
        <v>0.43838026104077366</v>
      </c>
      <c r="AH8815" s="2" t="str">
        <f ca="1"/>
        <v>Bad</v>
      </c>
    </row>
    <row r="8816" spans="2:34" x14ac:dyDescent="0.2">
      <c r="B8816" s="2">
        <f ca="1"/>
        <v>0.53579239042679339</v>
      </c>
      <c r="O8816" s="2">
        <f ca="1"/>
        <v>0.13660241756885738</v>
      </c>
      <c r="X8816" s="2">
        <f ca="1"/>
        <v>42.502850663966356</v>
      </c>
      <c r="AG8816" s="2">
        <f ca="1"/>
        <v>0.27463981634131684</v>
      </c>
      <c r="AH8816" s="2" t="str">
        <f ca="1"/>
        <v>OK</v>
      </c>
    </row>
    <row r="8817" spans="2:34" x14ac:dyDescent="0.2">
      <c r="B8817" s="2">
        <f ca="1"/>
        <v>0.13063982541603525</v>
      </c>
      <c r="O8817" s="2">
        <f ca="1"/>
        <v>-0.90220706593475908</v>
      </c>
      <c r="X8817" s="2">
        <f ca="1"/>
        <v>24.324764389466132</v>
      </c>
      <c r="AG8817" s="2">
        <f ca="1"/>
        <v>5.752916882098047E-2</v>
      </c>
      <c r="AH8817" s="2" t="str">
        <f ca="1"/>
        <v>OK</v>
      </c>
    </row>
    <row r="8818" spans="2:34" x14ac:dyDescent="0.2">
      <c r="B8818" s="2">
        <f ca="1"/>
        <v>0.9865218830907001</v>
      </c>
      <c r="O8818" s="2">
        <f ca="1"/>
        <v>-0.34699365113471708</v>
      </c>
      <c r="X8818" s="2">
        <f ca="1"/>
        <v>43.405498847196299</v>
      </c>
      <c r="AG8818" s="2">
        <f ca="1"/>
        <v>0.4519960422267606</v>
      </c>
      <c r="AH8818" s="2" t="str">
        <f ca="1"/>
        <v>Bad</v>
      </c>
    </row>
    <row r="8819" spans="2:34" x14ac:dyDescent="0.2">
      <c r="B8819" s="2">
        <f ca="1"/>
        <v>0.53878406090343023</v>
      </c>
      <c r="O8819" s="2">
        <f ca="1"/>
        <v>0.76521514891703424</v>
      </c>
      <c r="X8819" s="2">
        <f ca="1"/>
        <v>67.7379013883331</v>
      </c>
      <c r="AG8819" s="2">
        <f ca="1"/>
        <v>0.82408296621606336</v>
      </c>
      <c r="AH8819" s="2" t="str">
        <f ca="1"/>
        <v>Bad</v>
      </c>
    </row>
    <row r="8820" spans="2:34" x14ac:dyDescent="0.2">
      <c r="B8820" s="2">
        <f ca="1"/>
        <v>0.47384133002906714</v>
      </c>
      <c r="O8820" s="2">
        <f ca="1"/>
        <v>0.95648104692959157</v>
      </c>
      <c r="X8820" s="2">
        <f ca="1"/>
        <v>37.644422401100549</v>
      </c>
      <c r="AG8820" s="2">
        <f ca="1"/>
        <v>0.83477831722990414</v>
      </c>
      <c r="AH8820" s="2" t="str">
        <f ca="1"/>
        <v>Bad</v>
      </c>
    </row>
    <row r="8821" spans="2:34" x14ac:dyDescent="0.2">
      <c r="B8821" s="2">
        <f ca="1"/>
        <v>0.51712894021064604</v>
      </c>
      <c r="O8821" s="2">
        <f ca="1"/>
        <v>1.5235241386853959</v>
      </c>
      <c r="X8821" s="2">
        <f ca="1"/>
        <v>32.541326845820294</v>
      </c>
      <c r="AG8821" s="2">
        <f ca="1"/>
        <v>0.29383893576881914</v>
      </c>
      <c r="AH8821" s="2" t="str">
        <f ca="1"/>
        <v>OK</v>
      </c>
    </row>
    <row r="8822" spans="2:34" x14ac:dyDescent="0.2">
      <c r="B8822" s="2">
        <f ca="1"/>
        <v>0.64774562937073865</v>
      </c>
      <c r="O8822" s="2">
        <f ca="1"/>
        <v>-1.4043816608316022</v>
      </c>
      <c r="X8822" s="2">
        <f ca="1"/>
        <v>55.722321887043847</v>
      </c>
      <c r="AG8822" s="2">
        <f ca="1"/>
        <v>0.29310043469011471</v>
      </c>
      <c r="AH8822" s="2" t="str">
        <f ca="1"/>
        <v>OK</v>
      </c>
    </row>
    <row r="8823" spans="2:34" x14ac:dyDescent="0.2">
      <c r="B8823" s="2">
        <f ca="1"/>
        <v>0.97542829744080817</v>
      </c>
      <c r="O8823" s="2">
        <f ca="1"/>
        <v>-0.57187663903094976</v>
      </c>
      <c r="X8823" s="2">
        <f ca="1"/>
        <v>75.725816613525737</v>
      </c>
      <c r="AG8823" s="2">
        <f ca="1"/>
        <v>0.16380598469009255</v>
      </c>
      <c r="AH8823" s="2" t="str">
        <f ca="1"/>
        <v>OK</v>
      </c>
    </row>
    <row r="8824" spans="2:34" x14ac:dyDescent="0.2">
      <c r="B8824" s="2">
        <f ca="1"/>
        <v>0.73160467160709941</v>
      </c>
      <c r="O8824" s="2">
        <f ca="1"/>
        <v>-1.4953508804242459</v>
      </c>
      <c r="X8824" s="2">
        <f ca="1"/>
        <v>32.849439097039514</v>
      </c>
      <c r="AG8824" s="2">
        <f ca="1"/>
        <v>0.93565854829625228</v>
      </c>
      <c r="AH8824" s="2" t="str">
        <f ca="1"/>
        <v>Bad</v>
      </c>
    </row>
    <row r="8825" spans="2:34" x14ac:dyDescent="0.2">
      <c r="B8825" s="2">
        <f ca="1"/>
        <v>0.64961120995394572</v>
      </c>
      <c r="O8825" s="2">
        <f ca="1"/>
        <v>-1.2509955718360812</v>
      </c>
      <c r="X8825" s="2">
        <f ca="1"/>
        <v>92.545819572501244</v>
      </c>
      <c r="AG8825" s="2">
        <f ca="1"/>
        <v>0.50337838528264989</v>
      </c>
      <c r="AH8825" s="2" t="str">
        <f ca="1"/>
        <v>Bad</v>
      </c>
    </row>
    <row r="8826" spans="2:34" x14ac:dyDescent="0.2">
      <c r="B8826" s="2">
        <f ca="1"/>
        <v>6.1452190058422396E-2</v>
      </c>
      <c r="O8826" s="2">
        <f ca="1"/>
        <v>0.26107741697882419</v>
      </c>
      <c r="X8826" s="2">
        <f ca="1"/>
        <v>48.792617727202213</v>
      </c>
      <c r="AG8826" s="2">
        <f ca="1"/>
        <v>0.89048269032478578</v>
      </c>
      <c r="AH8826" s="2" t="str">
        <f ca="1"/>
        <v>Bad</v>
      </c>
    </row>
    <row r="8827" spans="2:34" x14ac:dyDescent="0.2">
      <c r="B8827" s="2">
        <f ca="1"/>
        <v>0.54054386986699754</v>
      </c>
      <c r="O8827" s="2">
        <f ca="1"/>
        <v>0.35126076286883684</v>
      </c>
      <c r="X8827" s="2">
        <f ca="1"/>
        <v>42.367131216868479</v>
      </c>
      <c r="AG8827" s="2">
        <f ca="1"/>
        <v>0.97793515672456865</v>
      </c>
      <c r="AH8827" s="2" t="str">
        <f ca="1"/>
        <v>Bad</v>
      </c>
    </row>
    <row r="8828" spans="2:34" x14ac:dyDescent="0.2">
      <c r="B8828" s="2">
        <f ca="1"/>
        <v>0.79788027316130794</v>
      </c>
      <c r="O8828" s="2">
        <f ca="1"/>
        <v>-0.56861836771745178</v>
      </c>
      <c r="X8828" s="2">
        <f ca="1"/>
        <v>45.291116825498605</v>
      </c>
      <c r="AG8828" s="2">
        <f ca="1"/>
        <v>0.9526514640601309</v>
      </c>
      <c r="AH8828" s="2" t="str">
        <f ca="1"/>
        <v>Bad</v>
      </c>
    </row>
    <row r="8829" spans="2:34" x14ac:dyDescent="0.2">
      <c r="B8829" s="2">
        <f ca="1"/>
        <v>0.88086434814408521</v>
      </c>
      <c r="O8829" s="2">
        <f ca="1"/>
        <v>1.6778514390766257</v>
      </c>
      <c r="X8829" s="2">
        <f ca="1"/>
        <v>56.250213332001891</v>
      </c>
      <c r="AG8829" s="2">
        <f ca="1"/>
        <v>0.55295075667631144</v>
      </c>
      <c r="AH8829" s="2" t="str">
        <f ca="1"/>
        <v>Bad</v>
      </c>
    </row>
    <row r="8830" spans="2:34" x14ac:dyDescent="0.2">
      <c r="B8830" s="2">
        <f ca="1"/>
        <v>0.94819958837655838</v>
      </c>
      <c r="O8830" s="2">
        <f ca="1"/>
        <v>0.16248716871485042</v>
      </c>
      <c r="X8830" s="2">
        <f ca="1"/>
        <v>72.869581542130561</v>
      </c>
      <c r="AG8830" s="2">
        <f ca="1"/>
        <v>0.59142024471286514</v>
      </c>
      <c r="AH8830" s="2" t="str">
        <f ca="1"/>
        <v>Bad</v>
      </c>
    </row>
    <row r="8831" spans="2:34" x14ac:dyDescent="0.2">
      <c r="B8831" s="2">
        <f ca="1"/>
        <v>0.99663943574369296</v>
      </c>
      <c r="O8831" s="2">
        <f ca="1"/>
        <v>0.22441514885678165</v>
      </c>
      <c r="X8831" s="2">
        <f ca="1"/>
        <v>52.380605692210295</v>
      </c>
      <c r="AG8831" s="2">
        <f ca="1"/>
        <v>0.3012261937780174</v>
      </c>
      <c r="AH8831" s="2" t="str">
        <f ca="1"/>
        <v>OK</v>
      </c>
    </row>
    <row r="8832" spans="2:34" x14ac:dyDescent="0.2">
      <c r="B8832" s="2">
        <f ca="1"/>
        <v>0.63316666541062427</v>
      </c>
      <c r="O8832" s="2">
        <f ca="1"/>
        <v>-0.33816471088068328</v>
      </c>
      <c r="X8832" s="2">
        <f ca="1"/>
        <v>39.953663100995087</v>
      </c>
      <c r="AG8832" s="2">
        <f ca="1"/>
        <v>0.87080298332297601</v>
      </c>
      <c r="AH8832" s="2" t="str">
        <f ca="1"/>
        <v>Bad</v>
      </c>
    </row>
    <row r="8833" spans="2:34" x14ac:dyDescent="0.2">
      <c r="B8833" s="2">
        <f ca="1"/>
        <v>0.71266131327004478</v>
      </c>
      <c r="O8833" s="2">
        <f ca="1"/>
        <v>0.31318247354237044</v>
      </c>
      <c r="X8833" s="2">
        <f ca="1"/>
        <v>50.442318538336075</v>
      </c>
      <c r="AG8833" s="2">
        <f ca="1"/>
        <v>2.5239119496721862E-2</v>
      </c>
      <c r="AH8833" s="2" t="str">
        <f ca="1"/>
        <v>Good</v>
      </c>
    </row>
    <row r="8834" spans="2:34" x14ac:dyDescent="0.2">
      <c r="B8834" s="2">
        <f ca="1"/>
        <v>0.41607414794376618</v>
      </c>
      <c r="O8834" s="2">
        <f ca="1"/>
        <v>0.61023683338967016</v>
      </c>
      <c r="X8834" s="2">
        <f ca="1"/>
        <v>40.919384466327926</v>
      </c>
      <c r="AG8834" s="2">
        <f ca="1"/>
        <v>0.20961971257027145</v>
      </c>
      <c r="AH8834" s="2" t="str">
        <f ca="1"/>
        <v>OK</v>
      </c>
    </row>
    <row r="8835" spans="2:34" x14ac:dyDescent="0.2">
      <c r="B8835" s="2">
        <f ca="1"/>
        <v>0.73386773530696492</v>
      </c>
      <c r="O8835" s="2">
        <f ca="1"/>
        <v>0.59143814425219543</v>
      </c>
      <c r="X8835" s="2">
        <f ca="1"/>
        <v>35.382789102039155</v>
      </c>
      <c r="AG8835" s="2">
        <f ca="1"/>
        <v>0.3658656528188613</v>
      </c>
      <c r="AH8835" s="2" t="str">
        <f ca="1"/>
        <v>OK</v>
      </c>
    </row>
    <row r="8836" spans="2:34" x14ac:dyDescent="0.2">
      <c r="B8836" s="2">
        <f ca="1"/>
        <v>0.97698700414593076</v>
      </c>
      <c r="O8836" s="2">
        <f ca="1"/>
        <v>-0.98250400687734318</v>
      </c>
      <c r="X8836" s="2">
        <f ca="1"/>
        <v>65.405381688586871</v>
      </c>
      <c r="AG8836" s="2">
        <f ca="1"/>
        <v>0.96014000035894065</v>
      </c>
      <c r="AH8836" s="2" t="str">
        <f ca="1"/>
        <v>Bad</v>
      </c>
    </row>
    <row r="8837" spans="2:34" x14ac:dyDescent="0.2">
      <c r="B8837" s="2">
        <f ca="1"/>
        <v>0.61508315092120514</v>
      </c>
      <c r="O8837" s="2">
        <f ca="1"/>
        <v>-6.2611206723196519E-2</v>
      </c>
      <c r="X8837" s="2">
        <f ca="1"/>
        <v>56.596193471515946</v>
      </c>
      <c r="AG8837" s="2">
        <f ca="1"/>
        <v>1.8178279568770606E-2</v>
      </c>
      <c r="AH8837" s="2" t="str">
        <f ca="1"/>
        <v>Good</v>
      </c>
    </row>
    <row r="8838" spans="2:34" x14ac:dyDescent="0.2">
      <c r="B8838" s="2">
        <f ca="1"/>
        <v>0.88740496758327159</v>
      </c>
      <c r="O8838" s="2">
        <f ca="1"/>
        <v>-1.2741984048472257</v>
      </c>
      <c r="X8838" s="2">
        <f ca="1"/>
        <v>67.945932794751059</v>
      </c>
      <c r="AG8838" s="2">
        <f ca="1"/>
        <v>0.29579715129518225</v>
      </c>
      <c r="AH8838" s="2" t="str">
        <f ca="1"/>
        <v>OK</v>
      </c>
    </row>
    <row r="8839" spans="2:34" x14ac:dyDescent="0.2">
      <c r="B8839" s="2">
        <f ca="1"/>
        <v>0.82721348197812561</v>
      </c>
      <c r="O8839" s="2">
        <f ca="1"/>
        <v>0.38144911242593865</v>
      </c>
      <c r="X8839" s="2">
        <f ca="1"/>
        <v>72.530066200463892</v>
      </c>
      <c r="AG8839" s="2">
        <f ca="1"/>
        <v>0.7166276816191679</v>
      </c>
      <c r="AH8839" s="2" t="str">
        <f ca="1"/>
        <v>Bad</v>
      </c>
    </row>
    <row r="8840" spans="2:34" x14ac:dyDescent="0.2">
      <c r="B8840" s="2">
        <f ca="1"/>
        <v>0.55246499339340938</v>
      </c>
      <c r="O8840" s="2">
        <f ca="1"/>
        <v>1.7643215927893143</v>
      </c>
      <c r="X8840" s="2">
        <f ca="1"/>
        <v>33.30218363541546</v>
      </c>
      <c r="AG8840" s="2">
        <f ca="1"/>
        <v>0.76696761689133863</v>
      </c>
      <c r="AH8840" s="2" t="str">
        <f ca="1"/>
        <v>Bad</v>
      </c>
    </row>
    <row r="8841" spans="2:34" x14ac:dyDescent="0.2">
      <c r="B8841" s="2">
        <f ca="1"/>
        <v>0.83471023308473402</v>
      </c>
      <c r="O8841" s="2">
        <f ca="1"/>
        <v>4.4380295320303867E-2</v>
      </c>
      <c r="X8841" s="2">
        <f ca="1"/>
        <v>72.752424104809762</v>
      </c>
      <c r="AG8841" s="2">
        <f ca="1"/>
        <v>0.6796016590257925</v>
      </c>
      <c r="AH8841" s="2" t="str">
        <f ca="1"/>
        <v>Bad</v>
      </c>
    </row>
    <row r="8842" spans="2:34" x14ac:dyDescent="0.2">
      <c r="B8842" s="2">
        <f ca="1"/>
        <v>0.88678106390233302</v>
      </c>
      <c r="O8842" s="2">
        <f ca="1"/>
        <v>1.032123367188134</v>
      </c>
      <c r="X8842" s="2">
        <f ca="1"/>
        <v>61.359264868932151</v>
      </c>
      <c r="AG8842" s="2">
        <f ca="1"/>
        <v>0.76801876324926122</v>
      </c>
      <c r="AH8842" s="2" t="str">
        <f ca="1"/>
        <v>Bad</v>
      </c>
    </row>
    <row r="8843" spans="2:34" x14ac:dyDescent="0.2">
      <c r="B8843" s="2">
        <f ca="1"/>
        <v>0.31594765133188085</v>
      </c>
      <c r="O8843" s="2">
        <f ca="1"/>
        <v>-1.3876944059229883</v>
      </c>
      <c r="X8843" s="2">
        <f ca="1"/>
        <v>46.741831400777073</v>
      </c>
      <c r="AG8843" s="2">
        <f ca="1"/>
        <v>0.72171929429764936</v>
      </c>
      <c r="AH8843" s="2" t="str">
        <f ca="1"/>
        <v>Bad</v>
      </c>
    </row>
    <row r="8844" spans="2:34" x14ac:dyDescent="0.2">
      <c r="B8844" s="2">
        <f ca="1"/>
        <v>0.37509493188021437</v>
      </c>
      <c r="O8844" s="2">
        <f ca="1"/>
        <v>1.3784847463305012</v>
      </c>
      <c r="X8844" s="2">
        <f ca="1"/>
        <v>41.465407346998163</v>
      </c>
      <c r="AG8844" s="2">
        <f ca="1"/>
        <v>0.69463140305347948</v>
      </c>
      <c r="AH8844" s="2" t="str">
        <f ca="1"/>
        <v>Bad</v>
      </c>
    </row>
    <row r="8845" spans="2:34" x14ac:dyDescent="0.2">
      <c r="B8845" s="2">
        <f ca="1"/>
        <v>0.94517487536389444</v>
      </c>
      <c r="O8845" s="2">
        <f ca="1"/>
        <v>-0.11803709218112048</v>
      </c>
      <c r="X8845" s="2">
        <f ca="1"/>
        <v>39.076099242624096</v>
      </c>
      <c r="AG8845" s="2">
        <f ca="1"/>
        <v>0.93510245802722158</v>
      </c>
      <c r="AH8845" s="2" t="str">
        <f ca="1"/>
        <v>Bad</v>
      </c>
    </row>
    <row r="8846" spans="2:34" x14ac:dyDescent="0.2">
      <c r="B8846" s="2">
        <f ca="1"/>
        <v>0.81213199693420268</v>
      </c>
      <c r="O8846" s="2">
        <f ca="1"/>
        <v>-1.7047092855477715</v>
      </c>
      <c r="X8846" s="2">
        <f ca="1"/>
        <v>63.580881807062688</v>
      </c>
      <c r="AG8846" s="2">
        <f ca="1"/>
        <v>0.98096812628939456</v>
      </c>
      <c r="AH8846" s="2" t="str">
        <f ca="1"/>
        <v>Bad</v>
      </c>
    </row>
    <row r="8847" spans="2:34" x14ac:dyDescent="0.2">
      <c r="B8847" s="2">
        <f ca="1"/>
        <v>0.94609505879963951</v>
      </c>
      <c r="O8847" s="2">
        <f ca="1"/>
        <v>-1.2736867849710773</v>
      </c>
      <c r="X8847" s="2">
        <f ca="1"/>
        <v>50.984730080039562</v>
      </c>
      <c r="AG8847" s="2">
        <f ca="1"/>
        <v>0.75731931568715649</v>
      </c>
      <c r="AH8847" s="2" t="str">
        <f ca="1"/>
        <v>Bad</v>
      </c>
    </row>
    <row r="8848" spans="2:34" x14ac:dyDescent="0.2">
      <c r="B8848" s="2">
        <f ca="1"/>
        <v>0.29932801060233838</v>
      </c>
      <c r="O8848" s="2">
        <f ca="1"/>
        <v>-1.5273085964058379</v>
      </c>
      <c r="X8848" s="2">
        <f ca="1"/>
        <v>46.587314707526289</v>
      </c>
      <c r="AG8848" s="2">
        <f ca="1"/>
        <v>0.49828223345391565</v>
      </c>
      <c r="AH8848" s="2" t="str">
        <f ca="1"/>
        <v>Bad</v>
      </c>
    </row>
    <row r="8849" spans="2:34" x14ac:dyDescent="0.2">
      <c r="B8849" s="2">
        <f ca="1"/>
        <v>0.10642876126301792</v>
      </c>
      <c r="O8849" s="2">
        <f ca="1"/>
        <v>-1.0810398273837518</v>
      </c>
      <c r="X8849" s="2">
        <f ca="1"/>
        <v>43.428030427641964</v>
      </c>
      <c r="AG8849" s="2">
        <f ca="1"/>
        <v>0.73203085539617496</v>
      </c>
      <c r="AH8849" s="2" t="str">
        <f ca="1"/>
        <v>Bad</v>
      </c>
    </row>
    <row r="8850" spans="2:34" x14ac:dyDescent="0.2">
      <c r="B8850" s="2">
        <f ca="1"/>
        <v>0.33415132699643291</v>
      </c>
      <c r="O8850" s="2">
        <f ca="1"/>
        <v>0.2776564908479825</v>
      </c>
      <c r="X8850" s="2">
        <f ca="1"/>
        <v>81.472826862520634</v>
      </c>
      <c r="AG8850" s="2">
        <f ca="1"/>
        <v>0.78075645129725313</v>
      </c>
      <c r="AH8850" s="2" t="str">
        <f ca="1"/>
        <v>Bad</v>
      </c>
    </row>
    <row r="8851" spans="2:34" x14ac:dyDescent="0.2">
      <c r="B8851" s="2">
        <f ca="1"/>
        <v>9.7851177103715381E-2</v>
      </c>
      <c r="O8851" s="2">
        <f ca="1"/>
        <v>-0.23372859135413449</v>
      </c>
      <c r="X8851" s="2">
        <f ca="1"/>
        <v>54.958903065599458</v>
      </c>
      <c r="AG8851" s="2">
        <f ca="1"/>
        <v>0.86515254525893437</v>
      </c>
      <c r="AH8851" s="2" t="str">
        <f ca="1"/>
        <v>Bad</v>
      </c>
    </row>
    <row r="8852" spans="2:34" x14ac:dyDescent="0.2">
      <c r="B8852" s="2">
        <f ca="1"/>
        <v>5.6326198196323674E-3</v>
      </c>
      <c r="O8852" s="2">
        <f ca="1"/>
        <v>-1.1610158083407067</v>
      </c>
      <c r="X8852" s="2">
        <f ca="1"/>
        <v>34.626350840021367</v>
      </c>
      <c r="AG8852" s="2">
        <f ca="1"/>
        <v>0.98954223887559167</v>
      </c>
      <c r="AH8852" s="2" t="str">
        <f ca="1"/>
        <v>Bad</v>
      </c>
    </row>
    <row r="8853" spans="2:34" x14ac:dyDescent="0.2">
      <c r="B8853" s="2">
        <f ca="1"/>
        <v>0.21902364352768489</v>
      </c>
      <c r="O8853" s="2">
        <f ca="1"/>
        <v>4.2728161888938784E-2</v>
      </c>
      <c r="X8853" s="2">
        <f ca="1"/>
        <v>38.308185843897647</v>
      </c>
      <c r="AG8853" s="2">
        <f ca="1"/>
        <v>0.4214758028586616</v>
      </c>
      <c r="AH8853" s="2" t="str">
        <f ca="1"/>
        <v>Bad</v>
      </c>
    </row>
    <row r="8854" spans="2:34" x14ac:dyDescent="0.2">
      <c r="B8854" s="2">
        <f ca="1"/>
        <v>0.92364183835859315</v>
      </c>
      <c r="O8854" s="2">
        <f ca="1"/>
        <v>1.0479737888251679</v>
      </c>
      <c r="X8854" s="2">
        <f ca="1"/>
        <v>49.925118693102455</v>
      </c>
      <c r="AG8854" s="2">
        <f ca="1"/>
        <v>0.85730796073827764</v>
      </c>
      <c r="AH8854" s="2" t="str">
        <f ca="1"/>
        <v>Bad</v>
      </c>
    </row>
    <row r="8855" spans="2:34" x14ac:dyDescent="0.2">
      <c r="B8855" s="2">
        <f ca="1"/>
        <v>0.19325332105211879</v>
      </c>
      <c r="O8855" s="2">
        <f ca="1"/>
        <v>-0.64756582150974418</v>
      </c>
      <c r="X8855" s="2">
        <f ca="1"/>
        <v>61.732137967033395</v>
      </c>
      <c r="AG8855" s="2">
        <f ca="1"/>
        <v>0.45412137278454301</v>
      </c>
      <c r="AH8855" s="2" t="str">
        <f ca="1"/>
        <v>Bad</v>
      </c>
    </row>
    <row r="8856" spans="2:34" x14ac:dyDescent="0.2">
      <c r="B8856" s="2">
        <f ca="1"/>
        <v>0.4465717867835366</v>
      </c>
      <c r="O8856" s="2">
        <f ca="1"/>
        <v>0.5961163629515952</v>
      </c>
      <c r="X8856" s="2">
        <f ca="1"/>
        <v>40.853499220483862</v>
      </c>
      <c r="AG8856" s="2">
        <f ca="1"/>
        <v>0.70868446184130707</v>
      </c>
      <c r="AH8856" s="2" t="str">
        <f ca="1"/>
        <v>Bad</v>
      </c>
    </row>
    <row r="8857" spans="2:34" x14ac:dyDescent="0.2">
      <c r="B8857" s="2">
        <f ca="1"/>
        <v>7.7621333761653144E-2</v>
      </c>
      <c r="O8857" s="2">
        <f ca="1"/>
        <v>-0.68398203008885705</v>
      </c>
      <c r="X8857" s="2">
        <f ca="1"/>
        <v>21.361371200352686</v>
      </c>
      <c r="AG8857" s="2">
        <f ca="1"/>
        <v>0.32488093693824327</v>
      </c>
      <c r="AH8857" s="2" t="str">
        <f ca="1"/>
        <v>OK</v>
      </c>
    </row>
    <row r="8858" spans="2:34" x14ac:dyDescent="0.2">
      <c r="B8858" s="2">
        <f ca="1"/>
        <v>0.32039184741772142</v>
      </c>
      <c r="O8858" s="2">
        <f ca="1"/>
        <v>0.54314079545239158</v>
      </c>
      <c r="X8858" s="2">
        <f ca="1"/>
        <v>32.393111739730955</v>
      </c>
      <c r="AG8858" s="2">
        <f ca="1"/>
        <v>1.9442170794190528E-2</v>
      </c>
      <c r="AH8858" s="2" t="str">
        <f ca="1"/>
        <v>Good</v>
      </c>
    </row>
    <row r="8859" spans="2:34" x14ac:dyDescent="0.2">
      <c r="B8859" s="2">
        <f ca="1"/>
        <v>0.12446811846926353</v>
      </c>
      <c r="O8859" s="2">
        <f ca="1"/>
        <v>-0.79095820327622646</v>
      </c>
      <c r="X8859" s="2">
        <f ca="1"/>
        <v>44.155106924334817</v>
      </c>
      <c r="AG8859" s="2">
        <f ca="1"/>
        <v>0.85541217677180681</v>
      </c>
      <c r="AH8859" s="2" t="str">
        <f ca="1"/>
        <v>Bad</v>
      </c>
    </row>
    <row r="8860" spans="2:34" x14ac:dyDescent="0.2">
      <c r="B8860" s="2">
        <f ca="1"/>
        <v>0.97760116810826747</v>
      </c>
      <c r="O8860" s="2">
        <f ca="1"/>
        <v>-0.59064646156910994</v>
      </c>
      <c r="X8860" s="2">
        <f ca="1"/>
        <v>50.318687543219497</v>
      </c>
      <c r="AG8860" s="2">
        <f ca="1"/>
        <v>0.29928406944293529</v>
      </c>
      <c r="AH8860" s="2" t="str">
        <f ca="1"/>
        <v>OK</v>
      </c>
    </row>
    <row r="8861" spans="2:34" x14ac:dyDescent="0.2">
      <c r="B8861" s="2">
        <f ca="1"/>
        <v>0.53337760629613529</v>
      </c>
      <c r="O8861" s="2">
        <f ca="1"/>
        <v>0.81754061539513101</v>
      </c>
      <c r="X8861" s="2">
        <f ca="1"/>
        <v>107.574344792502</v>
      </c>
      <c r="AG8861" s="2">
        <f ca="1"/>
        <v>0.6469493967395552</v>
      </c>
      <c r="AH8861" s="2" t="str">
        <f ca="1"/>
        <v>Bad</v>
      </c>
    </row>
    <row r="8862" spans="2:34" x14ac:dyDescent="0.2">
      <c r="B8862" s="2">
        <f ca="1"/>
        <v>0.17672824821083433</v>
      </c>
      <c r="O8862" s="2">
        <f ca="1"/>
        <v>-1.7290022354785217</v>
      </c>
      <c r="X8862" s="2">
        <f ca="1"/>
        <v>45.369504726935091</v>
      </c>
      <c r="AG8862" s="2">
        <f ca="1"/>
        <v>0.88105262019388153</v>
      </c>
      <c r="AH8862" s="2" t="str">
        <f ca="1"/>
        <v>Bad</v>
      </c>
    </row>
    <row r="8863" spans="2:34" x14ac:dyDescent="0.2">
      <c r="B8863" s="2">
        <f ca="1"/>
        <v>0.45204512503646055</v>
      </c>
      <c r="O8863" s="2">
        <f ca="1"/>
        <v>1.1866819696778539</v>
      </c>
      <c r="X8863" s="2">
        <f ca="1"/>
        <v>63.452639179738533</v>
      </c>
      <c r="AG8863" s="2">
        <f ca="1"/>
        <v>0.39368845192465995</v>
      </c>
      <c r="AH8863" s="2" t="str">
        <f ca="1"/>
        <v>OK</v>
      </c>
    </row>
    <row r="8864" spans="2:34" x14ac:dyDescent="0.2">
      <c r="B8864" s="2">
        <f ca="1"/>
        <v>0.11288108720703494</v>
      </c>
      <c r="O8864" s="2">
        <f ca="1"/>
        <v>1.0654333743073412</v>
      </c>
      <c r="X8864" s="2">
        <f ca="1"/>
        <v>32.107311681096128</v>
      </c>
      <c r="AG8864" s="2">
        <f ca="1"/>
        <v>0.42312790853282189</v>
      </c>
      <c r="AH8864" s="2" t="str">
        <f ca="1"/>
        <v>Bad</v>
      </c>
    </row>
    <row r="8865" spans="2:34" x14ac:dyDescent="0.2">
      <c r="B8865" s="2">
        <f ca="1"/>
        <v>9.0086366431937792E-2</v>
      </c>
      <c r="O8865" s="2">
        <f ca="1"/>
        <v>-0.26771208474386021</v>
      </c>
      <c r="X8865" s="2">
        <f ca="1"/>
        <v>66.801019492962368</v>
      </c>
      <c r="AG8865" s="2">
        <f ca="1"/>
        <v>0.91035011165258073</v>
      </c>
      <c r="AH8865" s="2" t="str">
        <f ca="1"/>
        <v>Bad</v>
      </c>
    </row>
    <row r="8866" spans="2:34" x14ac:dyDescent="0.2">
      <c r="B8866" s="2">
        <f ca="1"/>
        <v>0.10551733164248844</v>
      </c>
      <c r="O8866" s="2">
        <f ca="1"/>
        <v>1.2487782895165247</v>
      </c>
      <c r="X8866" s="2">
        <f ca="1"/>
        <v>46.264769130242733</v>
      </c>
      <c r="AG8866" s="2">
        <f ca="1"/>
        <v>8.3783150438099918E-2</v>
      </c>
      <c r="AH8866" s="2" t="str">
        <f ca="1"/>
        <v>OK</v>
      </c>
    </row>
    <row r="8867" spans="2:34" x14ac:dyDescent="0.2">
      <c r="B8867" s="2">
        <f ca="1"/>
        <v>0.63575725703304409</v>
      </c>
      <c r="O8867" s="2">
        <f ca="1"/>
        <v>-1.1039849431933986</v>
      </c>
      <c r="X8867" s="2">
        <f ca="1"/>
        <v>45.937457323396075</v>
      </c>
      <c r="AG8867" s="2">
        <f ca="1"/>
        <v>0.94743113067244833</v>
      </c>
      <c r="AH8867" s="2" t="str">
        <f ca="1"/>
        <v>Bad</v>
      </c>
    </row>
    <row r="8868" spans="2:34" x14ac:dyDescent="0.2">
      <c r="B8868" s="2">
        <f ca="1"/>
        <v>0.57319179779481932</v>
      </c>
      <c r="O8868" s="2">
        <f ca="1"/>
        <v>1.2732747195459966</v>
      </c>
      <c r="X8868" s="2">
        <f ca="1"/>
        <v>62.114444744940272</v>
      </c>
      <c r="AG8868" s="2">
        <f ca="1"/>
        <v>2.8971443763503579E-4</v>
      </c>
      <c r="AH8868" s="2" t="str">
        <f ca="1"/>
        <v>Good</v>
      </c>
    </row>
    <row r="8869" spans="2:34" x14ac:dyDescent="0.2">
      <c r="B8869" s="2">
        <f ca="1"/>
        <v>0.56006891308327011</v>
      </c>
      <c r="O8869" s="2">
        <f ca="1"/>
        <v>-2.5782934721628283</v>
      </c>
      <c r="X8869" s="2">
        <f ca="1"/>
        <v>61.020867104382113</v>
      </c>
      <c r="AG8869" s="2">
        <f ca="1"/>
        <v>0.145650790131296</v>
      </c>
      <c r="AH8869" s="2" t="str">
        <f ca="1"/>
        <v>OK</v>
      </c>
    </row>
    <row r="8870" spans="2:34" x14ac:dyDescent="0.2">
      <c r="B8870" s="2">
        <f ca="1"/>
        <v>0.44631223226861061</v>
      </c>
      <c r="O8870" s="2">
        <f ca="1"/>
        <v>-0.3937067340960349</v>
      </c>
      <c r="X8870" s="2">
        <f ca="1"/>
        <v>38.842630847516197</v>
      </c>
      <c r="AG8870" s="2">
        <f ca="1"/>
        <v>0.60937340738336654</v>
      </c>
      <c r="AH8870" s="2" t="str">
        <f ca="1"/>
        <v>Bad</v>
      </c>
    </row>
    <row r="8871" spans="2:34" x14ac:dyDescent="0.2">
      <c r="B8871" s="2">
        <f ca="1"/>
        <v>0.92683095782053582</v>
      </c>
      <c r="O8871" s="2">
        <f ca="1"/>
        <v>0.25609338276549204</v>
      </c>
      <c r="X8871" s="2">
        <f ca="1"/>
        <v>35.426963581204923</v>
      </c>
      <c r="AG8871" s="2">
        <f ca="1"/>
        <v>0.57779027249976389</v>
      </c>
      <c r="AH8871" s="2" t="str">
        <f ca="1"/>
        <v>Bad</v>
      </c>
    </row>
    <row r="8872" spans="2:34" x14ac:dyDescent="0.2">
      <c r="B8872" s="2">
        <f ca="1"/>
        <v>4.9983149818242589E-2</v>
      </c>
      <c r="O8872" s="2">
        <f ca="1"/>
        <v>0.76225219834069124</v>
      </c>
      <c r="X8872" s="2">
        <f ca="1"/>
        <v>50.394458028180608</v>
      </c>
      <c r="AG8872" s="2">
        <f ca="1"/>
        <v>0.68559456855017231</v>
      </c>
      <c r="AH8872" s="2" t="str">
        <f ca="1"/>
        <v>Bad</v>
      </c>
    </row>
    <row r="8873" spans="2:34" x14ac:dyDescent="0.2">
      <c r="B8873" s="2">
        <f ca="1"/>
        <v>0.19522853528381434</v>
      </c>
      <c r="O8873" s="2">
        <f ca="1"/>
        <v>1.8889533067024429</v>
      </c>
      <c r="X8873" s="2">
        <f ca="1"/>
        <v>46.803843446496515</v>
      </c>
      <c r="AG8873" s="2">
        <f ca="1"/>
        <v>8.3988721952961809E-2</v>
      </c>
      <c r="AH8873" s="2" t="str">
        <f ca="1"/>
        <v>OK</v>
      </c>
    </row>
    <row r="8874" spans="2:34" x14ac:dyDescent="0.2">
      <c r="B8874" s="2">
        <f ca="1"/>
        <v>0.28827195858517207</v>
      </c>
      <c r="O8874" s="2">
        <f ca="1"/>
        <v>-0.73016088149846992</v>
      </c>
      <c r="X8874" s="2">
        <f ca="1"/>
        <v>48.923104961054719</v>
      </c>
      <c r="AG8874" s="2">
        <f ca="1"/>
        <v>0.24890917836105753</v>
      </c>
      <c r="AH8874" s="2" t="str">
        <f ca="1"/>
        <v>OK</v>
      </c>
    </row>
    <row r="8875" spans="2:34" x14ac:dyDescent="0.2">
      <c r="B8875" s="2">
        <f ca="1"/>
        <v>0.77808892003369756</v>
      </c>
      <c r="O8875" s="2">
        <f ca="1"/>
        <v>-1.4325457501880581</v>
      </c>
      <c r="X8875" s="2">
        <f ca="1"/>
        <v>24.968916793804546</v>
      </c>
      <c r="AG8875" s="2">
        <f ca="1"/>
        <v>0.96187290070576381</v>
      </c>
      <c r="AH8875" s="2" t="str">
        <f ca="1"/>
        <v>Bad</v>
      </c>
    </row>
    <row r="8876" spans="2:34" x14ac:dyDescent="0.2">
      <c r="B8876" s="2">
        <f ca="1"/>
        <v>0.59345158385974983</v>
      </c>
      <c r="O8876" s="2">
        <f ca="1"/>
        <v>-1.0120413198400195</v>
      </c>
      <c r="X8876" s="2">
        <f ca="1"/>
        <v>32.657504113370997</v>
      </c>
      <c r="AG8876" s="2">
        <f ca="1"/>
        <v>0.66477990176224977</v>
      </c>
      <c r="AH8876" s="2" t="str">
        <f ca="1"/>
        <v>Bad</v>
      </c>
    </row>
    <row r="8877" spans="2:34" x14ac:dyDescent="0.2">
      <c r="B8877" s="2">
        <f ca="1"/>
        <v>0.22942169949162916</v>
      </c>
      <c r="O8877" s="2">
        <f ca="1"/>
        <v>-0.55678023650519359</v>
      </c>
      <c r="X8877" s="2">
        <f ca="1"/>
        <v>45.48401515587404</v>
      </c>
      <c r="AG8877" s="2">
        <f ca="1"/>
        <v>0.3396509345953489</v>
      </c>
      <c r="AH8877" s="2" t="str">
        <f ca="1"/>
        <v>OK</v>
      </c>
    </row>
    <row r="8878" spans="2:34" x14ac:dyDescent="0.2">
      <c r="B8878" s="2">
        <f ca="1"/>
        <v>0.57717529305255666</v>
      </c>
      <c r="O8878" s="2">
        <f ca="1"/>
        <v>-0.48282526094569767</v>
      </c>
      <c r="X8878" s="2">
        <f ca="1"/>
        <v>75.902338114481978</v>
      </c>
      <c r="AG8878" s="2">
        <f ca="1"/>
        <v>0.71996311819848646</v>
      </c>
      <c r="AH8878" s="2" t="str">
        <f ca="1"/>
        <v>Bad</v>
      </c>
    </row>
    <row r="8879" spans="2:34" x14ac:dyDescent="0.2">
      <c r="B8879" s="2">
        <f ca="1"/>
        <v>0.75584947676751613</v>
      </c>
      <c r="O8879" s="2">
        <f ca="1"/>
        <v>0.23064326290770051</v>
      </c>
      <c r="X8879" s="2">
        <f ca="1"/>
        <v>50.245550177403295</v>
      </c>
      <c r="AG8879" s="2">
        <f ca="1"/>
        <v>0.92851760336092259</v>
      </c>
      <c r="AH8879" s="2" t="str">
        <f ca="1"/>
        <v>Bad</v>
      </c>
    </row>
    <row r="8880" spans="2:34" x14ac:dyDescent="0.2">
      <c r="B8880" s="2">
        <f ca="1"/>
        <v>0.84180540951333138</v>
      </c>
      <c r="O8880" s="2">
        <f ca="1"/>
        <v>-0.59113958266861477</v>
      </c>
      <c r="X8880" s="2">
        <f ca="1"/>
        <v>33.33988409665573</v>
      </c>
      <c r="AG8880" s="2">
        <f ca="1"/>
        <v>0.98559068810268213</v>
      </c>
      <c r="AH8880" s="2" t="str">
        <f ca="1"/>
        <v>Bad</v>
      </c>
    </row>
    <row r="8881" spans="2:34" x14ac:dyDescent="0.2">
      <c r="B8881" s="2">
        <f ca="1"/>
        <v>0.59234623453831659</v>
      </c>
      <c r="O8881" s="2">
        <f ca="1"/>
        <v>-0.23427859120843089</v>
      </c>
      <c r="X8881" s="2">
        <f ca="1"/>
        <v>65.256918161811129</v>
      </c>
      <c r="AG8881" s="2">
        <f ca="1"/>
        <v>0.49730445373001442</v>
      </c>
      <c r="AH8881" s="2" t="str">
        <f ca="1"/>
        <v>Bad</v>
      </c>
    </row>
    <row r="8882" spans="2:34" x14ac:dyDescent="0.2">
      <c r="B8882" s="2">
        <f ca="1"/>
        <v>0.68033517284577028</v>
      </c>
      <c r="O8882" s="2">
        <f ca="1"/>
        <v>8.4647893681984832E-2</v>
      </c>
      <c r="X8882" s="2">
        <f ca="1"/>
        <v>20.767343815457235</v>
      </c>
      <c r="AG8882" s="2">
        <f ca="1"/>
        <v>0.47001806158490811</v>
      </c>
      <c r="AH8882" s="2" t="str">
        <f ca="1"/>
        <v>Bad</v>
      </c>
    </row>
    <row r="8883" spans="2:34" x14ac:dyDescent="0.2">
      <c r="B8883" s="2">
        <f ca="1"/>
        <v>0.75006727634785464</v>
      </c>
      <c r="O8883" s="2">
        <f ca="1"/>
        <v>-0.46937053027042464</v>
      </c>
      <c r="X8883" s="2">
        <f ca="1"/>
        <v>54.013672391611117</v>
      </c>
      <c r="AG8883" s="2">
        <f ca="1"/>
        <v>0.41459150634076347</v>
      </c>
      <c r="AH8883" s="2" t="str">
        <f ca="1"/>
        <v>Bad</v>
      </c>
    </row>
    <row r="8884" spans="2:34" x14ac:dyDescent="0.2">
      <c r="B8884" s="2">
        <f ca="1"/>
        <v>0.88582576886435249</v>
      </c>
      <c r="O8884" s="2">
        <f ca="1"/>
        <v>-0.70566359522689881</v>
      </c>
      <c r="X8884" s="2">
        <f ca="1"/>
        <v>40.080688692062495</v>
      </c>
      <c r="AG8884" s="2">
        <f ca="1"/>
        <v>0.93032221008586813</v>
      </c>
      <c r="AH8884" s="2" t="str">
        <f ca="1"/>
        <v>Bad</v>
      </c>
    </row>
    <row r="8885" spans="2:34" x14ac:dyDescent="0.2">
      <c r="B8885" s="2">
        <f ca="1"/>
        <v>0.40393594927612675</v>
      </c>
      <c r="O8885" s="2">
        <f ca="1"/>
        <v>0.1768848391291227</v>
      </c>
      <c r="X8885" s="2">
        <f ca="1"/>
        <v>50.833022040210885</v>
      </c>
      <c r="AG8885" s="2">
        <f ca="1"/>
        <v>0.74911848370142708</v>
      </c>
      <c r="AH8885" s="2" t="str">
        <f ca="1"/>
        <v>Bad</v>
      </c>
    </row>
    <row r="8886" spans="2:34" x14ac:dyDescent="0.2">
      <c r="B8886" s="2">
        <f ca="1"/>
        <v>0.95005931856426162</v>
      </c>
      <c r="O8886" s="2">
        <f ca="1"/>
        <v>-0.59237781117603483</v>
      </c>
      <c r="X8886" s="2">
        <f ca="1"/>
        <v>36.211388889802677</v>
      </c>
      <c r="AG8886" s="2">
        <f ca="1"/>
        <v>0.23753797814817168</v>
      </c>
      <c r="AH8886" s="2" t="str">
        <f ca="1"/>
        <v>OK</v>
      </c>
    </row>
    <row r="8887" spans="2:34" x14ac:dyDescent="0.2">
      <c r="B8887" s="2">
        <f ca="1"/>
        <v>0.55144235468034819</v>
      </c>
      <c r="O8887" s="2">
        <f ca="1"/>
        <v>-0.92019905656037715</v>
      </c>
      <c r="X8887" s="2">
        <f ca="1"/>
        <v>32.733109785420439</v>
      </c>
      <c r="AG8887" s="2">
        <f ca="1"/>
        <v>0.67070152801913641</v>
      </c>
      <c r="AH8887" s="2" t="str">
        <f ca="1"/>
        <v>Bad</v>
      </c>
    </row>
    <row r="8888" spans="2:34" x14ac:dyDescent="0.2">
      <c r="B8888" s="2">
        <f ca="1"/>
        <v>5.3019479307436113E-2</v>
      </c>
      <c r="O8888" s="2">
        <f ca="1"/>
        <v>-1.1360715200748164</v>
      </c>
      <c r="X8888" s="2">
        <f ca="1"/>
        <v>32.250289688534124</v>
      </c>
      <c r="AG8888" s="2">
        <f ca="1"/>
        <v>0.5125571417570649</v>
      </c>
      <c r="AH8888" s="2" t="str">
        <f ca="1"/>
        <v>Bad</v>
      </c>
    </row>
    <row r="8889" spans="2:34" x14ac:dyDescent="0.2">
      <c r="B8889" s="2">
        <f ca="1"/>
        <v>0.17490608847161049</v>
      </c>
      <c r="O8889" s="2">
        <f ca="1"/>
        <v>-0.29445473583133042</v>
      </c>
      <c r="X8889" s="2">
        <f ca="1"/>
        <v>47.197444601710075</v>
      </c>
      <c r="AG8889" s="2">
        <f ca="1"/>
        <v>0.14322692410444726</v>
      </c>
      <c r="AH8889" s="2" t="str">
        <f ca="1"/>
        <v>OK</v>
      </c>
    </row>
    <row r="8890" spans="2:34" x14ac:dyDescent="0.2">
      <c r="B8890" s="2">
        <f ca="1"/>
        <v>0.3055248941594475</v>
      </c>
      <c r="O8890" s="2">
        <f ca="1"/>
        <v>-0.87342244833171501</v>
      </c>
      <c r="X8890" s="2">
        <f ca="1"/>
        <v>57.249185384118697</v>
      </c>
      <c r="AG8890" s="2">
        <f ca="1"/>
        <v>0.69651351084830559</v>
      </c>
      <c r="AH8890" s="2" t="str">
        <f ca="1"/>
        <v>Bad</v>
      </c>
    </row>
    <row r="8891" spans="2:34" x14ac:dyDescent="0.2">
      <c r="B8891" s="2">
        <f ca="1"/>
        <v>6.8102177279568021E-2</v>
      </c>
      <c r="O8891" s="2">
        <f ca="1"/>
        <v>-0.40721321158198437</v>
      </c>
      <c r="X8891" s="2">
        <f ca="1"/>
        <v>36.430399030256815</v>
      </c>
      <c r="AG8891" s="2">
        <f ca="1"/>
        <v>0.16417387180874021</v>
      </c>
      <c r="AH8891" s="2" t="str">
        <f ca="1"/>
        <v>OK</v>
      </c>
    </row>
    <row r="8892" spans="2:34" x14ac:dyDescent="0.2">
      <c r="B8892" s="2">
        <f ca="1"/>
        <v>0.25100755506714134</v>
      </c>
      <c r="O8892" s="2">
        <f ca="1"/>
        <v>2.813382750922294</v>
      </c>
      <c r="X8892" s="2">
        <f ca="1"/>
        <v>66.024636067332253</v>
      </c>
      <c r="AG8892" s="2">
        <f ca="1"/>
        <v>0.93162080803425451</v>
      </c>
      <c r="AH8892" s="2" t="str">
        <f ca="1"/>
        <v>Bad</v>
      </c>
    </row>
    <row r="8893" spans="2:34" x14ac:dyDescent="0.2">
      <c r="B8893" s="2">
        <f ca="1"/>
        <v>0.99690233610987145</v>
      </c>
      <c r="O8893" s="2">
        <f ca="1"/>
        <v>0.52017629957763867</v>
      </c>
      <c r="X8893" s="2">
        <f ca="1"/>
        <v>48.305713381196398</v>
      </c>
      <c r="AG8893" s="2">
        <f ca="1"/>
        <v>0.42734811225542058</v>
      </c>
      <c r="AH8893" s="2" t="str">
        <f ca="1"/>
        <v>Bad</v>
      </c>
    </row>
    <row r="8894" spans="2:34" x14ac:dyDescent="0.2">
      <c r="B8894" s="2">
        <f ca="1"/>
        <v>0.98414496566454845</v>
      </c>
      <c r="O8894" s="2">
        <f ca="1"/>
        <v>-0.46085923553691388</v>
      </c>
      <c r="X8894" s="2">
        <f ca="1"/>
        <v>40.616558115989385</v>
      </c>
      <c r="AG8894" s="2">
        <f ca="1"/>
        <v>0.77340736759286877</v>
      </c>
      <c r="AH8894" s="2" t="str">
        <f ca="1"/>
        <v>Bad</v>
      </c>
    </row>
    <row r="8895" spans="2:34" x14ac:dyDescent="0.2">
      <c r="B8895" s="2">
        <f ca="1"/>
        <v>0.77033174294509554</v>
      </c>
      <c r="O8895" s="2">
        <f ca="1"/>
        <v>-7.0147734947544477E-2</v>
      </c>
      <c r="X8895" s="2">
        <f ca="1"/>
        <v>43.031142631217811</v>
      </c>
      <c r="AG8895" s="2">
        <f ca="1"/>
        <v>0.284505379692368</v>
      </c>
      <c r="AH8895" s="2" t="str">
        <f ca="1"/>
        <v>OK</v>
      </c>
    </row>
    <row r="8896" spans="2:34" x14ac:dyDescent="0.2">
      <c r="B8896" s="2">
        <f ca="1"/>
        <v>0.14506362882551072</v>
      </c>
      <c r="O8896" s="2">
        <f ca="1"/>
        <v>-1.3192289197108684</v>
      </c>
      <c r="X8896" s="2">
        <f ca="1"/>
        <v>41.782811191806516</v>
      </c>
      <c r="AG8896" s="2">
        <f ca="1"/>
        <v>0.67189051878572092</v>
      </c>
      <c r="AH8896" s="2" t="str">
        <f ca="1"/>
        <v>Bad</v>
      </c>
    </row>
    <row r="8897" spans="2:34" x14ac:dyDescent="0.2">
      <c r="B8897" s="2">
        <f ca="1"/>
        <v>0.56163605562345831</v>
      </c>
      <c r="O8897" s="2">
        <f ca="1"/>
        <v>2.1565579546960238</v>
      </c>
      <c r="X8897" s="2">
        <f ca="1"/>
        <v>70.234149219840049</v>
      </c>
      <c r="AG8897" s="2">
        <f ca="1"/>
        <v>0.92185105703814463</v>
      </c>
      <c r="AH8897" s="2" t="str">
        <f ca="1"/>
        <v>Bad</v>
      </c>
    </row>
    <row r="8898" spans="2:34" x14ac:dyDescent="0.2">
      <c r="B8898" s="2">
        <f ca="1"/>
        <v>0.3347787522995429</v>
      </c>
      <c r="O8898" s="2">
        <f ca="1"/>
        <v>1.4114308351166314</v>
      </c>
      <c r="X8898" s="2">
        <f ca="1"/>
        <v>43.501727919953083</v>
      </c>
      <c r="AG8898" s="2">
        <f ca="1"/>
        <v>0.19551755721825925</v>
      </c>
      <c r="AH8898" s="2" t="str">
        <f ca="1"/>
        <v>OK</v>
      </c>
    </row>
    <row r="8899" spans="2:34" x14ac:dyDescent="0.2">
      <c r="B8899" s="2">
        <f ca="1"/>
        <v>0.89838365336544412</v>
      </c>
      <c r="O8899" s="2">
        <f ca="1"/>
        <v>0.38102097380982675</v>
      </c>
      <c r="X8899" s="2">
        <f ca="1"/>
        <v>40.195897043379162</v>
      </c>
      <c r="AG8899" s="2">
        <f ca="1"/>
        <v>0.55571166602155886</v>
      </c>
      <c r="AH8899" s="2" t="str">
        <f ca="1"/>
        <v>Bad</v>
      </c>
    </row>
    <row r="8900" spans="2:34" x14ac:dyDescent="0.2">
      <c r="B8900" s="2">
        <f ca="1"/>
        <v>0.45923178138536747</v>
      </c>
      <c r="O8900" s="2">
        <f ca="1"/>
        <v>-0.10044296568947124</v>
      </c>
      <c r="X8900" s="2">
        <f ca="1"/>
        <v>68.327387793908443</v>
      </c>
      <c r="AG8900" s="2">
        <f ca="1"/>
        <v>0.95602543845283217</v>
      </c>
      <c r="AH8900" s="2" t="str">
        <f ca="1"/>
        <v>Bad</v>
      </c>
    </row>
    <row r="8901" spans="2:34" x14ac:dyDescent="0.2">
      <c r="B8901" s="2">
        <f ca="1"/>
        <v>0.77363494258975862</v>
      </c>
      <c r="O8901" s="2">
        <f ca="1"/>
        <v>0.63719491361400604</v>
      </c>
      <c r="X8901" s="2">
        <f ca="1"/>
        <v>47.730776898574582</v>
      </c>
      <c r="AG8901" s="2">
        <f ca="1"/>
        <v>0.36946125384963779</v>
      </c>
      <c r="AH8901" s="2" t="str">
        <f ca="1"/>
        <v>OK</v>
      </c>
    </row>
    <row r="8902" spans="2:34" x14ac:dyDescent="0.2">
      <c r="B8902" s="2">
        <f ca="1"/>
        <v>0.16281576608997028</v>
      </c>
      <c r="O8902" s="2">
        <f ca="1"/>
        <v>0.44379408141442356</v>
      </c>
      <c r="X8902" s="2">
        <f ca="1"/>
        <v>41.998377514331587</v>
      </c>
      <c r="AG8902" s="2">
        <f ca="1"/>
        <v>0.42189349248987074</v>
      </c>
      <c r="AH8902" s="2" t="str">
        <f ca="1"/>
        <v>Bad</v>
      </c>
    </row>
    <row r="8903" spans="2:34" x14ac:dyDescent="0.2">
      <c r="B8903" s="2">
        <f ca="1"/>
        <v>0.54501825387320624</v>
      </c>
      <c r="O8903" s="2">
        <f ca="1"/>
        <v>-0.90521749296297871</v>
      </c>
      <c r="X8903" s="2">
        <f ca="1"/>
        <v>51.367200184025961</v>
      </c>
      <c r="AG8903" s="2">
        <f ca="1"/>
        <v>0.11797173091295154</v>
      </c>
      <c r="AH8903" s="2" t="str">
        <f ca="1"/>
        <v>OK</v>
      </c>
    </row>
    <row r="8904" spans="2:34" x14ac:dyDescent="0.2">
      <c r="B8904" s="2">
        <f ca="1"/>
        <v>0.94728131588812059</v>
      </c>
      <c r="O8904" s="2">
        <f ca="1"/>
        <v>1.0390143539357597</v>
      </c>
      <c r="X8904" s="2">
        <f ca="1"/>
        <v>52.226883290557105</v>
      </c>
      <c r="AG8904" s="2">
        <f ca="1"/>
        <v>0.85947033863378031</v>
      </c>
      <c r="AH8904" s="2" t="str">
        <f ca="1"/>
        <v>Bad</v>
      </c>
    </row>
    <row r="8905" spans="2:34" x14ac:dyDescent="0.2">
      <c r="B8905" s="2">
        <f ca="1"/>
        <v>0.74325377675703685</v>
      </c>
      <c r="O8905" s="2">
        <f ca="1"/>
        <v>-0.5237712086960733</v>
      </c>
      <c r="X8905" s="2">
        <f ca="1"/>
        <v>38.381034173425675</v>
      </c>
      <c r="AG8905" s="2">
        <f ca="1"/>
        <v>0.11835864135426033</v>
      </c>
      <c r="AH8905" s="2" t="str">
        <f ca="1"/>
        <v>OK</v>
      </c>
    </row>
    <row r="8906" spans="2:34" x14ac:dyDescent="0.2">
      <c r="B8906" s="2">
        <f ca="1"/>
        <v>0.48673912047506396</v>
      </c>
      <c r="O8906" s="2">
        <f ca="1"/>
        <v>1.5869273825557326</v>
      </c>
      <c r="X8906" s="2">
        <f ca="1"/>
        <v>51.508081141143627</v>
      </c>
      <c r="AG8906" s="2">
        <f ca="1"/>
        <v>0.54655049025483815</v>
      </c>
      <c r="AH8906" s="2" t="str">
        <f ca="1"/>
        <v>Bad</v>
      </c>
    </row>
    <row r="8907" spans="2:34" x14ac:dyDescent="0.2">
      <c r="B8907" s="2">
        <f ca="1"/>
        <v>0.28632982191549705</v>
      </c>
      <c r="O8907" s="2">
        <f ca="1"/>
        <v>0.45567730214087065</v>
      </c>
      <c r="X8907" s="2">
        <f ca="1"/>
        <v>51.751850111347871</v>
      </c>
      <c r="AG8907" s="2">
        <f ca="1"/>
        <v>9.3475294830932532E-2</v>
      </c>
      <c r="AH8907" s="2" t="str">
        <f ca="1"/>
        <v>OK</v>
      </c>
    </row>
    <row r="8908" spans="2:34" x14ac:dyDescent="0.2">
      <c r="B8908" s="2">
        <f ca="1"/>
        <v>0.45848639091900467</v>
      </c>
      <c r="O8908" s="2">
        <f ca="1"/>
        <v>0.24320773032790013</v>
      </c>
      <c r="X8908" s="2">
        <f ca="1"/>
        <v>61.960881759415194</v>
      </c>
      <c r="AG8908" s="2">
        <f ca="1"/>
        <v>0.67315056094817494</v>
      </c>
      <c r="AH8908" s="2" t="str">
        <f ca="1"/>
        <v>Bad</v>
      </c>
    </row>
    <row r="8909" spans="2:34" x14ac:dyDescent="0.2">
      <c r="B8909" s="2">
        <f ca="1"/>
        <v>0.81401982506226989</v>
      </c>
      <c r="O8909" s="2">
        <f ca="1"/>
        <v>1.1527117045716941</v>
      </c>
      <c r="X8909" s="2">
        <f ca="1"/>
        <v>50.804861973331427</v>
      </c>
      <c r="AG8909" s="2">
        <f ca="1"/>
        <v>0.23288223075511483</v>
      </c>
      <c r="AH8909" s="2" t="str">
        <f ca="1"/>
        <v>OK</v>
      </c>
    </row>
    <row r="8910" spans="2:34" x14ac:dyDescent="0.2">
      <c r="B8910" s="2">
        <f ca="1"/>
        <v>0.29073229350552854</v>
      </c>
      <c r="O8910" s="2">
        <f ca="1"/>
        <v>-1.5432483819896565</v>
      </c>
      <c r="X8910" s="2">
        <f ca="1"/>
        <v>39.006440113711832</v>
      </c>
      <c r="AG8910" s="2">
        <f ca="1"/>
        <v>0.215828510627321</v>
      </c>
      <c r="AH8910" s="2" t="str">
        <f ca="1"/>
        <v>OK</v>
      </c>
    </row>
    <row r="8911" spans="2:34" x14ac:dyDescent="0.2">
      <c r="B8911" s="2">
        <f ca="1"/>
        <v>0.74784599697283505</v>
      </c>
      <c r="O8911" s="2">
        <f ca="1"/>
        <v>-0.4582421707142153</v>
      </c>
      <c r="X8911" s="2">
        <f ca="1"/>
        <v>26.682902627763788</v>
      </c>
      <c r="AG8911" s="2">
        <f ca="1"/>
        <v>0.90532393161725522</v>
      </c>
      <c r="AH8911" s="2" t="str">
        <f ca="1"/>
        <v>Bad</v>
      </c>
    </row>
    <row r="8912" spans="2:34" x14ac:dyDescent="0.2">
      <c r="B8912" s="2">
        <f ca="1"/>
        <v>0.87596800547261777</v>
      </c>
      <c r="O8912" s="2">
        <f ca="1"/>
        <v>0.17883251336428083</v>
      </c>
      <c r="X8912" s="2">
        <f ca="1"/>
        <v>67.235144904935723</v>
      </c>
      <c r="AG8912" s="2">
        <f ca="1"/>
        <v>0.38550447491473339</v>
      </c>
      <c r="AH8912" s="2" t="str">
        <f ca="1"/>
        <v>OK</v>
      </c>
    </row>
    <row r="8913" spans="2:34" x14ac:dyDescent="0.2">
      <c r="B8913" s="2">
        <f ca="1"/>
        <v>0.94183285714531118</v>
      </c>
      <c r="O8913" s="2">
        <f ca="1"/>
        <v>-0.29994259852515648</v>
      </c>
      <c r="X8913" s="2">
        <f ca="1"/>
        <v>21.829618236602485</v>
      </c>
      <c r="AG8913" s="2">
        <f ca="1"/>
        <v>0.10967922620535631</v>
      </c>
      <c r="AH8913" s="2" t="str">
        <f ca="1"/>
        <v>OK</v>
      </c>
    </row>
    <row r="8914" spans="2:34" x14ac:dyDescent="0.2">
      <c r="B8914" s="2">
        <f ca="1"/>
        <v>0.82388434247788478</v>
      </c>
      <c r="O8914" s="2">
        <f ca="1"/>
        <v>1.3292538082478178</v>
      </c>
      <c r="X8914" s="2">
        <f ca="1"/>
        <v>36.744059894791789</v>
      </c>
      <c r="AG8914" s="2">
        <f ca="1"/>
        <v>2.2777894744547167E-2</v>
      </c>
      <c r="AH8914" s="2" t="str">
        <f ca="1"/>
        <v>Good</v>
      </c>
    </row>
    <row r="8915" spans="2:34" x14ac:dyDescent="0.2">
      <c r="B8915" s="2">
        <f ca="1"/>
        <v>0.71886394385471641</v>
      </c>
      <c r="O8915" s="2">
        <f ca="1"/>
        <v>9.5874359392593936E-2</v>
      </c>
      <c r="X8915" s="2">
        <f ca="1"/>
        <v>41.664165293789559</v>
      </c>
      <c r="AG8915" s="2">
        <f ca="1"/>
        <v>1.4710609558485022E-2</v>
      </c>
      <c r="AH8915" s="2" t="str">
        <f ca="1"/>
        <v>Good</v>
      </c>
    </row>
    <row r="8916" spans="2:34" x14ac:dyDescent="0.2">
      <c r="B8916" s="2">
        <f ca="1"/>
        <v>0.2872736102369482</v>
      </c>
      <c r="O8916" s="2">
        <f ca="1"/>
        <v>-1.2708738324507707</v>
      </c>
      <c r="X8916" s="2">
        <f ca="1"/>
        <v>62.771637565877974</v>
      </c>
      <c r="AG8916" s="2">
        <f ca="1"/>
        <v>0.92941428971237117</v>
      </c>
      <c r="AH8916" s="2" t="str">
        <f ca="1"/>
        <v>Bad</v>
      </c>
    </row>
    <row r="8917" spans="2:34" x14ac:dyDescent="0.2">
      <c r="B8917" s="2">
        <f ca="1"/>
        <v>0.71419060156622338</v>
      </c>
      <c r="O8917" s="2">
        <f ca="1"/>
        <v>1.1773246131023529</v>
      </c>
      <c r="X8917" s="2">
        <f ca="1"/>
        <v>61.331218248006529</v>
      </c>
      <c r="AG8917" s="2">
        <f ca="1"/>
        <v>0.24949044357018146</v>
      </c>
      <c r="AH8917" s="2" t="str">
        <f ca="1"/>
        <v>OK</v>
      </c>
    </row>
    <row r="8918" spans="2:34" x14ac:dyDescent="0.2">
      <c r="B8918" s="2">
        <f ca="1"/>
        <v>0.72335346457250727</v>
      </c>
      <c r="O8918" s="2">
        <f ca="1"/>
        <v>0.64696535098187469</v>
      </c>
      <c r="X8918" s="2">
        <f ca="1"/>
        <v>49.132682251705482</v>
      </c>
      <c r="AG8918" s="2">
        <f ca="1"/>
        <v>0.16624140126510079</v>
      </c>
      <c r="AH8918" s="2" t="str">
        <f ca="1"/>
        <v>OK</v>
      </c>
    </row>
    <row r="8919" spans="2:34" x14ac:dyDescent="0.2">
      <c r="B8919" s="2">
        <f ca="1"/>
        <v>0.15258479515619405</v>
      </c>
      <c r="O8919" s="2">
        <f ca="1"/>
        <v>0.4956017734737786</v>
      </c>
      <c r="X8919" s="2">
        <f ca="1"/>
        <v>28.802018270990196</v>
      </c>
      <c r="AG8919" s="2">
        <f ca="1"/>
        <v>0.95488694301839572</v>
      </c>
      <c r="AH8919" s="2" t="str">
        <f ca="1"/>
        <v>Bad</v>
      </c>
    </row>
    <row r="8920" spans="2:34" x14ac:dyDescent="0.2">
      <c r="B8920" s="2">
        <f ca="1"/>
        <v>0.920279458339895</v>
      </c>
      <c r="O8920" s="2">
        <f ca="1"/>
        <v>0.52988963088410135</v>
      </c>
      <c r="X8920" s="2">
        <f ca="1"/>
        <v>77.844168254119722</v>
      </c>
      <c r="AG8920" s="2">
        <f ca="1"/>
        <v>0.56991282265831167</v>
      </c>
      <c r="AH8920" s="2" t="str">
        <f ca="1"/>
        <v>Bad</v>
      </c>
    </row>
    <row r="8921" spans="2:34" x14ac:dyDescent="0.2">
      <c r="B8921" s="2">
        <f ca="1"/>
        <v>0.85625134983441153</v>
      </c>
      <c r="O8921" s="2">
        <f ca="1"/>
        <v>-1.3201173909787227</v>
      </c>
      <c r="X8921" s="2">
        <f ca="1"/>
        <v>39.34282399453275</v>
      </c>
      <c r="AG8921" s="2">
        <f ca="1"/>
        <v>0.22397860442374928</v>
      </c>
      <c r="AH8921" s="2" t="str">
        <f ca="1"/>
        <v>OK</v>
      </c>
    </row>
    <row r="8922" spans="2:34" x14ac:dyDescent="0.2">
      <c r="B8922" s="2">
        <f ca="1"/>
        <v>0.62769532093207991</v>
      </c>
      <c r="O8922" s="2">
        <f ca="1"/>
        <v>0.69611485007791274</v>
      </c>
      <c r="X8922" s="2">
        <f ca="1"/>
        <v>58.761982839244745</v>
      </c>
      <c r="AG8922" s="2">
        <f ca="1"/>
        <v>0.45529690305862092</v>
      </c>
      <c r="AH8922" s="2" t="str">
        <f ca="1"/>
        <v>Bad</v>
      </c>
    </row>
    <row r="8923" spans="2:34" x14ac:dyDescent="0.2">
      <c r="B8923" s="2">
        <f ca="1"/>
        <v>0.84825541751316647</v>
      </c>
      <c r="O8923" s="2">
        <f ca="1"/>
        <v>0.16310156534996095</v>
      </c>
      <c r="X8923" s="2">
        <f ca="1"/>
        <v>49.880465987748572</v>
      </c>
      <c r="AG8923" s="2">
        <f ca="1"/>
        <v>0.34966235593689254</v>
      </c>
      <c r="AH8923" s="2" t="str">
        <f ca="1"/>
        <v>OK</v>
      </c>
    </row>
    <row r="8924" spans="2:34" x14ac:dyDescent="0.2">
      <c r="B8924" s="2">
        <f ca="1"/>
        <v>0.26116221530109507</v>
      </c>
      <c r="O8924" s="2">
        <f ca="1"/>
        <v>-0.97957062338774448</v>
      </c>
      <c r="X8924" s="2">
        <f ca="1"/>
        <v>42.034485675928138</v>
      </c>
      <c r="AG8924" s="2">
        <f ca="1"/>
        <v>0.80858209926101554</v>
      </c>
      <c r="AH8924" s="2" t="str">
        <f ca="1"/>
        <v>Bad</v>
      </c>
    </row>
    <row r="8925" spans="2:34" x14ac:dyDescent="0.2">
      <c r="B8925" s="2">
        <f ca="1"/>
        <v>0.34589459579025172</v>
      </c>
      <c r="O8925" s="2">
        <f ca="1"/>
        <v>-0.21584599614398059</v>
      </c>
      <c r="X8925" s="2">
        <f ca="1"/>
        <v>32.556819943539224</v>
      </c>
      <c r="AG8925" s="2">
        <f ca="1"/>
        <v>0.55749898278915322</v>
      </c>
      <c r="AH8925" s="2" t="str">
        <f ca="1"/>
        <v>Bad</v>
      </c>
    </row>
    <row r="8926" spans="2:34" x14ac:dyDescent="0.2">
      <c r="B8926" s="2">
        <f ca="1"/>
        <v>2.4021794530091123E-2</v>
      </c>
      <c r="O8926" s="2">
        <f ca="1"/>
        <v>-0.59744765524862409</v>
      </c>
      <c r="X8926" s="2">
        <f ca="1"/>
        <v>72.596747140166769</v>
      </c>
      <c r="AG8926" s="2">
        <f ca="1"/>
        <v>0.7245082538358365</v>
      </c>
      <c r="AH8926" s="2" t="str">
        <f ca="1"/>
        <v>Bad</v>
      </c>
    </row>
    <row r="8927" spans="2:34" x14ac:dyDescent="0.2">
      <c r="B8927" s="2">
        <f ca="1"/>
        <v>6.8167608928057843E-2</v>
      </c>
      <c r="O8927" s="2">
        <f ca="1"/>
        <v>1.0225591603179482</v>
      </c>
      <c r="X8927" s="2">
        <f ca="1"/>
        <v>51.292330209263746</v>
      </c>
      <c r="AG8927" s="2">
        <f ca="1"/>
        <v>5.5508194537143174E-2</v>
      </c>
      <c r="AH8927" s="2" t="str">
        <f ca="1"/>
        <v>OK</v>
      </c>
    </row>
    <row r="8928" spans="2:34" x14ac:dyDescent="0.2">
      <c r="B8928" s="2">
        <f ca="1"/>
        <v>0.35835593887786477</v>
      </c>
      <c r="O8928" s="2">
        <f ca="1"/>
        <v>0.24099632359520756</v>
      </c>
      <c r="X8928" s="2">
        <f ca="1"/>
        <v>62.388398524696633</v>
      </c>
      <c r="AG8928" s="2">
        <f ca="1"/>
        <v>0.54668843824522684</v>
      </c>
      <c r="AH8928" s="2" t="str">
        <f ca="1"/>
        <v>Bad</v>
      </c>
    </row>
    <row r="8929" spans="2:34" x14ac:dyDescent="0.2">
      <c r="B8929" s="2">
        <f ca="1"/>
        <v>0.69180791584348289</v>
      </c>
      <c r="O8929" s="2">
        <f ca="1"/>
        <v>-0.92916624367146039</v>
      </c>
      <c r="X8929" s="2">
        <f ca="1"/>
        <v>36.72915577335479</v>
      </c>
      <c r="AG8929" s="2">
        <f ca="1"/>
        <v>0.23936931077666701</v>
      </c>
      <c r="AH8929" s="2" t="str">
        <f ca="1"/>
        <v>OK</v>
      </c>
    </row>
    <row r="8930" spans="2:34" x14ac:dyDescent="0.2">
      <c r="B8930" s="2">
        <f ca="1"/>
        <v>0.1308291303760305</v>
      </c>
      <c r="O8930" s="2">
        <f ca="1"/>
        <v>-1.4698753818688051</v>
      </c>
      <c r="X8930" s="2">
        <f ca="1"/>
        <v>23.896399656851955</v>
      </c>
      <c r="AG8930" s="2">
        <f ca="1"/>
        <v>0.74741413257252387</v>
      </c>
      <c r="AH8930" s="2" t="str">
        <f ca="1"/>
        <v>Bad</v>
      </c>
    </row>
    <row r="8931" spans="2:34" x14ac:dyDescent="0.2">
      <c r="B8931" s="2">
        <f ca="1"/>
        <v>0.98510182357620524</v>
      </c>
      <c r="O8931" s="2">
        <f ca="1"/>
        <v>0.73280158144005514</v>
      </c>
      <c r="X8931" s="2">
        <f ca="1"/>
        <v>47.937687714057724</v>
      </c>
      <c r="AG8931" s="2">
        <f ca="1"/>
        <v>0.34799682195467674</v>
      </c>
      <c r="AH8931" s="2" t="str">
        <f ca="1"/>
        <v>OK</v>
      </c>
    </row>
    <row r="8932" spans="2:34" x14ac:dyDescent="0.2">
      <c r="B8932" s="2">
        <f ca="1"/>
        <v>0.28034926116928172</v>
      </c>
      <c r="O8932" s="2">
        <f ca="1"/>
        <v>-0.55974539768802245</v>
      </c>
      <c r="X8932" s="2">
        <f ca="1"/>
        <v>27.384720010684127</v>
      </c>
      <c r="AG8932" s="2">
        <f ca="1"/>
        <v>0.57635853101698853</v>
      </c>
      <c r="AH8932" s="2" t="str">
        <f ca="1"/>
        <v>Bad</v>
      </c>
    </row>
    <row r="8933" spans="2:34" x14ac:dyDescent="0.2">
      <c r="B8933" s="2">
        <f ca="1"/>
        <v>4.9982901252707324E-2</v>
      </c>
      <c r="O8933" s="2">
        <f ca="1"/>
        <v>-0.21885175451385591</v>
      </c>
      <c r="X8933" s="2">
        <f ca="1"/>
        <v>82.517195198116852</v>
      </c>
      <c r="AG8933" s="2">
        <f ca="1"/>
        <v>0.20499088286904898</v>
      </c>
      <c r="AH8933" s="2" t="str">
        <f ca="1"/>
        <v>OK</v>
      </c>
    </row>
    <row r="8934" spans="2:34" x14ac:dyDescent="0.2">
      <c r="B8934" s="2">
        <f ca="1"/>
        <v>0.80078688843136225</v>
      </c>
      <c r="O8934" s="2">
        <f ca="1"/>
        <v>0.40987012113103294</v>
      </c>
      <c r="X8934" s="2">
        <f ca="1"/>
        <v>63.539317023584381</v>
      </c>
      <c r="AG8934" s="2">
        <f ca="1"/>
        <v>0.35629290913495226</v>
      </c>
      <c r="AH8934" s="2" t="str">
        <f ca="1"/>
        <v>OK</v>
      </c>
    </row>
    <row r="8935" spans="2:34" x14ac:dyDescent="0.2">
      <c r="B8935" s="2">
        <f ca="1"/>
        <v>0.11666160409082349</v>
      </c>
      <c r="O8935" s="2">
        <f ca="1"/>
        <v>0.23368069398035066</v>
      </c>
      <c r="X8935" s="2">
        <f ca="1"/>
        <v>39.984012722634191</v>
      </c>
      <c r="AG8935" s="2">
        <f ca="1"/>
        <v>6.8543330771993594E-2</v>
      </c>
      <c r="AH8935" s="2" t="str">
        <f ca="1"/>
        <v>OK</v>
      </c>
    </row>
    <row r="8936" spans="2:34" x14ac:dyDescent="0.2">
      <c r="B8936" s="2">
        <f ca="1"/>
        <v>0.83463174404452301</v>
      </c>
      <c r="O8936" s="2">
        <f ca="1"/>
        <v>1.0113338336532247</v>
      </c>
      <c r="X8936" s="2">
        <f ca="1"/>
        <v>39.826211324969599</v>
      </c>
      <c r="AG8936" s="2">
        <f ca="1"/>
        <v>0.26196394540536905</v>
      </c>
      <c r="AH8936" s="2" t="str">
        <f ca="1"/>
        <v>OK</v>
      </c>
    </row>
    <row r="8937" spans="2:34" x14ac:dyDescent="0.2">
      <c r="B8937" s="2">
        <f ca="1"/>
        <v>1.4038568242629168E-2</v>
      </c>
      <c r="O8937" s="2">
        <f ca="1"/>
        <v>-0.72556922935221557</v>
      </c>
      <c r="X8937" s="2">
        <f ca="1"/>
        <v>36.193746352919916</v>
      </c>
      <c r="AG8937" s="2">
        <f ca="1"/>
        <v>0.70553008142992457</v>
      </c>
      <c r="AH8937" s="2" t="str">
        <f ca="1"/>
        <v>Bad</v>
      </c>
    </row>
    <row r="8938" spans="2:34" x14ac:dyDescent="0.2">
      <c r="B8938" s="2">
        <f ca="1"/>
        <v>0.86346263759439346</v>
      </c>
      <c r="O8938" s="2">
        <f ca="1"/>
        <v>-1.9002586329742146</v>
      </c>
      <c r="X8938" s="2">
        <f ca="1"/>
        <v>30.681261746427943</v>
      </c>
      <c r="AG8938" s="2">
        <f ca="1"/>
        <v>0.31090253271075019</v>
      </c>
      <c r="AH8938" s="2" t="str">
        <f ca="1"/>
        <v>OK</v>
      </c>
    </row>
    <row r="8939" spans="2:34" x14ac:dyDescent="0.2">
      <c r="B8939" s="2">
        <f ca="1"/>
        <v>0.29037834881539504</v>
      </c>
      <c r="O8939" s="2">
        <f ca="1"/>
        <v>-1.3952873865758197</v>
      </c>
      <c r="X8939" s="2">
        <f ca="1"/>
        <v>56.242951492828681</v>
      </c>
      <c r="AG8939" s="2">
        <f ca="1"/>
        <v>0.62996621799530672</v>
      </c>
      <c r="AH8939" s="2" t="str">
        <f ca="1"/>
        <v>Bad</v>
      </c>
    </row>
    <row r="8940" spans="2:34" x14ac:dyDescent="0.2">
      <c r="B8940" s="2">
        <f ca="1"/>
        <v>0.82114089138577673</v>
      </c>
      <c r="O8940" s="2">
        <f ca="1"/>
        <v>0.91836073740921464</v>
      </c>
      <c r="X8940" s="2">
        <f ca="1"/>
        <v>23.796393592114971</v>
      </c>
      <c r="AG8940" s="2">
        <f ca="1"/>
        <v>0.27984574702958542</v>
      </c>
      <c r="AH8940" s="2" t="str">
        <f ca="1"/>
        <v>OK</v>
      </c>
    </row>
    <row r="8941" spans="2:34" x14ac:dyDescent="0.2">
      <c r="B8941" s="2">
        <f ca="1"/>
        <v>0.38604473108415127</v>
      </c>
      <c r="O8941" s="2">
        <f ca="1"/>
        <v>0.98965514192671888</v>
      </c>
      <c r="X8941" s="2">
        <f ca="1"/>
        <v>24.64700894130775</v>
      </c>
      <c r="AG8941" s="2">
        <f ca="1"/>
        <v>0.97497336528630552</v>
      </c>
      <c r="AH8941" s="2" t="str">
        <f ca="1"/>
        <v>Bad</v>
      </c>
    </row>
    <row r="8942" spans="2:34" x14ac:dyDescent="0.2">
      <c r="B8942" s="2">
        <f ca="1"/>
        <v>0.58258880207566244</v>
      </c>
      <c r="O8942" s="2">
        <f ca="1"/>
        <v>-0.91818220403483408</v>
      </c>
      <c r="X8942" s="2">
        <f ca="1"/>
        <v>62.364871101186488</v>
      </c>
      <c r="AG8942" s="2">
        <f ca="1"/>
        <v>0.87648537992349751</v>
      </c>
      <c r="AH8942" s="2" t="str">
        <f ca="1"/>
        <v>Bad</v>
      </c>
    </row>
    <row r="8943" spans="2:34" x14ac:dyDescent="0.2">
      <c r="B8943" s="2">
        <f ca="1"/>
        <v>0.81388249399264079</v>
      </c>
      <c r="O8943" s="2">
        <f ca="1"/>
        <v>-7.9974610746652422E-2</v>
      </c>
      <c r="X8943" s="2">
        <f ca="1"/>
        <v>46.6598745150214</v>
      </c>
      <c r="AG8943" s="2">
        <f ca="1"/>
        <v>0.83348869010574567</v>
      </c>
      <c r="AH8943" s="2" t="str">
        <f ca="1"/>
        <v>Bad</v>
      </c>
    </row>
    <row r="8944" spans="2:34" x14ac:dyDescent="0.2">
      <c r="B8944" s="2">
        <f ca="1"/>
        <v>0.82182875866474259</v>
      </c>
      <c r="O8944" s="2">
        <f ca="1"/>
        <v>0.45326802067042893</v>
      </c>
      <c r="X8944" s="2">
        <f ca="1"/>
        <v>43.590060806377231</v>
      </c>
      <c r="AG8944" s="2">
        <f ca="1"/>
        <v>0.3146205520235954</v>
      </c>
      <c r="AH8944" s="2" t="str">
        <f ca="1"/>
        <v>OK</v>
      </c>
    </row>
    <row r="8945" spans="2:34" x14ac:dyDescent="0.2">
      <c r="B8945" s="2">
        <f ca="1"/>
        <v>0.46312326883024868</v>
      </c>
      <c r="O8945" s="2">
        <f ca="1"/>
        <v>1.8687782574886811</v>
      </c>
      <c r="X8945" s="2">
        <f ca="1"/>
        <v>35.03254089500728</v>
      </c>
      <c r="AG8945" s="2">
        <f ca="1"/>
        <v>0.72787396290334017</v>
      </c>
      <c r="AH8945" s="2" t="str">
        <f ca="1"/>
        <v>Bad</v>
      </c>
    </row>
    <row r="8946" spans="2:34" x14ac:dyDescent="0.2">
      <c r="B8946" s="2">
        <f ca="1"/>
        <v>0.14371894088405424</v>
      </c>
      <c r="O8946" s="2">
        <f ca="1"/>
        <v>0.17256071507185713</v>
      </c>
      <c r="X8946" s="2">
        <f ca="1"/>
        <v>39.866204523469392</v>
      </c>
      <c r="AG8946" s="2">
        <f ca="1"/>
        <v>7.9799966504206177E-2</v>
      </c>
      <c r="AH8946" s="2" t="str">
        <f ca="1"/>
        <v>OK</v>
      </c>
    </row>
    <row r="8947" spans="2:34" x14ac:dyDescent="0.2">
      <c r="B8947" s="2">
        <f ca="1"/>
        <v>0.50145097896386437</v>
      </c>
      <c r="O8947" s="2">
        <f ca="1"/>
        <v>-1.0296613243768122</v>
      </c>
      <c r="X8947" s="2">
        <f ca="1"/>
        <v>63.371749968608498</v>
      </c>
      <c r="AG8947" s="2">
        <f ca="1"/>
        <v>0.98027206449697846</v>
      </c>
      <c r="AH8947" s="2" t="str">
        <f ca="1"/>
        <v>Bad</v>
      </c>
    </row>
    <row r="8948" spans="2:34" x14ac:dyDescent="0.2">
      <c r="B8948" s="2">
        <f ca="1"/>
        <v>0.57210841230166931</v>
      </c>
      <c r="O8948" s="2">
        <f ca="1"/>
        <v>-0.23493497063552918</v>
      </c>
      <c r="X8948" s="2">
        <f ca="1"/>
        <v>59.930083908570836</v>
      </c>
      <c r="AG8948" s="2">
        <f ca="1"/>
        <v>0.83475128837349866</v>
      </c>
      <c r="AH8948" s="2" t="str">
        <f ca="1"/>
        <v>Bad</v>
      </c>
    </row>
    <row r="8949" spans="2:34" x14ac:dyDescent="0.2">
      <c r="B8949" s="2">
        <f ca="1"/>
        <v>0.3826889241355198</v>
      </c>
      <c r="O8949" s="2">
        <f ca="1"/>
        <v>0.2860569059162319</v>
      </c>
      <c r="X8949" s="2">
        <f ca="1"/>
        <v>24.60979787715295</v>
      </c>
      <c r="AG8949" s="2">
        <f ca="1"/>
        <v>0.26130409176349456</v>
      </c>
      <c r="AH8949" s="2" t="str">
        <f ca="1"/>
        <v>OK</v>
      </c>
    </row>
    <row r="8950" spans="2:34" x14ac:dyDescent="0.2">
      <c r="B8950" s="2">
        <f ca="1"/>
        <v>0.72608928078492463</v>
      </c>
      <c r="O8950" s="2">
        <f ca="1"/>
        <v>0.37648854222940287</v>
      </c>
      <c r="X8950" s="2">
        <f ca="1"/>
        <v>26.714734397320154</v>
      </c>
      <c r="AG8950" s="2">
        <f ca="1"/>
        <v>0.80181609650422048</v>
      </c>
      <c r="AH8950" s="2" t="str">
        <f ca="1"/>
        <v>Bad</v>
      </c>
    </row>
    <row r="8951" spans="2:34" x14ac:dyDescent="0.2">
      <c r="B8951" s="2">
        <f ca="1"/>
        <v>0.78745128286292032</v>
      </c>
      <c r="O8951" s="2">
        <f ca="1"/>
        <v>1.0455538592986691</v>
      </c>
      <c r="X8951" s="2">
        <f ca="1"/>
        <v>46.50124593888939</v>
      </c>
      <c r="AG8951" s="2">
        <f ca="1"/>
        <v>0.15842024982983594</v>
      </c>
      <c r="AH8951" s="2" t="str">
        <f ca="1"/>
        <v>OK</v>
      </c>
    </row>
    <row r="8952" spans="2:34" x14ac:dyDescent="0.2">
      <c r="B8952" s="2">
        <f ca="1"/>
        <v>0.73229042079251783</v>
      </c>
      <c r="O8952" s="2">
        <f ca="1"/>
        <v>0.69408861593916626</v>
      </c>
      <c r="X8952" s="2">
        <f ca="1"/>
        <v>62.944788705778414</v>
      </c>
      <c r="AG8952" s="2">
        <f ca="1"/>
        <v>0.42606418038161475</v>
      </c>
      <c r="AH8952" s="2" t="str">
        <f ca="1"/>
        <v>Bad</v>
      </c>
    </row>
    <row r="8953" spans="2:34" x14ac:dyDescent="0.2">
      <c r="B8953" s="2">
        <f ca="1"/>
        <v>4.6366260288098982E-2</v>
      </c>
      <c r="O8953" s="2">
        <f ca="1"/>
        <v>-0.7520830447780088</v>
      </c>
      <c r="X8953" s="2">
        <f ca="1"/>
        <v>33.776581698971945</v>
      </c>
      <c r="AG8953" s="2">
        <f ca="1"/>
        <v>0.43973668565158275</v>
      </c>
      <c r="AH8953" s="2" t="str">
        <f ca="1"/>
        <v>Bad</v>
      </c>
    </row>
    <row r="8954" spans="2:34" x14ac:dyDescent="0.2">
      <c r="B8954" s="2">
        <f ca="1"/>
        <v>9.2427417241501164E-2</v>
      </c>
      <c r="O8954" s="2">
        <f ca="1"/>
        <v>1.6300070222071437</v>
      </c>
      <c r="X8954" s="2">
        <f ca="1"/>
        <v>79.304681786892729</v>
      </c>
      <c r="AG8954" s="2">
        <f ca="1"/>
        <v>0.64832802235479603</v>
      </c>
      <c r="AH8954" s="2" t="str">
        <f ca="1"/>
        <v>Bad</v>
      </c>
    </row>
    <row r="8955" spans="2:34" x14ac:dyDescent="0.2">
      <c r="B8955" s="2">
        <f ca="1"/>
        <v>0.15775548212176238</v>
      </c>
      <c r="O8955" s="2">
        <f ca="1"/>
        <v>1.4049201243915024</v>
      </c>
      <c r="X8955" s="2">
        <f ca="1"/>
        <v>110.6142814167863</v>
      </c>
      <c r="AG8955" s="2">
        <f ca="1"/>
        <v>0.52617601907015343</v>
      </c>
      <c r="AH8955" s="2" t="str">
        <f ca="1"/>
        <v>Bad</v>
      </c>
    </row>
    <row r="8956" spans="2:34" x14ac:dyDescent="0.2">
      <c r="B8956" s="2">
        <f ca="1"/>
        <v>0.55360556599565136</v>
      </c>
      <c r="O8956" s="2">
        <f ca="1"/>
        <v>0.80688394821870346</v>
      </c>
      <c r="X8956" s="2">
        <f ca="1"/>
        <v>78.045515836856552</v>
      </c>
      <c r="AG8956" s="2">
        <f ca="1"/>
        <v>0.36002110905560225</v>
      </c>
      <c r="AH8956" s="2" t="str">
        <f ca="1"/>
        <v>OK</v>
      </c>
    </row>
    <row r="8957" spans="2:34" x14ac:dyDescent="0.2">
      <c r="B8957" s="2">
        <f ca="1"/>
        <v>0.13900483964026433</v>
      </c>
      <c r="O8957" s="2">
        <f ca="1"/>
        <v>1.9277215864771158</v>
      </c>
      <c r="X8957" s="2">
        <f ca="1"/>
        <v>27.813605886168148</v>
      </c>
      <c r="AG8957" s="2">
        <f ca="1"/>
        <v>0.80535801435422671</v>
      </c>
      <c r="AH8957" s="2" t="str">
        <f ca="1"/>
        <v>Bad</v>
      </c>
    </row>
    <row r="8958" spans="2:34" x14ac:dyDescent="0.2">
      <c r="B8958" s="2">
        <f ca="1"/>
        <v>0.91163213286956468</v>
      </c>
      <c r="O8958" s="2">
        <f ca="1"/>
        <v>-0.83568306019968774</v>
      </c>
      <c r="X8958" s="2">
        <f ca="1"/>
        <v>64.775196770754675</v>
      </c>
      <c r="AG8958" s="2">
        <f ca="1"/>
        <v>0.33509178509222992</v>
      </c>
      <c r="AH8958" s="2" t="str">
        <f ca="1"/>
        <v>OK</v>
      </c>
    </row>
    <row r="8959" spans="2:34" x14ac:dyDescent="0.2">
      <c r="B8959" s="2">
        <f ca="1"/>
        <v>0.37509297497589489</v>
      </c>
      <c r="O8959" s="2">
        <f ca="1"/>
        <v>2.0102438756343202</v>
      </c>
      <c r="X8959" s="2">
        <f ca="1"/>
        <v>25.49111105026638</v>
      </c>
      <c r="AG8959" s="2">
        <f ca="1"/>
        <v>0.59885497745641869</v>
      </c>
      <c r="AH8959" s="2" t="str">
        <f ca="1"/>
        <v>Bad</v>
      </c>
    </row>
    <row r="8960" spans="2:34" x14ac:dyDescent="0.2">
      <c r="B8960" s="2">
        <f ca="1"/>
        <v>0.76480597512349879</v>
      </c>
      <c r="O8960" s="2">
        <f ca="1"/>
        <v>-0.7913012390013533</v>
      </c>
      <c r="X8960" s="2">
        <f ca="1"/>
        <v>26.809644135213073</v>
      </c>
      <c r="AG8960" s="2">
        <f ca="1"/>
        <v>0.71171081688036164</v>
      </c>
      <c r="AH8960" s="2" t="str">
        <f ca="1"/>
        <v>Bad</v>
      </c>
    </row>
    <row r="8961" spans="2:34" x14ac:dyDescent="0.2">
      <c r="B8961" s="2">
        <f ca="1"/>
        <v>0.37140125313182693</v>
      </c>
      <c r="O8961" s="2">
        <f ca="1"/>
        <v>-0.20446302353752324</v>
      </c>
      <c r="X8961" s="2">
        <f ca="1"/>
        <v>76.586582492193045</v>
      </c>
      <c r="AG8961" s="2">
        <f ca="1"/>
        <v>0.72690434506834012</v>
      </c>
      <c r="AH8961" s="2" t="str">
        <f ca="1"/>
        <v>Bad</v>
      </c>
    </row>
    <row r="8962" spans="2:34" x14ac:dyDescent="0.2">
      <c r="B8962" s="2">
        <f ca="1"/>
        <v>0.6097460255981737</v>
      </c>
      <c r="O8962" s="2">
        <f ca="1"/>
        <v>-0.44480409133765597</v>
      </c>
      <c r="X8962" s="2">
        <f ca="1"/>
        <v>43.243257948733785</v>
      </c>
      <c r="AG8962" s="2">
        <f ca="1"/>
        <v>0.96544487082949493</v>
      </c>
      <c r="AH8962" s="2" t="str">
        <f ca="1"/>
        <v>Bad</v>
      </c>
    </row>
    <row r="8963" spans="2:34" x14ac:dyDescent="0.2">
      <c r="B8963" s="2">
        <f ca="1"/>
        <v>0.44491641807458815</v>
      </c>
      <c r="O8963" s="2">
        <f ca="1"/>
        <v>-0.89793716110419941</v>
      </c>
      <c r="X8963" s="2">
        <f ca="1"/>
        <v>96.576270970075058</v>
      </c>
      <c r="AG8963" s="2">
        <f ca="1"/>
        <v>0.9261830084488516</v>
      </c>
      <c r="AH8963" s="2" t="str">
        <f ca="1"/>
        <v>Bad</v>
      </c>
    </row>
    <row r="8964" spans="2:34" x14ac:dyDescent="0.2">
      <c r="B8964" s="2">
        <f ca="1"/>
        <v>0.85570311575746461</v>
      </c>
      <c r="O8964" s="2">
        <f ca="1"/>
        <v>-0.66123737867018328</v>
      </c>
      <c r="X8964" s="2">
        <f ca="1"/>
        <v>50.287063517841915</v>
      </c>
      <c r="AG8964" s="2">
        <f ca="1"/>
        <v>0.44287529482450028</v>
      </c>
      <c r="AH8964" s="2" t="str">
        <f ca="1"/>
        <v>Bad</v>
      </c>
    </row>
    <row r="8965" spans="2:34" x14ac:dyDescent="0.2">
      <c r="B8965" s="2">
        <f ca="1"/>
        <v>0.75600283037134708</v>
      </c>
      <c r="O8965" s="2">
        <f ca="1"/>
        <v>-1.0088632862105207</v>
      </c>
      <c r="X8965" s="2">
        <f ca="1"/>
        <v>48.454609558884229</v>
      </c>
      <c r="AG8965" s="2">
        <f ca="1"/>
        <v>0.25672517096442915</v>
      </c>
      <c r="AH8965" s="2" t="str">
        <f ca="1"/>
        <v>OK</v>
      </c>
    </row>
    <row r="8966" spans="2:34" x14ac:dyDescent="0.2">
      <c r="B8966" s="2">
        <f ca="1"/>
        <v>0.5694644649199585</v>
      </c>
      <c r="O8966" s="2">
        <f ca="1"/>
        <v>-0.92535421485064595</v>
      </c>
      <c r="X8966" s="2">
        <f ca="1"/>
        <v>59.792009139991364</v>
      </c>
      <c r="AG8966" s="2">
        <f ca="1"/>
        <v>0.15995951572862999</v>
      </c>
      <c r="AH8966" s="2" t="str">
        <f ca="1"/>
        <v>OK</v>
      </c>
    </row>
    <row r="8967" spans="2:34" x14ac:dyDescent="0.2">
      <c r="B8967" s="2">
        <f ca="1"/>
        <v>0.99100638521174944</v>
      </c>
      <c r="O8967" s="2">
        <f ca="1"/>
        <v>1.3769031207166342</v>
      </c>
      <c r="X8967" s="2">
        <f ca="1"/>
        <v>24.601098572192235</v>
      </c>
      <c r="AG8967" s="2">
        <f ca="1"/>
        <v>0.851184560792839</v>
      </c>
      <c r="AH8967" s="2" t="str">
        <f ca="1"/>
        <v>Bad</v>
      </c>
    </row>
    <row r="8968" spans="2:34" x14ac:dyDescent="0.2">
      <c r="B8968" s="2">
        <f ca="1"/>
        <v>0.73881894299022943</v>
      </c>
      <c r="O8968" s="2">
        <f ca="1"/>
        <v>0.48473343124823376</v>
      </c>
      <c r="X8968" s="2">
        <f ca="1"/>
        <v>63.911939978481101</v>
      </c>
      <c r="AG8968" s="2">
        <f ca="1"/>
        <v>0.49533098162693912</v>
      </c>
      <c r="AH8968" s="2" t="str">
        <f ca="1"/>
        <v>Bad</v>
      </c>
    </row>
    <row r="8969" spans="2:34" x14ac:dyDescent="0.2">
      <c r="B8969" s="2">
        <f ca="1"/>
        <v>0.29024765204422831</v>
      </c>
      <c r="O8969" s="2">
        <f ca="1"/>
        <v>-0.58071726531367962</v>
      </c>
      <c r="X8969" s="2">
        <f ca="1"/>
        <v>59.902877917965043</v>
      </c>
      <c r="AG8969" s="2">
        <f ca="1"/>
        <v>0.34062639252027416</v>
      </c>
      <c r="AH8969" s="2" t="str">
        <f ca="1"/>
        <v>OK</v>
      </c>
    </row>
    <row r="8970" spans="2:34" x14ac:dyDescent="0.2">
      <c r="B8970" s="2">
        <f ca="1"/>
        <v>0.89841025717799816</v>
      </c>
      <c r="O8970" s="2">
        <f ca="1"/>
        <v>0.77058002646762724</v>
      </c>
      <c r="X8970" s="2">
        <f ca="1"/>
        <v>58.388560468389869</v>
      </c>
      <c r="AG8970" s="2">
        <f ca="1"/>
        <v>0.79719872474452558</v>
      </c>
      <c r="AH8970" s="2" t="str">
        <f ca="1"/>
        <v>Bad</v>
      </c>
    </row>
    <row r="8971" spans="2:34" x14ac:dyDescent="0.2">
      <c r="B8971" s="2">
        <f ca="1"/>
        <v>0.12469045757399666</v>
      </c>
      <c r="O8971" s="2">
        <f ca="1"/>
        <v>-0.21217809523051856</v>
      </c>
      <c r="X8971" s="2">
        <f ca="1"/>
        <v>45.916175296656682</v>
      </c>
      <c r="AG8971" s="2">
        <f ca="1"/>
        <v>0.7767872139731502</v>
      </c>
      <c r="AH8971" s="2" t="str">
        <f ca="1"/>
        <v>Bad</v>
      </c>
    </row>
    <row r="8972" spans="2:34" x14ac:dyDescent="0.2">
      <c r="B8972" s="2">
        <f ca="1"/>
        <v>0.60267749374174229</v>
      </c>
      <c r="O8972" s="2">
        <f ca="1"/>
        <v>9.4687650505341198E-2</v>
      </c>
      <c r="X8972" s="2">
        <f ca="1"/>
        <v>57.55920023424509</v>
      </c>
      <c r="AG8972" s="2">
        <f ca="1"/>
        <v>0.57323464185062689</v>
      </c>
      <c r="AH8972" s="2" t="str">
        <f ca="1"/>
        <v>Bad</v>
      </c>
    </row>
    <row r="8973" spans="2:34" x14ac:dyDescent="0.2">
      <c r="B8973" s="2">
        <f ca="1"/>
        <v>0.26147017956305074</v>
      </c>
      <c r="O8973" s="2">
        <f ca="1"/>
        <v>1.3139253665255524</v>
      </c>
      <c r="X8973" s="2">
        <f ca="1"/>
        <v>60.496718897988046</v>
      </c>
      <c r="AG8973" s="2">
        <f ca="1"/>
        <v>0.98058360147851009</v>
      </c>
      <c r="AH8973" s="2" t="str">
        <f ca="1"/>
        <v>Bad</v>
      </c>
    </row>
    <row r="8974" spans="2:34" x14ac:dyDescent="0.2">
      <c r="B8974" s="2">
        <f ca="1"/>
        <v>0.12235496670471968</v>
      </c>
      <c r="O8974" s="2">
        <f ca="1"/>
        <v>1.8808822674593908</v>
      </c>
      <c r="X8974" s="2">
        <f ca="1"/>
        <v>85.198099912237154</v>
      </c>
      <c r="AG8974" s="2">
        <f ca="1"/>
        <v>0.5479063448100896</v>
      </c>
      <c r="AH8974" s="2" t="str">
        <f ca="1"/>
        <v>Bad</v>
      </c>
    </row>
    <row r="8975" spans="2:34" x14ac:dyDescent="0.2">
      <c r="B8975" s="2">
        <f ca="1"/>
        <v>0.563787458985195</v>
      </c>
      <c r="O8975" s="2">
        <f ca="1"/>
        <v>-0.70049117282362094</v>
      </c>
      <c r="X8975" s="2">
        <f ca="1"/>
        <v>42.744902442022067</v>
      </c>
      <c r="AG8975" s="2">
        <f ca="1"/>
        <v>0.57721780746402063</v>
      </c>
      <c r="AH8975" s="2" t="str">
        <f ca="1"/>
        <v>Bad</v>
      </c>
    </row>
    <row r="8976" spans="2:34" x14ac:dyDescent="0.2">
      <c r="B8976" s="2">
        <f ca="1"/>
        <v>0.20438691514974816</v>
      </c>
      <c r="O8976" s="2">
        <f ca="1"/>
        <v>-0.70495475972663124</v>
      </c>
      <c r="X8976" s="2">
        <f ca="1"/>
        <v>63.233452777504382</v>
      </c>
      <c r="AG8976" s="2">
        <f ca="1"/>
        <v>0.34664384538273518</v>
      </c>
      <c r="AH8976" s="2" t="str">
        <f ca="1"/>
        <v>OK</v>
      </c>
    </row>
    <row r="8977" spans="2:34" x14ac:dyDescent="0.2">
      <c r="B8977" s="2">
        <f ca="1"/>
        <v>0.26980868075903208</v>
      </c>
      <c r="O8977" s="2">
        <f ca="1"/>
        <v>0.45945732622621993</v>
      </c>
      <c r="X8977" s="2">
        <f ca="1"/>
        <v>82.613038099630543</v>
      </c>
      <c r="AG8977" s="2">
        <f ca="1"/>
        <v>0.35035297233996365</v>
      </c>
      <c r="AH8977" s="2" t="str">
        <f ca="1"/>
        <v>OK</v>
      </c>
    </row>
    <row r="8978" spans="2:34" x14ac:dyDescent="0.2">
      <c r="B8978" s="2">
        <f ca="1"/>
        <v>0.79862434292108708</v>
      </c>
      <c r="O8978" s="2">
        <f ca="1"/>
        <v>0.71269260772081455</v>
      </c>
      <c r="X8978" s="2">
        <f ca="1"/>
        <v>32.227674495025994</v>
      </c>
      <c r="AG8978" s="2">
        <f ca="1"/>
        <v>0.11734525905816895</v>
      </c>
      <c r="AH8978" s="2" t="str">
        <f ca="1"/>
        <v>OK</v>
      </c>
    </row>
    <row r="8979" spans="2:34" x14ac:dyDescent="0.2">
      <c r="B8979" s="2">
        <f ca="1"/>
        <v>4.0765828372600899E-2</v>
      </c>
      <c r="O8979" s="2">
        <f ca="1"/>
        <v>3.2839721532116099E-4</v>
      </c>
      <c r="X8979" s="2">
        <f ca="1"/>
        <v>55.673103470017935</v>
      </c>
      <c r="AG8979" s="2">
        <f ca="1"/>
        <v>0.28100856412585173</v>
      </c>
      <c r="AH8979" s="2" t="str">
        <f ca="1"/>
        <v>OK</v>
      </c>
    </row>
    <row r="8980" spans="2:34" x14ac:dyDescent="0.2">
      <c r="B8980" s="2">
        <f ca="1"/>
        <v>0.89629177813868366</v>
      </c>
      <c r="O8980" s="2">
        <f ca="1"/>
        <v>-3.2845891001036832E-3</v>
      </c>
      <c r="X8980" s="2">
        <f ca="1"/>
        <v>54.288356137710181</v>
      </c>
      <c r="AG8980" s="2">
        <f ca="1"/>
        <v>5.1227237576922269E-2</v>
      </c>
      <c r="AH8980" s="2" t="str">
        <f ca="1"/>
        <v>OK</v>
      </c>
    </row>
    <row r="8981" spans="2:34" x14ac:dyDescent="0.2">
      <c r="B8981" s="2">
        <f ca="1"/>
        <v>0.78364578131160423</v>
      </c>
      <c r="O8981" s="2">
        <f ca="1"/>
        <v>-0.88987870525385626</v>
      </c>
      <c r="X8981" s="2">
        <f ca="1"/>
        <v>55.520262241327956</v>
      </c>
      <c r="AG8981" s="2">
        <f ca="1"/>
        <v>0.1151394075497929</v>
      </c>
      <c r="AH8981" s="2" t="str">
        <f ca="1"/>
        <v>OK</v>
      </c>
    </row>
    <row r="8982" spans="2:34" x14ac:dyDescent="0.2">
      <c r="B8982" s="2">
        <f ca="1"/>
        <v>0.20205791137649576</v>
      </c>
      <c r="O8982" s="2">
        <f ca="1"/>
        <v>-0.33593605236011115</v>
      </c>
      <c r="X8982" s="2">
        <f ca="1"/>
        <v>41.912055287661389</v>
      </c>
      <c r="AG8982" s="2">
        <f ca="1"/>
        <v>0.17861823615762273</v>
      </c>
      <c r="AH8982" s="2" t="str">
        <f ca="1"/>
        <v>OK</v>
      </c>
    </row>
    <row r="8983" spans="2:34" x14ac:dyDescent="0.2">
      <c r="B8983" s="2">
        <f ca="1"/>
        <v>0.20706597450510267</v>
      </c>
      <c r="O8983" s="2">
        <f ca="1"/>
        <v>-0.4090136549284879</v>
      </c>
      <c r="X8983" s="2">
        <f ca="1"/>
        <v>45.842922002659606</v>
      </c>
      <c r="AG8983" s="2">
        <f ca="1"/>
        <v>0.54335502722525919</v>
      </c>
      <c r="AH8983" s="2" t="str">
        <f ca="1"/>
        <v>Bad</v>
      </c>
    </row>
    <row r="8984" spans="2:34" x14ac:dyDescent="0.2">
      <c r="B8984" s="2">
        <f ca="1"/>
        <v>0.71731677483190581</v>
      </c>
      <c r="O8984" s="2">
        <f ca="1"/>
        <v>-1.0927936649096373</v>
      </c>
      <c r="X8984" s="2">
        <f ca="1"/>
        <v>25.975105791508565</v>
      </c>
      <c r="AG8984" s="2">
        <f ca="1"/>
        <v>0.90125593191882358</v>
      </c>
      <c r="AH8984" s="2" t="str">
        <f ca="1"/>
        <v>Bad</v>
      </c>
    </row>
    <row r="8985" spans="2:34" x14ac:dyDescent="0.2">
      <c r="B8985" s="2">
        <f ca="1"/>
        <v>0.91374129384553293</v>
      </c>
      <c r="O8985" s="2">
        <f ca="1"/>
        <v>1.1177772659679639</v>
      </c>
      <c r="X8985" s="2">
        <f ca="1"/>
        <v>57.38291551778282</v>
      </c>
      <c r="AG8985" s="2">
        <f ca="1"/>
        <v>0.79023199325654048</v>
      </c>
      <c r="AH8985" s="2" t="str">
        <f ca="1"/>
        <v>Bad</v>
      </c>
    </row>
    <row r="8986" spans="2:34" x14ac:dyDescent="0.2">
      <c r="B8986" s="2">
        <f ca="1"/>
        <v>0.71244362879813505</v>
      </c>
      <c r="O8986" s="2">
        <f ca="1"/>
        <v>-0.22005069425178864</v>
      </c>
      <c r="X8986" s="2">
        <f ca="1"/>
        <v>47.756327833974851</v>
      </c>
      <c r="AG8986" s="2">
        <f ca="1"/>
        <v>0.99331235119741801</v>
      </c>
      <c r="AH8986" s="2" t="str">
        <f ca="1"/>
        <v>Bad</v>
      </c>
    </row>
    <row r="8987" spans="2:34" x14ac:dyDescent="0.2">
      <c r="B8987" s="2">
        <f ca="1"/>
        <v>6.8464782748641539E-2</v>
      </c>
      <c r="O8987" s="2">
        <f ca="1"/>
        <v>-6.695386818993497E-2</v>
      </c>
      <c r="X8987" s="2">
        <f ca="1"/>
        <v>33.980416228060271</v>
      </c>
      <c r="AG8987" s="2">
        <f ca="1"/>
        <v>0.30237880638465287</v>
      </c>
      <c r="AH8987" s="2" t="str">
        <f ca="1"/>
        <v>OK</v>
      </c>
    </row>
    <row r="8988" spans="2:34" x14ac:dyDescent="0.2">
      <c r="B8988" s="2">
        <f ca="1"/>
        <v>1.3269614730981205E-2</v>
      </c>
      <c r="O8988" s="2">
        <f ca="1"/>
        <v>0.86387462843904228</v>
      </c>
      <c r="X8988" s="2">
        <f ca="1"/>
        <v>47.778824280025134</v>
      </c>
      <c r="AG8988" s="2">
        <f ca="1"/>
        <v>0.61237246087554986</v>
      </c>
      <c r="AH8988" s="2" t="str">
        <f ca="1"/>
        <v>Bad</v>
      </c>
    </row>
    <row r="8989" spans="2:34" x14ac:dyDescent="0.2">
      <c r="B8989" s="2">
        <f ca="1"/>
        <v>0.27636132798131818</v>
      </c>
      <c r="O8989" s="2">
        <f ca="1"/>
        <v>5.658442654634753E-2</v>
      </c>
      <c r="X8989" s="2">
        <f ca="1"/>
        <v>55.878157283121908</v>
      </c>
      <c r="AG8989" s="2">
        <f ca="1"/>
        <v>0.96871699234908415</v>
      </c>
      <c r="AH8989" s="2" t="str">
        <f ca="1"/>
        <v>Bad</v>
      </c>
    </row>
    <row r="8990" spans="2:34" x14ac:dyDescent="0.2">
      <c r="B8990" s="2">
        <f ca="1"/>
        <v>9.4154937793982096E-3</v>
      </c>
      <c r="O8990" s="2">
        <f ca="1"/>
        <v>7.2629043870087963E-3</v>
      </c>
      <c r="X8990" s="2">
        <f ca="1"/>
        <v>43.627974339538547</v>
      </c>
      <c r="AG8990" s="2">
        <f ca="1"/>
        <v>0.7305154617881966</v>
      </c>
      <c r="AH8990" s="2" t="str">
        <f ca="1"/>
        <v>Bad</v>
      </c>
    </row>
    <row r="8991" spans="2:34" x14ac:dyDescent="0.2">
      <c r="B8991" s="2">
        <f ca="1"/>
        <v>0.11716649722599715</v>
      </c>
      <c r="O8991" s="2">
        <f ca="1"/>
        <v>1.3117923215159333</v>
      </c>
      <c r="X8991" s="2">
        <f ca="1"/>
        <v>41.324269366340793</v>
      </c>
      <c r="AG8991" s="2">
        <f ca="1"/>
        <v>0.67526521781799786</v>
      </c>
      <c r="AH8991" s="2" t="str">
        <f ca="1"/>
        <v>Bad</v>
      </c>
    </row>
    <row r="8992" spans="2:34" x14ac:dyDescent="0.2">
      <c r="B8992" s="2">
        <f ca="1"/>
        <v>0.88240895272361342</v>
      </c>
      <c r="O8992" s="2">
        <f ca="1"/>
        <v>0.50633916623698227</v>
      </c>
      <c r="X8992" s="2">
        <f ca="1"/>
        <v>35.271377046402158</v>
      </c>
      <c r="AG8992" s="2">
        <f ca="1"/>
        <v>0.93003792989767931</v>
      </c>
      <c r="AH8992" s="2" t="str">
        <f ca="1"/>
        <v>Bad</v>
      </c>
    </row>
    <row r="8993" spans="2:34" x14ac:dyDescent="0.2">
      <c r="B8993" s="2">
        <f ca="1"/>
        <v>0.6412048153484704</v>
      </c>
      <c r="O8993" s="2">
        <f ca="1"/>
        <v>0.88373797409143018</v>
      </c>
      <c r="X8993" s="2">
        <f ca="1"/>
        <v>73.727569496840857</v>
      </c>
      <c r="AG8993" s="2">
        <f ca="1"/>
        <v>0.41791577095379351</v>
      </c>
      <c r="AH8993" s="2" t="str">
        <f ca="1"/>
        <v>Bad</v>
      </c>
    </row>
    <row r="8994" spans="2:34" x14ac:dyDescent="0.2">
      <c r="B8994" s="2">
        <f ca="1"/>
        <v>0.66582219186738634</v>
      </c>
      <c r="O8994" s="2">
        <f ca="1"/>
        <v>-1.7425146815037398</v>
      </c>
      <c r="X8994" s="2">
        <f ca="1"/>
        <v>50.205106264441653</v>
      </c>
      <c r="AG8994" s="2">
        <f ca="1"/>
        <v>0.57756724042587027</v>
      </c>
      <c r="AH8994" s="2" t="str">
        <f ca="1"/>
        <v>Bad</v>
      </c>
    </row>
    <row r="8995" spans="2:34" x14ac:dyDescent="0.2">
      <c r="B8995" s="2">
        <f ca="1"/>
        <v>0.85974543198300024</v>
      </c>
      <c r="O8995" s="2">
        <f ca="1"/>
        <v>0.44878157909035921</v>
      </c>
      <c r="X8995" s="2">
        <f ca="1"/>
        <v>61.927074455079975</v>
      </c>
      <c r="AG8995" s="2">
        <f ca="1"/>
        <v>0.98322495950696176</v>
      </c>
      <c r="AH8995" s="2" t="str">
        <f ca="1"/>
        <v>Bad</v>
      </c>
    </row>
    <row r="8996" spans="2:34" x14ac:dyDescent="0.2">
      <c r="B8996" s="2">
        <f ca="1"/>
        <v>0.87289567737671159</v>
      </c>
      <c r="O8996" s="2">
        <f ca="1"/>
        <v>-0.91260671877230282</v>
      </c>
      <c r="X8996" s="2">
        <f ca="1"/>
        <v>32.684033058000949</v>
      </c>
      <c r="AG8996" s="2">
        <f ca="1"/>
        <v>0.33631745121564838</v>
      </c>
      <c r="AH8996" s="2" t="str">
        <f ca="1"/>
        <v>OK</v>
      </c>
    </row>
    <row r="8997" spans="2:34" x14ac:dyDescent="0.2">
      <c r="B8997" s="2">
        <f ca="1"/>
        <v>0.96681456077207772</v>
      </c>
      <c r="O8997" s="2">
        <f ca="1"/>
        <v>-1.7426624660016938</v>
      </c>
      <c r="X8997" s="2">
        <f ca="1"/>
        <v>60.270783116968246</v>
      </c>
      <c r="AG8997" s="2">
        <f ca="1"/>
        <v>0.89129818817342432</v>
      </c>
      <c r="AH8997" s="2" t="str">
        <f ca="1"/>
        <v>Bad</v>
      </c>
    </row>
    <row r="8998" spans="2:34" x14ac:dyDescent="0.2">
      <c r="B8998" s="2">
        <f ca="1"/>
        <v>1.0568270074165387E-2</v>
      </c>
      <c r="O8998" s="2">
        <f ca="1"/>
        <v>0.27574065808764459</v>
      </c>
      <c r="X8998" s="2">
        <f ca="1"/>
        <v>27.64823798135097</v>
      </c>
      <c r="AG8998" s="2">
        <f ca="1"/>
        <v>0.3292238123926623</v>
      </c>
      <c r="AH8998" s="2" t="str">
        <f ca="1"/>
        <v>OK</v>
      </c>
    </row>
    <row r="8999" spans="2:34" x14ac:dyDescent="0.2">
      <c r="B8999" s="2">
        <f ca="1"/>
        <v>0.24560646951743514</v>
      </c>
      <c r="O8999" s="2">
        <f ca="1"/>
        <v>1.5216281073669544</v>
      </c>
      <c r="X8999" s="2">
        <f ca="1"/>
        <v>40.013689676764066</v>
      </c>
      <c r="AG8999" s="2">
        <f ca="1"/>
        <v>0.73630144552574706</v>
      </c>
      <c r="AH8999" s="2" t="str">
        <f ca="1"/>
        <v>Bad</v>
      </c>
    </row>
    <row r="9000" spans="2:34" x14ac:dyDescent="0.2">
      <c r="B9000" s="2">
        <f ca="1"/>
        <v>0.99616314427266861</v>
      </c>
      <c r="O9000" s="2">
        <f ca="1"/>
        <v>0.44661929280102142</v>
      </c>
      <c r="X9000" s="2">
        <f ca="1"/>
        <v>70.285163025343309</v>
      </c>
      <c r="AG9000" s="2">
        <f ca="1"/>
        <v>0.64865120788583353</v>
      </c>
      <c r="AH9000" s="2" t="str">
        <f ca="1"/>
        <v>Bad</v>
      </c>
    </row>
    <row r="9001" spans="2:34" x14ac:dyDescent="0.2">
      <c r="B9001" s="2">
        <f ca="1"/>
        <v>0.53378684669652476</v>
      </c>
      <c r="O9001" s="2">
        <f ca="1"/>
        <v>1.9561625625876247</v>
      </c>
      <c r="X9001" s="2">
        <f ca="1"/>
        <v>35.745433686921913</v>
      </c>
      <c r="AG9001" s="2">
        <f ca="1"/>
        <v>0.20201998364281248</v>
      </c>
      <c r="AH9001" s="2" t="str">
        <f ca="1"/>
        <v>OK</v>
      </c>
    </row>
    <row r="9002" spans="2:34" x14ac:dyDescent="0.2">
      <c r="B9002" s="2">
        <f ca="1"/>
        <v>0.34915347511273276</v>
      </c>
      <c r="O9002" s="2">
        <f ca="1"/>
        <v>-1.75233660042141</v>
      </c>
      <c r="X9002" s="2">
        <f ca="1"/>
        <v>48.547909561419864</v>
      </c>
      <c r="AG9002" s="2">
        <f ca="1"/>
        <v>0.28826103450425067</v>
      </c>
      <c r="AH9002" s="2" t="str">
        <f ca="1"/>
        <v>OK</v>
      </c>
    </row>
    <row r="9003" spans="2:34" x14ac:dyDescent="0.2">
      <c r="B9003" s="2">
        <f ca="1"/>
        <v>0.85981846085198232</v>
      </c>
      <c r="O9003" s="2">
        <f ca="1"/>
        <v>9.2274061636428886E-2</v>
      </c>
      <c r="X9003" s="2">
        <f ca="1"/>
        <v>47.303297994089306</v>
      </c>
      <c r="AG9003" s="2">
        <f ca="1"/>
        <v>0.23529710830584727</v>
      </c>
      <c r="AH9003" s="2" t="str">
        <f ca="1"/>
        <v>OK</v>
      </c>
    </row>
    <row r="9004" spans="2:34" x14ac:dyDescent="0.2">
      <c r="B9004" s="2">
        <f ca="1"/>
        <v>0.18368588437436784</v>
      </c>
      <c r="O9004" s="2">
        <f ca="1"/>
        <v>-0.35151953923386764</v>
      </c>
      <c r="X9004" s="2">
        <f ca="1"/>
        <v>36.574785093177709</v>
      </c>
      <c r="AG9004" s="2">
        <f ca="1"/>
        <v>0.8859776535410282</v>
      </c>
      <c r="AH9004" s="2" t="str">
        <f ca="1"/>
        <v>Bad</v>
      </c>
    </row>
    <row r="9005" spans="2:34" x14ac:dyDescent="0.2">
      <c r="B9005" s="2">
        <f ca="1"/>
        <v>0.47268318134526344</v>
      </c>
      <c r="O9005" s="2">
        <f ca="1"/>
        <v>-1.7083106799007248</v>
      </c>
      <c r="X9005" s="2">
        <f ca="1"/>
        <v>68.529362221860538</v>
      </c>
      <c r="AG9005" s="2">
        <f ca="1"/>
        <v>0.72917734409272827</v>
      </c>
      <c r="AH9005" s="2" t="str">
        <f ca="1"/>
        <v>Bad</v>
      </c>
    </row>
    <row r="9006" spans="2:34" x14ac:dyDescent="0.2">
      <c r="B9006" s="2">
        <f ca="1"/>
        <v>0.15239405442335618</v>
      </c>
      <c r="O9006" s="2">
        <f ca="1"/>
        <v>-0.43528233001431466</v>
      </c>
      <c r="X9006" s="2">
        <f ca="1"/>
        <v>68.767541062672265</v>
      </c>
      <c r="AG9006" s="2">
        <f ca="1"/>
        <v>0.77181106519950604</v>
      </c>
      <c r="AH9006" s="2" t="str">
        <f ca="1"/>
        <v>Bad</v>
      </c>
    </row>
    <row r="9007" spans="2:34" x14ac:dyDescent="0.2">
      <c r="B9007" s="2">
        <f ca="1"/>
        <v>0.97114065903842128</v>
      </c>
      <c r="O9007" s="2">
        <f ca="1"/>
        <v>-1.7261576621736929</v>
      </c>
      <c r="X9007" s="2">
        <f ca="1"/>
        <v>61.545783723272258</v>
      </c>
      <c r="AG9007" s="2">
        <f ca="1"/>
        <v>0.19397059704831676</v>
      </c>
      <c r="AH9007" s="2" t="str">
        <f ca="1"/>
        <v>OK</v>
      </c>
    </row>
    <row r="9008" spans="2:34" x14ac:dyDescent="0.2">
      <c r="B9008" s="2">
        <f ca="1"/>
        <v>0.26161086295931391</v>
      </c>
      <c r="O9008" s="2">
        <f ca="1"/>
        <v>0.59111667616696739</v>
      </c>
      <c r="X9008" s="2">
        <f ca="1"/>
        <v>34.391037380762427</v>
      </c>
      <c r="AG9008" s="2">
        <f ca="1"/>
        <v>0.61496260395995139</v>
      </c>
      <c r="AH9008" s="2" t="str">
        <f ca="1"/>
        <v>Bad</v>
      </c>
    </row>
    <row r="9009" spans="2:34" x14ac:dyDescent="0.2">
      <c r="B9009" s="2">
        <f ca="1"/>
        <v>0.2275402096082888</v>
      </c>
      <c r="O9009" s="2">
        <f ca="1"/>
        <v>-0.91745674735843596</v>
      </c>
      <c r="X9009" s="2">
        <f ca="1"/>
        <v>30.572539159708931</v>
      </c>
      <c r="AG9009" s="2">
        <f ca="1"/>
        <v>0.30712326694101466</v>
      </c>
      <c r="AH9009" s="2" t="str">
        <f ca="1"/>
        <v>OK</v>
      </c>
    </row>
    <row r="9010" spans="2:34" x14ac:dyDescent="0.2">
      <c r="B9010" s="2">
        <f ca="1"/>
        <v>0.89732292681346282</v>
      </c>
      <c r="O9010" s="2">
        <f ca="1"/>
        <v>1.4670508837166187</v>
      </c>
      <c r="X9010" s="2">
        <f ca="1"/>
        <v>40.69778021045822</v>
      </c>
      <c r="AG9010" s="2">
        <f ca="1"/>
        <v>0.50215860082975849</v>
      </c>
      <c r="AH9010" s="2" t="str">
        <f ca="1"/>
        <v>Bad</v>
      </c>
    </row>
    <row r="9011" spans="2:34" x14ac:dyDescent="0.2">
      <c r="B9011" s="2">
        <f ca="1"/>
        <v>0.80503928064035657</v>
      </c>
      <c r="O9011" s="2">
        <f ca="1"/>
        <v>-0.65784280495180703</v>
      </c>
      <c r="X9011" s="2">
        <f ca="1"/>
        <v>46.473305692808964</v>
      </c>
      <c r="AG9011" s="2">
        <f ca="1"/>
        <v>2.1226748033493337E-2</v>
      </c>
      <c r="AH9011" s="2" t="str">
        <f ca="1"/>
        <v>Good</v>
      </c>
    </row>
    <row r="9012" spans="2:34" x14ac:dyDescent="0.2">
      <c r="B9012" s="2">
        <f ca="1"/>
        <v>0.42330196729404568</v>
      </c>
      <c r="O9012" s="2">
        <f ca="1"/>
        <v>0.69768075593032608</v>
      </c>
      <c r="X9012" s="2">
        <f ca="1"/>
        <v>47.81234887736715</v>
      </c>
      <c r="AG9012" s="2">
        <f ca="1"/>
        <v>0.63745339010415392</v>
      </c>
      <c r="AH9012" s="2" t="str">
        <f ca="1"/>
        <v>Bad</v>
      </c>
    </row>
    <row r="9013" spans="2:34" x14ac:dyDescent="0.2">
      <c r="B9013" s="2">
        <f ca="1"/>
        <v>0.1310220169424241</v>
      </c>
      <c r="O9013" s="2">
        <f ca="1"/>
        <v>0.73325758598052393</v>
      </c>
      <c r="X9013" s="2">
        <f ca="1"/>
        <v>43.195185329879621</v>
      </c>
      <c r="AG9013" s="2">
        <f ca="1"/>
        <v>0.120195552402379</v>
      </c>
      <c r="AH9013" s="2" t="str">
        <f ca="1"/>
        <v>OK</v>
      </c>
    </row>
    <row r="9014" spans="2:34" x14ac:dyDescent="0.2">
      <c r="B9014" s="2">
        <f ca="1"/>
        <v>0.81276101431550773</v>
      </c>
      <c r="O9014" s="2">
        <f ca="1"/>
        <v>0.39004085395993632</v>
      </c>
      <c r="X9014" s="2">
        <f ca="1"/>
        <v>50.759833945348525</v>
      </c>
      <c r="AG9014" s="2">
        <f ca="1"/>
        <v>0.77685483721984205</v>
      </c>
      <c r="AH9014" s="2" t="str">
        <f ca="1"/>
        <v>Bad</v>
      </c>
    </row>
    <row r="9015" spans="2:34" x14ac:dyDescent="0.2">
      <c r="B9015" s="2">
        <f ca="1"/>
        <v>6.1669233644735755E-2</v>
      </c>
      <c r="O9015" s="2">
        <f ca="1"/>
        <v>-0.39726130906391804</v>
      </c>
      <c r="X9015" s="2">
        <f ca="1"/>
        <v>44.862847457876029</v>
      </c>
      <c r="AG9015" s="2">
        <f ca="1"/>
        <v>0.95877388424152099</v>
      </c>
      <c r="AH9015" s="2" t="str">
        <f ca="1"/>
        <v>Bad</v>
      </c>
    </row>
    <row r="9016" spans="2:34" x14ac:dyDescent="0.2">
      <c r="B9016" s="2">
        <f ca="1"/>
        <v>0.6039004879680554</v>
      </c>
      <c r="O9016" s="2">
        <f ca="1"/>
        <v>1.1317973443821758</v>
      </c>
      <c r="X9016" s="2">
        <f ca="1"/>
        <v>63.166970443260773</v>
      </c>
      <c r="AG9016" s="2">
        <f ca="1"/>
        <v>0.76042582170452588</v>
      </c>
      <c r="AH9016" s="2" t="str">
        <f ca="1"/>
        <v>Bad</v>
      </c>
    </row>
    <row r="9017" spans="2:34" x14ac:dyDescent="0.2">
      <c r="B9017" s="2">
        <f ca="1"/>
        <v>0.19796138421509002</v>
      </c>
      <c r="O9017" s="2">
        <f ca="1"/>
        <v>0.23453151804437894</v>
      </c>
      <c r="X9017" s="2">
        <f ca="1"/>
        <v>57.715819032658295</v>
      </c>
      <c r="AG9017" s="2">
        <f ca="1"/>
        <v>0.62779360271800622</v>
      </c>
      <c r="AH9017" s="2" t="str">
        <f ca="1"/>
        <v>Bad</v>
      </c>
    </row>
    <row r="9018" spans="2:34" x14ac:dyDescent="0.2">
      <c r="B9018" s="2">
        <f ca="1"/>
        <v>1.8514685941053877E-2</v>
      </c>
      <c r="O9018" s="2">
        <f ca="1"/>
        <v>0.26399777165566074</v>
      </c>
      <c r="X9018" s="2">
        <f ca="1"/>
        <v>40.932543619096137</v>
      </c>
      <c r="AG9018" s="2">
        <f ca="1"/>
        <v>0.9943158581019913</v>
      </c>
      <c r="AH9018" s="2" t="str">
        <f ca="1"/>
        <v>Bad</v>
      </c>
    </row>
    <row r="9019" spans="2:34" x14ac:dyDescent="0.2">
      <c r="B9019" s="2">
        <f ca="1"/>
        <v>4.644041287086953E-3</v>
      </c>
      <c r="O9019" s="2">
        <f ca="1"/>
        <v>-1.4267326135494465E-2</v>
      </c>
      <c r="X9019" s="2">
        <f ca="1"/>
        <v>45.359086832168323</v>
      </c>
      <c r="AG9019" s="2">
        <f ca="1"/>
        <v>0.38799210042826626</v>
      </c>
      <c r="AH9019" s="2" t="str">
        <f ca="1"/>
        <v>OK</v>
      </c>
    </row>
    <row r="9020" spans="2:34" x14ac:dyDescent="0.2">
      <c r="B9020" s="2">
        <f ca="1"/>
        <v>7.9041978066840768E-2</v>
      </c>
      <c r="O9020" s="2">
        <f ca="1"/>
        <v>0.93910491488664405</v>
      </c>
      <c r="X9020" s="2">
        <f ca="1"/>
        <v>33.669408521595237</v>
      </c>
      <c r="AG9020" s="2">
        <f ca="1"/>
        <v>0.59828558563744294</v>
      </c>
      <c r="AH9020" s="2" t="str">
        <f ca="1"/>
        <v>Bad</v>
      </c>
    </row>
    <row r="9021" spans="2:34" x14ac:dyDescent="0.2">
      <c r="B9021" s="2">
        <f ca="1"/>
        <v>7.5455762262042647E-2</v>
      </c>
      <c r="O9021" s="2">
        <f ca="1"/>
        <v>-0.96665031828633863</v>
      </c>
      <c r="X9021" s="2">
        <f ca="1"/>
        <v>48.88291833886845</v>
      </c>
      <c r="AG9021" s="2">
        <f ca="1"/>
        <v>0.99306953267584741</v>
      </c>
      <c r="AH9021" s="2" t="str">
        <f ca="1"/>
        <v>Bad</v>
      </c>
    </row>
    <row r="9022" spans="2:34" x14ac:dyDescent="0.2">
      <c r="B9022" s="2">
        <f ca="1"/>
        <v>0.63542963635980976</v>
      </c>
      <c r="O9022" s="2">
        <f ca="1"/>
        <v>-0.26589981546851105</v>
      </c>
      <c r="X9022" s="2">
        <f ca="1"/>
        <v>33.752405775886047</v>
      </c>
      <c r="AG9022" s="2">
        <f ca="1"/>
        <v>0.37395270326853791</v>
      </c>
      <c r="AH9022" s="2" t="str">
        <f ca="1"/>
        <v>OK</v>
      </c>
    </row>
    <row r="9023" spans="2:34" x14ac:dyDescent="0.2">
      <c r="B9023" s="2">
        <f ca="1"/>
        <v>0.40881217898238886</v>
      </c>
      <c r="O9023" s="2">
        <f ca="1"/>
        <v>-1.0114238149253507</v>
      </c>
      <c r="X9023" s="2">
        <f ca="1"/>
        <v>64.675271501283788</v>
      </c>
      <c r="AG9023" s="2">
        <f ca="1"/>
        <v>0.88666362735597182</v>
      </c>
      <c r="AH9023" s="2" t="str">
        <f ca="1"/>
        <v>Bad</v>
      </c>
    </row>
    <row r="9024" spans="2:34" x14ac:dyDescent="0.2">
      <c r="B9024" s="2">
        <f ca="1"/>
        <v>0.59248756506491507</v>
      </c>
      <c r="O9024" s="2">
        <f ca="1"/>
        <v>0.24993454999839007</v>
      </c>
      <c r="X9024" s="2">
        <f ca="1"/>
        <v>53.520784857799477</v>
      </c>
      <c r="AG9024" s="2">
        <f ca="1"/>
        <v>0.59420225175288555</v>
      </c>
      <c r="AH9024" s="2" t="str">
        <f ca="1"/>
        <v>Bad</v>
      </c>
    </row>
    <row r="9025" spans="2:34" x14ac:dyDescent="0.2">
      <c r="B9025" s="2">
        <f ca="1"/>
        <v>0.16058339527501642</v>
      </c>
      <c r="O9025" s="2">
        <f ca="1"/>
        <v>0.89326623588996146</v>
      </c>
      <c r="X9025" s="2">
        <f ca="1"/>
        <v>69.618887027097074</v>
      </c>
      <c r="AG9025" s="2">
        <f ca="1"/>
        <v>0.74542597813541822</v>
      </c>
      <c r="AH9025" s="2" t="str">
        <f ca="1"/>
        <v>Bad</v>
      </c>
    </row>
    <row r="9026" spans="2:34" x14ac:dyDescent="0.2">
      <c r="B9026" s="2">
        <f ca="1"/>
        <v>0.49398010907796097</v>
      </c>
      <c r="O9026" s="2">
        <f ca="1"/>
        <v>-0.28374567401779105</v>
      </c>
      <c r="X9026" s="2">
        <f ca="1"/>
        <v>55.711207474352953</v>
      </c>
      <c r="AG9026" s="2">
        <f ca="1"/>
        <v>0.21853666156138973</v>
      </c>
      <c r="AH9026" s="2" t="str">
        <f ca="1"/>
        <v>OK</v>
      </c>
    </row>
    <row r="9027" spans="2:34" x14ac:dyDescent="0.2">
      <c r="B9027" s="2">
        <f ca="1"/>
        <v>0.24345244830166646</v>
      </c>
      <c r="O9027" s="2">
        <f ca="1"/>
        <v>1.1846855982476325</v>
      </c>
      <c r="X9027" s="2">
        <f ca="1"/>
        <v>53.874432493963553</v>
      </c>
      <c r="AG9027" s="2">
        <f ca="1"/>
        <v>0.62304976510293963</v>
      </c>
      <c r="AH9027" s="2" t="str">
        <f ca="1"/>
        <v>Bad</v>
      </c>
    </row>
    <row r="9028" spans="2:34" x14ac:dyDescent="0.2">
      <c r="B9028" s="2">
        <f ca="1"/>
        <v>0.42705764358573917</v>
      </c>
      <c r="O9028" s="2">
        <f ca="1"/>
        <v>0.47301785158755649</v>
      </c>
      <c r="X9028" s="2">
        <f ca="1"/>
        <v>59.163944255230788</v>
      </c>
      <c r="AG9028" s="2">
        <f ca="1"/>
        <v>6.3760298290931994E-2</v>
      </c>
      <c r="AH9028" s="2" t="str">
        <f ca="1"/>
        <v>OK</v>
      </c>
    </row>
    <row r="9029" spans="2:34" x14ac:dyDescent="0.2">
      <c r="B9029" s="2">
        <f ca="1"/>
        <v>0.56647156747222671</v>
      </c>
      <c r="O9029" s="2">
        <f ca="1"/>
        <v>1.4283764733640745</v>
      </c>
      <c r="X9029" s="2">
        <f ca="1"/>
        <v>69.769185382906585</v>
      </c>
      <c r="AG9029" s="2">
        <f ca="1"/>
        <v>0.262517329336726</v>
      </c>
      <c r="AH9029" s="2" t="str">
        <f ca="1"/>
        <v>OK</v>
      </c>
    </row>
    <row r="9030" spans="2:34" x14ac:dyDescent="0.2">
      <c r="B9030" s="2">
        <f ca="1"/>
        <v>0.24991777359404166</v>
      </c>
      <c r="O9030" s="2">
        <f ca="1"/>
        <v>-3.7625730659534021E-2</v>
      </c>
      <c r="X9030" s="2">
        <f ca="1"/>
        <v>25.950329106354339</v>
      </c>
      <c r="AG9030" s="2">
        <f ca="1"/>
        <v>0.61581597770402641</v>
      </c>
      <c r="AH9030" s="2" t="str">
        <f ca="1"/>
        <v>Bad</v>
      </c>
    </row>
    <row r="9031" spans="2:34" x14ac:dyDescent="0.2">
      <c r="B9031" s="2">
        <f ca="1"/>
        <v>0.11330790753548836</v>
      </c>
      <c r="O9031" s="2">
        <f ca="1"/>
        <v>0.93923966702526263</v>
      </c>
      <c r="X9031" s="2">
        <f ca="1"/>
        <v>60.182789192249153</v>
      </c>
      <c r="AG9031" s="2">
        <f ca="1"/>
        <v>0.66909145555558447</v>
      </c>
      <c r="AH9031" s="2" t="str">
        <f ca="1"/>
        <v>Bad</v>
      </c>
    </row>
    <row r="9032" spans="2:34" x14ac:dyDescent="0.2">
      <c r="B9032" s="2">
        <f ca="1"/>
        <v>0.92819988616836024</v>
      </c>
      <c r="O9032" s="2">
        <f ca="1"/>
        <v>0.68701840781897483</v>
      </c>
      <c r="X9032" s="2">
        <f ca="1"/>
        <v>37.174836500919255</v>
      </c>
      <c r="AG9032" s="2">
        <f ca="1"/>
        <v>7.3027835166329158E-2</v>
      </c>
      <c r="AH9032" s="2" t="str">
        <f ca="1"/>
        <v>OK</v>
      </c>
    </row>
    <row r="9033" spans="2:34" x14ac:dyDescent="0.2">
      <c r="B9033" s="2">
        <f ca="1"/>
        <v>0.78393739681750163</v>
      </c>
      <c r="O9033" s="2">
        <f ca="1"/>
        <v>1.5652574265837447</v>
      </c>
      <c r="X9033" s="2">
        <f ca="1"/>
        <v>44.702092300345015</v>
      </c>
      <c r="AG9033" s="2">
        <f ca="1"/>
        <v>0.35524421987690058</v>
      </c>
      <c r="AH9033" s="2" t="str">
        <f ca="1"/>
        <v>OK</v>
      </c>
    </row>
    <row r="9034" spans="2:34" x14ac:dyDescent="0.2">
      <c r="B9034" s="2">
        <f ca="1"/>
        <v>0.58275363595408103</v>
      </c>
      <c r="O9034" s="2">
        <f ca="1"/>
        <v>-0.69259429595222466</v>
      </c>
      <c r="X9034" s="2">
        <f ca="1"/>
        <v>41.836684349017588</v>
      </c>
      <c r="AG9034" s="2">
        <f ca="1"/>
        <v>0.82607665631997595</v>
      </c>
      <c r="AH9034" s="2" t="str">
        <f ca="1"/>
        <v>Bad</v>
      </c>
    </row>
    <row r="9035" spans="2:34" x14ac:dyDescent="0.2">
      <c r="B9035" s="2">
        <f ca="1"/>
        <v>0.69433505969712406</v>
      </c>
      <c r="O9035" s="2">
        <f ca="1"/>
        <v>-2.0438863239062783</v>
      </c>
      <c r="X9035" s="2">
        <f ca="1"/>
        <v>31.798428198414889</v>
      </c>
      <c r="AG9035" s="2">
        <f ca="1"/>
        <v>0.69551760911820337</v>
      </c>
      <c r="AH9035" s="2" t="str">
        <f ca="1"/>
        <v>Bad</v>
      </c>
    </row>
    <row r="9036" spans="2:34" x14ac:dyDescent="0.2">
      <c r="B9036" s="2">
        <f ca="1"/>
        <v>0.18119201892556203</v>
      </c>
      <c r="O9036" s="2">
        <f ca="1"/>
        <v>-2.0650622351388543</v>
      </c>
      <c r="X9036" s="2">
        <f ca="1"/>
        <v>28.820559204851854</v>
      </c>
      <c r="AG9036" s="2">
        <f ca="1"/>
        <v>0.95614333011294317</v>
      </c>
      <c r="AH9036" s="2" t="str">
        <f ca="1"/>
        <v>Bad</v>
      </c>
    </row>
    <row r="9037" spans="2:34" x14ac:dyDescent="0.2">
      <c r="B9037" s="2">
        <f ca="1"/>
        <v>0.77002114928711074</v>
      </c>
      <c r="O9037" s="2">
        <f ca="1"/>
        <v>1.4470066781549658</v>
      </c>
      <c r="X9037" s="2">
        <f ca="1"/>
        <v>34.800441331260132</v>
      </c>
      <c r="AG9037" s="2">
        <f ca="1"/>
        <v>0.22286304219030861</v>
      </c>
      <c r="AH9037" s="2" t="str">
        <f ca="1"/>
        <v>OK</v>
      </c>
    </row>
    <row r="9038" spans="2:34" x14ac:dyDescent="0.2">
      <c r="B9038" s="2">
        <f ca="1"/>
        <v>0.29117902751254454</v>
      </c>
      <c r="O9038" s="2">
        <f ca="1"/>
        <v>-1.4602913383947715</v>
      </c>
      <c r="X9038" s="2">
        <f ca="1"/>
        <v>38.453323425859736</v>
      </c>
      <c r="AG9038" s="2">
        <f ca="1"/>
        <v>0.909836454829277</v>
      </c>
      <c r="AH9038" s="2" t="str">
        <f ca="1"/>
        <v>Bad</v>
      </c>
    </row>
    <row r="9039" spans="2:34" x14ac:dyDescent="0.2">
      <c r="B9039" s="2">
        <f ca="1"/>
        <v>0.15773278645699751</v>
      </c>
      <c r="O9039" s="2">
        <f ca="1"/>
        <v>1.5716438598656145E-2</v>
      </c>
      <c r="X9039" s="2">
        <f ca="1"/>
        <v>41.190916212722442</v>
      </c>
      <c r="AG9039" s="2">
        <f ca="1"/>
        <v>0.79843388992732445</v>
      </c>
      <c r="AH9039" s="2" t="str">
        <f ca="1"/>
        <v>Bad</v>
      </c>
    </row>
    <row r="9040" spans="2:34" x14ac:dyDescent="0.2">
      <c r="B9040" s="2">
        <f ca="1"/>
        <v>0.44392910712118949</v>
      </c>
      <c r="O9040" s="2">
        <f ca="1"/>
        <v>0.61259326383876833</v>
      </c>
      <c r="X9040" s="2">
        <f ca="1"/>
        <v>25.470769683858165</v>
      </c>
      <c r="AG9040" s="2">
        <f ca="1"/>
        <v>0.13519862298383889</v>
      </c>
      <c r="AH9040" s="2" t="str">
        <f ca="1"/>
        <v>OK</v>
      </c>
    </row>
    <row r="9041" spans="2:34" x14ac:dyDescent="0.2">
      <c r="B9041" s="2">
        <f ca="1"/>
        <v>0.2722333672436541</v>
      </c>
      <c r="O9041" s="2">
        <f ca="1"/>
        <v>-0.36795899713987412</v>
      </c>
      <c r="X9041" s="2">
        <f ca="1"/>
        <v>63.880593951600432</v>
      </c>
      <c r="AG9041" s="2">
        <f ca="1"/>
        <v>0.65675541042212759</v>
      </c>
      <c r="AH9041" s="2" t="str">
        <f ca="1"/>
        <v>Bad</v>
      </c>
    </row>
    <row r="9042" spans="2:34" x14ac:dyDescent="0.2">
      <c r="B9042" s="2">
        <f ca="1"/>
        <v>0.38736341774162475</v>
      </c>
      <c r="O9042" s="2">
        <f ca="1"/>
        <v>-2.1866848107521584</v>
      </c>
      <c r="X9042" s="2">
        <f ca="1"/>
        <v>34.860472221883647</v>
      </c>
      <c r="AG9042" s="2">
        <f ca="1"/>
        <v>0.15897526605468126</v>
      </c>
      <c r="AH9042" s="2" t="str">
        <f ca="1"/>
        <v>OK</v>
      </c>
    </row>
    <row r="9043" spans="2:34" x14ac:dyDescent="0.2">
      <c r="B9043" s="2">
        <f ca="1"/>
        <v>0.19693364093654631</v>
      </c>
      <c r="O9043" s="2">
        <f ca="1"/>
        <v>-0.45577433400941714</v>
      </c>
      <c r="X9043" s="2">
        <f ca="1"/>
        <v>34.105997381104523</v>
      </c>
      <c r="AG9043" s="2">
        <f ca="1"/>
        <v>0.62590817969059831</v>
      </c>
      <c r="AH9043" s="2" t="str">
        <f ca="1"/>
        <v>Bad</v>
      </c>
    </row>
    <row r="9044" spans="2:34" x14ac:dyDescent="0.2">
      <c r="B9044" s="2">
        <f ca="1"/>
        <v>0.43254015465288509</v>
      </c>
      <c r="O9044" s="2">
        <f ca="1"/>
        <v>-1.1565706103783082</v>
      </c>
      <c r="X9044" s="2">
        <f ca="1"/>
        <v>34.349982684099338</v>
      </c>
      <c r="AG9044" s="2">
        <f ca="1"/>
        <v>0.68985806133277827</v>
      </c>
      <c r="AH9044" s="2" t="str">
        <f ca="1"/>
        <v>Bad</v>
      </c>
    </row>
    <row r="9045" spans="2:34" x14ac:dyDescent="0.2">
      <c r="B9045" s="2">
        <f ca="1"/>
        <v>0.16685163846676621</v>
      </c>
      <c r="O9045" s="2">
        <f ca="1"/>
        <v>0.46701244347930254</v>
      </c>
      <c r="X9045" s="2">
        <f ca="1"/>
        <v>56.646055604183985</v>
      </c>
      <c r="AG9045" s="2">
        <f ca="1"/>
        <v>0.38910535123200063</v>
      </c>
      <c r="AH9045" s="2" t="str">
        <f ca="1"/>
        <v>OK</v>
      </c>
    </row>
    <row r="9046" spans="2:34" x14ac:dyDescent="0.2">
      <c r="B9046" s="2">
        <f ca="1"/>
        <v>9.6785101916467831E-3</v>
      </c>
      <c r="O9046" s="2">
        <f ca="1"/>
        <v>-9.3708854505318434E-2</v>
      </c>
      <c r="X9046" s="2">
        <f ca="1"/>
        <v>29.309852752960399</v>
      </c>
      <c r="AG9046" s="2">
        <f ca="1"/>
        <v>0.69480648435650205</v>
      </c>
      <c r="AH9046" s="2" t="str">
        <f ca="1"/>
        <v>Bad</v>
      </c>
    </row>
    <row r="9047" spans="2:34" x14ac:dyDescent="0.2">
      <c r="B9047" s="2">
        <f ca="1"/>
        <v>0.78239508859036366</v>
      </c>
      <c r="O9047" s="2">
        <f ca="1"/>
        <v>0.27252884722399079</v>
      </c>
      <c r="X9047" s="2">
        <f ca="1"/>
        <v>62.92484687059541</v>
      </c>
      <c r="AG9047" s="2">
        <f ca="1"/>
        <v>0.42782037729965317</v>
      </c>
      <c r="AH9047" s="2" t="str">
        <f ca="1"/>
        <v>Bad</v>
      </c>
    </row>
    <row r="9048" spans="2:34" x14ac:dyDescent="0.2">
      <c r="B9048" s="2">
        <f ca="1"/>
        <v>3.397803881383954E-2</v>
      </c>
      <c r="O9048" s="2">
        <f ca="1"/>
        <v>0.62254496650020363</v>
      </c>
      <c r="X9048" s="2">
        <f ca="1"/>
        <v>61.669480793646969</v>
      </c>
      <c r="AG9048" s="2">
        <f ca="1"/>
        <v>0.73912018839545146</v>
      </c>
      <c r="AH9048" s="2" t="str">
        <f ca="1"/>
        <v>Bad</v>
      </c>
    </row>
    <row r="9049" spans="2:34" x14ac:dyDescent="0.2">
      <c r="B9049" s="2">
        <f ca="1"/>
        <v>0.94505827465298009</v>
      </c>
      <c r="O9049" s="2">
        <f ca="1"/>
        <v>0.56694418921683454</v>
      </c>
      <c r="X9049" s="2">
        <f ca="1"/>
        <v>38.387066491573918</v>
      </c>
      <c r="AG9049" s="2">
        <f ca="1"/>
        <v>0.8063408693016727</v>
      </c>
      <c r="AH9049" s="2" t="str">
        <f ca="1"/>
        <v>Bad</v>
      </c>
    </row>
    <row r="9050" spans="2:34" x14ac:dyDescent="0.2">
      <c r="B9050" s="2">
        <f ca="1"/>
        <v>0.45270623696947809</v>
      </c>
      <c r="O9050" s="2">
        <f ca="1"/>
        <v>-1.3310546648223696</v>
      </c>
      <c r="X9050" s="2">
        <f ca="1"/>
        <v>46.49234398619042</v>
      </c>
      <c r="AG9050" s="2">
        <f ca="1"/>
        <v>0.56109976824330077</v>
      </c>
      <c r="AH9050" s="2" t="str">
        <f ca="1"/>
        <v>Bad</v>
      </c>
    </row>
    <row r="9051" spans="2:34" x14ac:dyDescent="0.2">
      <c r="B9051" s="2">
        <f ca="1"/>
        <v>0.27014483307816861</v>
      </c>
      <c r="O9051" s="2">
        <f ca="1"/>
        <v>0.57885656556320031</v>
      </c>
      <c r="X9051" s="2">
        <f ca="1"/>
        <v>60.316101981308996</v>
      </c>
      <c r="AG9051" s="2">
        <f ca="1"/>
        <v>0.38633873124758966</v>
      </c>
      <c r="AH9051" s="2" t="str">
        <f ca="1"/>
        <v>OK</v>
      </c>
    </row>
    <row r="9052" spans="2:34" x14ac:dyDescent="0.2">
      <c r="B9052" s="2">
        <f ca="1"/>
        <v>0.91102709940853344</v>
      </c>
      <c r="O9052" s="2">
        <f ca="1"/>
        <v>-4.1987944922806004E-2</v>
      </c>
      <c r="X9052" s="2">
        <f ca="1"/>
        <v>71.799013038029514</v>
      </c>
      <c r="AG9052" s="2">
        <f ca="1"/>
        <v>0.14658531011889719</v>
      </c>
      <c r="AH9052" s="2" t="str">
        <f ca="1"/>
        <v>OK</v>
      </c>
    </row>
    <row r="9053" spans="2:34" x14ac:dyDescent="0.2">
      <c r="B9053" s="2">
        <f ca="1"/>
        <v>0.70053367694134638</v>
      </c>
      <c r="O9053" s="2">
        <f ca="1"/>
        <v>2.6236665149161235E-2</v>
      </c>
      <c r="X9053" s="2">
        <f ca="1"/>
        <v>48.129935720498615</v>
      </c>
      <c r="AG9053" s="2">
        <f ca="1"/>
        <v>0.34615217075506699</v>
      </c>
      <c r="AH9053" s="2" t="str">
        <f ca="1"/>
        <v>OK</v>
      </c>
    </row>
    <row r="9054" spans="2:34" x14ac:dyDescent="0.2">
      <c r="B9054" s="2">
        <f ca="1"/>
        <v>0.63045608544551213</v>
      </c>
      <c r="O9054" s="2">
        <f ca="1"/>
        <v>0.433176191817218</v>
      </c>
      <c r="X9054" s="2">
        <f ca="1"/>
        <v>55.514787941342988</v>
      </c>
      <c r="AG9054" s="2">
        <f ca="1"/>
        <v>0.10948945114445996</v>
      </c>
      <c r="AH9054" s="2" t="str">
        <f ca="1"/>
        <v>OK</v>
      </c>
    </row>
    <row r="9055" spans="2:34" x14ac:dyDescent="0.2">
      <c r="B9055" s="2">
        <f ca="1"/>
        <v>0.13673374561494578</v>
      </c>
      <c r="O9055" s="2">
        <f ca="1"/>
        <v>0.84292134428332355</v>
      </c>
      <c r="X9055" s="2">
        <f ca="1"/>
        <v>30.177527879539632</v>
      </c>
      <c r="AG9055" s="2">
        <f ca="1"/>
        <v>0.44160875433044477</v>
      </c>
      <c r="AH9055" s="2" t="str">
        <f ca="1"/>
        <v>Bad</v>
      </c>
    </row>
    <row r="9056" spans="2:34" x14ac:dyDescent="0.2">
      <c r="B9056" s="2">
        <f ca="1"/>
        <v>0.74137031566376543</v>
      </c>
      <c r="O9056" s="2">
        <f ca="1"/>
        <v>0.34609782200513334</v>
      </c>
      <c r="X9056" s="2">
        <f ca="1"/>
        <v>37.108681606899772</v>
      </c>
      <c r="AG9056" s="2">
        <f ca="1"/>
        <v>0.70333476626795233</v>
      </c>
      <c r="AH9056" s="2" t="str">
        <f ca="1"/>
        <v>Bad</v>
      </c>
    </row>
    <row r="9057" spans="2:34" x14ac:dyDescent="0.2">
      <c r="B9057" s="2">
        <f ca="1"/>
        <v>0.71602415213374249</v>
      </c>
      <c r="O9057" s="2">
        <f ca="1"/>
        <v>-1.7381935437499292</v>
      </c>
      <c r="X9057" s="2">
        <f ca="1"/>
        <v>51.410696477356225</v>
      </c>
      <c r="AG9057" s="2">
        <f ca="1"/>
        <v>8.2429343572459679E-2</v>
      </c>
      <c r="AH9057" s="2" t="str">
        <f ca="1"/>
        <v>OK</v>
      </c>
    </row>
    <row r="9058" spans="2:34" x14ac:dyDescent="0.2">
      <c r="B9058" s="2">
        <f ca="1"/>
        <v>0.45816769190273798</v>
      </c>
      <c r="O9058" s="2">
        <f ca="1"/>
        <v>1.0863569869190033</v>
      </c>
      <c r="X9058" s="2">
        <f ca="1"/>
        <v>31.611485944406425</v>
      </c>
      <c r="AG9058" s="2">
        <f ca="1"/>
        <v>0.91594253168550988</v>
      </c>
      <c r="AH9058" s="2" t="str">
        <f ca="1"/>
        <v>Bad</v>
      </c>
    </row>
    <row r="9059" spans="2:34" x14ac:dyDescent="0.2">
      <c r="B9059" s="2">
        <f ca="1"/>
        <v>0.7562130897408752</v>
      </c>
      <c r="O9059" s="2">
        <f ca="1"/>
        <v>-1.6330646681553065</v>
      </c>
      <c r="X9059" s="2">
        <f ca="1"/>
        <v>48.503176839398776</v>
      </c>
      <c r="AG9059" s="2">
        <f ca="1"/>
        <v>0.39336766803845546</v>
      </c>
      <c r="AH9059" s="2" t="str">
        <f ca="1"/>
        <v>OK</v>
      </c>
    </row>
    <row r="9060" spans="2:34" x14ac:dyDescent="0.2">
      <c r="B9060" s="2">
        <f ca="1"/>
        <v>0.75469266524938416</v>
      </c>
      <c r="O9060" s="2">
        <f ca="1"/>
        <v>-1.5293028470768935</v>
      </c>
      <c r="X9060" s="2">
        <f ca="1"/>
        <v>72.799838873272648</v>
      </c>
      <c r="AG9060" s="2">
        <f ca="1"/>
        <v>0.50457682903919676</v>
      </c>
      <c r="AH9060" s="2" t="str">
        <f ca="1"/>
        <v>Bad</v>
      </c>
    </row>
    <row r="9061" spans="2:34" x14ac:dyDescent="0.2">
      <c r="B9061" s="2">
        <f ca="1"/>
        <v>0.8172049356160993</v>
      </c>
      <c r="O9061" s="2">
        <f ca="1"/>
        <v>0.83596604135876673</v>
      </c>
      <c r="X9061" s="2">
        <f ca="1"/>
        <v>59.502955188150153</v>
      </c>
      <c r="AG9061" s="2">
        <f ca="1"/>
        <v>0.9990162074834974</v>
      </c>
      <c r="AH9061" s="2" t="str">
        <f ca="1"/>
        <v>Bad</v>
      </c>
    </row>
    <row r="9062" spans="2:34" x14ac:dyDescent="0.2">
      <c r="B9062" s="2">
        <f ca="1"/>
        <v>0.36494337523227705</v>
      </c>
      <c r="O9062" s="2">
        <f ca="1"/>
        <v>0.67072899958950405</v>
      </c>
      <c r="X9062" s="2">
        <f ca="1"/>
        <v>55.332590310234622</v>
      </c>
      <c r="AG9062" s="2">
        <f ca="1"/>
        <v>0.94630310196794509</v>
      </c>
      <c r="AH9062" s="2" t="str">
        <f ca="1"/>
        <v>Bad</v>
      </c>
    </row>
    <row r="9063" spans="2:34" x14ac:dyDescent="0.2">
      <c r="B9063" s="2">
        <f ca="1"/>
        <v>0.84242274885236523</v>
      </c>
      <c r="O9063" s="2">
        <f ca="1"/>
        <v>0.16417073758292178</v>
      </c>
      <c r="X9063" s="2">
        <f ca="1"/>
        <v>55.33255086682594</v>
      </c>
      <c r="AG9063" s="2">
        <f ca="1"/>
        <v>0.83638761850974475</v>
      </c>
      <c r="AH9063" s="2" t="str">
        <f ca="1"/>
        <v>Bad</v>
      </c>
    </row>
    <row r="9064" spans="2:34" x14ac:dyDescent="0.2">
      <c r="B9064" s="2">
        <f ca="1"/>
        <v>0.39030371542372877</v>
      </c>
      <c r="O9064" s="2">
        <f ca="1"/>
        <v>0.24548590107445581</v>
      </c>
      <c r="X9064" s="2">
        <f ca="1"/>
        <v>51.493106731765636</v>
      </c>
      <c r="AG9064" s="2">
        <f ca="1"/>
        <v>0.36119449869424347</v>
      </c>
      <c r="AH9064" s="2" t="str">
        <f ca="1"/>
        <v>OK</v>
      </c>
    </row>
    <row r="9065" spans="2:34" x14ac:dyDescent="0.2">
      <c r="B9065" s="2">
        <f ca="1"/>
        <v>0.50903680565738019</v>
      </c>
      <c r="O9065" s="2">
        <f ca="1"/>
        <v>1.7211914778576081</v>
      </c>
      <c r="X9065" s="2">
        <f ca="1"/>
        <v>27.303293511679321</v>
      </c>
      <c r="AG9065" s="2">
        <f ca="1"/>
        <v>0.8378108567449698</v>
      </c>
      <c r="AH9065" s="2" t="str">
        <f ca="1"/>
        <v>Bad</v>
      </c>
    </row>
    <row r="9066" spans="2:34" x14ac:dyDescent="0.2">
      <c r="B9066" s="2">
        <f ca="1"/>
        <v>0.19981817913338684</v>
      </c>
      <c r="O9066" s="2">
        <f ca="1"/>
        <v>1.1598357311194087</v>
      </c>
      <c r="X9066" s="2">
        <f ca="1"/>
        <v>47.054087911306638</v>
      </c>
      <c r="AG9066" s="2">
        <f ca="1"/>
        <v>0.38631429779464943</v>
      </c>
      <c r="AH9066" s="2" t="str">
        <f ca="1"/>
        <v>OK</v>
      </c>
    </row>
    <row r="9067" spans="2:34" x14ac:dyDescent="0.2">
      <c r="B9067" s="2">
        <f ca="1"/>
        <v>0.2189531608286519</v>
      </c>
      <c r="O9067" s="2">
        <f ca="1"/>
        <v>0.38149395132242558</v>
      </c>
      <c r="X9067" s="2">
        <f ca="1"/>
        <v>55.188864394016299</v>
      </c>
      <c r="AG9067" s="2">
        <f ca="1"/>
        <v>9.7229970873097038E-2</v>
      </c>
      <c r="AH9067" s="2" t="str">
        <f ca="1"/>
        <v>OK</v>
      </c>
    </row>
    <row r="9068" spans="2:34" x14ac:dyDescent="0.2">
      <c r="B9068" s="2">
        <f ca="1"/>
        <v>0.93202730853859372</v>
      </c>
      <c r="O9068" s="2">
        <f ca="1"/>
        <v>1.1269522392696003</v>
      </c>
      <c r="X9068" s="2">
        <f ca="1"/>
        <v>40.430485911674516</v>
      </c>
      <c r="AG9068" s="2">
        <f ca="1"/>
        <v>0.32066628700984379</v>
      </c>
      <c r="AH9068" s="2" t="str">
        <f ca="1"/>
        <v>OK</v>
      </c>
    </row>
    <row r="9069" spans="2:34" x14ac:dyDescent="0.2">
      <c r="B9069" s="2">
        <f ca="1"/>
        <v>0.7223217998837268</v>
      </c>
      <c r="O9069" s="2">
        <f ca="1"/>
        <v>-0.85451994117651686</v>
      </c>
      <c r="X9069" s="2">
        <f ca="1"/>
        <v>40.267196208231468</v>
      </c>
      <c r="AG9069" s="2">
        <f ca="1"/>
        <v>0.84595442115954578</v>
      </c>
      <c r="AH9069" s="2" t="str">
        <f ca="1"/>
        <v>Bad</v>
      </c>
    </row>
    <row r="9070" spans="2:34" x14ac:dyDescent="0.2">
      <c r="B9070" s="2">
        <f ca="1"/>
        <v>0.91363106217870116</v>
      </c>
      <c r="O9070" s="2">
        <f ca="1"/>
        <v>1.4163210423883394</v>
      </c>
      <c r="X9070" s="2">
        <f ca="1"/>
        <v>77.133332055002313</v>
      </c>
      <c r="AG9070" s="2">
        <f ca="1"/>
        <v>0.27573650202165245</v>
      </c>
      <c r="AH9070" s="2" t="str">
        <f ca="1"/>
        <v>OK</v>
      </c>
    </row>
    <row r="9071" spans="2:34" x14ac:dyDescent="0.2">
      <c r="B9071" s="2">
        <f ca="1"/>
        <v>8.8830841393824134E-2</v>
      </c>
      <c r="O9071" s="2">
        <f ca="1"/>
        <v>-0.58670539374391095</v>
      </c>
      <c r="X9071" s="2">
        <f ca="1"/>
        <v>55.469134630543842</v>
      </c>
      <c r="AG9071" s="2">
        <f ca="1"/>
        <v>0.53778553644765714</v>
      </c>
      <c r="AH9071" s="2" t="str">
        <f ca="1"/>
        <v>Bad</v>
      </c>
    </row>
    <row r="9072" spans="2:34" x14ac:dyDescent="0.2">
      <c r="B9072" s="2">
        <f ca="1"/>
        <v>0.91382932705195263</v>
      </c>
      <c r="O9072" s="2">
        <f ca="1"/>
        <v>0.68371387033399011</v>
      </c>
      <c r="X9072" s="2">
        <f ca="1"/>
        <v>72.477895995334165</v>
      </c>
      <c r="AG9072" s="2">
        <f ca="1"/>
        <v>0.99616322365041876</v>
      </c>
      <c r="AH9072" s="2" t="str">
        <f ca="1"/>
        <v>Bad</v>
      </c>
    </row>
    <row r="9073" spans="2:34" x14ac:dyDescent="0.2">
      <c r="B9073" s="2">
        <f ca="1"/>
        <v>0.26098435766723505</v>
      </c>
      <c r="O9073" s="2">
        <f ca="1"/>
        <v>-3.0756200621335019E-2</v>
      </c>
      <c r="X9073" s="2">
        <f ca="1"/>
        <v>48.042902354034673</v>
      </c>
      <c r="AG9073" s="2">
        <f ca="1"/>
        <v>0.78638627386713922</v>
      </c>
      <c r="AH9073" s="2" t="str">
        <f ca="1"/>
        <v>Bad</v>
      </c>
    </row>
    <row r="9074" spans="2:34" x14ac:dyDescent="0.2">
      <c r="B9074" s="2">
        <f ca="1"/>
        <v>0.10796654333337097</v>
      </c>
      <c r="O9074" s="2">
        <f ca="1"/>
        <v>0.98340780281357065</v>
      </c>
      <c r="X9074" s="2">
        <f ca="1"/>
        <v>32.866951783567963</v>
      </c>
      <c r="AG9074" s="2">
        <f ca="1"/>
        <v>0.53354701117516701</v>
      </c>
      <c r="AH9074" s="2" t="str">
        <f ca="1"/>
        <v>Bad</v>
      </c>
    </row>
    <row r="9075" spans="2:34" x14ac:dyDescent="0.2">
      <c r="B9075" s="2">
        <f ca="1"/>
        <v>0.27245274232315064</v>
      </c>
      <c r="O9075" s="2">
        <f ca="1"/>
        <v>0.29571494245761343</v>
      </c>
      <c r="X9075" s="2">
        <f ca="1"/>
        <v>51.162715713466383</v>
      </c>
      <c r="AG9075" s="2">
        <f ca="1"/>
        <v>0.40082097496757574</v>
      </c>
      <c r="AH9075" s="2" t="str">
        <f ca="1"/>
        <v>Bad</v>
      </c>
    </row>
    <row r="9076" spans="2:34" x14ac:dyDescent="0.2">
      <c r="B9076" s="2">
        <f ca="1"/>
        <v>9.0750917785826335E-2</v>
      </c>
      <c r="O9076" s="2">
        <f ca="1"/>
        <v>0.7665705942140737</v>
      </c>
      <c r="X9076" s="2">
        <f ca="1"/>
        <v>44.982809332088337</v>
      </c>
      <c r="AG9076" s="2">
        <f ca="1"/>
        <v>0.3641989092642639</v>
      </c>
      <c r="AH9076" s="2" t="str">
        <f ca="1"/>
        <v>OK</v>
      </c>
    </row>
    <row r="9077" spans="2:34" x14ac:dyDescent="0.2">
      <c r="B9077" s="2">
        <f ca="1"/>
        <v>0.16378385049593391</v>
      </c>
      <c r="O9077" s="2">
        <f ca="1"/>
        <v>0.92557138354600355</v>
      </c>
      <c r="X9077" s="2">
        <f ca="1"/>
        <v>44.765441312425082</v>
      </c>
      <c r="AG9077" s="2">
        <f ca="1"/>
        <v>0.52426183150210637</v>
      </c>
      <c r="AH9077" s="2" t="str">
        <f ca="1"/>
        <v>Bad</v>
      </c>
    </row>
    <row r="9078" spans="2:34" x14ac:dyDescent="0.2">
      <c r="B9078" s="2">
        <f ca="1"/>
        <v>0.78532670962853168</v>
      </c>
      <c r="O9078" s="2">
        <f ca="1"/>
        <v>1.5447943280772773</v>
      </c>
      <c r="X9078" s="2">
        <f ca="1"/>
        <v>46.699972369377576</v>
      </c>
      <c r="AG9078" s="2">
        <f ca="1"/>
        <v>0.34523727583172126</v>
      </c>
      <c r="AH9078" s="2" t="str">
        <f ca="1"/>
        <v>OK</v>
      </c>
    </row>
    <row r="9079" spans="2:34" x14ac:dyDescent="0.2">
      <c r="B9079" s="2">
        <f ca="1"/>
        <v>0.44733275254252369</v>
      </c>
      <c r="O9079" s="2">
        <f ca="1"/>
        <v>1.1958614102570344</v>
      </c>
      <c r="X9079" s="2">
        <f ca="1"/>
        <v>33.243829230803939</v>
      </c>
      <c r="AG9079" s="2">
        <f ca="1"/>
        <v>4.6558493686204017E-2</v>
      </c>
      <c r="AH9079" s="2" t="str">
        <f ca="1"/>
        <v>Good</v>
      </c>
    </row>
    <row r="9080" spans="2:34" x14ac:dyDescent="0.2">
      <c r="B9080" s="2">
        <f ca="1"/>
        <v>0.65092755743353981</v>
      </c>
      <c r="O9080" s="2">
        <f ca="1"/>
        <v>-0.69055595465436925</v>
      </c>
      <c r="X9080" s="2">
        <f ca="1"/>
        <v>56.646776954848015</v>
      </c>
      <c r="AG9080" s="2">
        <f ca="1"/>
        <v>0.76227361313455577</v>
      </c>
      <c r="AH9080" s="2" t="str">
        <f ca="1"/>
        <v>Bad</v>
      </c>
    </row>
    <row r="9081" spans="2:34" x14ac:dyDescent="0.2">
      <c r="B9081" s="2">
        <f ca="1"/>
        <v>5.0758297905758143E-2</v>
      </c>
      <c r="O9081" s="2">
        <f ca="1"/>
        <v>1.0673975039314323</v>
      </c>
      <c r="X9081" s="2">
        <f ca="1"/>
        <v>49.881335713033117</v>
      </c>
      <c r="AG9081" s="2">
        <f ca="1"/>
        <v>0.16849836758186187</v>
      </c>
      <c r="AH9081" s="2" t="str">
        <f ca="1"/>
        <v>OK</v>
      </c>
    </row>
    <row r="9082" spans="2:34" x14ac:dyDescent="0.2">
      <c r="B9082" s="2">
        <f ca="1"/>
        <v>0.23568047279758875</v>
      </c>
      <c r="O9082" s="2">
        <f ca="1"/>
        <v>-2.2405184530168851</v>
      </c>
      <c r="X9082" s="2">
        <f ca="1"/>
        <v>90.900279444799551</v>
      </c>
      <c r="AG9082" s="2">
        <f ca="1"/>
        <v>0.87975488870559437</v>
      </c>
      <c r="AH9082" s="2" t="str">
        <f ca="1"/>
        <v>Bad</v>
      </c>
    </row>
    <row r="9083" spans="2:34" x14ac:dyDescent="0.2">
      <c r="B9083" s="2">
        <f ca="1"/>
        <v>5.7270366886461588E-2</v>
      </c>
      <c r="O9083" s="2">
        <f ca="1"/>
        <v>5.7961559616757398E-2</v>
      </c>
      <c r="X9083" s="2">
        <f ca="1"/>
        <v>37.504231174833869</v>
      </c>
      <c r="AG9083" s="2">
        <f ca="1"/>
        <v>0.42818224919400927</v>
      </c>
      <c r="AH9083" s="2" t="str">
        <f ca="1"/>
        <v>Bad</v>
      </c>
    </row>
    <row r="9084" spans="2:34" x14ac:dyDescent="0.2">
      <c r="B9084" s="2">
        <f ca="1"/>
        <v>0.8921726715565923</v>
      </c>
      <c r="O9084" s="2">
        <f ca="1"/>
        <v>-1.1053278457959075</v>
      </c>
      <c r="X9084" s="2">
        <f ca="1"/>
        <v>55.820806806704802</v>
      </c>
      <c r="AG9084" s="2">
        <f ca="1"/>
        <v>0.73033763620766434</v>
      </c>
      <c r="AH9084" s="2" t="str">
        <f ca="1"/>
        <v>Bad</v>
      </c>
    </row>
    <row r="9085" spans="2:34" x14ac:dyDescent="0.2">
      <c r="B9085" s="2">
        <f ca="1"/>
        <v>0.27682257953479161</v>
      </c>
      <c r="O9085" s="2">
        <f ca="1"/>
        <v>0.13651442986914367</v>
      </c>
      <c r="X9085" s="2">
        <f ca="1"/>
        <v>45.919448602219006</v>
      </c>
      <c r="AG9085" s="2">
        <f ca="1"/>
        <v>0.68384248830989747</v>
      </c>
      <c r="AH9085" s="2" t="str">
        <f ca="1"/>
        <v>Bad</v>
      </c>
    </row>
    <row r="9086" spans="2:34" x14ac:dyDescent="0.2">
      <c r="B9086" s="2">
        <f ca="1"/>
        <v>0.73028300400069734</v>
      </c>
      <c r="O9086" s="2">
        <f ca="1"/>
        <v>-0.45258842104628133</v>
      </c>
      <c r="X9086" s="2">
        <f ca="1"/>
        <v>36.823424360457992</v>
      </c>
      <c r="AG9086" s="2">
        <f ca="1"/>
        <v>0.12751491859437869</v>
      </c>
      <c r="AH9086" s="2" t="str">
        <f ca="1"/>
        <v>OK</v>
      </c>
    </row>
    <row r="9087" spans="2:34" x14ac:dyDescent="0.2">
      <c r="B9087" s="2">
        <f ca="1"/>
        <v>4.3254890981499372E-2</v>
      </c>
      <c r="O9087" s="2">
        <f ca="1"/>
        <v>-0.10586991499918984</v>
      </c>
      <c r="X9087" s="2">
        <f ca="1"/>
        <v>64.29531804380558</v>
      </c>
      <c r="AG9087" s="2">
        <f ca="1"/>
        <v>0.81098636052568684</v>
      </c>
      <c r="AH9087" s="2" t="str">
        <f ca="1"/>
        <v>Bad</v>
      </c>
    </row>
    <row r="9088" spans="2:34" x14ac:dyDescent="0.2">
      <c r="B9088" s="2">
        <f ca="1"/>
        <v>0.61137074932007351</v>
      </c>
      <c r="O9088" s="2">
        <f ca="1"/>
        <v>1.3425415520479294</v>
      </c>
      <c r="X9088" s="2">
        <f ca="1"/>
        <v>32.791279999857117</v>
      </c>
      <c r="AG9088" s="2">
        <f ca="1"/>
        <v>0.35753639127335357</v>
      </c>
      <c r="AH9088" s="2" t="str">
        <f ca="1"/>
        <v>OK</v>
      </c>
    </row>
    <row r="9089" spans="2:34" x14ac:dyDescent="0.2">
      <c r="B9089" s="2">
        <f ca="1"/>
        <v>0.80758033567768517</v>
      </c>
      <c r="O9089" s="2">
        <f ca="1"/>
        <v>-1.1474291037290922</v>
      </c>
      <c r="X9089" s="2">
        <f ca="1"/>
        <v>65.768572922314902</v>
      </c>
      <c r="AG9089" s="2">
        <f ca="1"/>
        <v>0.94729859655540638</v>
      </c>
      <c r="AH9089" s="2" t="str">
        <f ca="1"/>
        <v>Bad</v>
      </c>
    </row>
    <row r="9090" spans="2:34" x14ac:dyDescent="0.2">
      <c r="B9090" s="2">
        <f ca="1"/>
        <v>0.19210768640705944</v>
      </c>
      <c r="O9090" s="2">
        <f ca="1"/>
        <v>1.2793582156132852</v>
      </c>
      <c r="X9090" s="2">
        <f ca="1"/>
        <v>54.781806894283292</v>
      </c>
      <c r="AG9090" s="2">
        <f ca="1"/>
        <v>0.42525205822981405</v>
      </c>
      <c r="AH9090" s="2" t="str">
        <f ca="1"/>
        <v>Bad</v>
      </c>
    </row>
    <row r="9091" spans="2:34" x14ac:dyDescent="0.2">
      <c r="B9091" s="2">
        <f ca="1"/>
        <v>0.28156918471465731</v>
      </c>
      <c r="O9091" s="2">
        <f ca="1"/>
        <v>-0.21279280119304278</v>
      </c>
      <c r="X9091" s="2">
        <f ca="1"/>
        <v>45.77546013258992</v>
      </c>
      <c r="AG9091" s="2">
        <f ca="1"/>
        <v>0.12926856060268954</v>
      </c>
      <c r="AH9091" s="2" t="str">
        <f ca="1"/>
        <v>OK</v>
      </c>
    </row>
    <row r="9092" spans="2:34" x14ac:dyDescent="0.2">
      <c r="B9092" s="2">
        <f ca="1"/>
        <v>3.7621057182402051E-2</v>
      </c>
      <c r="O9092" s="2">
        <f ca="1"/>
        <v>0.51891568391998322</v>
      </c>
      <c r="X9092" s="2">
        <f ca="1"/>
        <v>33.572310060515932</v>
      </c>
      <c r="AG9092" s="2">
        <f ca="1"/>
        <v>0.32030089163307229</v>
      </c>
      <c r="AH9092" s="2" t="str">
        <f ca="1"/>
        <v>OK</v>
      </c>
    </row>
    <row r="9093" spans="2:34" x14ac:dyDescent="0.2">
      <c r="B9093" s="2">
        <f ca="1"/>
        <v>7.3530966498167594E-3</v>
      </c>
      <c r="O9093" s="2">
        <f ca="1"/>
        <v>-1.4306862953827963</v>
      </c>
      <c r="X9093" s="2">
        <f ca="1"/>
        <v>51.125782797897074</v>
      </c>
      <c r="AG9093" s="2">
        <f ca="1"/>
        <v>8.6490646985337705E-2</v>
      </c>
      <c r="AH9093" s="2" t="str">
        <f ca="1"/>
        <v>OK</v>
      </c>
    </row>
    <row r="9094" spans="2:34" x14ac:dyDescent="0.2">
      <c r="B9094" s="2">
        <f ca="1"/>
        <v>6.796613512010774E-2</v>
      </c>
      <c r="O9094" s="2">
        <f ca="1"/>
        <v>2.054763039951756</v>
      </c>
      <c r="X9094" s="2">
        <f ca="1"/>
        <v>40.512888617937762</v>
      </c>
      <c r="AG9094" s="2">
        <f ca="1"/>
        <v>0.66743369257217489</v>
      </c>
      <c r="AH9094" s="2" t="str">
        <f ca="1"/>
        <v>Bad</v>
      </c>
    </row>
    <row r="9095" spans="2:34" x14ac:dyDescent="0.2">
      <c r="B9095" s="2">
        <f ca="1"/>
        <v>0.85045350832144817</v>
      </c>
      <c r="O9095" s="2">
        <f ca="1"/>
        <v>-0.35022820242765285</v>
      </c>
      <c r="X9095" s="2">
        <f ca="1"/>
        <v>53.401647597568704</v>
      </c>
      <c r="AG9095" s="2">
        <f ca="1"/>
        <v>0.75931652911029079</v>
      </c>
      <c r="AH9095" s="2" t="str">
        <f ca="1"/>
        <v>Bad</v>
      </c>
    </row>
    <row r="9096" spans="2:34" x14ac:dyDescent="0.2">
      <c r="B9096" s="2">
        <f ca="1"/>
        <v>0.48270913331726928</v>
      </c>
      <c r="O9096" s="2">
        <f ca="1"/>
        <v>0.95156953033310177</v>
      </c>
      <c r="X9096" s="2">
        <f ca="1"/>
        <v>42.254028626421245</v>
      </c>
      <c r="AG9096" s="2">
        <f ca="1"/>
        <v>0.7710937897882606</v>
      </c>
      <c r="AH9096" s="2" t="str">
        <f ca="1"/>
        <v>Bad</v>
      </c>
    </row>
    <row r="9097" spans="2:34" x14ac:dyDescent="0.2">
      <c r="B9097" s="2">
        <f ca="1"/>
        <v>0.94616435239068686</v>
      </c>
      <c r="O9097" s="2">
        <f ca="1"/>
        <v>0.410730813243188</v>
      </c>
      <c r="X9097" s="2">
        <f ca="1"/>
        <v>45.975501112881872</v>
      </c>
      <c r="AG9097" s="2">
        <f ca="1"/>
        <v>5.687455512063111E-2</v>
      </c>
      <c r="AH9097" s="2" t="str">
        <f ca="1"/>
        <v>OK</v>
      </c>
    </row>
    <row r="9098" spans="2:34" x14ac:dyDescent="0.2">
      <c r="B9098" s="2">
        <f ca="1"/>
        <v>0.50867576013512084</v>
      </c>
      <c r="O9098" s="2">
        <f ca="1"/>
        <v>-0.40834098886412085</v>
      </c>
      <c r="X9098" s="2">
        <f ca="1"/>
        <v>25.241867244680883</v>
      </c>
      <c r="AG9098" s="2">
        <f ca="1"/>
        <v>0.31140094210721903</v>
      </c>
      <c r="AH9098" s="2" t="str">
        <f ca="1"/>
        <v>OK</v>
      </c>
    </row>
    <row r="9099" spans="2:34" x14ac:dyDescent="0.2">
      <c r="B9099" s="2">
        <f ca="1"/>
        <v>0.64170983092648082</v>
      </c>
      <c r="O9099" s="2">
        <f ca="1"/>
        <v>-1.3746732457541959</v>
      </c>
      <c r="X9099" s="2">
        <f ca="1"/>
        <v>57.191000509323317</v>
      </c>
      <c r="AG9099" s="2">
        <f ca="1"/>
        <v>0.41549930734693641</v>
      </c>
      <c r="AH9099" s="2" t="str">
        <f ca="1"/>
        <v>Bad</v>
      </c>
    </row>
    <row r="9100" spans="2:34" x14ac:dyDescent="0.2">
      <c r="B9100" s="2">
        <f ca="1"/>
        <v>0.81889001600808453</v>
      </c>
      <c r="O9100" s="2">
        <f ca="1"/>
        <v>-1.0802116037740683</v>
      </c>
      <c r="X9100" s="2">
        <f ca="1"/>
        <v>34.557290713680061</v>
      </c>
      <c r="AG9100" s="2">
        <f ca="1"/>
        <v>0.34716185981825531</v>
      </c>
      <c r="AH9100" s="2" t="str">
        <f ca="1"/>
        <v>OK</v>
      </c>
    </row>
    <row r="9101" spans="2:34" x14ac:dyDescent="0.2">
      <c r="B9101" s="2">
        <f ca="1"/>
        <v>0.69061552658696801</v>
      </c>
      <c r="O9101" s="2">
        <f ca="1"/>
        <v>1.3192997966525972</v>
      </c>
      <c r="X9101" s="2">
        <f ca="1"/>
        <v>42.728365315266849</v>
      </c>
      <c r="AG9101" s="2">
        <f ca="1"/>
        <v>0.18233062834073999</v>
      </c>
      <c r="AH9101" s="2" t="str">
        <f ca="1"/>
        <v>OK</v>
      </c>
    </row>
    <row r="9102" spans="2:34" x14ac:dyDescent="0.2">
      <c r="B9102" s="2">
        <f ca="1"/>
        <v>0.60791077807942195</v>
      </c>
      <c r="O9102" s="2">
        <f ca="1"/>
        <v>-0.33514004335397918</v>
      </c>
      <c r="X9102" s="2">
        <f ca="1"/>
        <v>35.585175465399573</v>
      </c>
      <c r="AG9102" s="2">
        <f ca="1"/>
        <v>0.96331057297735945</v>
      </c>
      <c r="AH9102" s="2" t="str">
        <f ca="1"/>
        <v>Bad</v>
      </c>
    </row>
    <row r="9103" spans="2:34" x14ac:dyDescent="0.2">
      <c r="B9103" s="2">
        <f ca="1"/>
        <v>0.30148628544967937</v>
      </c>
      <c r="O9103" s="2">
        <f ca="1"/>
        <v>-1.2922905296428069</v>
      </c>
      <c r="X9103" s="2">
        <f ca="1"/>
        <v>52.21346442218335</v>
      </c>
      <c r="AG9103" s="2">
        <f ca="1"/>
        <v>0.97462391898363454</v>
      </c>
      <c r="AH9103" s="2" t="str">
        <f ca="1"/>
        <v>Bad</v>
      </c>
    </row>
    <row r="9104" spans="2:34" x14ac:dyDescent="0.2">
      <c r="B9104" s="2">
        <f ca="1"/>
        <v>0.61066554717013033</v>
      </c>
      <c r="O9104" s="2">
        <f ca="1"/>
        <v>-0.13593487295483064</v>
      </c>
      <c r="X9104" s="2">
        <f ca="1"/>
        <v>36.897789206772458</v>
      </c>
      <c r="AG9104" s="2">
        <f ca="1"/>
        <v>0.66128441321256726</v>
      </c>
      <c r="AH9104" s="2" t="str">
        <f ca="1"/>
        <v>Bad</v>
      </c>
    </row>
    <row r="9105" spans="2:34" x14ac:dyDescent="0.2">
      <c r="B9105" s="2">
        <f ca="1"/>
        <v>0.8537526662521433</v>
      </c>
      <c r="O9105" s="2">
        <f ca="1"/>
        <v>-0.32886200831376405</v>
      </c>
      <c r="X9105" s="2">
        <f ca="1"/>
        <v>40.536150419223048</v>
      </c>
      <c r="AG9105" s="2">
        <f ca="1"/>
        <v>0.56102618585719988</v>
      </c>
      <c r="AH9105" s="2" t="str">
        <f ca="1"/>
        <v>Bad</v>
      </c>
    </row>
    <row r="9106" spans="2:34" x14ac:dyDescent="0.2">
      <c r="B9106" s="2">
        <f ca="1"/>
        <v>0.60641582907370317</v>
      </c>
      <c r="O9106" s="2">
        <f ca="1"/>
        <v>-2.2494500387264358</v>
      </c>
      <c r="X9106" s="2">
        <f ca="1"/>
        <v>30.908388947678382</v>
      </c>
      <c r="AG9106" s="2">
        <f ca="1"/>
        <v>0.45487500451827056</v>
      </c>
      <c r="AH9106" s="2" t="str">
        <f ca="1"/>
        <v>Bad</v>
      </c>
    </row>
    <row r="9107" spans="2:34" x14ac:dyDescent="0.2">
      <c r="B9107" s="2">
        <f ca="1"/>
        <v>0.43508480179369724</v>
      </c>
      <c r="O9107" s="2">
        <f ca="1"/>
        <v>-0.83864472153008995</v>
      </c>
      <c r="X9107" s="2">
        <f ca="1"/>
        <v>48.711925655199224</v>
      </c>
      <c r="AG9107" s="2">
        <f ca="1"/>
        <v>0.82956638447812914</v>
      </c>
      <c r="AH9107" s="2" t="str">
        <f ca="1"/>
        <v>Bad</v>
      </c>
    </row>
    <row r="9108" spans="2:34" x14ac:dyDescent="0.2">
      <c r="B9108" s="2">
        <f ca="1"/>
        <v>0.69769639020295604</v>
      </c>
      <c r="O9108" s="2">
        <f ca="1"/>
        <v>-0.17365724862103685</v>
      </c>
      <c r="X9108" s="2">
        <f ca="1"/>
        <v>34.704967560815582</v>
      </c>
      <c r="AG9108" s="2">
        <f ca="1"/>
        <v>0.41727495919270718</v>
      </c>
      <c r="AH9108" s="2" t="str">
        <f ca="1"/>
        <v>Bad</v>
      </c>
    </row>
    <row r="9109" spans="2:34" x14ac:dyDescent="0.2">
      <c r="B9109" s="2">
        <f ca="1"/>
        <v>0.68386400471156494</v>
      </c>
      <c r="O9109" s="2">
        <f ca="1"/>
        <v>0.14392274676470113</v>
      </c>
      <c r="X9109" s="2">
        <f ca="1"/>
        <v>29.644447079259713</v>
      </c>
      <c r="AG9109" s="2">
        <f ca="1"/>
        <v>0.94156640090760169</v>
      </c>
      <c r="AH9109" s="2" t="str">
        <f ca="1"/>
        <v>Bad</v>
      </c>
    </row>
    <row r="9110" spans="2:34" x14ac:dyDescent="0.2">
      <c r="B9110" s="2">
        <f ca="1"/>
        <v>0.19623260325184555</v>
      </c>
      <c r="O9110" s="2">
        <f ca="1"/>
        <v>1.349570980842997</v>
      </c>
      <c r="X9110" s="2">
        <f ca="1"/>
        <v>57.89647573153011</v>
      </c>
      <c r="AG9110" s="2">
        <f ca="1"/>
        <v>0.61326876728170188</v>
      </c>
      <c r="AH9110" s="2" t="str">
        <f ca="1"/>
        <v>Bad</v>
      </c>
    </row>
    <row r="9111" spans="2:34" x14ac:dyDescent="0.2">
      <c r="B9111" s="2">
        <f ca="1"/>
        <v>0.47866321770407128</v>
      </c>
      <c r="O9111" s="2">
        <f ca="1"/>
        <v>0.6097054245867688</v>
      </c>
      <c r="X9111" s="2">
        <f ca="1"/>
        <v>58.090995435436817</v>
      </c>
      <c r="AG9111" s="2">
        <f ca="1"/>
        <v>0.68983032966764068</v>
      </c>
      <c r="AH9111" s="2" t="str">
        <f ca="1"/>
        <v>Bad</v>
      </c>
    </row>
    <row r="9112" spans="2:34" x14ac:dyDescent="0.2">
      <c r="B9112" s="2">
        <f ca="1"/>
        <v>0.89266234655357413</v>
      </c>
      <c r="O9112" s="2">
        <f ca="1"/>
        <v>-0.67919884967495248</v>
      </c>
      <c r="X9112" s="2">
        <f ca="1"/>
        <v>38.609853864225187</v>
      </c>
      <c r="AG9112" s="2">
        <f ca="1"/>
        <v>0.5401877731477549</v>
      </c>
      <c r="AH9112" s="2" t="str">
        <f ca="1"/>
        <v>Bad</v>
      </c>
    </row>
    <row r="9113" spans="2:34" x14ac:dyDescent="0.2">
      <c r="B9113" s="2">
        <f ca="1"/>
        <v>0.71897719100908608</v>
      </c>
      <c r="O9113" s="2">
        <f ca="1"/>
        <v>1.5782799012450546</v>
      </c>
      <c r="X9113" s="2">
        <f ca="1"/>
        <v>78.014496408779706</v>
      </c>
      <c r="AG9113" s="2">
        <f ca="1"/>
        <v>6.3920161229709338E-2</v>
      </c>
      <c r="AH9113" s="2" t="str">
        <f ca="1"/>
        <v>OK</v>
      </c>
    </row>
    <row r="9114" spans="2:34" x14ac:dyDescent="0.2">
      <c r="B9114" s="2">
        <f ca="1"/>
        <v>0.54043023002701807</v>
      </c>
      <c r="O9114" s="2">
        <f ca="1"/>
        <v>-1.7397293417183473</v>
      </c>
      <c r="X9114" s="2">
        <f ca="1"/>
        <v>41.463179752077991</v>
      </c>
      <c r="AG9114" s="2">
        <f ca="1"/>
        <v>2.3207166900784948E-3</v>
      </c>
      <c r="AH9114" s="2" t="str">
        <f ca="1"/>
        <v>Good</v>
      </c>
    </row>
    <row r="9115" spans="2:34" x14ac:dyDescent="0.2">
      <c r="B9115" s="2">
        <f ca="1"/>
        <v>0.86543799057545723</v>
      </c>
      <c r="O9115" s="2">
        <f ca="1"/>
        <v>-0.6455723544603037</v>
      </c>
      <c r="X9115" s="2">
        <f ca="1"/>
        <v>57.162495913869733</v>
      </c>
      <c r="AG9115" s="2">
        <f ca="1"/>
        <v>6.7776737395688347E-2</v>
      </c>
      <c r="AH9115" s="2" t="str">
        <f ca="1"/>
        <v>OK</v>
      </c>
    </row>
    <row r="9116" spans="2:34" x14ac:dyDescent="0.2">
      <c r="B9116" s="2">
        <f ca="1"/>
        <v>0.81005165840679183</v>
      </c>
      <c r="O9116" s="2">
        <f ca="1"/>
        <v>0.24151792707360134</v>
      </c>
      <c r="X9116" s="2">
        <f ca="1"/>
        <v>49.592612712733761</v>
      </c>
      <c r="AG9116" s="2">
        <f ca="1"/>
        <v>0.51375195632371184</v>
      </c>
      <c r="AH9116" s="2" t="str">
        <f ca="1"/>
        <v>Bad</v>
      </c>
    </row>
    <row r="9117" spans="2:34" x14ac:dyDescent="0.2">
      <c r="B9117" s="2">
        <f ca="1"/>
        <v>9.6924222028767382E-2</v>
      </c>
      <c r="O9117" s="2">
        <f ca="1"/>
        <v>0.80387854020475935</v>
      </c>
      <c r="X9117" s="2">
        <f ca="1"/>
        <v>55.007740210649104</v>
      </c>
      <c r="AG9117" s="2">
        <f ca="1"/>
        <v>0.63248508973034845</v>
      </c>
      <c r="AH9117" s="2" t="str">
        <f ca="1"/>
        <v>Bad</v>
      </c>
    </row>
    <row r="9118" spans="2:34" x14ac:dyDescent="0.2">
      <c r="B9118" s="2">
        <f ca="1"/>
        <v>4.656070573326998E-2</v>
      </c>
      <c r="O9118" s="2">
        <f ca="1"/>
        <v>-1.4978876679872741</v>
      </c>
      <c r="X9118" s="2">
        <f ca="1"/>
        <v>27.350370836807212</v>
      </c>
      <c r="AG9118" s="2">
        <f ca="1"/>
        <v>0.13532625057711378</v>
      </c>
      <c r="AH9118" s="2" t="str">
        <f ca="1"/>
        <v>OK</v>
      </c>
    </row>
    <row r="9119" spans="2:34" x14ac:dyDescent="0.2">
      <c r="B9119" s="2">
        <f ca="1"/>
        <v>0.5669500070277973</v>
      </c>
      <c r="O9119" s="2">
        <f ca="1"/>
        <v>-0.99293885847161334</v>
      </c>
      <c r="X9119" s="2">
        <f ca="1"/>
        <v>101.25423250012477</v>
      </c>
      <c r="AG9119" s="2">
        <f ca="1"/>
        <v>0.27904795027620355</v>
      </c>
      <c r="AH9119" s="2" t="str">
        <f ca="1"/>
        <v>OK</v>
      </c>
    </row>
    <row r="9120" spans="2:34" x14ac:dyDescent="0.2">
      <c r="B9120" s="2">
        <f ca="1"/>
        <v>0.11665137876799081</v>
      </c>
      <c r="O9120" s="2">
        <f ca="1"/>
        <v>-1.0663161104029335</v>
      </c>
      <c r="X9120" s="2">
        <f ca="1"/>
        <v>33.572617494123051</v>
      </c>
      <c r="AG9120" s="2">
        <f ca="1"/>
        <v>0.73685190295662983</v>
      </c>
      <c r="AH9120" s="2" t="str">
        <f ca="1"/>
        <v>Bad</v>
      </c>
    </row>
    <row r="9121" spans="2:34" x14ac:dyDescent="0.2">
      <c r="B9121" s="2">
        <f ca="1"/>
        <v>0.98107688263418402</v>
      </c>
      <c r="O9121" s="2">
        <f ca="1"/>
        <v>-0.35467654334681797</v>
      </c>
      <c r="X9121" s="2">
        <f ca="1"/>
        <v>55.899131669242564</v>
      </c>
      <c r="AG9121" s="2">
        <f ca="1"/>
        <v>0.90986293955469222</v>
      </c>
      <c r="AH9121" s="2" t="str">
        <f ca="1"/>
        <v>Bad</v>
      </c>
    </row>
    <row r="9122" spans="2:34" x14ac:dyDescent="0.2">
      <c r="B9122" s="2">
        <f ca="1"/>
        <v>0.90078241076599253</v>
      </c>
      <c r="O9122" s="2">
        <f ca="1"/>
        <v>0.80891158041806621</v>
      </c>
      <c r="X9122" s="2">
        <f ca="1"/>
        <v>27.868181332219827</v>
      </c>
      <c r="AG9122" s="2">
        <f ca="1"/>
        <v>0.1320096393666419</v>
      </c>
      <c r="AH9122" s="2" t="str">
        <f ca="1"/>
        <v>OK</v>
      </c>
    </row>
    <row r="9123" spans="2:34" x14ac:dyDescent="0.2">
      <c r="B9123" s="2">
        <f ca="1"/>
        <v>0.89274547646959768</v>
      </c>
      <c r="O9123" s="2">
        <f ca="1"/>
        <v>-1.0390025755653016</v>
      </c>
      <c r="X9123" s="2">
        <f ca="1"/>
        <v>50.980240677877731</v>
      </c>
      <c r="AG9123" s="2">
        <f ca="1"/>
        <v>0.26927157205479957</v>
      </c>
      <c r="AH9123" s="2" t="str">
        <f ca="1"/>
        <v>OK</v>
      </c>
    </row>
    <row r="9124" spans="2:34" x14ac:dyDescent="0.2">
      <c r="B9124" s="2">
        <f ca="1"/>
        <v>9.2887445219086429E-2</v>
      </c>
      <c r="O9124" s="2">
        <f ca="1"/>
        <v>0.12966901869542319</v>
      </c>
      <c r="X9124" s="2">
        <f ca="1"/>
        <v>31.183315448285398</v>
      </c>
      <c r="AG9124" s="2">
        <f ca="1"/>
        <v>0.35118972934065074</v>
      </c>
      <c r="AH9124" s="2" t="str">
        <f ca="1"/>
        <v>OK</v>
      </c>
    </row>
    <row r="9125" spans="2:34" x14ac:dyDescent="0.2">
      <c r="B9125" s="2">
        <f ca="1"/>
        <v>0.43464281645093572</v>
      </c>
      <c r="O9125" s="2">
        <f ca="1"/>
        <v>1.023739116488781</v>
      </c>
      <c r="X9125" s="2">
        <f ca="1"/>
        <v>43.361094169931661</v>
      </c>
      <c r="AG9125" s="2">
        <f ca="1"/>
        <v>0.12061504818432445</v>
      </c>
      <c r="AH9125" s="2" t="str">
        <f ca="1"/>
        <v>OK</v>
      </c>
    </row>
    <row r="9126" spans="2:34" x14ac:dyDescent="0.2">
      <c r="B9126" s="2">
        <f ca="1"/>
        <v>0.12539573606545407</v>
      </c>
      <c r="O9126" s="2">
        <f ca="1"/>
        <v>1.028205460834648</v>
      </c>
      <c r="X9126" s="2">
        <f ca="1"/>
        <v>50.771355189870008</v>
      </c>
      <c r="AG9126" s="2">
        <f ca="1"/>
        <v>0.34441687266894827</v>
      </c>
      <c r="AH9126" s="2" t="str">
        <f ca="1"/>
        <v>OK</v>
      </c>
    </row>
    <row r="9127" spans="2:34" x14ac:dyDescent="0.2">
      <c r="B9127" s="2">
        <f ca="1"/>
        <v>0.70930931922726925</v>
      </c>
      <c r="O9127" s="2">
        <f ca="1"/>
        <v>0.32642367506823655</v>
      </c>
      <c r="X9127" s="2">
        <f ca="1"/>
        <v>30.179636752127443</v>
      </c>
      <c r="AG9127" s="2">
        <f ca="1"/>
        <v>0.34626096689237373</v>
      </c>
      <c r="AH9127" s="2" t="str">
        <f ca="1"/>
        <v>OK</v>
      </c>
    </row>
    <row r="9128" spans="2:34" x14ac:dyDescent="0.2">
      <c r="B9128" s="2">
        <f ca="1"/>
        <v>0.22466080975459946</v>
      </c>
      <c r="O9128" s="2">
        <f ca="1"/>
        <v>0.52515957101183908</v>
      </c>
      <c r="X9128" s="2">
        <f ca="1"/>
        <v>21.906006426780095</v>
      </c>
      <c r="AG9128" s="2">
        <f ca="1"/>
        <v>0.31291792331759316</v>
      </c>
      <c r="AH9128" s="2" t="str">
        <f ca="1"/>
        <v>OK</v>
      </c>
    </row>
    <row r="9129" spans="2:34" x14ac:dyDescent="0.2">
      <c r="B9129" s="2">
        <f ca="1"/>
        <v>0.37116515783078774</v>
      </c>
      <c r="O9129" s="2">
        <f ca="1"/>
        <v>2.2087532098738181</v>
      </c>
      <c r="X9129" s="2">
        <f ca="1"/>
        <v>63.389224516761146</v>
      </c>
      <c r="AG9129" s="2">
        <f ca="1"/>
        <v>0.83459761812457778</v>
      </c>
      <c r="AH9129" s="2" t="str">
        <f ca="1"/>
        <v>Bad</v>
      </c>
    </row>
    <row r="9130" spans="2:34" x14ac:dyDescent="0.2">
      <c r="B9130" s="2">
        <f ca="1"/>
        <v>0.95033173161108531</v>
      </c>
      <c r="O9130" s="2">
        <f ca="1"/>
        <v>0.23497918966664574</v>
      </c>
      <c r="X9130" s="2">
        <f ca="1"/>
        <v>59.752345342080915</v>
      </c>
      <c r="AG9130" s="2">
        <f ca="1"/>
        <v>0.8443995088758276</v>
      </c>
      <c r="AH9130" s="2" t="str">
        <f ca="1"/>
        <v>Bad</v>
      </c>
    </row>
    <row r="9131" spans="2:34" x14ac:dyDescent="0.2">
      <c r="B9131" s="2">
        <f ca="1"/>
        <v>0.87889223539311279</v>
      </c>
      <c r="O9131" s="2">
        <f ca="1"/>
        <v>-0.38394864418739127</v>
      </c>
      <c r="X9131" s="2">
        <f ca="1"/>
        <v>66.003269103068561</v>
      </c>
      <c r="AG9131" s="2">
        <f ca="1"/>
        <v>0.8992440753485389</v>
      </c>
      <c r="AH9131" s="2" t="str">
        <f ca="1"/>
        <v>Bad</v>
      </c>
    </row>
    <row r="9132" spans="2:34" x14ac:dyDescent="0.2">
      <c r="B9132" s="2">
        <f ca="1"/>
        <v>0.26300141129036181</v>
      </c>
      <c r="O9132" s="2">
        <f ca="1"/>
        <v>-0.4146078470133136</v>
      </c>
      <c r="X9132" s="2">
        <f ca="1"/>
        <v>87.700113876478483</v>
      </c>
      <c r="AG9132" s="2">
        <f ca="1"/>
        <v>0.61399273993534353</v>
      </c>
      <c r="AH9132" s="2" t="str">
        <f ca="1"/>
        <v>Bad</v>
      </c>
    </row>
    <row r="9133" spans="2:34" x14ac:dyDescent="0.2">
      <c r="B9133" s="2">
        <f ca="1"/>
        <v>0.98797299151106577</v>
      </c>
      <c r="O9133" s="2">
        <f ca="1"/>
        <v>9.5446812546319829E-2</v>
      </c>
      <c r="X9133" s="2">
        <f ca="1"/>
        <v>52.344647898466803</v>
      </c>
      <c r="AG9133" s="2">
        <f ca="1"/>
        <v>0.50396816527233934</v>
      </c>
      <c r="AH9133" s="2" t="str">
        <f ca="1"/>
        <v>Bad</v>
      </c>
    </row>
    <row r="9134" spans="2:34" x14ac:dyDescent="0.2">
      <c r="B9134" s="2">
        <f ca="1"/>
        <v>0.46924717510207281</v>
      </c>
      <c r="O9134" s="2">
        <f ca="1"/>
        <v>1.547516221509091</v>
      </c>
      <c r="X9134" s="2">
        <f ca="1"/>
        <v>35.681875423761198</v>
      </c>
      <c r="AG9134" s="2">
        <f ca="1"/>
        <v>0.67178104936355498</v>
      </c>
      <c r="AH9134" s="2" t="str">
        <f ca="1"/>
        <v>Bad</v>
      </c>
    </row>
    <row r="9135" spans="2:34" x14ac:dyDescent="0.2">
      <c r="B9135" s="2">
        <f ca="1"/>
        <v>0.33744023806835965</v>
      </c>
      <c r="O9135" s="2">
        <f ca="1"/>
        <v>0.50545730942462708</v>
      </c>
      <c r="X9135" s="2">
        <f ca="1"/>
        <v>44.789091050238454</v>
      </c>
      <c r="AG9135" s="2">
        <f ca="1"/>
        <v>0.25977190868073108</v>
      </c>
      <c r="AH9135" s="2" t="str">
        <f ca="1"/>
        <v>OK</v>
      </c>
    </row>
    <row r="9136" spans="2:34" x14ac:dyDescent="0.2">
      <c r="B9136" s="2">
        <f ca="1"/>
        <v>2.7397436781301687E-2</v>
      </c>
      <c r="O9136" s="2">
        <f ca="1"/>
        <v>-1.7668432170004711</v>
      </c>
      <c r="X9136" s="2">
        <f ca="1"/>
        <v>56.660873541432096</v>
      </c>
      <c r="AG9136" s="2">
        <f ca="1"/>
        <v>4.5340811923016089E-2</v>
      </c>
      <c r="AH9136" s="2" t="str">
        <f ca="1"/>
        <v>Good</v>
      </c>
    </row>
    <row r="9137" spans="2:34" x14ac:dyDescent="0.2">
      <c r="B9137" s="2">
        <f ca="1"/>
        <v>0.97722002274897291</v>
      </c>
      <c r="O9137" s="2">
        <f ca="1"/>
        <v>0.23008973067688909</v>
      </c>
      <c r="X9137" s="2">
        <f ca="1"/>
        <v>26.353233982978917</v>
      </c>
      <c r="AG9137" s="2">
        <f ca="1"/>
        <v>0.38500929606608025</v>
      </c>
      <c r="AH9137" s="2" t="str">
        <f ca="1"/>
        <v>OK</v>
      </c>
    </row>
    <row r="9138" spans="2:34" x14ac:dyDescent="0.2">
      <c r="B9138" s="2">
        <f ca="1"/>
        <v>0.60518087108872809</v>
      </c>
      <c r="O9138" s="2">
        <f ca="1"/>
        <v>2.1263190872367006</v>
      </c>
      <c r="X9138" s="2">
        <f ca="1"/>
        <v>38.702354178606136</v>
      </c>
      <c r="AG9138" s="2">
        <f ca="1"/>
        <v>0.98903989415209503</v>
      </c>
      <c r="AH9138" s="2" t="str">
        <f ca="1"/>
        <v>Bad</v>
      </c>
    </row>
    <row r="9139" spans="2:34" x14ac:dyDescent="0.2">
      <c r="B9139" s="2">
        <f ca="1"/>
        <v>0.76623407755506312</v>
      </c>
      <c r="O9139" s="2">
        <f ca="1"/>
        <v>-0.10307916005280984</v>
      </c>
      <c r="X9139" s="2">
        <f ca="1"/>
        <v>66.814590129584019</v>
      </c>
      <c r="AG9139" s="2">
        <f ca="1"/>
        <v>0.43585514805480785</v>
      </c>
      <c r="AH9139" s="2" t="str">
        <f ca="1"/>
        <v>Bad</v>
      </c>
    </row>
    <row r="9140" spans="2:34" x14ac:dyDescent="0.2">
      <c r="B9140" s="2">
        <f ca="1"/>
        <v>0.27526863381217437</v>
      </c>
      <c r="O9140" s="2">
        <f ca="1"/>
        <v>1.2761142856174168</v>
      </c>
      <c r="X9140" s="2">
        <f ca="1"/>
        <v>44.850558325131459</v>
      </c>
      <c r="AG9140" s="2">
        <f ca="1"/>
        <v>0.69877398514289513</v>
      </c>
      <c r="AH9140" s="2" t="str">
        <f ca="1"/>
        <v>Bad</v>
      </c>
    </row>
    <row r="9141" spans="2:34" x14ac:dyDescent="0.2">
      <c r="B9141" s="2">
        <f ca="1"/>
        <v>0.80655533337849694</v>
      </c>
      <c r="O9141" s="2">
        <f ca="1"/>
        <v>0.70156819524261382</v>
      </c>
      <c r="X9141" s="2">
        <f ca="1"/>
        <v>47.625968743844354</v>
      </c>
      <c r="AG9141" s="2">
        <f ca="1"/>
        <v>0.36543716835738072</v>
      </c>
      <c r="AH9141" s="2" t="str">
        <f ca="1"/>
        <v>OK</v>
      </c>
    </row>
    <row r="9142" spans="2:34" x14ac:dyDescent="0.2">
      <c r="B9142" s="2">
        <f ca="1"/>
        <v>7.781524954400898E-2</v>
      </c>
      <c r="O9142" s="2">
        <f ca="1"/>
        <v>-0.92280583054683674</v>
      </c>
      <c r="X9142" s="2">
        <f ca="1"/>
        <v>46.7497557850728</v>
      </c>
      <c r="AG9142" s="2">
        <f ca="1"/>
        <v>0.26810909286240614</v>
      </c>
      <c r="AH9142" s="2" t="str">
        <f ca="1"/>
        <v>OK</v>
      </c>
    </row>
    <row r="9143" spans="2:34" x14ac:dyDescent="0.2">
      <c r="B9143" s="2">
        <f ca="1"/>
        <v>0.57450521877649408</v>
      </c>
      <c r="O9143" s="2">
        <f ca="1"/>
        <v>0.36812332035861217</v>
      </c>
      <c r="X9143" s="2">
        <f ca="1"/>
        <v>62.316746808236047</v>
      </c>
      <c r="AG9143" s="2">
        <f ca="1"/>
        <v>0.21811289020042146</v>
      </c>
      <c r="AH9143" s="2" t="str">
        <f ca="1"/>
        <v>OK</v>
      </c>
    </row>
    <row r="9144" spans="2:34" x14ac:dyDescent="0.2">
      <c r="B9144" s="2">
        <f ca="1"/>
        <v>0.91975996582867992</v>
      </c>
      <c r="O9144" s="2">
        <f ca="1"/>
        <v>-0.34753361430849727</v>
      </c>
      <c r="X9144" s="2">
        <f ca="1"/>
        <v>59.804182968218925</v>
      </c>
      <c r="AG9144" s="2">
        <f ca="1"/>
        <v>0.71922139129398643</v>
      </c>
      <c r="AH9144" s="2" t="str">
        <f ca="1"/>
        <v>Bad</v>
      </c>
    </row>
    <row r="9145" spans="2:34" x14ac:dyDescent="0.2">
      <c r="B9145" s="2">
        <f ca="1"/>
        <v>0.58754205512422142</v>
      </c>
      <c r="O9145" s="2">
        <f ca="1"/>
        <v>-0.59940370603721316</v>
      </c>
      <c r="X9145" s="2">
        <f ca="1"/>
        <v>45.910274767316622</v>
      </c>
      <c r="AG9145" s="2">
        <f ca="1"/>
        <v>0.67321744105090398</v>
      </c>
      <c r="AH9145" s="2" t="str">
        <f ca="1"/>
        <v>Bad</v>
      </c>
    </row>
    <row r="9146" spans="2:34" x14ac:dyDescent="0.2">
      <c r="B9146" s="2">
        <f ca="1"/>
        <v>0.86638665529548953</v>
      </c>
      <c r="O9146" s="2">
        <f ca="1"/>
        <v>-0.8622696599449915</v>
      </c>
      <c r="X9146" s="2">
        <f ca="1"/>
        <v>62.561117047178143</v>
      </c>
      <c r="AG9146" s="2">
        <f ca="1"/>
        <v>0.40575938105386289</v>
      </c>
      <c r="AH9146" s="2" t="str">
        <f ca="1"/>
        <v>Bad</v>
      </c>
    </row>
    <row r="9147" spans="2:34" x14ac:dyDescent="0.2">
      <c r="B9147" s="2">
        <f ca="1"/>
        <v>0.27079040351508654</v>
      </c>
      <c r="O9147" s="2">
        <f ca="1"/>
        <v>1.8447006435308968</v>
      </c>
      <c r="X9147" s="2">
        <f ca="1"/>
        <v>23.144790217546742</v>
      </c>
      <c r="AG9147" s="2">
        <f ca="1"/>
        <v>0.6168314961027539</v>
      </c>
      <c r="AH9147" s="2" t="str">
        <f ca="1"/>
        <v>Bad</v>
      </c>
    </row>
    <row r="9148" spans="2:34" x14ac:dyDescent="0.2">
      <c r="B9148" s="2">
        <f ca="1"/>
        <v>0.19339354642182749</v>
      </c>
      <c r="O9148" s="2">
        <f ca="1"/>
        <v>1.723764165524551</v>
      </c>
      <c r="X9148" s="2">
        <f ca="1"/>
        <v>35.072181613407999</v>
      </c>
      <c r="AG9148" s="2">
        <f ca="1"/>
        <v>0.20996657245805861</v>
      </c>
      <c r="AH9148" s="2" t="str">
        <f ca="1"/>
        <v>OK</v>
      </c>
    </row>
    <row r="9149" spans="2:34" x14ac:dyDescent="0.2">
      <c r="B9149" s="2">
        <f ca="1"/>
        <v>7.2475591212322721E-2</v>
      </c>
      <c r="O9149" s="2">
        <f ca="1"/>
        <v>1.4371594798406468</v>
      </c>
      <c r="X9149" s="2">
        <f ca="1"/>
        <v>72.648404568046359</v>
      </c>
      <c r="AG9149" s="2">
        <f ca="1"/>
        <v>0.81728738026043435</v>
      </c>
      <c r="AH9149" s="2" t="str">
        <f ca="1"/>
        <v>Bad</v>
      </c>
    </row>
    <row r="9150" spans="2:34" x14ac:dyDescent="0.2">
      <c r="B9150" s="2">
        <f ca="1"/>
        <v>8.925886302223085E-2</v>
      </c>
      <c r="O9150" s="2">
        <f ca="1"/>
        <v>0.4112003345730626</v>
      </c>
      <c r="X9150" s="2">
        <f ca="1"/>
        <v>49.17038778710662</v>
      </c>
      <c r="AG9150" s="2">
        <f ca="1"/>
        <v>0.88722220972876875</v>
      </c>
      <c r="AH9150" s="2" t="str">
        <f ca="1"/>
        <v>Bad</v>
      </c>
    </row>
    <row r="9151" spans="2:34" x14ac:dyDescent="0.2">
      <c r="B9151" s="2">
        <f ca="1"/>
        <v>0.18184220695620201</v>
      </c>
      <c r="O9151" s="2">
        <f ca="1"/>
        <v>0.36680116146748004</v>
      </c>
      <c r="X9151" s="2">
        <f ca="1"/>
        <v>42.170613209224008</v>
      </c>
      <c r="AG9151" s="2">
        <f ca="1"/>
        <v>0.47849805783400146</v>
      </c>
      <c r="AH9151" s="2" t="str">
        <f ca="1"/>
        <v>Bad</v>
      </c>
    </row>
    <row r="9152" spans="2:34" x14ac:dyDescent="0.2">
      <c r="B9152" s="2">
        <f ca="1"/>
        <v>0.13306374115719</v>
      </c>
      <c r="O9152" s="2">
        <f ca="1"/>
        <v>-0.10383186547836767</v>
      </c>
      <c r="X9152" s="2">
        <f ca="1"/>
        <v>66.142272424698646</v>
      </c>
      <c r="AG9152" s="2">
        <f ca="1"/>
        <v>0.72529174351299175</v>
      </c>
      <c r="AH9152" s="2" t="str">
        <f ca="1"/>
        <v>Bad</v>
      </c>
    </row>
    <row r="9153" spans="2:34" x14ac:dyDescent="0.2">
      <c r="B9153" s="2">
        <f ca="1"/>
        <v>0.3241495104029728</v>
      </c>
      <c r="O9153" s="2">
        <f ca="1"/>
        <v>-0.78143524762221028</v>
      </c>
      <c r="X9153" s="2">
        <f ca="1"/>
        <v>60.539934815132604</v>
      </c>
      <c r="AG9153" s="2">
        <f ca="1"/>
        <v>0.15379069507576526</v>
      </c>
      <c r="AH9153" s="2" t="str">
        <f ca="1"/>
        <v>OK</v>
      </c>
    </row>
    <row r="9154" spans="2:34" x14ac:dyDescent="0.2">
      <c r="B9154" s="2">
        <f ca="1"/>
        <v>0.36091185710334073</v>
      </c>
      <c r="O9154" s="2">
        <f ca="1"/>
        <v>-0.87742986899207809</v>
      </c>
      <c r="X9154" s="2">
        <f ca="1"/>
        <v>52.53091352493427</v>
      </c>
      <c r="AG9154" s="2">
        <f ca="1"/>
        <v>0.92475935483976057</v>
      </c>
      <c r="AH9154" s="2" t="str">
        <f ca="1"/>
        <v>Bad</v>
      </c>
    </row>
    <row r="9155" spans="2:34" x14ac:dyDescent="0.2">
      <c r="B9155" s="2">
        <f ca="1"/>
        <v>0.53941243786709547</v>
      </c>
      <c r="O9155" s="2">
        <f ca="1"/>
        <v>2.0009287664202184</v>
      </c>
      <c r="X9155" s="2">
        <f ca="1"/>
        <v>55.812724108067897</v>
      </c>
      <c r="AG9155" s="2">
        <f ca="1"/>
        <v>0.92938077613437731</v>
      </c>
      <c r="AH9155" s="2" t="str">
        <f ca="1"/>
        <v>Bad</v>
      </c>
    </row>
    <row r="9156" spans="2:34" x14ac:dyDescent="0.2">
      <c r="B9156" s="2">
        <f ca="1"/>
        <v>0.1216047999835963</v>
      </c>
      <c r="O9156" s="2">
        <f ca="1"/>
        <v>-0.3918922039836833</v>
      </c>
      <c r="X9156" s="2">
        <f ca="1"/>
        <v>66.606087416145485</v>
      </c>
      <c r="AG9156" s="2">
        <f ca="1"/>
        <v>0.50132605975290079</v>
      </c>
      <c r="AH9156" s="2" t="str">
        <f ca="1"/>
        <v>Bad</v>
      </c>
    </row>
    <row r="9157" spans="2:34" x14ac:dyDescent="0.2">
      <c r="B9157" s="2">
        <f ca="1"/>
        <v>5.5928135344882834E-2</v>
      </c>
      <c r="O9157" s="2">
        <f ca="1"/>
        <v>0.48093749241482298</v>
      </c>
      <c r="X9157" s="2">
        <f ca="1"/>
        <v>89.894691298161035</v>
      </c>
      <c r="AG9157" s="2">
        <f ca="1"/>
        <v>0.63469214405563124</v>
      </c>
      <c r="AH9157" s="2" t="str">
        <f ca="1"/>
        <v>Bad</v>
      </c>
    </row>
    <row r="9158" spans="2:34" x14ac:dyDescent="0.2">
      <c r="B9158" s="2">
        <f ca="1"/>
        <v>0.68954493954265539</v>
      </c>
      <c r="O9158" s="2">
        <f ca="1"/>
        <v>-0.97810960355953813</v>
      </c>
      <c r="X9158" s="2">
        <f ca="1"/>
        <v>71.435286568019308</v>
      </c>
      <c r="AG9158" s="2">
        <f ca="1"/>
        <v>0.25235481999576037</v>
      </c>
      <c r="AH9158" s="2" t="str">
        <f ca="1"/>
        <v>OK</v>
      </c>
    </row>
    <row r="9159" spans="2:34" x14ac:dyDescent="0.2">
      <c r="B9159" s="2">
        <f ca="1"/>
        <v>0.19019076137228863</v>
      </c>
      <c r="O9159" s="2">
        <f ca="1"/>
        <v>0.85885522089380617</v>
      </c>
      <c r="X9159" s="2">
        <f ca="1"/>
        <v>41.161719724926236</v>
      </c>
      <c r="AG9159" s="2">
        <f ca="1"/>
        <v>0.56368060175640955</v>
      </c>
      <c r="AH9159" s="2" t="str">
        <f ca="1"/>
        <v>Bad</v>
      </c>
    </row>
    <row r="9160" spans="2:34" x14ac:dyDescent="0.2">
      <c r="B9160" s="2">
        <f ca="1"/>
        <v>0.5252037371745597</v>
      </c>
      <c r="O9160" s="2">
        <f ca="1"/>
        <v>-5.9960073595303497E-2</v>
      </c>
      <c r="X9160" s="2">
        <f ca="1"/>
        <v>64.275790805578268</v>
      </c>
      <c r="AG9160" s="2">
        <f ca="1"/>
        <v>0.86016857697470095</v>
      </c>
      <c r="AH9160" s="2" t="str">
        <f ca="1"/>
        <v>Bad</v>
      </c>
    </row>
    <row r="9161" spans="2:34" x14ac:dyDescent="0.2">
      <c r="B9161" s="2">
        <f ca="1"/>
        <v>0.81772086713047942</v>
      </c>
      <c r="O9161" s="2">
        <f ca="1"/>
        <v>2.1598315101040035</v>
      </c>
      <c r="X9161" s="2">
        <f ca="1"/>
        <v>65.934876030529935</v>
      </c>
      <c r="AG9161" s="2">
        <f ca="1"/>
        <v>0.54624965195831776</v>
      </c>
      <c r="AH9161" s="2" t="str">
        <f ca="1"/>
        <v>Bad</v>
      </c>
    </row>
    <row r="9162" spans="2:34" x14ac:dyDescent="0.2">
      <c r="B9162" s="2">
        <f ca="1"/>
        <v>0.77160731156295337</v>
      </c>
      <c r="O9162" s="2">
        <f ca="1"/>
        <v>-0.441587474806519</v>
      </c>
      <c r="X9162" s="2">
        <f ca="1"/>
        <v>27.741763869955104</v>
      </c>
      <c r="AG9162" s="2">
        <f ca="1"/>
        <v>0.78437612926226952</v>
      </c>
      <c r="AH9162" s="2" t="str">
        <f ca="1"/>
        <v>Bad</v>
      </c>
    </row>
    <row r="9163" spans="2:34" x14ac:dyDescent="0.2">
      <c r="B9163" s="2">
        <f ca="1"/>
        <v>0.38023372302086256</v>
      </c>
      <c r="O9163" s="2">
        <f ca="1"/>
        <v>-0.5040326267394234</v>
      </c>
      <c r="X9163" s="2">
        <f ca="1"/>
        <v>46.883242945887162</v>
      </c>
      <c r="AG9163" s="2">
        <f ca="1"/>
        <v>0.41943604363416154</v>
      </c>
      <c r="AH9163" s="2" t="str">
        <f ca="1"/>
        <v>Bad</v>
      </c>
    </row>
    <row r="9164" spans="2:34" x14ac:dyDescent="0.2">
      <c r="B9164" s="2">
        <f ca="1"/>
        <v>0.27733638463241927</v>
      </c>
      <c r="O9164" s="2">
        <f ca="1"/>
        <v>-1.0078828051864035</v>
      </c>
      <c r="X9164" s="2">
        <f ca="1"/>
        <v>36.319702828484921</v>
      </c>
      <c r="AG9164" s="2">
        <f ca="1"/>
        <v>0.68064336597010944</v>
      </c>
      <c r="AH9164" s="2" t="str">
        <f ca="1"/>
        <v>Bad</v>
      </c>
    </row>
    <row r="9165" spans="2:34" x14ac:dyDescent="0.2">
      <c r="B9165" s="2">
        <f ca="1"/>
        <v>0.23728667971165018</v>
      </c>
      <c r="O9165" s="2">
        <f ca="1"/>
        <v>-0.76620020272490963</v>
      </c>
      <c r="X9165" s="2">
        <f ca="1"/>
        <v>37.331231080915501</v>
      </c>
      <c r="AG9165" s="2">
        <f ca="1"/>
        <v>0.9893361724275691</v>
      </c>
      <c r="AH9165" s="2" t="str">
        <f ca="1"/>
        <v>Bad</v>
      </c>
    </row>
    <row r="9166" spans="2:34" x14ac:dyDescent="0.2">
      <c r="B9166" s="2">
        <f ca="1"/>
        <v>0.53069139298599177</v>
      </c>
      <c r="O9166" s="2">
        <f ca="1"/>
        <v>0.42891696587770411</v>
      </c>
      <c r="X9166" s="2">
        <f ca="1"/>
        <v>52.744622609722249</v>
      </c>
      <c r="AG9166" s="2">
        <f ca="1"/>
        <v>0.73213402388346016</v>
      </c>
      <c r="AH9166" s="2" t="str">
        <f ca="1"/>
        <v>Bad</v>
      </c>
    </row>
    <row r="9167" spans="2:34" x14ac:dyDescent="0.2">
      <c r="B9167" s="2">
        <f ca="1"/>
        <v>1.6112237925350659E-2</v>
      </c>
      <c r="O9167" s="2">
        <f ca="1"/>
        <v>1.3663036318622772</v>
      </c>
      <c r="X9167" s="2">
        <f ca="1"/>
        <v>29.483065310148749</v>
      </c>
      <c r="AG9167" s="2">
        <f ca="1"/>
        <v>9.0267501674730743E-2</v>
      </c>
      <c r="AH9167" s="2" t="str">
        <f ca="1"/>
        <v>OK</v>
      </c>
    </row>
    <row r="9168" spans="2:34" x14ac:dyDescent="0.2">
      <c r="B9168" s="2">
        <f ca="1"/>
        <v>0.40707400429606455</v>
      </c>
      <c r="O9168" s="2">
        <f ca="1"/>
        <v>0.57302751069136815</v>
      </c>
      <c r="X9168" s="2">
        <f ca="1"/>
        <v>42.990306807838472</v>
      </c>
      <c r="AG9168" s="2">
        <f ca="1"/>
        <v>0.30714275269381575</v>
      </c>
      <c r="AH9168" s="2" t="str">
        <f ca="1"/>
        <v>OK</v>
      </c>
    </row>
    <row r="9169" spans="2:34" x14ac:dyDescent="0.2">
      <c r="B9169" s="2">
        <f ca="1"/>
        <v>0.16052041529610106</v>
      </c>
      <c r="O9169" s="2">
        <f ca="1"/>
        <v>1.0390046187631121</v>
      </c>
      <c r="X9169" s="2">
        <f ca="1"/>
        <v>37.587276116520172</v>
      </c>
      <c r="AG9169" s="2">
        <f ca="1"/>
        <v>0.39220087446697138</v>
      </c>
      <c r="AH9169" s="2" t="str">
        <f ca="1"/>
        <v>OK</v>
      </c>
    </row>
    <row r="9170" spans="2:34" x14ac:dyDescent="0.2">
      <c r="B9170" s="2">
        <f ca="1"/>
        <v>0.16412804829288707</v>
      </c>
      <c r="O9170" s="2">
        <f ca="1"/>
        <v>-0.48156286336643361</v>
      </c>
      <c r="X9170" s="2">
        <f ca="1"/>
        <v>29.827559898456187</v>
      </c>
      <c r="AG9170" s="2">
        <f ca="1"/>
        <v>5.5326875842772738E-2</v>
      </c>
      <c r="AH9170" s="2" t="str">
        <f ca="1"/>
        <v>OK</v>
      </c>
    </row>
    <row r="9171" spans="2:34" x14ac:dyDescent="0.2">
      <c r="B9171" s="2">
        <f ca="1"/>
        <v>0.65180723523698991</v>
      </c>
      <c r="O9171" s="2">
        <f ca="1"/>
        <v>0.74622752200761311</v>
      </c>
      <c r="X9171" s="2">
        <f ca="1"/>
        <v>36.053764009845978</v>
      </c>
      <c r="AG9171" s="2">
        <f ca="1"/>
        <v>0.51129489068075595</v>
      </c>
      <c r="AH9171" s="2" t="str">
        <f ca="1"/>
        <v>Bad</v>
      </c>
    </row>
    <row r="9172" spans="2:34" x14ac:dyDescent="0.2">
      <c r="B9172" s="2">
        <f ca="1"/>
        <v>0.6849990981542895</v>
      </c>
      <c r="O9172" s="2">
        <f ca="1"/>
        <v>0.33700284694826577</v>
      </c>
      <c r="X9172" s="2">
        <f ca="1"/>
        <v>71.714964314447144</v>
      </c>
      <c r="AG9172" s="2">
        <f ca="1"/>
        <v>0.78207911829593502</v>
      </c>
      <c r="AH9172" s="2" t="str">
        <f ca="1"/>
        <v>Bad</v>
      </c>
    </row>
    <row r="9173" spans="2:34" x14ac:dyDescent="0.2">
      <c r="B9173" s="2">
        <f ca="1"/>
        <v>0.69011723824890225</v>
      </c>
      <c r="O9173" s="2">
        <f ca="1"/>
        <v>0.28248239348170062</v>
      </c>
      <c r="X9173" s="2">
        <f ca="1"/>
        <v>58.307687537644156</v>
      </c>
      <c r="AG9173" s="2">
        <f ca="1"/>
        <v>6.4954294977853211E-2</v>
      </c>
      <c r="AH9173" s="2" t="str">
        <f ca="1"/>
        <v>OK</v>
      </c>
    </row>
    <row r="9174" spans="2:34" x14ac:dyDescent="0.2">
      <c r="B9174" s="2">
        <f ca="1"/>
        <v>0.5176331999156023</v>
      </c>
      <c r="O9174" s="2">
        <f ca="1"/>
        <v>-0.55656747684996966</v>
      </c>
      <c r="X9174" s="2">
        <f ca="1"/>
        <v>52.375130819219763</v>
      </c>
      <c r="AG9174" s="2">
        <f ca="1"/>
        <v>0.52719841922176514</v>
      </c>
      <c r="AH9174" s="2" t="str">
        <f ca="1"/>
        <v>Bad</v>
      </c>
    </row>
    <row r="9175" spans="2:34" x14ac:dyDescent="0.2">
      <c r="B9175" s="2">
        <f ca="1"/>
        <v>1.7504094130735171E-2</v>
      </c>
      <c r="O9175" s="2">
        <f ca="1"/>
        <v>0.22057297535801537</v>
      </c>
      <c r="X9175" s="2">
        <f ca="1"/>
        <v>37.970451914817538</v>
      </c>
      <c r="AG9175" s="2">
        <f ca="1"/>
        <v>6.1146913360129673E-2</v>
      </c>
      <c r="AH9175" s="2" t="str">
        <f ca="1"/>
        <v>OK</v>
      </c>
    </row>
    <row r="9176" spans="2:34" x14ac:dyDescent="0.2">
      <c r="B9176" s="2">
        <f ca="1"/>
        <v>0.79860036382866251</v>
      </c>
      <c r="O9176" s="2">
        <f ca="1"/>
        <v>1.7293085258152856</v>
      </c>
      <c r="X9176" s="2">
        <f ca="1"/>
        <v>55.507175540106729</v>
      </c>
      <c r="AG9176" s="2">
        <f ca="1"/>
        <v>0.51177710036134227</v>
      </c>
      <c r="AH9176" s="2" t="str">
        <f ca="1"/>
        <v>Bad</v>
      </c>
    </row>
    <row r="9177" spans="2:34" x14ac:dyDescent="0.2">
      <c r="B9177" s="2">
        <f ca="1"/>
        <v>0.54860986921862187</v>
      </c>
      <c r="O9177" s="2">
        <f ca="1"/>
        <v>5.6250013619238903E-3</v>
      </c>
      <c r="X9177" s="2">
        <f ca="1"/>
        <v>29.737980359582096</v>
      </c>
      <c r="AG9177" s="2">
        <f ca="1"/>
        <v>0.76799567312873518</v>
      </c>
      <c r="AH9177" s="2" t="str">
        <f ca="1"/>
        <v>Bad</v>
      </c>
    </row>
    <row r="9178" spans="2:34" x14ac:dyDescent="0.2">
      <c r="B9178" s="2">
        <f ca="1"/>
        <v>0.3958289370638326</v>
      </c>
      <c r="O9178" s="2">
        <f ca="1"/>
        <v>-1.4645398074659575</v>
      </c>
      <c r="X9178" s="2">
        <f ca="1"/>
        <v>47.909702670918705</v>
      </c>
      <c r="AG9178" s="2">
        <f ca="1"/>
        <v>4.5139493928831653E-2</v>
      </c>
      <c r="AH9178" s="2" t="str">
        <f ca="1"/>
        <v>Good</v>
      </c>
    </row>
    <row r="9179" spans="2:34" x14ac:dyDescent="0.2">
      <c r="B9179" s="2">
        <f ca="1"/>
        <v>0.55967861891814885</v>
      </c>
      <c r="O9179" s="2">
        <f ca="1"/>
        <v>-0.21088695940560528</v>
      </c>
      <c r="X9179" s="2">
        <f ca="1"/>
        <v>42.047483214183018</v>
      </c>
      <c r="AG9179" s="2">
        <f ca="1"/>
        <v>0.85060938735390068</v>
      </c>
      <c r="AH9179" s="2" t="str">
        <f ca="1"/>
        <v>Bad</v>
      </c>
    </row>
    <row r="9180" spans="2:34" x14ac:dyDescent="0.2">
      <c r="B9180" s="2">
        <f ca="1"/>
        <v>0.10719785168525475</v>
      </c>
      <c r="O9180" s="2">
        <f ca="1"/>
        <v>0.49235796401532222</v>
      </c>
      <c r="X9180" s="2">
        <f ca="1"/>
        <v>74.065982127022508</v>
      </c>
      <c r="AG9180" s="2">
        <f ca="1"/>
        <v>0.91971586734741817</v>
      </c>
      <c r="AH9180" s="2" t="str">
        <f ca="1"/>
        <v>Bad</v>
      </c>
    </row>
    <row r="9181" spans="2:34" x14ac:dyDescent="0.2">
      <c r="B9181" s="2">
        <f ca="1"/>
        <v>0.47992666620038804</v>
      </c>
      <c r="O9181" s="2">
        <f ca="1"/>
        <v>-0.21520852323242398</v>
      </c>
      <c r="X9181" s="2">
        <f ca="1"/>
        <v>50.681043855746665</v>
      </c>
      <c r="AG9181" s="2">
        <f ca="1"/>
        <v>0.57574052717871016</v>
      </c>
      <c r="AH9181" s="2" t="str">
        <f ca="1"/>
        <v>Bad</v>
      </c>
    </row>
    <row r="9182" spans="2:34" x14ac:dyDescent="0.2">
      <c r="B9182" s="2">
        <f ca="1"/>
        <v>0.34523323045463128</v>
      </c>
      <c r="O9182" s="2">
        <f ca="1"/>
        <v>-1.0723742408743819</v>
      </c>
      <c r="X9182" s="2">
        <f ca="1"/>
        <v>40.164916213423311</v>
      </c>
      <c r="AG9182" s="2">
        <f ca="1"/>
        <v>0.64733716838463229</v>
      </c>
      <c r="AH9182" s="2" t="str">
        <f ca="1"/>
        <v>Bad</v>
      </c>
    </row>
    <row r="9183" spans="2:34" x14ac:dyDescent="0.2">
      <c r="B9183" s="2">
        <f ca="1"/>
        <v>0.30501565171831357</v>
      </c>
      <c r="O9183" s="2">
        <f ca="1"/>
        <v>-0.88247639027375446</v>
      </c>
      <c r="X9183" s="2">
        <f ca="1"/>
        <v>42.575207539827289</v>
      </c>
      <c r="AG9183" s="2">
        <f ca="1"/>
        <v>0.22162438216591651</v>
      </c>
      <c r="AH9183" s="2" t="str">
        <f ca="1"/>
        <v>OK</v>
      </c>
    </row>
    <row r="9184" spans="2:34" x14ac:dyDescent="0.2">
      <c r="B9184" s="2">
        <f ca="1"/>
        <v>0.68649633274153365</v>
      </c>
      <c r="O9184" s="2">
        <f ca="1"/>
        <v>0.87093221217224381</v>
      </c>
      <c r="X9184" s="2">
        <f ca="1"/>
        <v>82.162794503287586</v>
      </c>
      <c r="AG9184" s="2">
        <f ca="1"/>
        <v>0.68971319990429669</v>
      </c>
      <c r="AH9184" s="2" t="str">
        <f ca="1"/>
        <v>Bad</v>
      </c>
    </row>
    <row r="9185" spans="2:34" x14ac:dyDescent="0.2">
      <c r="B9185" s="2">
        <f ca="1"/>
        <v>0.58506191697246068</v>
      </c>
      <c r="O9185" s="2">
        <f ca="1"/>
        <v>-0.78158602661706711</v>
      </c>
      <c r="X9185" s="2">
        <f ca="1"/>
        <v>69.480239445540107</v>
      </c>
      <c r="AG9185" s="2">
        <f ca="1"/>
        <v>0.55057289680277988</v>
      </c>
      <c r="AH9185" s="2" t="str">
        <f ca="1"/>
        <v>Bad</v>
      </c>
    </row>
    <row r="9186" spans="2:34" x14ac:dyDescent="0.2">
      <c r="B9186" s="2">
        <f ca="1"/>
        <v>0.14357578287646056</v>
      </c>
      <c r="O9186" s="2">
        <f ca="1"/>
        <v>-0.80278224296534351</v>
      </c>
      <c r="X9186" s="2">
        <f ca="1"/>
        <v>26.077315686087452</v>
      </c>
      <c r="AG9186" s="2">
        <f ca="1"/>
        <v>0.75820677304965334</v>
      </c>
      <c r="AH9186" s="2" t="str">
        <f ca="1"/>
        <v>Bad</v>
      </c>
    </row>
    <row r="9187" spans="2:34" x14ac:dyDescent="0.2">
      <c r="B9187" s="2">
        <f ca="1"/>
        <v>3.7014905483265803E-3</v>
      </c>
      <c r="O9187" s="2">
        <f ca="1"/>
        <v>0.81752952525290234</v>
      </c>
      <c r="X9187" s="2">
        <f ca="1"/>
        <v>50.885511703981393</v>
      </c>
      <c r="AG9187" s="2">
        <f ca="1"/>
        <v>0.32546835905935678</v>
      </c>
      <c r="AH9187" s="2" t="str">
        <f ca="1"/>
        <v>OK</v>
      </c>
    </row>
    <row r="9188" spans="2:34" x14ac:dyDescent="0.2">
      <c r="B9188" s="2">
        <f ca="1"/>
        <v>0.54004384783746473</v>
      </c>
      <c r="O9188" s="2">
        <f ca="1"/>
        <v>-1.9328527345966731</v>
      </c>
      <c r="X9188" s="2">
        <f ca="1"/>
        <v>103.3368640160696</v>
      </c>
      <c r="AG9188" s="2">
        <f ca="1"/>
        <v>0.82587102118902433</v>
      </c>
      <c r="AH9188" s="2" t="str">
        <f ca="1"/>
        <v>Bad</v>
      </c>
    </row>
    <row r="9189" spans="2:34" x14ac:dyDescent="0.2">
      <c r="B9189" s="2">
        <f ca="1"/>
        <v>0.76777925237023714</v>
      </c>
      <c r="O9189" s="2">
        <f ca="1"/>
        <v>0.40334123750194101</v>
      </c>
      <c r="X9189" s="2">
        <f ca="1"/>
        <v>34.424313362545753</v>
      </c>
      <c r="AG9189" s="2">
        <f ca="1"/>
        <v>0.67235946133290203</v>
      </c>
      <c r="AH9189" s="2" t="str">
        <f ca="1"/>
        <v>Bad</v>
      </c>
    </row>
    <row r="9190" spans="2:34" x14ac:dyDescent="0.2">
      <c r="B9190" s="2">
        <f ca="1"/>
        <v>0.12339008576305122</v>
      </c>
      <c r="O9190" s="2">
        <f ca="1"/>
        <v>-0.41035173491752974</v>
      </c>
      <c r="X9190" s="2">
        <f ca="1"/>
        <v>60.215886867330241</v>
      </c>
      <c r="AG9190" s="2">
        <f ca="1"/>
        <v>0.35271923939218031</v>
      </c>
      <c r="AH9190" s="2" t="str">
        <f ca="1"/>
        <v>OK</v>
      </c>
    </row>
    <row r="9191" spans="2:34" x14ac:dyDescent="0.2">
      <c r="B9191" s="2">
        <f ca="1"/>
        <v>0.6844812359988377</v>
      </c>
      <c r="O9191" s="2">
        <f ca="1"/>
        <v>-2.4742725635848521</v>
      </c>
      <c r="X9191" s="2">
        <f ca="1"/>
        <v>69.148318036416597</v>
      </c>
      <c r="AG9191" s="2">
        <f ca="1"/>
        <v>0.20499322541872078</v>
      </c>
      <c r="AH9191" s="2" t="str">
        <f ca="1"/>
        <v>OK</v>
      </c>
    </row>
    <row r="9192" spans="2:34" x14ac:dyDescent="0.2">
      <c r="B9192" s="2">
        <f ca="1"/>
        <v>0.51252796505819243</v>
      </c>
      <c r="O9192" s="2">
        <f ca="1"/>
        <v>1.2052533678423605</v>
      </c>
      <c r="X9192" s="2">
        <f ca="1"/>
        <v>41.967070408473653</v>
      </c>
      <c r="AG9192" s="2">
        <f ca="1"/>
        <v>1.6277383500544307E-2</v>
      </c>
      <c r="AH9192" s="2" t="str">
        <f ca="1"/>
        <v>Good</v>
      </c>
    </row>
    <row r="9193" spans="2:34" x14ac:dyDescent="0.2">
      <c r="B9193" s="2">
        <f ca="1"/>
        <v>0.90104971001364453</v>
      </c>
      <c r="O9193" s="2">
        <f ca="1"/>
        <v>-0.30610084156823458</v>
      </c>
      <c r="X9193" s="2">
        <f ca="1"/>
        <v>37.562728312955485</v>
      </c>
      <c r="AG9193" s="2">
        <f ca="1"/>
        <v>0.9615285602329382</v>
      </c>
      <c r="AH9193" s="2" t="str">
        <f ca="1"/>
        <v>Bad</v>
      </c>
    </row>
    <row r="9194" spans="2:34" x14ac:dyDescent="0.2">
      <c r="B9194" s="2">
        <f ca="1"/>
        <v>0.56263674016240484</v>
      </c>
      <c r="O9194" s="2">
        <f ca="1"/>
        <v>-1.0025953489283217</v>
      </c>
      <c r="X9194" s="2">
        <f ca="1"/>
        <v>43.857636805536174</v>
      </c>
      <c r="AG9194" s="2">
        <f ca="1"/>
        <v>0.76962083824346084</v>
      </c>
      <c r="AH9194" s="2" t="str">
        <f ca="1"/>
        <v>Bad</v>
      </c>
    </row>
    <row r="9195" spans="2:34" x14ac:dyDescent="0.2">
      <c r="B9195" s="2">
        <f ca="1"/>
        <v>0.96563486660047015</v>
      </c>
      <c r="O9195" s="2">
        <f ca="1"/>
        <v>0.5372381184243662</v>
      </c>
      <c r="X9195" s="2">
        <f ca="1"/>
        <v>53.793466040365942</v>
      </c>
      <c r="AG9195" s="2">
        <f ca="1"/>
        <v>0.40332255401998696</v>
      </c>
      <c r="AH9195" s="2" t="str">
        <f ca="1"/>
        <v>Bad</v>
      </c>
    </row>
    <row r="9196" spans="2:34" x14ac:dyDescent="0.2">
      <c r="B9196" s="2">
        <f ca="1"/>
        <v>0.43019912734965882</v>
      </c>
      <c r="O9196" s="2">
        <f ca="1"/>
        <v>0.92288491374319048</v>
      </c>
      <c r="X9196" s="2">
        <f ca="1"/>
        <v>60.864461853003661</v>
      </c>
      <c r="AG9196" s="2">
        <f ca="1"/>
        <v>0.17998955338384892</v>
      </c>
      <c r="AH9196" s="2" t="str">
        <f ca="1"/>
        <v>OK</v>
      </c>
    </row>
    <row r="9197" spans="2:34" x14ac:dyDescent="0.2">
      <c r="B9197" s="2">
        <f ca="1"/>
        <v>0.79241118354209727</v>
      </c>
      <c r="O9197" s="2">
        <f ca="1"/>
        <v>1.0492343308857717</v>
      </c>
      <c r="X9197" s="2">
        <f ca="1"/>
        <v>65.817414379357203</v>
      </c>
      <c r="AG9197" s="2">
        <f ca="1"/>
        <v>0.41143102771102091</v>
      </c>
      <c r="AH9197" s="2" t="str">
        <f ca="1"/>
        <v>Bad</v>
      </c>
    </row>
    <row r="9198" spans="2:34" x14ac:dyDescent="0.2">
      <c r="B9198" s="2">
        <f ca="1"/>
        <v>0.41163148884163214</v>
      </c>
      <c r="O9198" s="2">
        <f ca="1"/>
        <v>-0.90073112068260652</v>
      </c>
      <c r="X9198" s="2">
        <f ca="1"/>
        <v>55.460260485174004</v>
      </c>
      <c r="AG9198" s="2">
        <f ca="1"/>
        <v>0.37208067906667752</v>
      </c>
      <c r="AH9198" s="2" t="str">
        <f ca="1"/>
        <v>OK</v>
      </c>
    </row>
    <row r="9199" spans="2:34" x14ac:dyDescent="0.2">
      <c r="B9199" s="2">
        <f ca="1"/>
        <v>0.63466598233875193</v>
      </c>
      <c r="O9199" s="2">
        <f ca="1"/>
        <v>-0.55806794991486253</v>
      </c>
      <c r="X9199" s="2">
        <f ca="1"/>
        <v>57.91851867748862</v>
      </c>
      <c r="AG9199" s="2">
        <f ca="1"/>
        <v>0.18568348991109973</v>
      </c>
      <c r="AH9199" s="2" t="str">
        <f ca="1"/>
        <v>OK</v>
      </c>
    </row>
    <row r="9200" spans="2:34" x14ac:dyDescent="0.2">
      <c r="B9200" s="2">
        <f ca="1"/>
        <v>0.67898235072750768</v>
      </c>
      <c r="O9200" s="2">
        <f ca="1"/>
        <v>-0.56775517888698179</v>
      </c>
      <c r="X9200" s="2">
        <f ca="1"/>
        <v>45.320773902079161</v>
      </c>
      <c r="AG9200" s="2">
        <f ca="1"/>
        <v>0.98719378585822137</v>
      </c>
      <c r="AH9200" s="2" t="str">
        <f ca="1"/>
        <v>Bad</v>
      </c>
    </row>
    <row r="9201" spans="2:34" x14ac:dyDescent="0.2">
      <c r="B9201" s="2">
        <f ca="1"/>
        <v>0.95469162752766001</v>
      </c>
      <c r="O9201" s="2">
        <f ca="1"/>
        <v>0.6869933360338546</v>
      </c>
      <c r="X9201" s="2">
        <f ca="1"/>
        <v>43.606002896533234</v>
      </c>
      <c r="AG9201" s="2">
        <f ca="1"/>
        <v>7.4631247895407427E-2</v>
      </c>
      <c r="AH9201" s="2" t="str">
        <f ca="1"/>
        <v>OK</v>
      </c>
    </row>
    <row r="9202" spans="2:34" x14ac:dyDescent="0.2">
      <c r="B9202" s="2">
        <f ca="1"/>
        <v>0.20413901186764205</v>
      </c>
      <c r="O9202" s="2">
        <f ca="1"/>
        <v>0.48772656578700407</v>
      </c>
      <c r="X9202" s="2">
        <f ca="1"/>
        <v>30.058182463917575</v>
      </c>
      <c r="AG9202" s="2">
        <f ca="1"/>
        <v>8.942691299821548E-2</v>
      </c>
      <c r="AH9202" s="2" t="str">
        <f ca="1"/>
        <v>OK</v>
      </c>
    </row>
    <row r="9203" spans="2:34" x14ac:dyDescent="0.2">
      <c r="B9203" s="2">
        <f ca="1"/>
        <v>0.9818163829086326</v>
      </c>
      <c r="O9203" s="2">
        <f ca="1"/>
        <v>-0.86365653531925679</v>
      </c>
      <c r="X9203" s="2">
        <f ca="1"/>
        <v>50.96038800465297</v>
      </c>
      <c r="AG9203" s="2">
        <f ca="1"/>
        <v>7.0631847193336927E-2</v>
      </c>
      <c r="AH9203" s="2" t="str">
        <f ca="1"/>
        <v>OK</v>
      </c>
    </row>
    <row r="9204" spans="2:34" x14ac:dyDescent="0.2">
      <c r="B9204" s="2">
        <f ca="1"/>
        <v>0.77860713724847952</v>
      </c>
      <c r="O9204" s="2">
        <f ca="1"/>
        <v>-0.16003847408531349</v>
      </c>
      <c r="X9204" s="2">
        <f ca="1"/>
        <v>59.757291422983442</v>
      </c>
      <c r="AG9204" s="2">
        <f ca="1"/>
        <v>0.70810820512030692</v>
      </c>
      <c r="AH9204" s="2" t="str">
        <f ca="1"/>
        <v>Bad</v>
      </c>
    </row>
    <row r="9205" spans="2:34" x14ac:dyDescent="0.2">
      <c r="B9205" s="2">
        <f ca="1"/>
        <v>0.27496650059614502</v>
      </c>
      <c r="O9205" s="2">
        <f ca="1"/>
        <v>0.14814045800531478</v>
      </c>
      <c r="X9205" s="2">
        <f ca="1"/>
        <v>42.377956001246496</v>
      </c>
      <c r="AG9205" s="2">
        <f ca="1"/>
        <v>9.1125445021956519E-2</v>
      </c>
      <c r="AH9205" s="2" t="str">
        <f ca="1"/>
        <v>OK</v>
      </c>
    </row>
    <row r="9206" spans="2:34" x14ac:dyDescent="0.2">
      <c r="B9206" s="2">
        <f ca="1"/>
        <v>0.27771928607510099</v>
      </c>
      <c r="O9206" s="2">
        <f ca="1"/>
        <v>-0.36861055370956891</v>
      </c>
      <c r="X9206" s="2">
        <f ca="1"/>
        <v>67.2843633319209</v>
      </c>
      <c r="AG9206" s="2">
        <f ca="1"/>
        <v>0.67133828603521262</v>
      </c>
      <c r="AH9206" s="2" t="str">
        <f ca="1"/>
        <v>Bad</v>
      </c>
    </row>
    <row r="9207" spans="2:34" x14ac:dyDescent="0.2">
      <c r="B9207" s="2">
        <f ca="1"/>
        <v>0.89459537846077541</v>
      </c>
      <c r="O9207" s="2">
        <f ca="1"/>
        <v>-1.1720576597827905</v>
      </c>
      <c r="X9207" s="2">
        <f ca="1"/>
        <v>66.717606993813732</v>
      </c>
      <c r="AG9207" s="2">
        <f ca="1"/>
        <v>0.1241842534366473</v>
      </c>
      <c r="AH9207" s="2" t="str">
        <f ca="1"/>
        <v>OK</v>
      </c>
    </row>
    <row r="9208" spans="2:34" x14ac:dyDescent="0.2">
      <c r="B9208" s="2">
        <f ca="1"/>
        <v>0.77597214623453303</v>
      </c>
      <c r="O9208" s="2">
        <f ca="1"/>
        <v>2.4852874513176783E-2</v>
      </c>
      <c r="X9208" s="2">
        <f ca="1"/>
        <v>56.852082960307477</v>
      </c>
      <c r="AG9208" s="2">
        <f ca="1"/>
        <v>7.3600290715246208E-2</v>
      </c>
      <c r="AH9208" s="2" t="str">
        <f ca="1"/>
        <v>OK</v>
      </c>
    </row>
    <row r="9209" spans="2:34" x14ac:dyDescent="0.2">
      <c r="B9209" s="2">
        <f ca="1"/>
        <v>0.27292967842007321</v>
      </c>
      <c r="O9209" s="2">
        <f ca="1"/>
        <v>-0.63430381618429921</v>
      </c>
      <c r="X9209" s="2">
        <f ca="1"/>
        <v>77.414334467880835</v>
      </c>
      <c r="AG9209" s="2">
        <f ca="1"/>
        <v>0.25243422251690117</v>
      </c>
      <c r="AH9209" s="2" t="str">
        <f ca="1"/>
        <v>OK</v>
      </c>
    </row>
    <row r="9210" spans="2:34" x14ac:dyDescent="0.2">
      <c r="B9210" s="2">
        <f ca="1"/>
        <v>0.5247624447226833</v>
      </c>
      <c r="O9210" s="2">
        <f ca="1"/>
        <v>0.43428864812101892</v>
      </c>
      <c r="X9210" s="2">
        <f ca="1"/>
        <v>26.671982595573024</v>
      </c>
      <c r="AG9210" s="2">
        <f ca="1"/>
        <v>0.53609644952019297</v>
      </c>
      <c r="AH9210" s="2" t="str">
        <f ca="1"/>
        <v>Bad</v>
      </c>
    </row>
    <row r="9211" spans="2:34" x14ac:dyDescent="0.2">
      <c r="B9211" s="2">
        <f ca="1"/>
        <v>0.66084109699721538</v>
      </c>
      <c r="O9211" s="2">
        <f ca="1"/>
        <v>-7.619257246779243E-2</v>
      </c>
      <c r="X9211" s="2">
        <f ca="1"/>
        <v>41.257169492990222</v>
      </c>
      <c r="AG9211" s="2">
        <f ca="1"/>
        <v>0.95658416654666678</v>
      </c>
      <c r="AH9211" s="2" t="str">
        <f ca="1"/>
        <v>Bad</v>
      </c>
    </row>
    <row r="9212" spans="2:34" x14ac:dyDescent="0.2">
      <c r="B9212" s="2">
        <f ca="1"/>
        <v>0.5496209359167108</v>
      </c>
      <c r="O9212" s="2">
        <f ca="1"/>
        <v>0.85610860526837096</v>
      </c>
      <c r="X9212" s="2">
        <f ca="1"/>
        <v>23.196241426432344</v>
      </c>
      <c r="AG9212" s="2">
        <f ca="1"/>
        <v>0.99427677866706166</v>
      </c>
      <c r="AH9212" s="2" t="str">
        <f ca="1"/>
        <v>Bad</v>
      </c>
    </row>
    <row r="9213" spans="2:34" x14ac:dyDescent="0.2">
      <c r="B9213" s="2">
        <f ca="1"/>
        <v>0.55814056131151046</v>
      </c>
      <c r="O9213" s="2">
        <f ca="1"/>
        <v>2.4615288586804326E-5</v>
      </c>
      <c r="X9213" s="2">
        <f ca="1"/>
        <v>41.698498426992145</v>
      </c>
      <c r="AG9213" s="2">
        <f ca="1"/>
        <v>0.23666690465696716</v>
      </c>
      <c r="AH9213" s="2" t="str">
        <f ca="1"/>
        <v>OK</v>
      </c>
    </row>
    <row r="9214" spans="2:34" x14ac:dyDescent="0.2">
      <c r="B9214" s="2">
        <f ca="1"/>
        <v>0.65027708253350403</v>
      </c>
      <c r="O9214" s="2">
        <f ca="1"/>
        <v>-0.90185823804438903</v>
      </c>
      <c r="X9214" s="2">
        <f ca="1"/>
        <v>41.882323441111744</v>
      </c>
      <c r="AG9214" s="2">
        <f ca="1"/>
        <v>0.70791858630994398</v>
      </c>
      <c r="AH9214" s="2" t="str">
        <f ca="1"/>
        <v>Bad</v>
      </c>
    </row>
    <row r="9215" spans="2:34" x14ac:dyDescent="0.2">
      <c r="B9215" s="2">
        <f ca="1"/>
        <v>8.2632516597616279E-2</v>
      </c>
      <c r="O9215" s="2">
        <f ca="1"/>
        <v>-3.1553941487810007E-3</v>
      </c>
      <c r="X9215" s="2">
        <f ca="1"/>
        <v>73.533613884227208</v>
      </c>
      <c r="AG9215" s="2">
        <f ca="1"/>
        <v>0.94635939875046415</v>
      </c>
      <c r="AH9215" s="2" t="str">
        <f ca="1"/>
        <v>Bad</v>
      </c>
    </row>
    <row r="9216" spans="2:34" x14ac:dyDescent="0.2">
      <c r="B9216" s="2">
        <f ca="1"/>
        <v>0.64566621792155088</v>
      </c>
      <c r="O9216" s="2">
        <f ca="1"/>
        <v>-0.17848825361565585</v>
      </c>
      <c r="X9216" s="2">
        <f ca="1"/>
        <v>35.670632787773087</v>
      </c>
      <c r="AG9216" s="2">
        <f ca="1"/>
        <v>0.36844626922874357</v>
      </c>
      <c r="AH9216" s="2" t="str">
        <f ca="1"/>
        <v>OK</v>
      </c>
    </row>
    <row r="9217" spans="2:34" x14ac:dyDescent="0.2">
      <c r="B9217" s="2">
        <f ca="1"/>
        <v>1.7261397603782758E-2</v>
      </c>
      <c r="O9217" s="2">
        <f ca="1"/>
        <v>0.46230449575604576</v>
      </c>
      <c r="X9217" s="2">
        <f ca="1"/>
        <v>57.098841751732657</v>
      </c>
      <c r="AG9217" s="2">
        <f ca="1"/>
        <v>0.68281772087789427</v>
      </c>
      <c r="AH9217" s="2" t="str">
        <f ca="1"/>
        <v>Bad</v>
      </c>
    </row>
    <row r="9218" spans="2:34" x14ac:dyDescent="0.2">
      <c r="B9218" s="2">
        <f ca="1"/>
        <v>0.26115326616536638</v>
      </c>
      <c r="O9218" s="2">
        <f ca="1"/>
        <v>-0.82255042725646654</v>
      </c>
      <c r="X9218" s="2">
        <f ca="1"/>
        <v>26.417393794776793</v>
      </c>
      <c r="AG9218" s="2">
        <f ca="1"/>
        <v>0.36192594857623717</v>
      </c>
      <c r="AH9218" s="2" t="str">
        <f ca="1"/>
        <v>OK</v>
      </c>
    </row>
    <row r="9219" spans="2:34" x14ac:dyDescent="0.2">
      <c r="B9219" s="2">
        <f ca="1"/>
        <v>0.46383557652607532</v>
      </c>
      <c r="O9219" s="2">
        <f ca="1"/>
        <v>-0.40016918008557179</v>
      </c>
      <c r="X9219" s="2">
        <f ca="1"/>
        <v>59.813824070107486</v>
      </c>
      <c r="AG9219" s="2">
        <f ca="1"/>
        <v>0.66607961138619021</v>
      </c>
      <c r="AH9219" s="2" t="str">
        <f ca="1"/>
        <v>Bad</v>
      </c>
    </row>
    <row r="9220" spans="2:34" x14ac:dyDescent="0.2">
      <c r="B9220" s="2">
        <f ca="1"/>
        <v>0.31918663540869785</v>
      </c>
      <c r="O9220" s="2">
        <f ca="1"/>
        <v>0.42921110711093446</v>
      </c>
      <c r="X9220" s="2">
        <f ca="1"/>
        <v>39.678684511621285</v>
      </c>
      <c r="AG9220" s="2">
        <f ca="1"/>
        <v>0.74177785902974613</v>
      </c>
      <c r="AH9220" s="2" t="str">
        <f ca="1"/>
        <v>Bad</v>
      </c>
    </row>
    <row r="9221" spans="2:34" x14ac:dyDescent="0.2">
      <c r="B9221" s="2">
        <f ca="1"/>
        <v>0.22832756395324916</v>
      </c>
      <c r="O9221" s="2">
        <f ca="1"/>
        <v>0.6195092420435776</v>
      </c>
      <c r="X9221" s="2">
        <f ca="1"/>
        <v>58.765370656037454</v>
      </c>
      <c r="AG9221" s="2">
        <f ca="1"/>
        <v>0.87940192321807209</v>
      </c>
      <c r="AH9221" s="2" t="str">
        <f ca="1"/>
        <v>Bad</v>
      </c>
    </row>
    <row r="9222" spans="2:34" x14ac:dyDescent="0.2">
      <c r="B9222" s="2">
        <f ca="1"/>
        <v>0.94178335905372035</v>
      </c>
      <c r="O9222" s="2">
        <f ca="1"/>
        <v>-0.24341450902522266</v>
      </c>
      <c r="X9222" s="2">
        <f ca="1"/>
        <v>49.99617327311551</v>
      </c>
      <c r="AG9222" s="2">
        <f ca="1"/>
        <v>0.67551470462027763</v>
      </c>
      <c r="AH9222" s="2" t="str">
        <f ca="1"/>
        <v>Bad</v>
      </c>
    </row>
    <row r="9223" spans="2:34" x14ac:dyDescent="0.2">
      <c r="B9223" s="2">
        <f ca="1"/>
        <v>0.90684169138512294</v>
      </c>
      <c r="O9223" s="2">
        <f ca="1"/>
        <v>-0.67805701936398166</v>
      </c>
      <c r="X9223" s="2">
        <f ca="1"/>
        <v>45.701075280802698</v>
      </c>
      <c r="AG9223" s="2">
        <f ca="1"/>
        <v>0.53839903539515177</v>
      </c>
      <c r="AH9223" s="2" t="str">
        <f ca="1"/>
        <v>Bad</v>
      </c>
    </row>
    <row r="9224" spans="2:34" x14ac:dyDescent="0.2">
      <c r="B9224" s="2">
        <f ca="1"/>
        <v>0.75619215833438536</v>
      </c>
      <c r="O9224" s="2">
        <f ca="1"/>
        <v>-1.6126456731071626</v>
      </c>
      <c r="X9224" s="2">
        <f ca="1"/>
        <v>38.757306733379487</v>
      </c>
      <c r="AG9224" s="2">
        <f ca="1"/>
        <v>0.26704365408998987</v>
      </c>
      <c r="AH9224" s="2" t="str">
        <f ca="1"/>
        <v>OK</v>
      </c>
    </row>
    <row r="9225" spans="2:34" x14ac:dyDescent="0.2">
      <c r="B9225" s="2">
        <f ca="1"/>
        <v>7.4090410644801263E-2</v>
      </c>
      <c r="O9225" s="2">
        <f ca="1"/>
        <v>-4.872598701511989E-2</v>
      </c>
      <c r="X9225" s="2">
        <f ca="1"/>
        <v>62.401465552693026</v>
      </c>
      <c r="AG9225" s="2">
        <f ca="1"/>
        <v>0.76151804193850881</v>
      </c>
      <c r="AH9225" s="2" t="str">
        <f ca="1"/>
        <v>Bad</v>
      </c>
    </row>
    <row r="9226" spans="2:34" x14ac:dyDescent="0.2">
      <c r="B9226" s="2">
        <f ca="1"/>
        <v>0.66694374686478008</v>
      </c>
      <c r="O9226" s="2">
        <f ca="1"/>
        <v>0.37962249668329057</v>
      </c>
      <c r="X9226" s="2">
        <f ca="1"/>
        <v>53.586209135875109</v>
      </c>
      <c r="AG9226" s="2">
        <f ca="1"/>
        <v>0.1617555199303935</v>
      </c>
      <c r="AH9226" s="2" t="str">
        <f ca="1"/>
        <v>OK</v>
      </c>
    </row>
    <row r="9227" spans="2:34" x14ac:dyDescent="0.2">
      <c r="B9227" s="2">
        <f ca="1"/>
        <v>0.49449707746527349</v>
      </c>
      <c r="O9227" s="2">
        <f ca="1"/>
        <v>-1.328086910985238</v>
      </c>
      <c r="X9227" s="2">
        <f ca="1"/>
        <v>41.318158715698594</v>
      </c>
      <c r="AG9227" s="2">
        <f ca="1"/>
        <v>0.80066006738988205</v>
      </c>
      <c r="AH9227" s="2" t="str">
        <f ca="1"/>
        <v>Bad</v>
      </c>
    </row>
    <row r="9228" spans="2:34" x14ac:dyDescent="0.2">
      <c r="B9228" s="2">
        <f ca="1"/>
        <v>0.43705442828614594</v>
      </c>
      <c r="O9228" s="2">
        <f ca="1"/>
        <v>-0.26154856464840037</v>
      </c>
      <c r="X9228" s="2">
        <f ca="1"/>
        <v>55.936692305757859</v>
      </c>
      <c r="AG9228" s="2">
        <f ca="1"/>
        <v>0.88855546642737249</v>
      </c>
      <c r="AH9228" s="2" t="str">
        <f ca="1"/>
        <v>Bad</v>
      </c>
    </row>
    <row r="9229" spans="2:34" x14ac:dyDescent="0.2">
      <c r="B9229" s="2">
        <f ca="1"/>
        <v>0.81994691500953731</v>
      </c>
      <c r="O9229" s="2">
        <f ca="1"/>
        <v>0.70128436549701845</v>
      </c>
      <c r="X9229" s="2">
        <f ca="1"/>
        <v>48.945312152838547</v>
      </c>
      <c r="AG9229" s="2">
        <f ca="1"/>
        <v>8.1051064394425554E-2</v>
      </c>
      <c r="AH9229" s="2" t="str">
        <f ca="1"/>
        <v>OK</v>
      </c>
    </row>
    <row r="9230" spans="2:34" x14ac:dyDescent="0.2">
      <c r="B9230" s="2">
        <f ca="1"/>
        <v>2.3355549227622063E-2</v>
      </c>
      <c r="O9230" s="2">
        <f ca="1"/>
        <v>0.4340734811179025</v>
      </c>
      <c r="X9230" s="2">
        <f ca="1"/>
        <v>52.244496884936957</v>
      </c>
      <c r="AG9230" s="2">
        <f ca="1"/>
        <v>0.45863539586553137</v>
      </c>
      <c r="AH9230" s="2" t="str">
        <f ca="1"/>
        <v>Bad</v>
      </c>
    </row>
    <row r="9231" spans="2:34" x14ac:dyDescent="0.2">
      <c r="B9231" s="2">
        <f ca="1"/>
        <v>0.40308728194388044</v>
      </c>
      <c r="O9231" s="2">
        <f ca="1"/>
        <v>0.55728302689093856</v>
      </c>
      <c r="X9231" s="2">
        <f ca="1"/>
        <v>69.550356315340139</v>
      </c>
      <c r="AG9231" s="2">
        <f ca="1"/>
        <v>0.92734293108965304</v>
      </c>
      <c r="AH9231" s="2" t="str">
        <f ca="1"/>
        <v>Bad</v>
      </c>
    </row>
    <row r="9232" spans="2:34" x14ac:dyDescent="0.2">
      <c r="B9232" s="2">
        <f ca="1"/>
        <v>0.18884355282104814</v>
      </c>
      <c r="O9232" s="2">
        <f ca="1"/>
        <v>-0.9395085617890182</v>
      </c>
      <c r="X9232" s="2">
        <f ca="1"/>
        <v>35.804618656926131</v>
      </c>
      <c r="AG9232" s="2">
        <f ca="1"/>
        <v>0.51202644341171788</v>
      </c>
      <c r="AH9232" s="2" t="str">
        <f ca="1"/>
        <v>Bad</v>
      </c>
    </row>
    <row r="9233" spans="2:34" x14ac:dyDescent="0.2">
      <c r="B9233" s="2">
        <f ca="1"/>
        <v>0.18605969661772503</v>
      </c>
      <c r="O9233" s="2">
        <f ca="1"/>
        <v>1.2190547091150064</v>
      </c>
      <c r="X9233" s="2">
        <f ca="1"/>
        <v>27.92779284321108</v>
      </c>
      <c r="AG9233" s="2">
        <f ca="1"/>
        <v>0.36472925297933578</v>
      </c>
      <c r="AH9233" s="2" t="str">
        <f ca="1"/>
        <v>OK</v>
      </c>
    </row>
    <row r="9234" spans="2:34" x14ac:dyDescent="0.2">
      <c r="B9234" s="2">
        <f ca="1"/>
        <v>0.35206838931244389</v>
      </c>
      <c r="O9234" s="2">
        <f ca="1"/>
        <v>0.77326074280756329</v>
      </c>
      <c r="X9234" s="2">
        <f ca="1"/>
        <v>58.577807216519759</v>
      </c>
      <c r="AG9234" s="2">
        <f ca="1"/>
        <v>5.3060172409679307E-2</v>
      </c>
      <c r="AH9234" s="2" t="str">
        <f ca="1"/>
        <v>OK</v>
      </c>
    </row>
    <row r="9235" spans="2:34" x14ac:dyDescent="0.2">
      <c r="B9235" s="2">
        <f ca="1"/>
        <v>0.56345861814573639</v>
      </c>
      <c r="O9235" s="2">
        <f ca="1"/>
        <v>2.4271336090774853</v>
      </c>
      <c r="X9235" s="2">
        <f ca="1"/>
        <v>38.010255280535262</v>
      </c>
      <c r="AG9235" s="2">
        <f ca="1"/>
        <v>0.1816565904480596</v>
      </c>
      <c r="AH9235" s="2" t="str">
        <f ca="1"/>
        <v>OK</v>
      </c>
    </row>
    <row r="9236" spans="2:34" x14ac:dyDescent="0.2">
      <c r="B9236" s="2">
        <f ca="1"/>
        <v>0.10432361618509867</v>
      </c>
      <c r="O9236" s="2">
        <f ca="1"/>
        <v>-0.80327976275686996</v>
      </c>
      <c r="X9236" s="2">
        <f ca="1"/>
        <v>39.515780857516376</v>
      </c>
      <c r="AG9236" s="2">
        <f ca="1"/>
        <v>9.1715426485332152E-2</v>
      </c>
      <c r="AH9236" s="2" t="str">
        <f ca="1"/>
        <v>OK</v>
      </c>
    </row>
    <row r="9237" spans="2:34" x14ac:dyDescent="0.2">
      <c r="B9237" s="2">
        <f ca="1"/>
        <v>0.46117947926717395</v>
      </c>
      <c r="O9237" s="2">
        <f ca="1"/>
        <v>-0.38623180660160367</v>
      </c>
      <c r="X9237" s="2">
        <f ca="1"/>
        <v>37.008419117645339</v>
      </c>
      <c r="AG9237" s="2">
        <f ca="1"/>
        <v>0.19066469510672257</v>
      </c>
      <c r="AH9237" s="2" t="str">
        <f ca="1"/>
        <v>OK</v>
      </c>
    </row>
    <row r="9238" spans="2:34" x14ac:dyDescent="0.2">
      <c r="B9238" s="2">
        <f ca="1"/>
        <v>0.25402888980734417</v>
      </c>
      <c r="O9238" s="2">
        <f ca="1"/>
        <v>0.16707482505692378</v>
      </c>
      <c r="X9238" s="2">
        <f ca="1"/>
        <v>37.935378768599762</v>
      </c>
      <c r="AG9238" s="2">
        <f ca="1"/>
        <v>0.82676299383961172</v>
      </c>
      <c r="AH9238" s="2" t="str">
        <f ca="1"/>
        <v>Bad</v>
      </c>
    </row>
    <row r="9239" spans="2:34" x14ac:dyDescent="0.2">
      <c r="B9239" s="2">
        <f ca="1"/>
        <v>0.83375548867744853</v>
      </c>
      <c r="O9239" s="2">
        <f ca="1"/>
        <v>-0.92506424980882895</v>
      </c>
      <c r="X9239" s="2">
        <f ca="1"/>
        <v>45.470065555356705</v>
      </c>
      <c r="AG9239" s="2">
        <f ca="1"/>
        <v>0.83426885337998336</v>
      </c>
      <c r="AH9239" s="2" t="str">
        <f ca="1"/>
        <v>Bad</v>
      </c>
    </row>
    <row r="9240" spans="2:34" x14ac:dyDescent="0.2">
      <c r="B9240" s="2">
        <f ca="1"/>
        <v>0.34829768924574012</v>
      </c>
      <c r="O9240" s="2">
        <f ca="1"/>
        <v>-0.49764397609314359</v>
      </c>
      <c r="X9240" s="2">
        <f ca="1"/>
        <v>57.674825689342441</v>
      </c>
      <c r="AG9240" s="2">
        <f ca="1"/>
        <v>0.47417822014637467</v>
      </c>
      <c r="AH9240" s="2" t="str">
        <f ca="1"/>
        <v>Bad</v>
      </c>
    </row>
    <row r="9241" spans="2:34" x14ac:dyDescent="0.2">
      <c r="B9241" s="2">
        <f ca="1"/>
        <v>4.3635631205700687E-3</v>
      </c>
      <c r="O9241" s="2">
        <f ca="1"/>
        <v>0.11777863652873859</v>
      </c>
      <c r="X9241" s="2">
        <f ca="1"/>
        <v>29.518392932627702</v>
      </c>
      <c r="AG9241" s="2">
        <f ca="1"/>
        <v>0.12466580077129308</v>
      </c>
      <c r="AH9241" s="2" t="str">
        <f ca="1"/>
        <v>OK</v>
      </c>
    </row>
    <row r="9242" spans="2:34" x14ac:dyDescent="0.2">
      <c r="B9242" s="2">
        <f ca="1"/>
        <v>0.51478489869401178</v>
      </c>
      <c r="O9242" s="2">
        <f ca="1"/>
        <v>0.26984712351709383</v>
      </c>
      <c r="X9242" s="2">
        <f ca="1"/>
        <v>43.562257092121364</v>
      </c>
      <c r="AG9242" s="2">
        <f ca="1"/>
        <v>0.59635162045134793</v>
      </c>
      <c r="AH9242" s="2" t="str">
        <f ca="1"/>
        <v>Bad</v>
      </c>
    </row>
    <row r="9243" spans="2:34" x14ac:dyDescent="0.2">
      <c r="B9243" s="2">
        <f ca="1"/>
        <v>0.45969570325547338</v>
      </c>
      <c r="O9243" s="2">
        <f ca="1"/>
        <v>1.017708145439671</v>
      </c>
      <c r="X9243" s="2">
        <f ca="1"/>
        <v>42.922173918178437</v>
      </c>
      <c r="AG9243" s="2">
        <f ca="1"/>
        <v>0.97111615432856135</v>
      </c>
      <c r="AH9243" s="2" t="str">
        <f ca="1"/>
        <v>Bad</v>
      </c>
    </row>
    <row r="9244" spans="2:34" x14ac:dyDescent="0.2">
      <c r="B9244" s="2">
        <f ca="1"/>
        <v>4.0131042729793842E-2</v>
      </c>
      <c r="O9244" s="2">
        <f ca="1"/>
        <v>0.82709063729958432</v>
      </c>
      <c r="X9244" s="2">
        <f ca="1"/>
        <v>72.805773628208897</v>
      </c>
      <c r="AG9244" s="2">
        <f ca="1"/>
        <v>0.42957108271426137</v>
      </c>
      <c r="AH9244" s="2" t="str">
        <f ca="1"/>
        <v>Bad</v>
      </c>
    </row>
    <row r="9245" spans="2:34" x14ac:dyDescent="0.2">
      <c r="B9245" s="2">
        <f ca="1"/>
        <v>0.17759696521392154</v>
      </c>
      <c r="O9245" s="2">
        <f ca="1"/>
        <v>1.5571044250441219</v>
      </c>
      <c r="X9245" s="2">
        <f ca="1"/>
        <v>75.924684654333291</v>
      </c>
      <c r="AG9245" s="2">
        <f ca="1"/>
        <v>0.39616752293262625</v>
      </c>
      <c r="AH9245" s="2" t="str">
        <f ca="1"/>
        <v>OK</v>
      </c>
    </row>
    <row r="9246" spans="2:34" x14ac:dyDescent="0.2">
      <c r="B9246" s="2">
        <f ca="1"/>
        <v>0.56134162221972139</v>
      </c>
      <c r="O9246" s="2">
        <f ca="1"/>
        <v>-1.3352097267384826</v>
      </c>
      <c r="X9246" s="2">
        <f ca="1"/>
        <v>58.298392567463011</v>
      </c>
      <c r="AG9246" s="2">
        <f ca="1"/>
        <v>0.70332312704614552</v>
      </c>
      <c r="AH9246" s="2" t="str">
        <f ca="1"/>
        <v>Bad</v>
      </c>
    </row>
    <row r="9247" spans="2:34" x14ac:dyDescent="0.2">
      <c r="B9247" s="2">
        <f ca="1"/>
        <v>0.17809764763797986</v>
      </c>
      <c r="O9247" s="2">
        <f ca="1"/>
        <v>1.4480541096016351</v>
      </c>
      <c r="X9247" s="2">
        <f ca="1"/>
        <v>84.534018715858096</v>
      </c>
      <c r="AG9247" s="2">
        <f ca="1"/>
        <v>0.85753079510031949</v>
      </c>
      <c r="AH9247" s="2" t="str">
        <f ca="1"/>
        <v>Bad</v>
      </c>
    </row>
    <row r="9248" spans="2:34" x14ac:dyDescent="0.2">
      <c r="B9248" s="2">
        <f ca="1"/>
        <v>0.56197943941808703</v>
      </c>
      <c r="O9248" s="2">
        <f ca="1"/>
        <v>1.5404279456650922</v>
      </c>
      <c r="X9248" s="2">
        <f ca="1"/>
        <v>46.196841337801942</v>
      </c>
      <c r="AG9248" s="2">
        <f ca="1"/>
        <v>0.92179387466594842</v>
      </c>
      <c r="AH9248" s="2" t="str">
        <f ca="1"/>
        <v>Bad</v>
      </c>
    </row>
    <row r="9249" spans="2:34" x14ac:dyDescent="0.2">
      <c r="B9249" s="2">
        <f ca="1"/>
        <v>0.32101924522482639</v>
      </c>
      <c r="O9249" s="2">
        <f ca="1"/>
        <v>-0.7630651245188449</v>
      </c>
      <c r="X9249" s="2">
        <f ca="1"/>
        <v>53.674383593521227</v>
      </c>
      <c r="AG9249" s="2">
        <f ca="1"/>
        <v>0.20069891247782423</v>
      </c>
      <c r="AH9249" s="2" t="str">
        <f ca="1"/>
        <v>OK</v>
      </c>
    </row>
    <row r="9250" spans="2:34" x14ac:dyDescent="0.2">
      <c r="B9250" s="2">
        <f ca="1"/>
        <v>0.57282060055912876</v>
      </c>
      <c r="O9250" s="2">
        <f ca="1"/>
        <v>-0.66111926594205184</v>
      </c>
      <c r="X9250" s="2">
        <f ca="1"/>
        <v>73.287893082201549</v>
      </c>
      <c r="AG9250" s="2">
        <f ca="1"/>
        <v>0.27229548136544124</v>
      </c>
      <c r="AH9250" s="2" t="str">
        <f ca="1"/>
        <v>OK</v>
      </c>
    </row>
    <row r="9251" spans="2:34" x14ac:dyDescent="0.2">
      <c r="B9251" s="2">
        <f ca="1"/>
        <v>0.33023504763872791</v>
      </c>
      <c r="O9251" s="2">
        <f ca="1"/>
        <v>0.16007434362255174</v>
      </c>
      <c r="X9251" s="2">
        <f ca="1"/>
        <v>28.539673321613822</v>
      </c>
      <c r="AG9251" s="2">
        <f ca="1"/>
        <v>0.67370027010406308</v>
      </c>
      <c r="AH9251" s="2" t="str">
        <f ca="1"/>
        <v>Bad</v>
      </c>
    </row>
    <row r="9252" spans="2:34" x14ac:dyDescent="0.2">
      <c r="B9252" s="2">
        <f ca="1"/>
        <v>0.11854639291224167</v>
      </c>
      <c r="O9252" s="2">
        <f ca="1"/>
        <v>1.3894602931582389</v>
      </c>
      <c r="X9252" s="2">
        <f ca="1"/>
        <v>40.997075479704598</v>
      </c>
      <c r="AG9252" s="2">
        <f ca="1"/>
        <v>0.96491060413380558</v>
      </c>
      <c r="AH9252" s="2" t="str">
        <f ca="1"/>
        <v>Bad</v>
      </c>
    </row>
    <row r="9253" spans="2:34" x14ac:dyDescent="0.2">
      <c r="B9253" s="2">
        <f ca="1"/>
        <v>0.93034035463579579</v>
      </c>
      <c r="O9253" s="2">
        <f ca="1"/>
        <v>-0.66197266604177341</v>
      </c>
      <c r="X9253" s="2">
        <f ca="1"/>
        <v>49.923502014617839</v>
      </c>
      <c r="AG9253" s="2">
        <f ca="1"/>
        <v>0.67724050408546277</v>
      </c>
      <c r="AH9253" s="2" t="str">
        <f ca="1"/>
        <v>Bad</v>
      </c>
    </row>
    <row r="9254" spans="2:34" x14ac:dyDescent="0.2">
      <c r="B9254" s="2">
        <f ca="1"/>
        <v>0.34531473402555335</v>
      </c>
      <c r="O9254" s="2">
        <f ca="1"/>
        <v>1.3430091367552553E-2</v>
      </c>
      <c r="X9254" s="2">
        <f ca="1"/>
        <v>47.24826063113013</v>
      </c>
      <c r="AG9254" s="2">
        <f ca="1"/>
        <v>0.51960935979351097</v>
      </c>
      <c r="AH9254" s="2" t="str">
        <f ca="1"/>
        <v>Bad</v>
      </c>
    </row>
    <row r="9255" spans="2:34" x14ac:dyDescent="0.2">
      <c r="B9255" s="2">
        <f ca="1"/>
        <v>0.61620371082946712</v>
      </c>
      <c r="O9255" s="2">
        <f ca="1"/>
        <v>-0.20463436702238333</v>
      </c>
      <c r="X9255" s="2">
        <f ca="1"/>
        <v>49.983922562443333</v>
      </c>
      <c r="AG9255" s="2">
        <f ca="1"/>
        <v>0.1721312263176582</v>
      </c>
      <c r="AH9255" s="2" t="str">
        <f ca="1"/>
        <v>OK</v>
      </c>
    </row>
    <row r="9256" spans="2:34" x14ac:dyDescent="0.2">
      <c r="B9256" s="2">
        <f ca="1"/>
        <v>0.61399593787852003</v>
      </c>
      <c r="O9256" s="2">
        <f ca="1"/>
        <v>1.3070903113949766</v>
      </c>
      <c r="X9256" s="2">
        <f ca="1"/>
        <v>48.210782167300067</v>
      </c>
      <c r="AG9256" s="2">
        <f ca="1"/>
        <v>0.60367787233711812</v>
      </c>
      <c r="AH9256" s="2" t="str">
        <f ca="1"/>
        <v>Bad</v>
      </c>
    </row>
    <row r="9257" spans="2:34" x14ac:dyDescent="0.2">
      <c r="B9257" s="2">
        <f ca="1"/>
        <v>0.49178426735712621</v>
      </c>
      <c r="O9257" s="2">
        <f ca="1"/>
        <v>4.4606787039578794E-2</v>
      </c>
      <c r="X9257" s="2">
        <f ca="1"/>
        <v>60.86936656170559</v>
      </c>
      <c r="AG9257" s="2">
        <f ca="1"/>
        <v>0.47695355647857252</v>
      </c>
      <c r="AH9257" s="2" t="str">
        <f ca="1"/>
        <v>Bad</v>
      </c>
    </row>
    <row r="9258" spans="2:34" x14ac:dyDescent="0.2">
      <c r="B9258" s="2">
        <f ca="1"/>
        <v>0.78977153284281565</v>
      </c>
      <c r="O9258" s="2">
        <f ca="1"/>
        <v>-1.6727824638872795</v>
      </c>
      <c r="X9258" s="2">
        <f ca="1"/>
        <v>32.236790642272538</v>
      </c>
      <c r="AG9258" s="2">
        <f ca="1"/>
        <v>0.80981084311719309</v>
      </c>
      <c r="AH9258" s="2" t="str">
        <f ca="1"/>
        <v>Bad</v>
      </c>
    </row>
    <row r="9259" spans="2:34" x14ac:dyDescent="0.2">
      <c r="B9259" s="2">
        <f ca="1"/>
        <v>0.83439735520925207</v>
      </c>
      <c r="O9259" s="2">
        <f ca="1"/>
        <v>-1.8273251663123418</v>
      </c>
      <c r="X9259" s="2">
        <f ca="1"/>
        <v>47.916887705351463</v>
      </c>
      <c r="AG9259" s="2">
        <f ca="1"/>
        <v>0.16467432952965022</v>
      </c>
      <c r="AH9259" s="2" t="str">
        <f ca="1"/>
        <v>OK</v>
      </c>
    </row>
    <row r="9260" spans="2:34" x14ac:dyDescent="0.2">
      <c r="B9260" s="2">
        <f ca="1"/>
        <v>0.32872713135266851</v>
      </c>
      <c r="O9260" s="2">
        <f ca="1"/>
        <v>-0.17255206831902678</v>
      </c>
      <c r="X9260" s="2">
        <f ca="1"/>
        <v>28.861061970884656</v>
      </c>
      <c r="AG9260" s="2">
        <f ca="1"/>
        <v>0.87718392065687523</v>
      </c>
      <c r="AH9260" s="2" t="str">
        <f ca="1"/>
        <v>Bad</v>
      </c>
    </row>
    <row r="9261" spans="2:34" x14ac:dyDescent="0.2">
      <c r="B9261" s="2">
        <f ca="1"/>
        <v>0.2208497862594172</v>
      </c>
      <c r="O9261" s="2">
        <f ca="1"/>
        <v>-1.3319776948267028</v>
      </c>
      <c r="X9261" s="2">
        <f ca="1"/>
        <v>44.228231719541746</v>
      </c>
      <c r="AG9261" s="2">
        <f ca="1"/>
        <v>0.32962811294891026</v>
      </c>
      <c r="AH9261" s="2" t="str">
        <f ca="1"/>
        <v>OK</v>
      </c>
    </row>
    <row r="9262" spans="2:34" x14ac:dyDescent="0.2">
      <c r="B9262" s="2">
        <f ca="1"/>
        <v>0.26441782724881469</v>
      </c>
      <c r="O9262" s="2">
        <f ca="1"/>
        <v>-0.61430116048128058</v>
      </c>
      <c r="X9262" s="2">
        <f ca="1"/>
        <v>39.936722022802414</v>
      </c>
      <c r="AG9262" s="2">
        <f ca="1"/>
        <v>0.6824830815639602</v>
      </c>
      <c r="AH9262" s="2" t="str">
        <f ca="1"/>
        <v>Bad</v>
      </c>
    </row>
    <row r="9263" spans="2:34" x14ac:dyDescent="0.2">
      <c r="B9263" s="2">
        <f ca="1"/>
        <v>0.52533596919505832</v>
      </c>
      <c r="O9263" s="2">
        <f ca="1"/>
        <v>-0.48426040321906944</v>
      </c>
      <c r="X9263" s="2">
        <f ca="1"/>
        <v>62.064976110170534</v>
      </c>
      <c r="AG9263" s="2">
        <f ca="1"/>
        <v>0.23085093860494244</v>
      </c>
      <c r="AH9263" s="2" t="str">
        <f ca="1"/>
        <v>OK</v>
      </c>
    </row>
    <row r="9264" spans="2:34" x14ac:dyDescent="0.2">
      <c r="B9264" s="2">
        <f ca="1"/>
        <v>0.15202647894700205</v>
      </c>
      <c r="O9264" s="2">
        <f ca="1"/>
        <v>3.8265268198468144E-3</v>
      </c>
      <c r="X9264" s="2">
        <f ca="1"/>
        <v>65.214872918057665</v>
      </c>
      <c r="AG9264" s="2">
        <f ca="1"/>
        <v>0.60245507933980136</v>
      </c>
      <c r="AH9264" s="2" t="str">
        <f ca="1"/>
        <v>Bad</v>
      </c>
    </row>
    <row r="9265" spans="2:34" x14ac:dyDescent="0.2">
      <c r="B9265" s="2">
        <f ca="1"/>
        <v>0.56242838715939292</v>
      </c>
      <c r="O9265" s="2">
        <f ca="1"/>
        <v>-0.23442184389418894</v>
      </c>
      <c r="X9265" s="2">
        <f ca="1"/>
        <v>32.429093406549377</v>
      </c>
      <c r="AG9265" s="2">
        <f ca="1"/>
        <v>0.63279775695125329</v>
      </c>
      <c r="AH9265" s="2" t="str">
        <f ca="1"/>
        <v>Bad</v>
      </c>
    </row>
    <row r="9266" spans="2:34" x14ac:dyDescent="0.2">
      <c r="B9266" s="2">
        <f ca="1"/>
        <v>0.90011626702133962</v>
      </c>
      <c r="O9266" s="2">
        <f ca="1"/>
        <v>1.2081485359938753</v>
      </c>
      <c r="X9266" s="2">
        <f ca="1"/>
        <v>83.254821799665308</v>
      </c>
      <c r="AG9266" s="2">
        <f ca="1"/>
        <v>0.1479327014239793</v>
      </c>
      <c r="AH9266" s="2" t="str">
        <f ca="1"/>
        <v>OK</v>
      </c>
    </row>
    <row r="9267" spans="2:34" x14ac:dyDescent="0.2">
      <c r="B9267" s="2">
        <f ca="1"/>
        <v>0.94224052306360773</v>
      </c>
      <c r="O9267" s="2">
        <f ca="1"/>
        <v>-1.1181824268628455</v>
      </c>
      <c r="X9267" s="2">
        <f ca="1"/>
        <v>36.746371104661797</v>
      </c>
      <c r="AG9267" s="2">
        <f ca="1"/>
        <v>0.15286605187404012</v>
      </c>
      <c r="AH9267" s="2" t="str">
        <f ca="1"/>
        <v>OK</v>
      </c>
    </row>
    <row r="9268" spans="2:34" x14ac:dyDescent="0.2">
      <c r="B9268" s="2">
        <f ca="1"/>
        <v>0.97529289681327014</v>
      </c>
      <c r="O9268" s="2">
        <f ca="1"/>
        <v>-0.39830651312454229</v>
      </c>
      <c r="X9268" s="2">
        <f ca="1"/>
        <v>47.36692362557163</v>
      </c>
      <c r="AG9268" s="2">
        <f ca="1"/>
        <v>0.21359443809139411</v>
      </c>
      <c r="AH9268" s="2" t="str">
        <f ca="1"/>
        <v>OK</v>
      </c>
    </row>
    <row r="9269" spans="2:34" x14ac:dyDescent="0.2">
      <c r="B9269" s="2">
        <f ca="1"/>
        <v>0.96151184691432223</v>
      </c>
      <c r="O9269" s="2">
        <f ca="1"/>
        <v>1.7250102486685441</v>
      </c>
      <c r="X9269" s="2">
        <f ca="1"/>
        <v>71.572885385966828</v>
      </c>
      <c r="AG9269" s="2">
        <f ca="1"/>
        <v>0.79289271391995442</v>
      </c>
      <c r="AH9269" s="2" t="str">
        <f ca="1"/>
        <v>Bad</v>
      </c>
    </row>
    <row r="9270" spans="2:34" x14ac:dyDescent="0.2">
      <c r="B9270" s="2">
        <f ca="1"/>
        <v>0.39934676014488524</v>
      </c>
      <c r="O9270" s="2">
        <f ca="1"/>
        <v>0.28728470428009384</v>
      </c>
      <c r="X9270" s="2">
        <f ca="1"/>
        <v>42.173452453689379</v>
      </c>
      <c r="AG9270" s="2">
        <f ca="1"/>
        <v>0.63981186326789707</v>
      </c>
      <c r="AH9270" s="2" t="str">
        <f ca="1"/>
        <v>Bad</v>
      </c>
    </row>
    <row r="9271" spans="2:34" x14ac:dyDescent="0.2">
      <c r="B9271" s="2">
        <f ca="1"/>
        <v>0.34908340430236473</v>
      </c>
      <c r="O9271" s="2">
        <f ca="1"/>
        <v>0.40265530886039114</v>
      </c>
      <c r="X9271" s="2">
        <f ca="1"/>
        <v>48.51738900178708</v>
      </c>
      <c r="AG9271" s="2">
        <f ca="1"/>
        <v>0.66457828489047155</v>
      </c>
      <c r="AH9271" s="2" t="str">
        <f ca="1"/>
        <v>Bad</v>
      </c>
    </row>
    <row r="9272" spans="2:34" x14ac:dyDescent="0.2">
      <c r="B9272" s="2">
        <f ca="1"/>
        <v>0.46052362188797558</v>
      </c>
      <c r="O9272" s="2">
        <f ca="1"/>
        <v>-2.1011916779389006</v>
      </c>
      <c r="X9272" s="2">
        <f ca="1"/>
        <v>52.08580571114225</v>
      </c>
      <c r="AG9272" s="2">
        <f ca="1"/>
        <v>0.19068722164509788</v>
      </c>
      <c r="AH9272" s="2" t="str">
        <f ca="1"/>
        <v>OK</v>
      </c>
    </row>
    <row r="9273" spans="2:34" x14ac:dyDescent="0.2">
      <c r="B9273" s="2">
        <f ca="1"/>
        <v>1.9189148930902178E-2</v>
      </c>
      <c r="O9273" s="2">
        <f ca="1"/>
        <v>-0.9033151862634099</v>
      </c>
      <c r="X9273" s="2">
        <f ca="1"/>
        <v>47.48423380258393</v>
      </c>
      <c r="AG9273" s="2">
        <f ca="1"/>
        <v>0.20954408439649819</v>
      </c>
      <c r="AH9273" s="2" t="str">
        <f ca="1"/>
        <v>OK</v>
      </c>
    </row>
    <row r="9274" spans="2:34" x14ac:dyDescent="0.2">
      <c r="B9274" s="2">
        <f ca="1"/>
        <v>0.42191575818557814</v>
      </c>
      <c r="O9274" s="2">
        <f ca="1"/>
        <v>0.69987101419025677</v>
      </c>
      <c r="X9274" s="2">
        <f ca="1"/>
        <v>36.862620036023287</v>
      </c>
      <c r="AG9274" s="2">
        <f ca="1"/>
        <v>7.4520559528164831E-2</v>
      </c>
      <c r="AH9274" s="2" t="str">
        <f ca="1"/>
        <v>OK</v>
      </c>
    </row>
    <row r="9275" spans="2:34" x14ac:dyDescent="0.2">
      <c r="B9275" s="2">
        <f ca="1"/>
        <v>0.6919789338495892</v>
      </c>
      <c r="O9275" s="2">
        <f ca="1"/>
        <v>0.46161861399944915</v>
      </c>
      <c r="X9275" s="2">
        <f ca="1"/>
        <v>55.218897917481954</v>
      </c>
      <c r="AG9275" s="2">
        <f ca="1"/>
        <v>0.77685099670769753</v>
      </c>
      <c r="AH9275" s="2" t="str">
        <f ca="1"/>
        <v>Bad</v>
      </c>
    </row>
    <row r="9276" spans="2:34" x14ac:dyDescent="0.2">
      <c r="B9276" s="2">
        <f ca="1"/>
        <v>0.21671519032614905</v>
      </c>
      <c r="O9276" s="2">
        <f ca="1"/>
        <v>-0.14351449608309</v>
      </c>
      <c r="X9276" s="2">
        <f ca="1"/>
        <v>38.794738645926174</v>
      </c>
      <c r="AG9276" s="2">
        <f ca="1"/>
        <v>1.085371883019226E-2</v>
      </c>
      <c r="AH9276" s="2" t="str">
        <f ca="1"/>
        <v>Good</v>
      </c>
    </row>
    <row r="9277" spans="2:34" x14ac:dyDescent="0.2">
      <c r="B9277" s="2">
        <f ca="1"/>
        <v>0.23364260143726368</v>
      </c>
      <c r="O9277" s="2">
        <f ca="1"/>
        <v>-0.18067170145037031</v>
      </c>
      <c r="X9277" s="2">
        <f ca="1"/>
        <v>35.957746990264681</v>
      </c>
      <c r="AG9277" s="2">
        <f ca="1"/>
        <v>0.75900824412456402</v>
      </c>
      <c r="AH9277" s="2" t="str">
        <f ca="1"/>
        <v>Bad</v>
      </c>
    </row>
    <row r="9278" spans="2:34" x14ac:dyDescent="0.2">
      <c r="B9278" s="2">
        <f ca="1"/>
        <v>4.337602161532117E-2</v>
      </c>
      <c r="O9278" s="2">
        <f ca="1"/>
        <v>1.4020387526369433</v>
      </c>
      <c r="X9278" s="2">
        <f ca="1"/>
        <v>31.972269158933152</v>
      </c>
      <c r="AG9278" s="2">
        <f ca="1"/>
        <v>0.78216930605645674</v>
      </c>
      <c r="AH9278" s="2" t="str">
        <f ca="1"/>
        <v>Bad</v>
      </c>
    </row>
    <row r="9279" spans="2:34" x14ac:dyDescent="0.2">
      <c r="B9279" s="2">
        <f ca="1"/>
        <v>0.64861018357559308</v>
      </c>
      <c r="O9279" s="2">
        <f ca="1"/>
        <v>0.10137338738249871</v>
      </c>
      <c r="X9279" s="2">
        <f ca="1"/>
        <v>34.214656163235091</v>
      </c>
      <c r="AG9279" s="2">
        <f ca="1"/>
        <v>0.75387714796331617</v>
      </c>
      <c r="AH9279" s="2" t="str">
        <f ca="1"/>
        <v>Bad</v>
      </c>
    </row>
    <row r="9280" spans="2:34" x14ac:dyDescent="0.2">
      <c r="B9280" s="2">
        <f ca="1"/>
        <v>0.96297719688452577</v>
      </c>
      <c r="O9280" s="2">
        <f ca="1"/>
        <v>1.4184133743593237</v>
      </c>
      <c r="X9280" s="2">
        <f ca="1"/>
        <v>37.854483116980482</v>
      </c>
      <c r="AG9280" s="2">
        <f ca="1"/>
        <v>0.84453630309848071</v>
      </c>
      <c r="AH9280" s="2" t="str">
        <f ca="1"/>
        <v>Bad</v>
      </c>
    </row>
    <row r="9281" spans="2:34" x14ac:dyDescent="0.2">
      <c r="B9281" s="2">
        <f ca="1"/>
        <v>0.59644063426326976</v>
      </c>
      <c r="O9281" s="2">
        <f ca="1"/>
        <v>1.5173518394836722</v>
      </c>
      <c r="X9281" s="2">
        <f ca="1"/>
        <v>58.109875269910781</v>
      </c>
      <c r="AG9281" s="2">
        <f ca="1"/>
        <v>0.55510828686987579</v>
      </c>
      <c r="AH9281" s="2" t="str">
        <f ca="1"/>
        <v>Bad</v>
      </c>
    </row>
    <row r="9282" spans="2:34" x14ac:dyDescent="0.2">
      <c r="B9282" s="2">
        <f ca="1"/>
        <v>0.61567367803803452</v>
      </c>
      <c r="O9282" s="2">
        <f ca="1"/>
        <v>-0.20375830202663209</v>
      </c>
      <c r="X9282" s="2">
        <f ca="1"/>
        <v>36.503641002007953</v>
      </c>
      <c r="AG9282" s="2">
        <f ca="1"/>
        <v>0.58525213212873917</v>
      </c>
      <c r="AH9282" s="2" t="str">
        <f ca="1"/>
        <v>Bad</v>
      </c>
    </row>
    <row r="9283" spans="2:34" x14ac:dyDescent="0.2">
      <c r="B9283" s="2">
        <f ca="1"/>
        <v>0.91304489533250988</v>
      </c>
      <c r="O9283" s="2">
        <f ca="1"/>
        <v>-0.4959144606263291</v>
      </c>
      <c r="X9283" s="2">
        <f ca="1"/>
        <v>27.022921776566932</v>
      </c>
      <c r="AG9283" s="2">
        <f ca="1"/>
        <v>0.40174274148206601</v>
      </c>
      <c r="AH9283" s="2" t="str">
        <f ca="1"/>
        <v>Bad</v>
      </c>
    </row>
    <row r="9284" spans="2:34" x14ac:dyDescent="0.2">
      <c r="B9284" s="2">
        <f ca="1"/>
        <v>0.98927202563990302</v>
      </c>
      <c r="O9284" s="2">
        <f ca="1"/>
        <v>0.47133270792526777</v>
      </c>
      <c r="X9284" s="2">
        <f ca="1"/>
        <v>55.33295456182843</v>
      </c>
      <c r="AG9284" s="2">
        <f ca="1"/>
        <v>0.59777964834399389</v>
      </c>
      <c r="AH9284" s="2" t="str">
        <f ca="1"/>
        <v>Bad</v>
      </c>
    </row>
    <row r="9285" spans="2:34" x14ac:dyDescent="0.2">
      <c r="B9285" s="2">
        <f ca="1"/>
        <v>0.84779701606519353</v>
      </c>
      <c r="O9285" s="2">
        <f ca="1"/>
        <v>8.942636387245996E-2</v>
      </c>
      <c r="X9285" s="2">
        <f ca="1"/>
        <v>29.020430540348464</v>
      </c>
      <c r="AG9285" s="2">
        <f ca="1"/>
        <v>0.92714547211358256</v>
      </c>
      <c r="AH9285" s="2" t="str">
        <f ca="1"/>
        <v>Bad</v>
      </c>
    </row>
    <row r="9286" spans="2:34" x14ac:dyDescent="0.2">
      <c r="B9286" s="2">
        <f ca="1"/>
        <v>0.46587634489928775</v>
      </c>
      <c r="O9286" s="2">
        <f ca="1"/>
        <v>0.77897026692328875</v>
      </c>
      <c r="X9286" s="2">
        <f ca="1"/>
        <v>35.703874260210242</v>
      </c>
      <c r="AG9286" s="2">
        <f ca="1"/>
        <v>0.24040658258937264</v>
      </c>
      <c r="AH9286" s="2" t="str">
        <f ca="1"/>
        <v>OK</v>
      </c>
    </row>
    <row r="9287" spans="2:34" x14ac:dyDescent="0.2">
      <c r="B9287" s="2">
        <f ca="1"/>
        <v>0.71847995690270072</v>
      </c>
      <c r="O9287" s="2">
        <f ca="1"/>
        <v>-0.25674147600011754</v>
      </c>
      <c r="X9287" s="2">
        <f ca="1"/>
        <v>30.714110484752513</v>
      </c>
      <c r="AG9287" s="2">
        <f ca="1"/>
        <v>0.36472987191316841</v>
      </c>
      <c r="AH9287" s="2" t="str">
        <f ca="1"/>
        <v>OK</v>
      </c>
    </row>
    <row r="9288" spans="2:34" x14ac:dyDescent="0.2">
      <c r="B9288" s="2">
        <f ca="1"/>
        <v>0.39860231866414519</v>
      </c>
      <c r="O9288" s="2">
        <f ca="1"/>
        <v>-0.39658640974568676</v>
      </c>
      <c r="X9288" s="2">
        <f ca="1"/>
        <v>34.565403733193556</v>
      </c>
      <c r="AG9288" s="2">
        <f ca="1"/>
        <v>0.84326602504962112</v>
      </c>
      <c r="AH9288" s="2" t="str">
        <f ca="1"/>
        <v>Bad</v>
      </c>
    </row>
    <row r="9289" spans="2:34" x14ac:dyDescent="0.2">
      <c r="B9289" s="2">
        <f ca="1"/>
        <v>7.1557661566102881E-2</v>
      </c>
      <c r="O9289" s="2">
        <f ca="1"/>
        <v>-0.88016777223910869</v>
      </c>
      <c r="X9289" s="2">
        <f ca="1"/>
        <v>47.853036582928148</v>
      </c>
      <c r="AG9289" s="2">
        <f ca="1"/>
        <v>3.7119368076120374E-2</v>
      </c>
      <c r="AH9289" s="2" t="str">
        <f ca="1"/>
        <v>Good</v>
      </c>
    </row>
    <row r="9290" spans="2:34" x14ac:dyDescent="0.2">
      <c r="B9290" s="2">
        <f ca="1"/>
        <v>3.0878000479731327E-2</v>
      </c>
      <c r="O9290" s="2">
        <f ca="1"/>
        <v>1.4236175090946162</v>
      </c>
      <c r="X9290" s="2">
        <f ca="1"/>
        <v>58.031078207638551</v>
      </c>
      <c r="AG9290" s="2">
        <f ca="1"/>
        <v>0.1328645481934756</v>
      </c>
      <c r="AH9290" s="2" t="str">
        <f ca="1"/>
        <v>OK</v>
      </c>
    </row>
    <row r="9291" spans="2:34" x14ac:dyDescent="0.2">
      <c r="B9291" s="2">
        <f ca="1"/>
        <v>0.83162845068489988</v>
      </c>
      <c r="O9291" s="2">
        <f ca="1"/>
        <v>0.4602400019713056</v>
      </c>
      <c r="X9291" s="2">
        <f ca="1"/>
        <v>50.09152756327866</v>
      </c>
      <c r="AG9291" s="2">
        <f ca="1"/>
        <v>0.24756677926021342</v>
      </c>
      <c r="AH9291" s="2" t="str">
        <f ca="1"/>
        <v>OK</v>
      </c>
    </row>
    <row r="9292" spans="2:34" x14ac:dyDescent="0.2">
      <c r="B9292" s="2">
        <f ca="1"/>
        <v>5.2986048903123084E-2</v>
      </c>
      <c r="O9292" s="2">
        <f ca="1"/>
        <v>-1.2541789885484391</v>
      </c>
      <c r="X9292" s="2">
        <f ca="1"/>
        <v>34.051693551937213</v>
      </c>
      <c r="AG9292" s="2">
        <f ca="1"/>
        <v>0.34998229299941852</v>
      </c>
      <c r="AH9292" s="2" t="str">
        <f ca="1"/>
        <v>OK</v>
      </c>
    </row>
    <row r="9293" spans="2:34" x14ac:dyDescent="0.2">
      <c r="B9293" s="2">
        <f ca="1"/>
        <v>0.71578666923393008</v>
      </c>
      <c r="O9293" s="2">
        <f ca="1"/>
        <v>0.45265964183286983</v>
      </c>
      <c r="X9293" s="2">
        <f ca="1"/>
        <v>52.32957196333841</v>
      </c>
      <c r="AG9293" s="2">
        <f ca="1"/>
        <v>6.5529567880238559E-2</v>
      </c>
      <c r="AH9293" s="2" t="str">
        <f ca="1"/>
        <v>OK</v>
      </c>
    </row>
    <row r="9294" spans="2:34" x14ac:dyDescent="0.2">
      <c r="B9294" s="2">
        <f ca="1"/>
        <v>0.86338494199965554</v>
      </c>
      <c r="O9294" s="2">
        <f ca="1"/>
        <v>2.0339773908155552</v>
      </c>
      <c r="X9294" s="2">
        <f ca="1"/>
        <v>58.325625256756169</v>
      </c>
      <c r="AG9294" s="2">
        <f ca="1"/>
        <v>0.659670483684627</v>
      </c>
      <c r="AH9294" s="2" t="str">
        <f ca="1"/>
        <v>Bad</v>
      </c>
    </row>
    <row r="9295" spans="2:34" x14ac:dyDescent="0.2">
      <c r="B9295" s="2">
        <f ca="1"/>
        <v>0.790139663461076</v>
      </c>
      <c r="O9295" s="2">
        <f ca="1"/>
        <v>5.4968458979858734E-2</v>
      </c>
      <c r="X9295" s="2">
        <f ca="1"/>
        <v>45.591123607508095</v>
      </c>
      <c r="AG9295" s="2">
        <f ca="1"/>
        <v>0.21373944006114742</v>
      </c>
      <c r="AH9295" s="2" t="str">
        <f ca="1"/>
        <v>OK</v>
      </c>
    </row>
    <row r="9296" spans="2:34" x14ac:dyDescent="0.2">
      <c r="B9296" s="2">
        <f ca="1"/>
        <v>0.44066413828401974</v>
      </c>
      <c r="O9296" s="2">
        <f ca="1"/>
        <v>-1.5584912814576983</v>
      </c>
      <c r="X9296" s="2">
        <f ca="1"/>
        <v>70.798214229893333</v>
      </c>
      <c r="AG9296" s="2">
        <f ca="1"/>
        <v>0.91510385216603796</v>
      </c>
      <c r="AH9296" s="2" t="str">
        <f ca="1"/>
        <v>Bad</v>
      </c>
    </row>
    <row r="9297" spans="2:34" x14ac:dyDescent="0.2">
      <c r="B9297" s="2">
        <f ca="1"/>
        <v>0.23867465349454253</v>
      </c>
      <c r="O9297" s="2">
        <f ca="1"/>
        <v>-0.24729637900897633</v>
      </c>
      <c r="X9297" s="2">
        <f ca="1"/>
        <v>40.567195392371232</v>
      </c>
      <c r="AG9297" s="2">
        <f ca="1"/>
        <v>0.21027862951461929</v>
      </c>
      <c r="AH9297" s="2" t="str">
        <f ca="1"/>
        <v>OK</v>
      </c>
    </row>
    <row r="9298" spans="2:34" x14ac:dyDescent="0.2">
      <c r="B9298" s="2">
        <f ca="1"/>
        <v>0.60714610586243256</v>
      </c>
      <c r="O9298" s="2">
        <f ca="1"/>
        <v>0.85415044388843508</v>
      </c>
      <c r="X9298" s="2">
        <f ca="1"/>
        <v>48.563944994111779</v>
      </c>
      <c r="AG9298" s="2">
        <f ca="1"/>
        <v>0.64443049866596125</v>
      </c>
      <c r="AH9298" s="2" t="str">
        <f ca="1"/>
        <v>Bad</v>
      </c>
    </row>
    <row r="9299" spans="2:34" x14ac:dyDescent="0.2">
      <c r="B9299" s="2">
        <f ca="1"/>
        <v>0.68112516802104817</v>
      </c>
      <c r="O9299" s="2">
        <f ca="1"/>
        <v>1.0464661032832481</v>
      </c>
      <c r="X9299" s="2">
        <f ca="1"/>
        <v>42.345245521560742</v>
      </c>
      <c r="AG9299" s="2">
        <f ca="1"/>
        <v>0.82873611556721372</v>
      </c>
      <c r="AH9299" s="2" t="str">
        <f ca="1"/>
        <v>Bad</v>
      </c>
    </row>
    <row r="9300" spans="2:34" x14ac:dyDescent="0.2">
      <c r="B9300" s="2">
        <f ca="1"/>
        <v>0.20603784565959526</v>
      </c>
      <c r="O9300" s="2">
        <f ca="1"/>
        <v>-0.67616026028914233</v>
      </c>
      <c r="X9300" s="2">
        <f ca="1"/>
        <v>45.891335200197467</v>
      </c>
      <c r="AG9300" s="2">
        <f ca="1"/>
        <v>0.6034496550750581</v>
      </c>
      <c r="AH9300" s="2" t="str">
        <f ca="1"/>
        <v>Bad</v>
      </c>
    </row>
    <row r="9301" spans="2:34" x14ac:dyDescent="0.2">
      <c r="B9301" s="2">
        <f ca="1"/>
        <v>6.6990592235057322E-2</v>
      </c>
      <c r="O9301" s="2">
        <f ca="1"/>
        <v>-0.1264331607982655</v>
      </c>
      <c r="X9301" s="2">
        <f ca="1"/>
        <v>34.743374567818172</v>
      </c>
      <c r="AG9301" s="2">
        <f ca="1"/>
        <v>0.33350360509106114</v>
      </c>
      <c r="AH9301" s="2" t="str">
        <f ca="1"/>
        <v>OK</v>
      </c>
    </row>
    <row r="9302" spans="2:34" x14ac:dyDescent="0.2">
      <c r="B9302" s="2">
        <f ca="1"/>
        <v>0.95497830487768032</v>
      </c>
      <c r="O9302" s="2">
        <f ca="1"/>
        <v>0.18675024038413382</v>
      </c>
      <c r="X9302" s="2">
        <f ca="1"/>
        <v>45.317144002491602</v>
      </c>
      <c r="AG9302" s="2">
        <f ca="1"/>
        <v>0.4774194245593737</v>
      </c>
      <c r="AH9302" s="2" t="str">
        <f ca="1"/>
        <v>Bad</v>
      </c>
    </row>
    <row r="9303" spans="2:34" x14ac:dyDescent="0.2">
      <c r="B9303" s="2">
        <f ca="1"/>
        <v>0.42311024235410155</v>
      </c>
      <c r="O9303" s="2">
        <f ca="1"/>
        <v>0.30455071811849238</v>
      </c>
      <c r="X9303" s="2">
        <f ca="1"/>
        <v>31.91287579671571</v>
      </c>
      <c r="AG9303" s="2">
        <f ca="1"/>
        <v>0.74303960298442617</v>
      </c>
      <c r="AH9303" s="2" t="str">
        <f ca="1"/>
        <v>Bad</v>
      </c>
    </row>
    <row r="9304" spans="2:34" x14ac:dyDescent="0.2">
      <c r="B9304" s="2">
        <f ca="1"/>
        <v>0.27705186541745164</v>
      </c>
      <c r="O9304" s="2">
        <f ca="1"/>
        <v>-1.0120762878745293</v>
      </c>
      <c r="X9304" s="2">
        <f ca="1"/>
        <v>83.944772742935626</v>
      </c>
      <c r="AG9304" s="2">
        <f ca="1"/>
        <v>0.36821420053355869</v>
      </c>
      <c r="AH9304" s="2" t="str">
        <f ca="1"/>
        <v>OK</v>
      </c>
    </row>
    <row r="9305" spans="2:34" x14ac:dyDescent="0.2">
      <c r="B9305" s="2">
        <f ca="1"/>
        <v>0.99645122431601441</v>
      </c>
      <c r="O9305" s="2">
        <f ca="1"/>
        <v>1.7356573316893003</v>
      </c>
      <c r="X9305" s="2">
        <f ca="1"/>
        <v>48.367958272498093</v>
      </c>
      <c r="AG9305" s="2">
        <f ca="1"/>
        <v>0.61923485835473291</v>
      </c>
      <c r="AH9305" s="2" t="str">
        <f ca="1"/>
        <v>Bad</v>
      </c>
    </row>
    <row r="9306" spans="2:34" x14ac:dyDescent="0.2">
      <c r="B9306" s="2">
        <f ca="1"/>
        <v>0.46010705046341904</v>
      </c>
      <c r="O9306" s="2">
        <f ca="1"/>
        <v>-0.96734644223511457</v>
      </c>
      <c r="X9306" s="2">
        <f ca="1"/>
        <v>68.2956130257041</v>
      </c>
      <c r="AG9306" s="2">
        <f ca="1"/>
        <v>0.5108306384590684</v>
      </c>
      <c r="AH9306" s="2" t="str">
        <f ca="1"/>
        <v>Bad</v>
      </c>
    </row>
    <row r="9307" spans="2:34" x14ac:dyDescent="0.2">
      <c r="B9307" s="2">
        <f ca="1"/>
        <v>0.34460868351671903</v>
      </c>
      <c r="O9307" s="2">
        <f ca="1"/>
        <v>0.27301569885232313</v>
      </c>
      <c r="X9307" s="2">
        <f ca="1"/>
        <v>59.989142221114342</v>
      </c>
      <c r="AG9307" s="2">
        <f ca="1"/>
        <v>0.51151433223083909</v>
      </c>
      <c r="AH9307" s="2" t="str">
        <f ca="1"/>
        <v>Bad</v>
      </c>
    </row>
    <row r="9308" spans="2:34" x14ac:dyDescent="0.2">
      <c r="B9308" s="2">
        <f ca="1"/>
        <v>0.41546397480539143</v>
      </c>
      <c r="O9308" s="2">
        <f ca="1"/>
        <v>-2.1894770894410814E-2</v>
      </c>
      <c r="X9308" s="2">
        <f ca="1"/>
        <v>51.382218781014259</v>
      </c>
      <c r="AG9308" s="2">
        <f ca="1"/>
        <v>7.3860967718063719E-2</v>
      </c>
      <c r="AH9308" s="2" t="str">
        <f ca="1"/>
        <v>OK</v>
      </c>
    </row>
    <row r="9309" spans="2:34" x14ac:dyDescent="0.2">
      <c r="B9309" s="2">
        <f ca="1"/>
        <v>0.19931325205088402</v>
      </c>
      <c r="O9309" s="2">
        <f ca="1"/>
        <v>-0.88941460593547172</v>
      </c>
      <c r="X9309" s="2">
        <f ca="1"/>
        <v>48.527738347532285</v>
      </c>
      <c r="AG9309" s="2">
        <f ca="1"/>
        <v>3.9972548173272671E-2</v>
      </c>
      <c r="AH9309" s="2" t="str">
        <f ca="1"/>
        <v>Good</v>
      </c>
    </row>
    <row r="9310" spans="2:34" x14ac:dyDescent="0.2">
      <c r="B9310" s="2">
        <f ca="1"/>
        <v>0.91493028818870425</v>
      </c>
      <c r="O9310" s="2">
        <f ca="1"/>
        <v>-1.8265241517888775</v>
      </c>
      <c r="X9310" s="2">
        <f ca="1"/>
        <v>69.469060192608012</v>
      </c>
      <c r="AG9310" s="2">
        <f ca="1"/>
        <v>0.29200082867187782</v>
      </c>
      <c r="AH9310" s="2" t="str">
        <f ca="1"/>
        <v>OK</v>
      </c>
    </row>
    <row r="9311" spans="2:34" x14ac:dyDescent="0.2">
      <c r="B9311" s="2">
        <f ca="1"/>
        <v>0.31241788179532559</v>
      </c>
      <c r="O9311" s="2">
        <f ca="1"/>
        <v>0.56993088179967688</v>
      </c>
      <c r="X9311" s="2">
        <f ca="1"/>
        <v>42.839001884960659</v>
      </c>
      <c r="AG9311" s="2">
        <f ca="1"/>
        <v>0.70667636329157535</v>
      </c>
      <c r="AH9311" s="2" t="str">
        <f ca="1"/>
        <v>Bad</v>
      </c>
    </row>
    <row r="9312" spans="2:34" x14ac:dyDescent="0.2">
      <c r="B9312" s="2">
        <f ca="1"/>
        <v>6.4290800450618413E-2</v>
      </c>
      <c r="O9312" s="2">
        <f ca="1"/>
        <v>-0.5905388203841363</v>
      </c>
      <c r="X9312" s="2">
        <f ca="1"/>
        <v>29.514757176356142</v>
      </c>
      <c r="AG9312" s="2">
        <f ca="1"/>
        <v>0.53864307359896957</v>
      </c>
      <c r="AH9312" s="2" t="str">
        <f ca="1"/>
        <v>Bad</v>
      </c>
    </row>
    <row r="9313" spans="2:34" x14ac:dyDescent="0.2">
      <c r="B9313" s="2">
        <f ca="1"/>
        <v>0.61524539919916688</v>
      </c>
      <c r="O9313" s="2">
        <f ca="1"/>
        <v>1.3306978250123889</v>
      </c>
      <c r="X9313" s="2">
        <f ca="1"/>
        <v>80.739620775259397</v>
      </c>
      <c r="AG9313" s="2">
        <f ca="1"/>
        <v>0.71155423502255166</v>
      </c>
      <c r="AH9313" s="2" t="str">
        <f ca="1"/>
        <v>Bad</v>
      </c>
    </row>
    <row r="9314" spans="2:34" x14ac:dyDescent="0.2">
      <c r="B9314" s="2">
        <f ca="1"/>
        <v>0.34088309745327394</v>
      </c>
      <c r="O9314" s="2">
        <f ca="1"/>
        <v>5.5227559371339698E-2</v>
      </c>
      <c r="X9314" s="2">
        <f ca="1"/>
        <v>53.460437552810831</v>
      </c>
      <c r="AG9314" s="2">
        <f ca="1"/>
        <v>4.2901482363682852E-2</v>
      </c>
      <c r="AH9314" s="2" t="str">
        <f ca="1"/>
        <v>Good</v>
      </c>
    </row>
    <row r="9315" spans="2:34" x14ac:dyDescent="0.2">
      <c r="B9315" s="2">
        <f ca="1"/>
        <v>0.78150640597007648</v>
      </c>
      <c r="O9315" s="2">
        <f ca="1"/>
        <v>-0.32565314836927289</v>
      </c>
      <c r="X9315" s="2">
        <f ca="1"/>
        <v>73.132449771996434</v>
      </c>
      <c r="AG9315" s="2">
        <f ca="1"/>
        <v>0.16276441742781644</v>
      </c>
      <c r="AH9315" s="2" t="str">
        <f ca="1"/>
        <v>OK</v>
      </c>
    </row>
    <row r="9316" spans="2:34" x14ac:dyDescent="0.2">
      <c r="B9316" s="2">
        <f ca="1"/>
        <v>0.75381274681008947</v>
      </c>
      <c r="O9316" s="2">
        <f ca="1"/>
        <v>-1.6158458146982182</v>
      </c>
      <c r="X9316" s="2">
        <f ca="1"/>
        <v>49.323907376482708</v>
      </c>
      <c r="AG9316" s="2">
        <f ca="1"/>
        <v>0.85108197006007669</v>
      </c>
      <c r="AH9316" s="2" t="str">
        <f ca="1"/>
        <v>Bad</v>
      </c>
    </row>
    <row r="9317" spans="2:34" x14ac:dyDescent="0.2">
      <c r="B9317" s="2">
        <f ca="1"/>
        <v>5.5543571121804636E-2</v>
      </c>
      <c r="O9317" s="2">
        <f ca="1"/>
        <v>-0.29445835433112522</v>
      </c>
      <c r="X9317" s="2">
        <f ca="1"/>
        <v>38.725376357220817</v>
      </c>
      <c r="AG9317" s="2">
        <f ca="1"/>
        <v>0.95195089121078702</v>
      </c>
      <c r="AH9317" s="2" t="str">
        <f ca="1"/>
        <v>Bad</v>
      </c>
    </row>
    <row r="9318" spans="2:34" x14ac:dyDescent="0.2">
      <c r="B9318" s="2">
        <f ca="1"/>
        <v>0.94878672523004992</v>
      </c>
      <c r="O9318" s="2">
        <f ca="1"/>
        <v>-0.24592965702836486</v>
      </c>
      <c r="X9318" s="2">
        <f ca="1"/>
        <v>69.649480434179267</v>
      </c>
      <c r="AG9318" s="2">
        <f ca="1"/>
        <v>0.96388785472084804</v>
      </c>
      <c r="AH9318" s="2" t="str">
        <f ca="1"/>
        <v>Bad</v>
      </c>
    </row>
    <row r="9319" spans="2:34" x14ac:dyDescent="0.2">
      <c r="B9319" s="2">
        <f ca="1"/>
        <v>0.46577631131816744</v>
      </c>
      <c r="O9319" s="2">
        <f ca="1"/>
        <v>-0.58305454557673542</v>
      </c>
      <c r="X9319" s="2">
        <f ca="1"/>
        <v>64.707243282567788</v>
      </c>
      <c r="AG9319" s="2">
        <f ca="1"/>
        <v>0.44463682498658041</v>
      </c>
      <c r="AH9319" s="2" t="str">
        <f ca="1"/>
        <v>Bad</v>
      </c>
    </row>
    <row r="9320" spans="2:34" x14ac:dyDescent="0.2">
      <c r="B9320" s="2">
        <f ca="1"/>
        <v>0.93736103569533102</v>
      </c>
      <c r="O9320" s="2">
        <f ca="1"/>
        <v>-1.6145499693972383</v>
      </c>
      <c r="X9320" s="2">
        <f ca="1"/>
        <v>39.402527084169094</v>
      </c>
      <c r="AG9320" s="2">
        <f ca="1"/>
        <v>0.94537918000154364</v>
      </c>
      <c r="AH9320" s="2" t="str">
        <f ca="1"/>
        <v>Bad</v>
      </c>
    </row>
    <row r="9321" spans="2:34" x14ac:dyDescent="0.2">
      <c r="B9321" s="2">
        <f ca="1"/>
        <v>0.13880267669436175</v>
      </c>
      <c r="O9321" s="2">
        <f ca="1"/>
        <v>-0.26722874332955504</v>
      </c>
      <c r="X9321" s="2">
        <f ca="1"/>
        <v>58.882528952329579</v>
      </c>
      <c r="AG9321" s="2">
        <f ca="1"/>
        <v>0.75599108320409458</v>
      </c>
      <c r="AH9321" s="2" t="str">
        <f ca="1"/>
        <v>Bad</v>
      </c>
    </row>
    <row r="9322" spans="2:34" x14ac:dyDescent="0.2">
      <c r="B9322" s="2">
        <f ca="1"/>
        <v>0.75388912383586537</v>
      </c>
      <c r="O9322" s="2">
        <f ca="1"/>
        <v>-0.83632414807550803</v>
      </c>
      <c r="X9322" s="2">
        <f ca="1"/>
        <v>67.467045634196865</v>
      </c>
      <c r="AG9322" s="2">
        <f ca="1"/>
        <v>0.30071296344070708</v>
      </c>
      <c r="AH9322" s="2" t="str">
        <f ca="1"/>
        <v>OK</v>
      </c>
    </row>
    <row r="9323" spans="2:34" x14ac:dyDescent="0.2">
      <c r="B9323" s="2">
        <f ca="1"/>
        <v>0.81663935035385427</v>
      </c>
      <c r="O9323" s="2">
        <f ca="1"/>
        <v>1.1779694610667748</v>
      </c>
      <c r="X9323" s="2">
        <f ca="1"/>
        <v>41.605839882169178</v>
      </c>
      <c r="AG9323" s="2">
        <f ca="1"/>
        <v>0.46238949546524166</v>
      </c>
      <c r="AH9323" s="2" t="str">
        <f ca="1"/>
        <v>Bad</v>
      </c>
    </row>
    <row r="9324" spans="2:34" x14ac:dyDescent="0.2">
      <c r="B9324" s="2">
        <f ca="1"/>
        <v>9.1219464025658059E-2</v>
      </c>
      <c r="O9324" s="2">
        <f ca="1"/>
        <v>-0.2821670872557917</v>
      </c>
      <c r="X9324" s="2">
        <f ca="1"/>
        <v>59.060647364707613</v>
      </c>
      <c r="AG9324" s="2">
        <f ca="1"/>
        <v>4.3804651139251805E-2</v>
      </c>
      <c r="AH9324" s="2" t="str">
        <f ca="1"/>
        <v>Good</v>
      </c>
    </row>
    <row r="9325" spans="2:34" x14ac:dyDescent="0.2">
      <c r="B9325" s="2">
        <f ca="1"/>
        <v>0.86728693696941517</v>
      </c>
      <c r="O9325" s="2">
        <f ca="1"/>
        <v>-1.4339617355952403</v>
      </c>
      <c r="X9325" s="2">
        <f ca="1"/>
        <v>62.629454087474684</v>
      </c>
      <c r="AG9325" s="2">
        <f ca="1"/>
        <v>0.67507835313791653</v>
      </c>
      <c r="AH9325" s="2" t="str">
        <f ca="1"/>
        <v>Bad</v>
      </c>
    </row>
    <row r="9326" spans="2:34" x14ac:dyDescent="0.2">
      <c r="B9326" s="2">
        <f ca="1"/>
        <v>0.74380805477000123</v>
      </c>
      <c r="O9326" s="2">
        <f ca="1"/>
        <v>0.25754692603985135</v>
      </c>
      <c r="X9326" s="2">
        <f ca="1"/>
        <v>68.030182700656752</v>
      </c>
      <c r="AG9326" s="2">
        <f ca="1"/>
        <v>0.34780506669889411</v>
      </c>
      <c r="AH9326" s="2" t="str">
        <f ca="1"/>
        <v>OK</v>
      </c>
    </row>
    <row r="9327" spans="2:34" x14ac:dyDescent="0.2">
      <c r="B9327" s="2">
        <f ca="1"/>
        <v>7.4713611150473813E-2</v>
      </c>
      <c r="O9327" s="2">
        <f ca="1"/>
        <v>-0.31913508317690509</v>
      </c>
      <c r="X9327" s="2">
        <f ca="1"/>
        <v>48.843942454335327</v>
      </c>
      <c r="AG9327" s="2">
        <f ca="1"/>
        <v>0.8082113524546326</v>
      </c>
      <c r="AH9327" s="2" t="str">
        <f ca="1"/>
        <v>Bad</v>
      </c>
    </row>
    <row r="9328" spans="2:34" x14ac:dyDescent="0.2">
      <c r="B9328" s="2">
        <f ca="1"/>
        <v>0.7699345468612151</v>
      </c>
      <c r="O9328" s="2">
        <f ca="1"/>
        <v>-0.89565162827437828</v>
      </c>
      <c r="X9328" s="2">
        <f ca="1"/>
        <v>58.803482479025547</v>
      </c>
      <c r="AG9328" s="2">
        <f ca="1"/>
        <v>0.86389335624712782</v>
      </c>
      <c r="AH9328" s="2" t="str">
        <f ca="1"/>
        <v>Bad</v>
      </c>
    </row>
    <row r="9329" spans="2:34" x14ac:dyDescent="0.2">
      <c r="B9329" s="2">
        <f ca="1"/>
        <v>0.36348450079629635</v>
      </c>
      <c r="O9329" s="2">
        <f ca="1"/>
        <v>1.2113374228566394</v>
      </c>
      <c r="X9329" s="2">
        <f ca="1"/>
        <v>42.289909646738039</v>
      </c>
      <c r="AG9329" s="2">
        <f ca="1"/>
        <v>0.36736176098134021</v>
      </c>
      <c r="AH9329" s="2" t="str">
        <f ca="1"/>
        <v>OK</v>
      </c>
    </row>
    <row r="9330" spans="2:34" x14ac:dyDescent="0.2">
      <c r="B9330" s="2">
        <f ca="1"/>
        <v>0.52216606608016614</v>
      </c>
      <c r="O9330" s="2">
        <f ca="1"/>
        <v>0.58105961994944433</v>
      </c>
      <c r="X9330" s="2">
        <f ca="1"/>
        <v>49.227846435313971</v>
      </c>
      <c r="AG9330" s="2">
        <f ca="1"/>
        <v>0.52564022970928548</v>
      </c>
      <c r="AH9330" s="2" t="str">
        <f ca="1"/>
        <v>Bad</v>
      </c>
    </row>
    <row r="9331" spans="2:34" x14ac:dyDescent="0.2">
      <c r="B9331" s="2">
        <f ca="1"/>
        <v>6.6383441723045111E-2</v>
      </c>
      <c r="O9331" s="2">
        <f ca="1"/>
        <v>-1.5776542530537053E-2</v>
      </c>
      <c r="X9331" s="2">
        <f ca="1"/>
        <v>45.349220879176137</v>
      </c>
      <c r="AG9331" s="2">
        <f ca="1"/>
        <v>0.81294183283268229</v>
      </c>
      <c r="AH9331" s="2" t="str">
        <f ca="1"/>
        <v>Bad</v>
      </c>
    </row>
    <row r="9332" spans="2:34" x14ac:dyDescent="0.2">
      <c r="B9332" s="2">
        <f ca="1"/>
        <v>0.35254153951257927</v>
      </c>
      <c r="O9332" s="2">
        <f ca="1"/>
        <v>-0.36078944509973554</v>
      </c>
      <c r="X9332" s="2">
        <f ca="1"/>
        <v>75.977900836790454</v>
      </c>
      <c r="AG9332" s="2">
        <f ca="1"/>
        <v>0.36378994760898342</v>
      </c>
      <c r="AH9332" s="2" t="str">
        <f ca="1"/>
        <v>OK</v>
      </c>
    </row>
    <row r="9333" spans="2:34" x14ac:dyDescent="0.2">
      <c r="B9333" s="2">
        <f ca="1"/>
        <v>0.50076932917723038</v>
      </c>
      <c r="O9333" s="2">
        <f ca="1"/>
        <v>0.11464512627199043</v>
      </c>
      <c r="X9333" s="2">
        <f ca="1"/>
        <v>69.403166844021499</v>
      </c>
      <c r="AG9333" s="2">
        <f ca="1"/>
        <v>0.19308559620829713</v>
      </c>
      <c r="AH9333" s="2" t="str">
        <f ca="1"/>
        <v>OK</v>
      </c>
    </row>
    <row r="9334" spans="2:34" x14ac:dyDescent="0.2">
      <c r="B9334" s="2">
        <f ca="1"/>
        <v>0.90703345620915932</v>
      </c>
      <c r="O9334" s="2">
        <f ca="1"/>
        <v>0.56863947809920767</v>
      </c>
      <c r="X9334" s="2">
        <f ca="1"/>
        <v>63.216285115065418</v>
      </c>
      <c r="AG9334" s="2">
        <f ca="1"/>
        <v>0.91559177995798069</v>
      </c>
      <c r="AH9334" s="2" t="str">
        <f ca="1"/>
        <v>Bad</v>
      </c>
    </row>
    <row r="9335" spans="2:34" x14ac:dyDescent="0.2">
      <c r="B9335" s="2">
        <f ca="1"/>
        <v>0.57714401836093132</v>
      </c>
      <c r="O9335" s="2">
        <f ca="1"/>
        <v>0.68737665650026836</v>
      </c>
      <c r="X9335" s="2">
        <f ca="1"/>
        <v>50.506429621122891</v>
      </c>
      <c r="AG9335" s="2">
        <f ca="1"/>
        <v>0.15553478350676264</v>
      </c>
      <c r="AH9335" s="2" t="str">
        <f ca="1"/>
        <v>OK</v>
      </c>
    </row>
    <row r="9336" spans="2:34" x14ac:dyDescent="0.2">
      <c r="B9336" s="2">
        <f ca="1"/>
        <v>0.68803219294001949</v>
      </c>
      <c r="O9336" s="2">
        <f ca="1"/>
        <v>1.3727600287328174</v>
      </c>
      <c r="X9336" s="2">
        <f ca="1"/>
        <v>33.787807582672798</v>
      </c>
      <c r="AG9336" s="2">
        <f ca="1"/>
        <v>0.82983366921695989</v>
      </c>
      <c r="AH9336" s="2" t="str">
        <f ca="1"/>
        <v>Bad</v>
      </c>
    </row>
    <row r="9337" spans="2:34" x14ac:dyDescent="0.2">
      <c r="B9337" s="2">
        <f ca="1"/>
        <v>0.76418455751565539</v>
      </c>
      <c r="O9337" s="2">
        <f ca="1"/>
        <v>0.71449905534173574</v>
      </c>
      <c r="X9337" s="2">
        <f ca="1"/>
        <v>50.852663885827752</v>
      </c>
      <c r="AG9337" s="2">
        <f ca="1"/>
        <v>0.10497688536202143</v>
      </c>
      <c r="AH9337" s="2" t="str">
        <f ca="1"/>
        <v>OK</v>
      </c>
    </row>
    <row r="9338" spans="2:34" x14ac:dyDescent="0.2">
      <c r="B9338" s="2">
        <f ca="1"/>
        <v>0.7568195228594965</v>
      </c>
      <c r="O9338" s="2">
        <f ca="1"/>
        <v>-0.11743801677887614</v>
      </c>
      <c r="X9338" s="2">
        <f ca="1"/>
        <v>52.737539922891713</v>
      </c>
      <c r="AG9338" s="2">
        <f ca="1"/>
        <v>0.3512304743993484</v>
      </c>
      <c r="AH9338" s="2" t="str">
        <f ca="1"/>
        <v>OK</v>
      </c>
    </row>
    <row r="9339" spans="2:34" x14ac:dyDescent="0.2">
      <c r="B9339" s="2">
        <f ca="1"/>
        <v>0.55959407322514609</v>
      </c>
      <c r="O9339" s="2">
        <f ca="1"/>
        <v>0.72632971699930338</v>
      </c>
      <c r="X9339" s="2">
        <f ca="1"/>
        <v>43.803852245227148</v>
      </c>
      <c r="AG9339" s="2">
        <f ca="1"/>
        <v>0.60789238857951022</v>
      </c>
      <c r="AH9339" s="2" t="str">
        <f ca="1"/>
        <v>Bad</v>
      </c>
    </row>
    <row r="9340" spans="2:34" x14ac:dyDescent="0.2">
      <c r="B9340" s="2">
        <f ca="1"/>
        <v>8.6849767742118278E-2</v>
      </c>
      <c r="O9340" s="2">
        <f ca="1"/>
        <v>-0.29993695129350789</v>
      </c>
      <c r="X9340" s="2">
        <f ca="1"/>
        <v>53.282295444112762</v>
      </c>
      <c r="AG9340" s="2">
        <f ca="1"/>
        <v>0.81122707873670308</v>
      </c>
      <c r="AH9340" s="2" t="str">
        <f ca="1"/>
        <v>Bad</v>
      </c>
    </row>
    <row r="9341" spans="2:34" x14ac:dyDescent="0.2">
      <c r="B9341" s="2">
        <f ca="1"/>
        <v>0.359281986873492</v>
      </c>
      <c r="O9341" s="2">
        <f ca="1"/>
        <v>1.1663364302076467</v>
      </c>
      <c r="X9341" s="2">
        <f ca="1"/>
        <v>46.799670971421065</v>
      </c>
      <c r="AG9341" s="2">
        <f ca="1"/>
        <v>0.3190822886383633</v>
      </c>
      <c r="AH9341" s="2" t="str">
        <f ca="1"/>
        <v>OK</v>
      </c>
    </row>
    <row r="9342" spans="2:34" x14ac:dyDescent="0.2">
      <c r="B9342" s="2">
        <f ca="1"/>
        <v>0.57933766183479896</v>
      </c>
      <c r="O9342" s="2">
        <f ca="1"/>
        <v>0.24830972255034076</v>
      </c>
      <c r="X9342" s="2">
        <f ca="1"/>
        <v>53.856808767136727</v>
      </c>
      <c r="AG9342" s="2">
        <f ca="1"/>
        <v>0.34473216622515701</v>
      </c>
      <c r="AH9342" s="2" t="str">
        <f ca="1"/>
        <v>OK</v>
      </c>
    </row>
    <row r="9343" spans="2:34" x14ac:dyDescent="0.2">
      <c r="B9343" s="2">
        <f ca="1"/>
        <v>8.7128236081053245E-3</v>
      </c>
      <c r="O9343" s="2">
        <f ca="1"/>
        <v>-0.66695494642153585</v>
      </c>
      <c r="X9343" s="2">
        <f ca="1"/>
        <v>50.745583567722491</v>
      </c>
      <c r="AG9343" s="2">
        <f ca="1"/>
        <v>0.29238900392654465</v>
      </c>
      <c r="AH9343" s="2" t="str">
        <f ca="1"/>
        <v>OK</v>
      </c>
    </row>
    <row r="9344" spans="2:34" x14ac:dyDescent="0.2">
      <c r="B9344" s="2">
        <f ca="1"/>
        <v>0.91468658921244517</v>
      </c>
      <c r="O9344" s="2">
        <f ca="1"/>
        <v>0.46896141090459742</v>
      </c>
      <c r="X9344" s="2">
        <f ca="1"/>
        <v>44.817701028698032</v>
      </c>
      <c r="AG9344" s="2">
        <f ca="1"/>
        <v>1.8759537634147394E-2</v>
      </c>
      <c r="AH9344" s="2" t="str">
        <f ca="1"/>
        <v>Good</v>
      </c>
    </row>
    <row r="9345" spans="2:34" x14ac:dyDescent="0.2">
      <c r="B9345" s="2">
        <f ca="1"/>
        <v>0.46301358807925341</v>
      </c>
      <c r="O9345" s="2">
        <f ca="1"/>
        <v>3.9358693867402733E-2</v>
      </c>
      <c r="X9345" s="2">
        <f ca="1"/>
        <v>44.922351752593357</v>
      </c>
      <c r="AG9345" s="2">
        <f ca="1"/>
        <v>9.5164539627215605E-2</v>
      </c>
      <c r="AH9345" s="2" t="str">
        <f ca="1"/>
        <v>OK</v>
      </c>
    </row>
    <row r="9346" spans="2:34" x14ac:dyDescent="0.2">
      <c r="B9346" s="2">
        <f ca="1"/>
        <v>0.8528875082913896</v>
      </c>
      <c r="O9346" s="2">
        <f ca="1"/>
        <v>-0.29107743725710122</v>
      </c>
      <c r="X9346" s="2">
        <f ca="1"/>
        <v>69.04254831317229</v>
      </c>
      <c r="AG9346" s="2">
        <f ca="1"/>
        <v>0.34493082637444217</v>
      </c>
      <c r="AH9346" s="2" t="str">
        <f ca="1"/>
        <v>OK</v>
      </c>
    </row>
    <row r="9347" spans="2:34" x14ac:dyDescent="0.2">
      <c r="B9347" s="2">
        <f ca="1"/>
        <v>0.13876018270883161</v>
      </c>
      <c r="O9347" s="2">
        <f ca="1"/>
        <v>9.0501341502709026E-2</v>
      </c>
      <c r="X9347" s="2">
        <f ca="1"/>
        <v>42.127776977696129</v>
      </c>
      <c r="AG9347" s="2">
        <f ca="1"/>
        <v>0.20317284609377873</v>
      </c>
      <c r="AH9347" s="2" t="str">
        <f ca="1"/>
        <v>OK</v>
      </c>
    </row>
    <row r="9348" spans="2:34" x14ac:dyDescent="0.2">
      <c r="B9348" s="2">
        <f ca="1"/>
        <v>4.3255453749417194E-2</v>
      </c>
      <c r="O9348" s="2">
        <f ca="1"/>
        <v>0.47642523786740687</v>
      </c>
      <c r="X9348" s="2">
        <f ca="1"/>
        <v>54.210890112559781</v>
      </c>
      <c r="AG9348" s="2">
        <f ca="1"/>
        <v>0.48487733949807099</v>
      </c>
      <c r="AH9348" s="2" t="str">
        <f ca="1"/>
        <v>Bad</v>
      </c>
    </row>
    <row r="9349" spans="2:34" x14ac:dyDescent="0.2">
      <c r="B9349" s="2">
        <f ca="1"/>
        <v>0.76720640695831377</v>
      </c>
      <c r="O9349" s="2">
        <f ca="1"/>
        <v>-6.5598864312310948E-2</v>
      </c>
      <c r="X9349" s="2">
        <f ca="1"/>
        <v>34.439407640166358</v>
      </c>
      <c r="AG9349" s="2">
        <f ca="1"/>
        <v>0.445691064328682</v>
      </c>
      <c r="AH9349" s="2" t="str">
        <f ca="1"/>
        <v>Bad</v>
      </c>
    </row>
    <row r="9350" spans="2:34" x14ac:dyDescent="0.2">
      <c r="B9350" s="2">
        <f ca="1"/>
        <v>0.27547608219758524</v>
      </c>
      <c r="O9350" s="2">
        <f ca="1"/>
        <v>-0.98826662330158388</v>
      </c>
      <c r="X9350" s="2">
        <f ca="1"/>
        <v>74.175526645569732</v>
      </c>
      <c r="AG9350" s="2">
        <f ca="1"/>
        <v>0.33185718648452944</v>
      </c>
      <c r="AH9350" s="2" t="str">
        <f ca="1"/>
        <v>OK</v>
      </c>
    </row>
    <row r="9351" spans="2:34" x14ac:dyDescent="0.2">
      <c r="B9351" s="2">
        <f ca="1"/>
        <v>0.10400360463657443</v>
      </c>
      <c r="O9351" s="2">
        <f ca="1"/>
        <v>0.18901296346102425</v>
      </c>
      <c r="X9351" s="2">
        <f ca="1"/>
        <v>55.153101877192285</v>
      </c>
      <c r="AG9351" s="2">
        <f ca="1"/>
        <v>7.2918909048435898E-2</v>
      </c>
      <c r="AH9351" s="2" t="str">
        <f ca="1"/>
        <v>OK</v>
      </c>
    </row>
    <row r="9352" spans="2:34" x14ac:dyDescent="0.2">
      <c r="B9352" s="2">
        <f ca="1"/>
        <v>0.17192271689317895</v>
      </c>
      <c r="O9352" s="2">
        <f ca="1"/>
        <v>0.76302874963984946</v>
      </c>
      <c r="X9352" s="2">
        <f ca="1"/>
        <v>44.372289214516769</v>
      </c>
      <c r="AG9352" s="2">
        <f ca="1"/>
        <v>0.37547901433787456</v>
      </c>
      <c r="AH9352" s="2" t="str">
        <f ca="1"/>
        <v>OK</v>
      </c>
    </row>
    <row r="9353" spans="2:34" x14ac:dyDescent="0.2">
      <c r="B9353" s="2">
        <f ca="1"/>
        <v>0.32649317152474833</v>
      </c>
      <c r="O9353" s="2">
        <f ca="1"/>
        <v>5.104749858696931E-2</v>
      </c>
      <c r="X9353" s="2">
        <f ca="1"/>
        <v>58.231030482561287</v>
      </c>
      <c r="AG9353" s="2">
        <f ca="1"/>
        <v>0.88455125860835082</v>
      </c>
      <c r="AH9353" s="2" t="str">
        <f ca="1"/>
        <v>Bad</v>
      </c>
    </row>
    <row r="9354" spans="2:34" x14ac:dyDescent="0.2">
      <c r="B9354" s="2">
        <f ca="1"/>
        <v>0.58152060922778825</v>
      </c>
      <c r="O9354" s="2">
        <f ca="1"/>
        <v>-7.2832537365429009E-2</v>
      </c>
      <c r="X9354" s="2">
        <f ca="1"/>
        <v>36.722060443387178</v>
      </c>
      <c r="AG9354" s="2">
        <f ca="1"/>
        <v>0.98357829626793225</v>
      </c>
      <c r="AH9354" s="2" t="str">
        <f ca="1"/>
        <v>Bad</v>
      </c>
    </row>
    <row r="9355" spans="2:34" x14ac:dyDescent="0.2">
      <c r="B9355" s="2">
        <f ca="1"/>
        <v>3.8938318413690665E-2</v>
      </c>
      <c r="O9355" s="2">
        <f ca="1"/>
        <v>0.32713385720200266</v>
      </c>
      <c r="X9355" s="2">
        <f ca="1"/>
        <v>57.548730219167574</v>
      </c>
      <c r="AG9355" s="2">
        <f ca="1"/>
        <v>0.15194851373970431</v>
      </c>
      <c r="AH9355" s="2" t="str">
        <f ca="1"/>
        <v>OK</v>
      </c>
    </row>
    <row r="9356" spans="2:34" x14ac:dyDescent="0.2">
      <c r="B9356" s="2">
        <f ca="1"/>
        <v>0.17951693025709647</v>
      </c>
      <c r="O9356" s="2">
        <f ca="1"/>
        <v>1.0036065146296815E-2</v>
      </c>
      <c r="X9356" s="2">
        <f ca="1"/>
        <v>54.834404224643094</v>
      </c>
      <c r="AG9356" s="2">
        <f ca="1"/>
        <v>6.805644402042077E-2</v>
      </c>
      <c r="AH9356" s="2" t="str">
        <f ca="1"/>
        <v>OK</v>
      </c>
    </row>
    <row r="9357" spans="2:34" x14ac:dyDescent="0.2">
      <c r="B9357" s="2">
        <f ca="1"/>
        <v>0.56753786323049682</v>
      </c>
      <c r="O9357" s="2">
        <f ca="1"/>
        <v>-1.0881303021182964</v>
      </c>
      <c r="X9357" s="2">
        <f ca="1"/>
        <v>55.124815374488492</v>
      </c>
      <c r="AG9357" s="2">
        <f ca="1"/>
        <v>0.96646838445988204</v>
      </c>
      <c r="AH9357" s="2" t="str">
        <f ca="1"/>
        <v>Bad</v>
      </c>
    </row>
    <row r="9358" spans="2:34" x14ac:dyDescent="0.2">
      <c r="B9358" s="2">
        <f ca="1"/>
        <v>0.62822824623374296</v>
      </c>
      <c r="O9358" s="2">
        <f ca="1"/>
        <v>0.42485208797658247</v>
      </c>
      <c r="X9358" s="2">
        <f ca="1"/>
        <v>33.017411940093275</v>
      </c>
      <c r="AG9358" s="2">
        <f ca="1"/>
        <v>0.81377884098715669</v>
      </c>
      <c r="AH9358" s="2" t="str">
        <f ca="1"/>
        <v>Bad</v>
      </c>
    </row>
    <row r="9359" spans="2:34" x14ac:dyDescent="0.2">
      <c r="B9359" s="2">
        <f ca="1"/>
        <v>0.29901438613114939</v>
      </c>
      <c r="O9359" s="2">
        <f ca="1"/>
        <v>-1.5263588833876951</v>
      </c>
      <c r="X9359" s="2">
        <f ca="1"/>
        <v>72.791580680019081</v>
      </c>
      <c r="AG9359" s="2">
        <f ca="1"/>
        <v>0.23626547587552915</v>
      </c>
      <c r="AH9359" s="2" t="str">
        <f ca="1"/>
        <v>OK</v>
      </c>
    </row>
    <row r="9360" spans="2:34" x14ac:dyDescent="0.2">
      <c r="B9360" s="2">
        <f ca="1"/>
        <v>0.53307828345701269</v>
      </c>
      <c r="O9360" s="2">
        <f ca="1"/>
        <v>0.72204052388617745</v>
      </c>
      <c r="X9360" s="2">
        <f ca="1"/>
        <v>58.604552432941105</v>
      </c>
      <c r="AG9360" s="2">
        <f ca="1"/>
        <v>0.67920152504480247</v>
      </c>
      <c r="AH9360" s="2" t="str">
        <f ca="1"/>
        <v>Bad</v>
      </c>
    </row>
    <row r="9361" spans="2:34" x14ac:dyDescent="0.2">
      <c r="B9361" s="2">
        <f ca="1"/>
        <v>7.8816827820139546E-2</v>
      </c>
      <c r="O9361" s="2">
        <f ca="1"/>
        <v>-1.9540885101866949</v>
      </c>
      <c r="X9361" s="2">
        <f ca="1"/>
        <v>50.793012415968938</v>
      </c>
      <c r="AG9361" s="2">
        <f ca="1"/>
        <v>0.52483063062575774</v>
      </c>
      <c r="AH9361" s="2" t="str">
        <f ca="1"/>
        <v>Bad</v>
      </c>
    </row>
    <row r="9362" spans="2:34" x14ac:dyDescent="0.2">
      <c r="B9362" s="2">
        <f ca="1"/>
        <v>0.18854808539807433</v>
      </c>
      <c r="O9362" s="2">
        <f ca="1"/>
        <v>-0.21559206844667697</v>
      </c>
      <c r="X9362" s="2">
        <f ca="1"/>
        <v>123.75476265395612</v>
      </c>
      <c r="AG9362" s="2">
        <f ca="1"/>
        <v>0.17514616230052193</v>
      </c>
      <c r="AH9362" s="2" t="str">
        <f ca="1"/>
        <v>OK</v>
      </c>
    </row>
    <row r="9363" spans="2:34" x14ac:dyDescent="0.2">
      <c r="B9363" s="2">
        <f ca="1"/>
        <v>0.24558603826540071</v>
      </c>
      <c r="O9363" s="2">
        <f ca="1"/>
        <v>-0.27284205341146184</v>
      </c>
      <c r="X9363" s="2">
        <f ca="1"/>
        <v>16.663760208855038</v>
      </c>
      <c r="AG9363" s="2">
        <f ca="1"/>
        <v>0.93828251465299872</v>
      </c>
      <c r="AH9363" s="2" t="str">
        <f ca="1"/>
        <v>Bad</v>
      </c>
    </row>
    <row r="9364" spans="2:34" x14ac:dyDescent="0.2">
      <c r="B9364" s="2">
        <f ca="1"/>
        <v>0.10924907576823872</v>
      </c>
      <c r="O9364" s="2">
        <f ca="1"/>
        <v>-0.90136639055585055</v>
      </c>
      <c r="X9364" s="2">
        <f ca="1"/>
        <v>32.62393848990223</v>
      </c>
      <c r="AG9364" s="2">
        <f ca="1"/>
        <v>4.5869145748470341E-2</v>
      </c>
      <c r="AH9364" s="2" t="str">
        <f ca="1"/>
        <v>Good</v>
      </c>
    </row>
    <row r="9365" spans="2:34" x14ac:dyDescent="0.2">
      <c r="B9365" s="2">
        <f ca="1"/>
        <v>0.45982042518355648</v>
      </c>
      <c r="O9365" s="2">
        <f ca="1"/>
        <v>1.1797706701566628</v>
      </c>
      <c r="X9365" s="2">
        <f ca="1"/>
        <v>28.22653448917956</v>
      </c>
      <c r="AG9365" s="2">
        <f ca="1"/>
        <v>0.40440658132021245</v>
      </c>
      <c r="AH9365" s="2" t="str">
        <f ca="1"/>
        <v>Bad</v>
      </c>
    </row>
    <row r="9366" spans="2:34" x14ac:dyDescent="0.2">
      <c r="B9366" s="2">
        <f ca="1"/>
        <v>5.6029278652986569E-2</v>
      </c>
      <c r="O9366" s="2">
        <f ca="1"/>
        <v>-7.678155218999147E-2</v>
      </c>
      <c r="X9366" s="2">
        <f ca="1"/>
        <v>27.034534656774547</v>
      </c>
      <c r="AG9366" s="2">
        <f ca="1"/>
        <v>0.45049281649756368</v>
      </c>
      <c r="AH9366" s="2" t="str">
        <f ca="1"/>
        <v>Bad</v>
      </c>
    </row>
    <row r="9367" spans="2:34" x14ac:dyDescent="0.2">
      <c r="B9367" s="2">
        <f ca="1"/>
        <v>0.80481635469575941</v>
      </c>
      <c r="O9367" s="2">
        <f ca="1"/>
        <v>-0.16325247490768363</v>
      </c>
      <c r="X9367" s="2">
        <f ca="1"/>
        <v>33.975118806794498</v>
      </c>
      <c r="AG9367" s="2">
        <f ca="1"/>
        <v>0.3067938862971562</v>
      </c>
      <c r="AH9367" s="2" t="str">
        <f ca="1"/>
        <v>OK</v>
      </c>
    </row>
    <row r="9368" spans="2:34" x14ac:dyDescent="0.2">
      <c r="B9368" s="2">
        <f ca="1"/>
        <v>0.76059316430542268</v>
      </c>
      <c r="O9368" s="2">
        <f ca="1"/>
        <v>1.3864855952296558</v>
      </c>
      <c r="X9368" s="2">
        <f ca="1"/>
        <v>35.009796126453736</v>
      </c>
      <c r="AG9368" s="2">
        <f ca="1"/>
        <v>9.833257058802003E-2</v>
      </c>
      <c r="AH9368" s="2" t="str">
        <f ca="1"/>
        <v>OK</v>
      </c>
    </row>
    <row r="9369" spans="2:34" x14ac:dyDescent="0.2">
      <c r="B9369" s="2">
        <f ca="1"/>
        <v>0.41238545314078201</v>
      </c>
      <c r="O9369" s="2">
        <f ca="1"/>
        <v>1.2904883844863473</v>
      </c>
      <c r="X9369" s="2">
        <f ca="1"/>
        <v>32.334708313353879</v>
      </c>
      <c r="AG9369" s="2">
        <f ca="1"/>
        <v>0.42760324376061454</v>
      </c>
      <c r="AH9369" s="2" t="str">
        <f ca="1"/>
        <v>Bad</v>
      </c>
    </row>
    <row r="9370" spans="2:34" x14ac:dyDescent="0.2">
      <c r="B9370" s="2">
        <f ca="1"/>
        <v>4.454614663823353E-2</v>
      </c>
      <c r="O9370" s="2">
        <f ca="1"/>
        <v>1.0664655014400146</v>
      </c>
      <c r="X9370" s="2">
        <f ca="1"/>
        <v>52.621420725341103</v>
      </c>
      <c r="AG9370" s="2">
        <f ca="1"/>
        <v>0.17620311309751302</v>
      </c>
      <c r="AH9370" s="2" t="str">
        <f ca="1"/>
        <v>OK</v>
      </c>
    </row>
    <row r="9371" spans="2:34" x14ac:dyDescent="0.2">
      <c r="B9371" s="2">
        <f ca="1"/>
        <v>0.13829972152141479</v>
      </c>
      <c r="O9371" s="2">
        <f ca="1"/>
        <v>-0.57817983788997673</v>
      </c>
      <c r="X9371" s="2">
        <f ca="1"/>
        <v>25.077283444672986</v>
      </c>
      <c r="AG9371" s="2">
        <f ca="1"/>
        <v>0.70429845405817493</v>
      </c>
      <c r="AH9371" s="2" t="str">
        <f ca="1"/>
        <v>Bad</v>
      </c>
    </row>
    <row r="9372" spans="2:34" x14ac:dyDescent="0.2">
      <c r="B9372" s="2">
        <f ca="1"/>
        <v>0.20407739873511588</v>
      </c>
      <c r="O9372" s="2">
        <f ca="1"/>
        <v>-0.92042034992677502</v>
      </c>
      <c r="X9372" s="2">
        <f ca="1"/>
        <v>77.198280709744523</v>
      </c>
      <c r="AG9372" s="2">
        <f ca="1"/>
        <v>0.23079743350904725</v>
      </c>
      <c r="AH9372" s="2" t="str">
        <f ca="1"/>
        <v>OK</v>
      </c>
    </row>
    <row r="9373" spans="2:34" x14ac:dyDescent="0.2">
      <c r="B9373" s="2">
        <f ca="1"/>
        <v>7.891393558680071E-2</v>
      </c>
      <c r="O9373" s="2">
        <f ca="1"/>
        <v>-1.0187354424643911</v>
      </c>
      <c r="X9373" s="2">
        <f ca="1"/>
        <v>78.679509426843197</v>
      </c>
      <c r="AG9373" s="2">
        <f ca="1"/>
        <v>0.58234763070735474</v>
      </c>
      <c r="AH9373" s="2" t="str">
        <f ca="1"/>
        <v>Bad</v>
      </c>
    </row>
    <row r="9374" spans="2:34" x14ac:dyDescent="0.2">
      <c r="B9374" s="2">
        <f ca="1"/>
        <v>0.54859911576353215</v>
      </c>
      <c r="O9374" s="2">
        <f ca="1"/>
        <v>1.3213170663324747</v>
      </c>
      <c r="X9374" s="2">
        <f ca="1"/>
        <v>40.009929708272232</v>
      </c>
      <c r="AG9374" s="2">
        <f ca="1"/>
        <v>0.62470929149718923</v>
      </c>
      <c r="AH9374" s="2" t="str">
        <f ca="1"/>
        <v>Bad</v>
      </c>
    </row>
    <row r="9375" spans="2:34" x14ac:dyDescent="0.2">
      <c r="B9375" s="2">
        <f ca="1"/>
        <v>0.65924219076711266</v>
      </c>
      <c r="O9375" s="2">
        <f ca="1"/>
        <v>1.5888286542057617</v>
      </c>
      <c r="X9375" s="2">
        <f ca="1"/>
        <v>58.478447264020389</v>
      </c>
      <c r="AG9375" s="2">
        <f ca="1"/>
        <v>0.94286113095066182</v>
      </c>
      <c r="AH9375" s="2" t="str">
        <f ca="1"/>
        <v>Bad</v>
      </c>
    </row>
    <row r="9376" spans="2:34" x14ac:dyDescent="0.2">
      <c r="B9376" s="2">
        <f ca="1"/>
        <v>0.67064098087444668</v>
      </c>
      <c r="O9376" s="2">
        <f ca="1"/>
        <v>-6.6217091238713804E-2</v>
      </c>
      <c r="X9376" s="2">
        <f ca="1"/>
        <v>38.204589154979089</v>
      </c>
      <c r="AG9376" s="2">
        <f ca="1"/>
        <v>0.11901648485585259</v>
      </c>
      <c r="AH9376" s="2" t="str">
        <f ca="1"/>
        <v>OK</v>
      </c>
    </row>
    <row r="9377" spans="2:34" x14ac:dyDescent="0.2">
      <c r="B9377" s="2">
        <f ca="1"/>
        <v>0.36643627760423692</v>
      </c>
      <c r="O9377" s="2">
        <f ca="1"/>
        <v>-0.10518072627426081</v>
      </c>
      <c r="X9377" s="2">
        <f ca="1"/>
        <v>29.857560496294813</v>
      </c>
      <c r="AG9377" s="2">
        <f ca="1"/>
        <v>0.68801879857153825</v>
      </c>
      <c r="AH9377" s="2" t="str">
        <f ca="1"/>
        <v>Bad</v>
      </c>
    </row>
    <row r="9378" spans="2:34" x14ac:dyDescent="0.2">
      <c r="B9378" s="2">
        <f ca="1"/>
        <v>2.824602276825261E-2</v>
      </c>
      <c r="O9378" s="2">
        <f ca="1"/>
        <v>-1.3488197410285774</v>
      </c>
      <c r="X9378" s="2">
        <f ca="1"/>
        <v>49.725787037009411</v>
      </c>
      <c r="AG9378" s="2">
        <f ca="1"/>
        <v>0.11548460024321772</v>
      </c>
      <c r="AH9378" s="2" t="str">
        <f ca="1"/>
        <v>OK</v>
      </c>
    </row>
    <row r="9379" spans="2:34" x14ac:dyDescent="0.2">
      <c r="B9379" s="2">
        <f ca="1"/>
        <v>0.95518483003055077</v>
      </c>
      <c r="O9379" s="2">
        <f ca="1"/>
        <v>2.3423574655480315E-2</v>
      </c>
      <c r="X9379" s="2">
        <f ca="1"/>
        <v>47.507797014852393</v>
      </c>
      <c r="AG9379" s="2">
        <f ca="1"/>
        <v>0.3433951628544063</v>
      </c>
      <c r="AH9379" s="2" t="str">
        <f ca="1"/>
        <v>OK</v>
      </c>
    </row>
    <row r="9380" spans="2:34" x14ac:dyDescent="0.2">
      <c r="B9380" s="2">
        <f ca="1"/>
        <v>0.94755550954645207</v>
      </c>
      <c r="O9380" s="2">
        <f ca="1"/>
        <v>0.92312370030081792</v>
      </c>
      <c r="X9380" s="2">
        <f ca="1"/>
        <v>39.038137518015397</v>
      </c>
      <c r="AG9380" s="2">
        <f ca="1"/>
        <v>0.43253257153787272</v>
      </c>
      <c r="AH9380" s="2" t="str">
        <f ca="1"/>
        <v>Bad</v>
      </c>
    </row>
    <row r="9381" spans="2:34" x14ac:dyDescent="0.2">
      <c r="B9381" s="2">
        <f ca="1"/>
        <v>0.21461018156742506</v>
      </c>
      <c r="O9381" s="2">
        <f ca="1"/>
        <v>0.44560230295141623</v>
      </c>
      <c r="X9381" s="2">
        <f ca="1"/>
        <v>20.912154682317109</v>
      </c>
      <c r="AG9381" s="2">
        <f ca="1"/>
        <v>0.72284354907188342</v>
      </c>
      <c r="AH9381" s="2" t="str">
        <f ca="1"/>
        <v>Bad</v>
      </c>
    </row>
    <row r="9382" spans="2:34" x14ac:dyDescent="0.2">
      <c r="B9382" s="2">
        <f ca="1"/>
        <v>0.13170918894948369</v>
      </c>
      <c r="O9382" s="2">
        <f ca="1"/>
        <v>-6.619603585546821E-2</v>
      </c>
      <c r="X9382" s="2">
        <f ca="1"/>
        <v>66.481324190031202</v>
      </c>
      <c r="AG9382" s="2">
        <f ca="1"/>
        <v>0.22709546089076094</v>
      </c>
      <c r="AH9382" s="2" t="str">
        <f ca="1"/>
        <v>OK</v>
      </c>
    </row>
    <row r="9383" spans="2:34" x14ac:dyDescent="0.2">
      <c r="B9383" s="2">
        <f ca="1"/>
        <v>0.48382419038953972</v>
      </c>
      <c r="O9383" s="2">
        <f ca="1"/>
        <v>-7.7975203165238843E-2</v>
      </c>
      <c r="X9383" s="2">
        <f ca="1"/>
        <v>56.010901777886261</v>
      </c>
      <c r="AG9383" s="2">
        <f ca="1"/>
        <v>0.52233506869419033</v>
      </c>
      <c r="AH9383" s="2" t="str">
        <f ca="1"/>
        <v>Bad</v>
      </c>
    </row>
    <row r="9384" spans="2:34" x14ac:dyDescent="0.2">
      <c r="B9384" s="2">
        <f ca="1"/>
        <v>0.43799406573613298</v>
      </c>
      <c r="O9384" s="2">
        <f ca="1"/>
        <v>-8.8629397689633807E-2</v>
      </c>
      <c r="X9384" s="2">
        <f ca="1"/>
        <v>65.2568809756077</v>
      </c>
      <c r="AG9384" s="2">
        <f ca="1"/>
        <v>0.60021762540878631</v>
      </c>
      <c r="AH9384" s="2" t="str">
        <f ca="1"/>
        <v>Bad</v>
      </c>
    </row>
    <row r="9385" spans="2:34" x14ac:dyDescent="0.2">
      <c r="B9385" s="2">
        <f ca="1"/>
        <v>0.90370961669797456</v>
      </c>
      <c r="O9385" s="2">
        <f ca="1"/>
        <v>1.1153329397272915</v>
      </c>
      <c r="X9385" s="2">
        <f ca="1"/>
        <v>35.829623010221717</v>
      </c>
      <c r="AG9385" s="2">
        <f ca="1"/>
        <v>0.20375127279123784</v>
      </c>
      <c r="AH9385" s="2" t="str">
        <f ca="1"/>
        <v>OK</v>
      </c>
    </row>
    <row r="9386" spans="2:34" x14ac:dyDescent="0.2">
      <c r="B9386" s="2">
        <f ca="1"/>
        <v>0.21350318077707775</v>
      </c>
      <c r="O9386" s="2">
        <f ca="1"/>
        <v>1.0791630592486721</v>
      </c>
      <c r="X9386" s="2">
        <f ca="1"/>
        <v>50.392850813089936</v>
      </c>
      <c r="AG9386" s="2">
        <f ca="1"/>
        <v>5.7777235003942495E-2</v>
      </c>
      <c r="AH9386" s="2" t="str">
        <f ca="1"/>
        <v>OK</v>
      </c>
    </row>
    <row r="9387" spans="2:34" x14ac:dyDescent="0.2">
      <c r="B9387" s="2">
        <f ca="1"/>
        <v>0.72889186558553565</v>
      </c>
      <c r="O9387" s="2">
        <f ca="1"/>
        <v>0.42091119277944766</v>
      </c>
      <c r="X9387" s="2">
        <f ca="1"/>
        <v>48.555834186214504</v>
      </c>
      <c r="AG9387" s="2">
        <f ca="1"/>
        <v>0.41687868180567378</v>
      </c>
      <c r="AH9387" s="2" t="str">
        <f ca="1"/>
        <v>Bad</v>
      </c>
    </row>
    <row r="9388" spans="2:34" x14ac:dyDescent="0.2">
      <c r="B9388" s="2">
        <f ca="1"/>
        <v>0.31154036162232113</v>
      </c>
      <c r="O9388" s="2">
        <f ca="1"/>
        <v>-0.16493334378211705</v>
      </c>
      <c r="X9388" s="2">
        <f ca="1"/>
        <v>73.262403854544786</v>
      </c>
      <c r="AG9388" s="2">
        <f ca="1"/>
        <v>0.37613399184881202</v>
      </c>
      <c r="AH9388" s="2" t="str">
        <f ca="1"/>
        <v>OK</v>
      </c>
    </row>
    <row r="9389" spans="2:34" x14ac:dyDescent="0.2">
      <c r="B9389" s="2">
        <f ca="1"/>
        <v>0.22550388165920254</v>
      </c>
      <c r="O9389" s="2">
        <f ca="1"/>
        <v>0.26742118800523801</v>
      </c>
      <c r="X9389" s="2">
        <f ca="1"/>
        <v>64.91716438631488</v>
      </c>
      <c r="AG9389" s="2">
        <f ca="1"/>
        <v>0.86659071807280363</v>
      </c>
      <c r="AH9389" s="2" t="str">
        <f ca="1"/>
        <v>Bad</v>
      </c>
    </row>
    <row r="9390" spans="2:34" x14ac:dyDescent="0.2">
      <c r="B9390" s="2">
        <f ca="1"/>
        <v>0.81414510721665945</v>
      </c>
      <c r="O9390" s="2">
        <f ca="1"/>
        <v>0.22233124534807636</v>
      </c>
      <c r="X9390" s="2">
        <f ca="1"/>
        <v>62.182436377454962</v>
      </c>
      <c r="AG9390" s="2">
        <f ca="1"/>
        <v>0.47338609238283369</v>
      </c>
      <c r="AH9390" s="2" t="str">
        <f ca="1"/>
        <v>Bad</v>
      </c>
    </row>
    <row r="9391" spans="2:34" x14ac:dyDescent="0.2">
      <c r="B9391" s="2">
        <f ca="1"/>
        <v>0.60723574219251208</v>
      </c>
      <c r="O9391" s="2">
        <f ca="1"/>
        <v>1.46925911172393</v>
      </c>
      <c r="X9391" s="2">
        <f ca="1"/>
        <v>33.059518798918354</v>
      </c>
      <c r="AG9391" s="2">
        <f ca="1"/>
        <v>0.63074382027045139</v>
      </c>
      <c r="AH9391" s="2" t="str">
        <f ca="1"/>
        <v>Bad</v>
      </c>
    </row>
    <row r="9392" spans="2:34" x14ac:dyDescent="0.2">
      <c r="B9392" s="2">
        <f ca="1"/>
        <v>0.82443255560153172</v>
      </c>
      <c r="O9392" s="2">
        <f ca="1"/>
        <v>8.2272581488169072E-2</v>
      </c>
      <c r="X9392" s="2">
        <f ca="1"/>
        <v>30.358352061771011</v>
      </c>
      <c r="AG9392" s="2">
        <f ca="1"/>
        <v>6.1917169590791632E-2</v>
      </c>
      <c r="AH9392" s="2" t="str">
        <f ca="1"/>
        <v>OK</v>
      </c>
    </row>
    <row r="9393" spans="2:34" x14ac:dyDescent="0.2">
      <c r="B9393" s="2">
        <f ca="1"/>
        <v>0.67902933774024565</v>
      </c>
      <c r="O9393" s="2">
        <f ca="1"/>
        <v>-0.56474902236792013</v>
      </c>
      <c r="X9393" s="2">
        <f ca="1"/>
        <v>32.857557627382818</v>
      </c>
      <c r="AG9393" s="2">
        <f ca="1"/>
        <v>0.46293967819409843</v>
      </c>
      <c r="AH9393" s="2" t="str">
        <f ca="1"/>
        <v>Bad</v>
      </c>
    </row>
    <row r="9394" spans="2:34" x14ac:dyDescent="0.2">
      <c r="B9394" s="2">
        <f ca="1"/>
        <v>0.8308975174023181</v>
      </c>
      <c r="O9394" s="2">
        <f ca="1"/>
        <v>-0.11869277358079434</v>
      </c>
      <c r="X9394" s="2">
        <f ca="1"/>
        <v>59.099431493683994</v>
      </c>
      <c r="AG9394" s="2">
        <f ca="1"/>
        <v>0.17472285450276548</v>
      </c>
      <c r="AH9394" s="2" t="str">
        <f ca="1"/>
        <v>OK</v>
      </c>
    </row>
    <row r="9395" spans="2:34" x14ac:dyDescent="0.2">
      <c r="B9395" s="2">
        <f ca="1"/>
        <v>0.96718771124504177</v>
      </c>
      <c r="O9395" s="2">
        <f ca="1"/>
        <v>0.39222475095318565</v>
      </c>
      <c r="X9395" s="2">
        <f ca="1"/>
        <v>45.41231603849937</v>
      </c>
      <c r="AG9395" s="2">
        <f ca="1"/>
        <v>0.60735641583418198</v>
      </c>
      <c r="AH9395" s="2" t="str">
        <f ca="1"/>
        <v>Bad</v>
      </c>
    </row>
    <row r="9396" spans="2:34" x14ac:dyDescent="0.2">
      <c r="B9396" s="2">
        <f ca="1"/>
        <v>0.36881524944196675</v>
      </c>
      <c r="O9396" s="2">
        <f ca="1"/>
        <v>-0.722929791347104</v>
      </c>
      <c r="X9396" s="2">
        <f ca="1"/>
        <v>55.153827933162169</v>
      </c>
      <c r="AG9396" s="2">
        <f ca="1"/>
        <v>0.7918647584376215</v>
      </c>
      <c r="AH9396" s="2" t="str">
        <f ca="1"/>
        <v>Bad</v>
      </c>
    </row>
    <row r="9397" spans="2:34" x14ac:dyDescent="0.2">
      <c r="B9397" s="2">
        <f ca="1"/>
        <v>0.42475382198098921</v>
      </c>
      <c r="O9397" s="2">
        <f ca="1"/>
        <v>1.7591031434483504</v>
      </c>
      <c r="X9397" s="2">
        <f ca="1"/>
        <v>56.548454303411376</v>
      </c>
      <c r="AG9397" s="2">
        <f ca="1"/>
        <v>0.68689753804188913</v>
      </c>
      <c r="AH9397" s="2" t="str">
        <f ca="1"/>
        <v>Bad</v>
      </c>
    </row>
    <row r="9398" spans="2:34" x14ac:dyDescent="0.2">
      <c r="B9398" s="2">
        <f ca="1"/>
        <v>0.20891790484984862</v>
      </c>
      <c r="O9398" s="2">
        <f ca="1"/>
        <v>-0.99233135956586427</v>
      </c>
      <c r="X9398" s="2">
        <f ca="1"/>
        <v>61.194104291695993</v>
      </c>
      <c r="AG9398" s="2">
        <f ca="1"/>
        <v>2.6604462231397452E-2</v>
      </c>
      <c r="AH9398" s="2" t="str">
        <f ca="1"/>
        <v>Good</v>
      </c>
    </row>
    <row r="9399" spans="2:34" x14ac:dyDescent="0.2">
      <c r="B9399" s="2">
        <f ca="1"/>
        <v>8.1398469304347021E-2</v>
      </c>
      <c r="O9399" s="2">
        <f ca="1"/>
        <v>5.3061209373861107E-2</v>
      </c>
      <c r="X9399" s="2">
        <f ca="1"/>
        <v>49.622314909069189</v>
      </c>
      <c r="AG9399" s="2">
        <f ca="1"/>
        <v>0.96163097682690535</v>
      </c>
      <c r="AH9399" s="2" t="str">
        <f ca="1"/>
        <v>Bad</v>
      </c>
    </row>
    <row r="9400" spans="2:34" x14ac:dyDescent="0.2">
      <c r="B9400" s="2">
        <f ca="1"/>
        <v>0.80451274134208406</v>
      </c>
      <c r="O9400" s="2">
        <f ca="1"/>
        <v>-8.0846727761570175E-2</v>
      </c>
      <c r="X9400" s="2">
        <f ca="1"/>
        <v>51.83662663088846</v>
      </c>
      <c r="AG9400" s="2">
        <f ca="1"/>
        <v>0.423965248372143</v>
      </c>
      <c r="AH9400" s="2" t="str">
        <f ca="1"/>
        <v>Bad</v>
      </c>
    </row>
    <row r="9401" spans="2:34" x14ac:dyDescent="0.2">
      <c r="B9401" s="2">
        <f ca="1"/>
        <v>0.16421014962633373</v>
      </c>
      <c r="O9401" s="2">
        <f ca="1"/>
        <v>-1.2034578067489556</v>
      </c>
      <c r="X9401" s="2">
        <f ca="1"/>
        <v>74.973043767915598</v>
      </c>
      <c r="AG9401" s="2">
        <f ca="1"/>
        <v>0.57276654119246251</v>
      </c>
      <c r="AH9401" s="2" t="str">
        <f ca="1"/>
        <v>Bad</v>
      </c>
    </row>
    <row r="9402" spans="2:34" x14ac:dyDescent="0.2">
      <c r="B9402" s="2">
        <f ca="1"/>
        <v>0.80896024411701539</v>
      </c>
      <c r="O9402" s="2">
        <f ca="1"/>
        <v>0.63548073723953924</v>
      </c>
      <c r="X9402" s="2">
        <f ca="1"/>
        <v>55.46541080466136</v>
      </c>
      <c r="AG9402" s="2">
        <f ca="1"/>
        <v>3.2225137197990916E-2</v>
      </c>
      <c r="AH9402" s="2" t="str">
        <f ca="1"/>
        <v>Good</v>
      </c>
    </row>
    <row r="9403" spans="2:34" x14ac:dyDescent="0.2">
      <c r="B9403" s="2">
        <f ca="1"/>
        <v>0.20386821605428462</v>
      </c>
      <c r="O9403" s="2">
        <f ca="1"/>
        <v>0.30514333326173221</v>
      </c>
      <c r="X9403" s="2">
        <f ca="1"/>
        <v>49.117970511752262</v>
      </c>
      <c r="AG9403" s="2">
        <f ca="1"/>
        <v>0.76573935348487554</v>
      </c>
      <c r="AH9403" s="2" t="str">
        <f ca="1"/>
        <v>Bad</v>
      </c>
    </row>
    <row r="9404" spans="2:34" x14ac:dyDescent="0.2">
      <c r="B9404" s="2">
        <f ca="1"/>
        <v>0.83303904566753739</v>
      </c>
      <c r="O9404" s="2">
        <f ca="1"/>
        <v>-0.89001881847699005</v>
      </c>
      <c r="X9404" s="2">
        <f ca="1"/>
        <v>48.498204867085519</v>
      </c>
      <c r="AG9404" s="2">
        <f ca="1"/>
        <v>0.89614640629710962</v>
      </c>
      <c r="AH9404" s="2" t="str">
        <f ca="1"/>
        <v>Bad</v>
      </c>
    </row>
    <row r="9405" spans="2:34" x14ac:dyDescent="0.2">
      <c r="B9405" s="2">
        <f ca="1"/>
        <v>0.96121694639508548</v>
      </c>
      <c r="O9405" s="2">
        <f ca="1"/>
        <v>0.36302743841792706</v>
      </c>
      <c r="X9405" s="2">
        <f ca="1"/>
        <v>76.558298467924217</v>
      </c>
      <c r="AG9405" s="2">
        <f ca="1"/>
        <v>0.60182187850589752</v>
      </c>
      <c r="AH9405" s="2" t="str">
        <f ca="1"/>
        <v>Bad</v>
      </c>
    </row>
    <row r="9406" spans="2:34" x14ac:dyDescent="0.2">
      <c r="B9406" s="2">
        <f ca="1"/>
        <v>0.3787155688775321</v>
      </c>
      <c r="O9406" s="2">
        <f ca="1"/>
        <v>0.37710024080547294</v>
      </c>
      <c r="X9406" s="2">
        <f ca="1"/>
        <v>39.943356920132608</v>
      </c>
      <c r="AG9406" s="2">
        <f ca="1"/>
        <v>0.85577146829865014</v>
      </c>
      <c r="AH9406" s="2" t="str">
        <f ca="1"/>
        <v>Bad</v>
      </c>
    </row>
    <row r="9407" spans="2:34" x14ac:dyDescent="0.2">
      <c r="B9407" s="2">
        <f ca="1"/>
        <v>6.6609136161488003E-2</v>
      </c>
      <c r="O9407" s="2">
        <f ca="1"/>
        <v>-0.39225340650391582</v>
      </c>
      <c r="X9407" s="2">
        <f ca="1"/>
        <v>86.553717814535361</v>
      </c>
      <c r="AG9407" s="2">
        <f ca="1"/>
        <v>0.39662623502447047</v>
      </c>
      <c r="AH9407" s="2" t="str">
        <f ca="1"/>
        <v>OK</v>
      </c>
    </row>
    <row r="9408" spans="2:34" x14ac:dyDescent="0.2">
      <c r="B9408" s="2">
        <f ca="1"/>
        <v>0.28026357145127823</v>
      </c>
      <c r="O9408" s="2">
        <f ca="1"/>
        <v>1.1453877501794081</v>
      </c>
      <c r="X9408" s="2">
        <f ca="1"/>
        <v>46.181092495518314</v>
      </c>
      <c r="AG9408" s="2">
        <f ca="1"/>
        <v>0.81491662630157857</v>
      </c>
      <c r="AH9408" s="2" t="str">
        <f ca="1"/>
        <v>Bad</v>
      </c>
    </row>
    <row r="9409" spans="2:34" x14ac:dyDescent="0.2">
      <c r="B9409" s="2">
        <f ca="1"/>
        <v>0.25398169611268284</v>
      </c>
      <c r="O9409" s="2">
        <f ca="1"/>
        <v>1.4583497080186629E-2</v>
      </c>
      <c r="X9409" s="2">
        <f ca="1"/>
        <v>60.809531099997812</v>
      </c>
      <c r="AG9409" s="2">
        <f ca="1"/>
        <v>0.2994926835197671</v>
      </c>
      <c r="AH9409" s="2" t="str">
        <f ca="1"/>
        <v>OK</v>
      </c>
    </row>
    <row r="9410" spans="2:34" x14ac:dyDescent="0.2">
      <c r="B9410" s="2">
        <f ca="1"/>
        <v>0.72549568237736595</v>
      </c>
      <c r="O9410" s="2">
        <f ca="1"/>
        <v>-1.1616489708624798</v>
      </c>
      <c r="X9410" s="2">
        <f ca="1"/>
        <v>73.107747037281769</v>
      </c>
      <c r="AG9410" s="2">
        <f ca="1"/>
        <v>0.74051997029508265</v>
      </c>
      <c r="AH9410" s="2" t="str">
        <f ca="1"/>
        <v>Bad</v>
      </c>
    </row>
    <row r="9411" spans="2:34" x14ac:dyDescent="0.2">
      <c r="B9411" s="2">
        <f ca="1"/>
        <v>0.21014433441263791</v>
      </c>
      <c r="O9411" s="2">
        <f ca="1"/>
        <v>1.2181397817749406</v>
      </c>
      <c r="X9411" s="2">
        <f ca="1"/>
        <v>79.396489360294453</v>
      </c>
      <c r="AG9411" s="2">
        <f ca="1"/>
        <v>0.46032391925084748</v>
      </c>
      <c r="AH9411" s="2" t="str">
        <f ca="1"/>
        <v>Bad</v>
      </c>
    </row>
    <row r="9412" spans="2:34" x14ac:dyDescent="0.2">
      <c r="B9412" s="2">
        <f ca="1"/>
        <v>0.57772306698910758</v>
      </c>
      <c r="O9412" s="2">
        <f ca="1"/>
        <v>0.47834554594617884</v>
      </c>
      <c r="X9412" s="2">
        <f ca="1"/>
        <v>46.300917668098663</v>
      </c>
      <c r="AG9412" s="2">
        <f ca="1"/>
        <v>9.0467983079911551E-2</v>
      </c>
      <c r="AH9412" s="2" t="str">
        <f ca="1"/>
        <v>OK</v>
      </c>
    </row>
    <row r="9413" spans="2:34" x14ac:dyDescent="0.2">
      <c r="B9413" s="2">
        <f ca="1"/>
        <v>0.2547744902375515</v>
      </c>
      <c r="O9413" s="2">
        <f ca="1"/>
        <v>1.3583644883601591</v>
      </c>
      <c r="X9413" s="2">
        <f ca="1"/>
        <v>39.796452971263399</v>
      </c>
      <c r="AG9413" s="2">
        <f ca="1"/>
        <v>0.92347238861172443</v>
      </c>
      <c r="AH9413" s="2" t="str">
        <f ca="1"/>
        <v>Bad</v>
      </c>
    </row>
    <row r="9414" spans="2:34" x14ac:dyDescent="0.2">
      <c r="B9414" s="2">
        <f ca="1"/>
        <v>4.9681328549260551E-2</v>
      </c>
      <c r="O9414" s="2">
        <f ca="1"/>
        <v>1.117962614896699</v>
      </c>
      <c r="X9414" s="2">
        <f ca="1"/>
        <v>57.386986873182835</v>
      </c>
      <c r="AG9414" s="2">
        <f ca="1"/>
        <v>0.48042124338170455</v>
      </c>
      <c r="AH9414" s="2" t="str">
        <f ca="1"/>
        <v>Bad</v>
      </c>
    </row>
    <row r="9415" spans="2:34" x14ac:dyDescent="0.2">
      <c r="B9415" s="2">
        <f ca="1"/>
        <v>0.62910163810117692</v>
      </c>
      <c r="O9415" s="2">
        <f ca="1"/>
        <v>-1.0374652580931294</v>
      </c>
      <c r="X9415" s="2">
        <f ca="1"/>
        <v>55.508035088772246</v>
      </c>
      <c r="AG9415" s="2">
        <f ca="1"/>
        <v>0.10923622904842989</v>
      </c>
      <c r="AH9415" s="2" t="str">
        <f ca="1"/>
        <v>OK</v>
      </c>
    </row>
    <row r="9416" spans="2:34" x14ac:dyDescent="0.2">
      <c r="B9416" s="2">
        <f ca="1"/>
        <v>0.66564730688492957</v>
      </c>
      <c r="O9416" s="2">
        <f ca="1"/>
        <v>-2.0496191582882264</v>
      </c>
      <c r="X9416" s="2">
        <f ca="1"/>
        <v>58.454179561621032</v>
      </c>
      <c r="AG9416" s="2">
        <f ca="1"/>
        <v>0.82976576160067728</v>
      </c>
      <c r="AH9416" s="2" t="str">
        <f ca="1"/>
        <v>Bad</v>
      </c>
    </row>
    <row r="9417" spans="2:34" x14ac:dyDescent="0.2">
      <c r="B9417" s="2">
        <f ca="1"/>
        <v>5.2159598683796604E-2</v>
      </c>
      <c r="O9417" s="2">
        <f ca="1"/>
        <v>-0.93128340310159419</v>
      </c>
      <c r="X9417" s="2">
        <f ca="1"/>
        <v>38.0822317528689</v>
      </c>
      <c r="AG9417" s="2">
        <f ca="1"/>
        <v>0.7946097415822797</v>
      </c>
      <c r="AH9417" s="2" t="str">
        <f ca="1"/>
        <v>Bad</v>
      </c>
    </row>
    <row r="9418" spans="2:34" x14ac:dyDescent="0.2">
      <c r="B9418" s="2">
        <f ca="1"/>
        <v>0.53808288092571011</v>
      </c>
      <c r="O9418" s="2">
        <f ca="1"/>
        <v>1.4884452173434806</v>
      </c>
      <c r="X9418" s="2">
        <f ca="1"/>
        <v>57.867669940214483</v>
      </c>
      <c r="AG9418" s="2">
        <f ca="1"/>
        <v>0.62714549388802743</v>
      </c>
      <c r="AH9418" s="2" t="str">
        <f ca="1"/>
        <v>Bad</v>
      </c>
    </row>
    <row r="9419" spans="2:34" x14ac:dyDescent="0.2">
      <c r="B9419" s="2">
        <f ca="1"/>
        <v>0.17132521468157424</v>
      </c>
      <c r="O9419" s="2">
        <f ca="1"/>
        <v>-0.19565364479469372</v>
      </c>
      <c r="X9419" s="2">
        <f ca="1"/>
        <v>42.848464650943903</v>
      </c>
      <c r="AG9419" s="2">
        <f ca="1"/>
        <v>0.98806661285492003</v>
      </c>
      <c r="AH9419" s="2" t="str">
        <f ca="1"/>
        <v>Bad</v>
      </c>
    </row>
    <row r="9420" spans="2:34" x14ac:dyDescent="0.2">
      <c r="B9420" s="2">
        <f ca="1"/>
        <v>9.9129034984496656E-2</v>
      </c>
      <c r="O9420" s="2">
        <f ca="1"/>
        <v>2.0831621609206881</v>
      </c>
      <c r="X9420" s="2">
        <f ca="1"/>
        <v>48.247551444274386</v>
      </c>
      <c r="AG9420" s="2">
        <f ca="1"/>
        <v>0.34993510764332014</v>
      </c>
      <c r="AH9420" s="2" t="str">
        <f ca="1"/>
        <v>OK</v>
      </c>
    </row>
    <row r="9421" spans="2:34" x14ac:dyDescent="0.2">
      <c r="B9421" s="2">
        <f ca="1"/>
        <v>0.43293846641171996</v>
      </c>
      <c r="O9421" s="2">
        <f ca="1"/>
        <v>0.20461512905142676</v>
      </c>
      <c r="X9421" s="2">
        <f ca="1"/>
        <v>66.227664679607997</v>
      </c>
      <c r="AG9421" s="2">
        <f ca="1"/>
        <v>0.77243918501318132</v>
      </c>
      <c r="AH9421" s="2" t="str">
        <f ca="1"/>
        <v>Bad</v>
      </c>
    </row>
    <row r="9422" spans="2:34" x14ac:dyDescent="0.2">
      <c r="B9422" s="2">
        <f ca="1"/>
        <v>0.45037631176776172</v>
      </c>
      <c r="O9422" s="2">
        <f ca="1"/>
        <v>0.23794238713501245</v>
      </c>
      <c r="X9422" s="2">
        <f ca="1"/>
        <v>68.443715587574431</v>
      </c>
      <c r="AG9422" s="2">
        <f ca="1"/>
        <v>0.25976346408781747</v>
      </c>
      <c r="AH9422" s="2" t="str">
        <f ca="1"/>
        <v>OK</v>
      </c>
    </row>
    <row r="9423" spans="2:34" x14ac:dyDescent="0.2">
      <c r="B9423" s="2">
        <f ca="1"/>
        <v>0.11497608647148616</v>
      </c>
      <c r="O9423" s="2">
        <f ca="1"/>
        <v>0.93819632198931235</v>
      </c>
      <c r="X9423" s="2">
        <f ca="1"/>
        <v>53.62258734383073</v>
      </c>
      <c r="AG9423" s="2">
        <f ca="1"/>
        <v>0.76648824657614978</v>
      </c>
      <c r="AH9423" s="2" t="str">
        <f ca="1"/>
        <v>Bad</v>
      </c>
    </row>
    <row r="9424" spans="2:34" x14ac:dyDescent="0.2">
      <c r="B9424" s="2">
        <f ca="1"/>
        <v>0.61230895273066865</v>
      </c>
      <c r="O9424" s="2">
        <f ca="1"/>
        <v>-0.56676480971428089</v>
      </c>
      <c r="X9424" s="2">
        <f ca="1"/>
        <v>60.745959635095787</v>
      </c>
      <c r="AG9424" s="2">
        <f ca="1"/>
        <v>0.75884021552311021</v>
      </c>
      <c r="AH9424" s="2" t="str">
        <f ca="1"/>
        <v>Bad</v>
      </c>
    </row>
    <row r="9425" spans="2:34" x14ac:dyDescent="0.2">
      <c r="B9425" s="2">
        <f ca="1"/>
        <v>9.5364200814926026E-2</v>
      </c>
      <c r="O9425" s="2">
        <f ca="1"/>
        <v>-0.75373703785119694</v>
      </c>
      <c r="X9425" s="2">
        <f ca="1"/>
        <v>15.220001068265358</v>
      </c>
      <c r="AG9425" s="2">
        <f ca="1"/>
        <v>0.64774975371001076</v>
      </c>
      <c r="AH9425" s="2" t="str">
        <f ca="1"/>
        <v>Bad</v>
      </c>
    </row>
    <row r="9426" spans="2:34" x14ac:dyDescent="0.2">
      <c r="B9426" s="2">
        <f ca="1"/>
        <v>0.98880295528939377</v>
      </c>
      <c r="O9426" s="2">
        <f ca="1"/>
        <v>0.74106390574324632</v>
      </c>
      <c r="X9426" s="2">
        <f ca="1"/>
        <v>44.627087747793709</v>
      </c>
      <c r="AG9426" s="2">
        <f ca="1"/>
        <v>0.50791916408779114</v>
      </c>
      <c r="AH9426" s="2" t="str">
        <f ca="1"/>
        <v>Bad</v>
      </c>
    </row>
    <row r="9427" spans="2:34" x14ac:dyDescent="0.2">
      <c r="B9427" s="2">
        <f ca="1"/>
        <v>0.5952326865016071</v>
      </c>
      <c r="O9427" s="2">
        <f ca="1"/>
        <v>-0.43179738513295063</v>
      </c>
      <c r="X9427" s="2">
        <f ca="1"/>
        <v>55.223456190992991</v>
      </c>
      <c r="AG9427" s="2">
        <f ca="1"/>
        <v>0.93851736638720529</v>
      </c>
      <c r="AH9427" s="2" t="str">
        <f ca="1"/>
        <v>Bad</v>
      </c>
    </row>
    <row r="9428" spans="2:34" x14ac:dyDescent="0.2">
      <c r="B9428" s="2">
        <f ca="1"/>
        <v>9.4884502073655286E-2</v>
      </c>
      <c r="O9428" s="2">
        <f ca="1"/>
        <v>-2.676830494656886E-3</v>
      </c>
      <c r="X9428" s="2">
        <f ca="1"/>
        <v>41.924388873167082</v>
      </c>
      <c r="AG9428" s="2">
        <f ca="1"/>
        <v>0.79940797428495847</v>
      </c>
      <c r="AH9428" s="2" t="str">
        <f ca="1"/>
        <v>Bad</v>
      </c>
    </row>
    <row r="9429" spans="2:34" x14ac:dyDescent="0.2">
      <c r="B9429" s="2">
        <f ca="1"/>
        <v>0.85622683458548665</v>
      </c>
      <c r="O9429" s="2">
        <f ca="1"/>
        <v>-0.84857763406393705</v>
      </c>
      <c r="X9429" s="2">
        <f ca="1"/>
        <v>62.702682427509714</v>
      </c>
      <c r="AG9429" s="2">
        <f ca="1"/>
        <v>0.48365783022987419</v>
      </c>
      <c r="AH9429" s="2" t="str">
        <f ca="1"/>
        <v>Bad</v>
      </c>
    </row>
    <row r="9430" spans="2:34" x14ac:dyDescent="0.2">
      <c r="B9430" s="2">
        <f ca="1"/>
        <v>0.93487692342650686</v>
      </c>
      <c r="O9430" s="2">
        <f ca="1"/>
        <v>-0.73425006149617333</v>
      </c>
      <c r="X9430" s="2">
        <f ca="1"/>
        <v>29.738591745231876</v>
      </c>
      <c r="AG9430" s="2">
        <f ca="1"/>
        <v>0.64499174421528105</v>
      </c>
      <c r="AH9430" s="2" t="str">
        <f ca="1"/>
        <v>Bad</v>
      </c>
    </row>
    <row r="9431" spans="2:34" x14ac:dyDescent="0.2">
      <c r="B9431" s="2">
        <f ca="1"/>
        <v>5.3113297236975665E-2</v>
      </c>
      <c r="O9431" s="2">
        <f ca="1"/>
        <v>-0.56901080885456612</v>
      </c>
      <c r="X9431" s="2">
        <f ca="1"/>
        <v>49.656697163005113</v>
      </c>
      <c r="AG9431" s="2">
        <f ca="1"/>
        <v>0.31370064434202027</v>
      </c>
      <c r="AH9431" s="2" t="str">
        <f ca="1"/>
        <v>OK</v>
      </c>
    </row>
    <row r="9432" spans="2:34" x14ac:dyDescent="0.2">
      <c r="B9432" s="2">
        <f ca="1"/>
        <v>0.76585410792244235</v>
      </c>
      <c r="O9432" s="2">
        <f ca="1"/>
        <v>1.4130975287540626</v>
      </c>
      <c r="X9432" s="2">
        <f ca="1"/>
        <v>29.731978609723214</v>
      </c>
      <c r="AG9432" s="2">
        <f ca="1"/>
        <v>0.3886152439998547</v>
      </c>
      <c r="AH9432" s="2" t="str">
        <f ca="1"/>
        <v>OK</v>
      </c>
    </row>
    <row r="9433" spans="2:34" x14ac:dyDescent="0.2">
      <c r="B9433" s="2">
        <f ca="1"/>
        <v>0.860183037086661</v>
      </c>
      <c r="O9433" s="2">
        <f ca="1"/>
        <v>0.74258734441233032</v>
      </c>
      <c r="X9433" s="2">
        <f ca="1"/>
        <v>43.333447140751872</v>
      </c>
      <c r="AG9433" s="2">
        <f ca="1"/>
        <v>3.4705444821393927E-2</v>
      </c>
      <c r="AH9433" s="2" t="str">
        <f ca="1"/>
        <v>Good</v>
      </c>
    </row>
    <row r="9434" spans="2:34" x14ac:dyDescent="0.2">
      <c r="B9434" s="2">
        <f ca="1"/>
        <v>0.1386970680177233</v>
      </c>
      <c r="O9434" s="2">
        <f ca="1"/>
        <v>-0.73577780082225464</v>
      </c>
      <c r="X9434" s="2">
        <f ca="1"/>
        <v>38.721365515929961</v>
      </c>
      <c r="AG9434" s="2">
        <f ca="1"/>
        <v>0.30432077259675672</v>
      </c>
      <c r="AH9434" s="2" t="str">
        <f ca="1"/>
        <v>OK</v>
      </c>
    </row>
    <row r="9435" spans="2:34" x14ac:dyDescent="0.2">
      <c r="B9435" s="2">
        <f ca="1"/>
        <v>0.34334251505862068</v>
      </c>
      <c r="O9435" s="2">
        <f ca="1"/>
        <v>0.3727318550080756</v>
      </c>
      <c r="X9435" s="2">
        <f ca="1"/>
        <v>31.485557833453068</v>
      </c>
      <c r="AG9435" s="2">
        <f ca="1"/>
        <v>0.9058147802852281</v>
      </c>
      <c r="AH9435" s="2" t="str">
        <f ca="1"/>
        <v>Bad</v>
      </c>
    </row>
    <row r="9436" spans="2:34" x14ac:dyDescent="0.2">
      <c r="B9436" s="2">
        <f ca="1"/>
        <v>0.84095515312287206</v>
      </c>
      <c r="O9436" s="2">
        <f ca="1"/>
        <v>9.1367893454727914E-2</v>
      </c>
      <c r="X9436" s="2">
        <f ca="1"/>
        <v>34.308369477774917</v>
      </c>
      <c r="AG9436" s="2">
        <f ca="1"/>
        <v>0.15359075188958426</v>
      </c>
      <c r="AH9436" s="2" t="str">
        <f ca="1"/>
        <v>OK</v>
      </c>
    </row>
    <row r="9437" spans="2:34" x14ac:dyDescent="0.2">
      <c r="B9437" s="2">
        <f ca="1"/>
        <v>0.59685053883332007</v>
      </c>
      <c r="O9437" s="2">
        <f ca="1"/>
        <v>0.37687225520379042</v>
      </c>
      <c r="X9437" s="2">
        <f ca="1"/>
        <v>74.348228595870367</v>
      </c>
      <c r="AG9437" s="2">
        <f ca="1"/>
        <v>0.55954262221161821</v>
      </c>
      <c r="AH9437" s="2" t="str">
        <f ca="1"/>
        <v>Bad</v>
      </c>
    </row>
    <row r="9438" spans="2:34" x14ac:dyDescent="0.2">
      <c r="B9438" s="2">
        <f ca="1"/>
        <v>0.17451507622777385</v>
      </c>
      <c r="O9438" s="2">
        <f ca="1"/>
        <v>0.38543361137773868</v>
      </c>
      <c r="X9438" s="2">
        <f ca="1"/>
        <v>38.989426478898132</v>
      </c>
      <c r="AG9438" s="2">
        <f ca="1"/>
        <v>0.4999263518279331</v>
      </c>
      <c r="AH9438" s="2" t="str">
        <f ca="1"/>
        <v>Bad</v>
      </c>
    </row>
    <row r="9439" spans="2:34" x14ac:dyDescent="0.2">
      <c r="B9439" s="2">
        <f ca="1"/>
        <v>0.94197752015719249</v>
      </c>
      <c r="O9439" s="2">
        <f ca="1"/>
        <v>-0.25132063212576555</v>
      </c>
      <c r="X9439" s="2">
        <f ca="1"/>
        <v>87.061734262328216</v>
      </c>
      <c r="AG9439" s="2">
        <f ca="1"/>
        <v>0.17481079472574179</v>
      </c>
      <c r="AH9439" s="2" t="str">
        <f ca="1"/>
        <v>OK</v>
      </c>
    </row>
    <row r="9440" spans="2:34" x14ac:dyDescent="0.2">
      <c r="B9440" s="2">
        <f ca="1"/>
        <v>0.38886423789710745</v>
      </c>
      <c r="O9440" s="2">
        <f ca="1"/>
        <v>-1.4790990590043537E-3</v>
      </c>
      <c r="X9440" s="2">
        <f ca="1"/>
        <v>38.283382889544399</v>
      </c>
      <c r="AG9440" s="2">
        <f ca="1"/>
        <v>3.6337753247138505E-2</v>
      </c>
      <c r="AH9440" s="2" t="str">
        <f ca="1"/>
        <v>Good</v>
      </c>
    </row>
    <row r="9441" spans="2:34" x14ac:dyDescent="0.2">
      <c r="B9441" s="2">
        <f ca="1"/>
        <v>0.9160144440170277</v>
      </c>
      <c r="O9441" s="2">
        <f ca="1"/>
        <v>-1.2634921858238179</v>
      </c>
      <c r="X9441" s="2">
        <f ca="1"/>
        <v>37.430544924662001</v>
      </c>
      <c r="AG9441" s="2">
        <f ca="1"/>
        <v>0.61828149934892584</v>
      </c>
      <c r="AH9441" s="2" t="str">
        <f ca="1"/>
        <v>Bad</v>
      </c>
    </row>
    <row r="9442" spans="2:34" x14ac:dyDescent="0.2">
      <c r="B9442" s="2">
        <f ca="1"/>
        <v>0.2508324617297395</v>
      </c>
      <c r="O9442" s="2">
        <f ca="1"/>
        <v>-0.53148670873429549</v>
      </c>
      <c r="X9442" s="2">
        <f ca="1"/>
        <v>64.630264008497093</v>
      </c>
      <c r="AG9442" s="2">
        <f ca="1"/>
        <v>1.8721049006980017E-2</v>
      </c>
      <c r="AH9442" s="2" t="str">
        <f ca="1"/>
        <v>Good</v>
      </c>
    </row>
    <row r="9443" spans="2:34" x14ac:dyDescent="0.2">
      <c r="B9443" s="2">
        <f ca="1"/>
        <v>0.71077826107631337</v>
      </c>
      <c r="O9443" s="2">
        <f ca="1"/>
        <v>0.71804240397940666</v>
      </c>
      <c r="X9443" s="2">
        <f ca="1"/>
        <v>48.331927043554188</v>
      </c>
      <c r="AG9443" s="2">
        <f ca="1"/>
        <v>0.68881570364526223</v>
      </c>
      <c r="AH9443" s="2" t="str">
        <f ca="1"/>
        <v>Bad</v>
      </c>
    </row>
    <row r="9444" spans="2:34" x14ac:dyDescent="0.2">
      <c r="B9444" s="2">
        <f ca="1"/>
        <v>0.40336385667029617</v>
      </c>
      <c r="O9444" s="2">
        <f ca="1"/>
        <v>-2.0219926097952274E-2</v>
      </c>
      <c r="X9444" s="2">
        <f ca="1"/>
        <v>55.162015708776167</v>
      </c>
      <c r="AG9444" s="2">
        <f ca="1"/>
        <v>4.080657819024136E-2</v>
      </c>
      <c r="AH9444" s="2" t="str">
        <f ca="1"/>
        <v>Good</v>
      </c>
    </row>
    <row r="9445" spans="2:34" x14ac:dyDescent="0.2">
      <c r="B9445" s="2">
        <f ca="1"/>
        <v>0.5358180983558356</v>
      </c>
      <c r="O9445" s="2">
        <f ca="1"/>
        <v>1.165918527397148</v>
      </c>
      <c r="X9445" s="2">
        <f ca="1"/>
        <v>25.014828263537755</v>
      </c>
      <c r="AG9445" s="2">
        <f ca="1"/>
        <v>0.23002886694905955</v>
      </c>
      <c r="AH9445" s="2" t="str">
        <f ca="1"/>
        <v>OK</v>
      </c>
    </row>
    <row r="9446" spans="2:34" x14ac:dyDescent="0.2">
      <c r="B9446" s="2">
        <f ca="1"/>
        <v>0.11972152311448836</v>
      </c>
      <c r="O9446" s="2">
        <f ca="1"/>
        <v>0.11753096152959738</v>
      </c>
      <c r="X9446" s="2">
        <f ca="1"/>
        <v>60.672062740487654</v>
      </c>
      <c r="AG9446" s="2">
        <f ca="1"/>
        <v>0.48228697036874868</v>
      </c>
      <c r="AH9446" s="2" t="str">
        <f ca="1"/>
        <v>Bad</v>
      </c>
    </row>
    <row r="9447" spans="2:34" x14ac:dyDescent="0.2">
      <c r="B9447" s="2">
        <f ca="1"/>
        <v>0.54049525362258399</v>
      </c>
      <c r="O9447" s="2">
        <f ca="1"/>
        <v>1.9431565625076739</v>
      </c>
      <c r="X9447" s="2">
        <f ca="1"/>
        <v>34.200532365461584</v>
      </c>
      <c r="AG9447" s="2">
        <f ca="1"/>
        <v>0.91310259371020486</v>
      </c>
      <c r="AH9447" s="2" t="str">
        <f ca="1"/>
        <v>Bad</v>
      </c>
    </row>
    <row r="9448" spans="2:34" x14ac:dyDescent="0.2">
      <c r="B9448" s="2">
        <f ca="1"/>
        <v>0.38865719705020307</v>
      </c>
      <c r="O9448" s="2">
        <f ca="1"/>
        <v>0.70292733424852716</v>
      </c>
      <c r="X9448" s="2">
        <f ca="1"/>
        <v>71.315513673324261</v>
      </c>
      <c r="AG9448" s="2">
        <f ca="1"/>
        <v>0.13905944471319986</v>
      </c>
      <c r="AH9448" s="2" t="str">
        <f ca="1"/>
        <v>OK</v>
      </c>
    </row>
    <row r="9449" spans="2:34" x14ac:dyDescent="0.2">
      <c r="B9449" s="2">
        <f ca="1"/>
        <v>2.4853750388208251E-2</v>
      </c>
      <c r="O9449" s="2">
        <f ca="1"/>
        <v>-1.0253058112763811</v>
      </c>
      <c r="X9449" s="2">
        <f ca="1"/>
        <v>61.750139129084403</v>
      </c>
      <c r="AG9449" s="2">
        <f ca="1"/>
        <v>0.17793522759907821</v>
      </c>
      <c r="AH9449" s="2" t="str">
        <f ca="1"/>
        <v>OK</v>
      </c>
    </row>
    <row r="9450" spans="2:34" x14ac:dyDescent="0.2">
      <c r="B9450" s="2">
        <f ca="1"/>
        <v>1.861653791131368E-2</v>
      </c>
      <c r="O9450" s="2">
        <f ca="1"/>
        <v>0.48884174195581132</v>
      </c>
      <c r="X9450" s="2">
        <f ca="1"/>
        <v>46.586887142994222</v>
      </c>
      <c r="AG9450" s="2">
        <f ca="1"/>
        <v>0.71448989633067517</v>
      </c>
      <c r="AH9450" s="2" t="str">
        <f ca="1"/>
        <v>Bad</v>
      </c>
    </row>
    <row r="9451" spans="2:34" x14ac:dyDescent="0.2">
      <c r="B9451" s="2">
        <f ca="1"/>
        <v>5.1540226222771546E-2</v>
      </c>
      <c r="O9451" s="2">
        <f ca="1"/>
        <v>1.141371721032822</v>
      </c>
      <c r="X9451" s="2">
        <f ca="1"/>
        <v>46.679631142698796</v>
      </c>
      <c r="AG9451" s="2">
        <f ca="1"/>
        <v>5.6523031417408554E-2</v>
      </c>
      <c r="AH9451" s="2" t="str">
        <f ca="1"/>
        <v>OK</v>
      </c>
    </row>
    <row r="9452" spans="2:34" x14ac:dyDescent="0.2">
      <c r="B9452" s="2">
        <f ca="1"/>
        <v>0.92032975624394497</v>
      </c>
      <c r="O9452" s="2">
        <f ca="1"/>
        <v>-1.2241981675440932</v>
      </c>
      <c r="X9452" s="2">
        <f ca="1"/>
        <v>58.923073939561583</v>
      </c>
      <c r="AG9452" s="2">
        <f ca="1"/>
        <v>0.78895911766677829</v>
      </c>
      <c r="AH9452" s="2" t="str">
        <f ca="1"/>
        <v>Bad</v>
      </c>
    </row>
    <row r="9453" spans="2:34" x14ac:dyDescent="0.2">
      <c r="B9453" s="2">
        <f ca="1"/>
        <v>8.0889173108434242E-2</v>
      </c>
      <c r="O9453" s="2">
        <f ca="1"/>
        <v>0.28599017495597412</v>
      </c>
      <c r="X9453" s="2">
        <f ca="1"/>
        <v>40.648280764787337</v>
      </c>
      <c r="AG9453" s="2">
        <f ca="1"/>
        <v>0.64384556630953038</v>
      </c>
      <c r="AH9453" s="2" t="str">
        <f ca="1"/>
        <v>Bad</v>
      </c>
    </row>
    <row r="9454" spans="2:34" x14ac:dyDescent="0.2">
      <c r="B9454" s="2">
        <f ca="1"/>
        <v>0.40861286152724352</v>
      </c>
      <c r="O9454" s="2">
        <f ca="1"/>
        <v>0.705832052527405</v>
      </c>
      <c r="X9454" s="2">
        <f ca="1"/>
        <v>25.776135059159362</v>
      </c>
      <c r="AG9454" s="2">
        <f ca="1"/>
        <v>0.4174033972360498</v>
      </c>
      <c r="AH9454" s="2" t="str">
        <f ca="1"/>
        <v>Bad</v>
      </c>
    </row>
    <row r="9455" spans="2:34" x14ac:dyDescent="0.2">
      <c r="B9455" s="2">
        <f ca="1"/>
        <v>0.50976774483396414</v>
      </c>
      <c r="O9455" s="2">
        <f ca="1"/>
        <v>-0.54523369481160988</v>
      </c>
      <c r="X9455" s="2">
        <f ca="1"/>
        <v>87.94547782726579</v>
      </c>
      <c r="AG9455" s="2">
        <f ca="1"/>
        <v>0.99248350493866666</v>
      </c>
      <c r="AH9455" s="2" t="str">
        <f ca="1"/>
        <v>Bad</v>
      </c>
    </row>
    <row r="9456" spans="2:34" x14ac:dyDescent="0.2">
      <c r="B9456" s="2">
        <f ca="1"/>
        <v>0.65511502092232798</v>
      </c>
      <c r="O9456" s="2">
        <f ca="1"/>
        <v>0.36066696747812332</v>
      </c>
      <c r="X9456" s="2">
        <f ca="1"/>
        <v>40.16732316902629</v>
      </c>
      <c r="AG9456" s="2">
        <f ca="1"/>
        <v>0.78085853201865985</v>
      </c>
      <c r="AH9456" s="2" t="str">
        <f ca="1"/>
        <v>Bad</v>
      </c>
    </row>
    <row r="9457" spans="2:34" x14ac:dyDescent="0.2">
      <c r="B9457" s="2">
        <f ca="1"/>
        <v>0.67459686433723576</v>
      </c>
      <c r="O9457" s="2">
        <f ca="1"/>
        <v>1.0131917306759586</v>
      </c>
      <c r="X9457" s="2">
        <f ca="1"/>
        <v>67.768382507210418</v>
      </c>
      <c r="AG9457" s="2">
        <f ca="1"/>
        <v>0.42362856505869662</v>
      </c>
      <c r="AH9457" s="2" t="str">
        <f ca="1"/>
        <v>Bad</v>
      </c>
    </row>
    <row r="9458" spans="2:34" x14ac:dyDescent="0.2">
      <c r="B9458" s="2">
        <f ca="1"/>
        <v>0.47997339618810209</v>
      </c>
      <c r="O9458" s="2">
        <f ca="1"/>
        <v>-9.9257842485315079E-2</v>
      </c>
      <c r="X9458" s="2">
        <f ca="1"/>
        <v>73.39284321073356</v>
      </c>
      <c r="AG9458" s="2">
        <f ca="1"/>
        <v>0.20626742845616142</v>
      </c>
      <c r="AH9458" s="2" t="str">
        <f ca="1"/>
        <v>OK</v>
      </c>
    </row>
    <row r="9459" spans="2:34" x14ac:dyDescent="0.2">
      <c r="B9459" s="2">
        <f ca="1"/>
        <v>0.61678049672296575</v>
      </c>
      <c r="O9459" s="2">
        <f ca="1"/>
        <v>0.1642291728231163</v>
      </c>
      <c r="X9459" s="2">
        <f ca="1"/>
        <v>58.256063142556769</v>
      </c>
      <c r="AG9459" s="2">
        <f ca="1"/>
        <v>0.18701272653479162</v>
      </c>
      <c r="AH9459" s="2" t="str">
        <f ca="1"/>
        <v>OK</v>
      </c>
    </row>
    <row r="9460" spans="2:34" x14ac:dyDescent="0.2">
      <c r="B9460" s="2">
        <f ca="1"/>
        <v>0.27840299970795823</v>
      </c>
      <c r="O9460" s="2">
        <f ca="1"/>
        <v>0.32835037432294573</v>
      </c>
      <c r="X9460" s="2">
        <f ca="1"/>
        <v>43.920971176556861</v>
      </c>
      <c r="AG9460" s="2">
        <f ca="1"/>
        <v>0.25132165636565262</v>
      </c>
      <c r="AH9460" s="2" t="str">
        <f ca="1"/>
        <v>OK</v>
      </c>
    </row>
    <row r="9461" spans="2:34" x14ac:dyDescent="0.2">
      <c r="B9461" s="2">
        <f ca="1"/>
        <v>0.19214973399280333</v>
      </c>
      <c r="O9461" s="2">
        <f ca="1"/>
        <v>-0.45262577057556946</v>
      </c>
      <c r="X9461" s="2">
        <f ca="1"/>
        <v>41.468058619300869</v>
      </c>
      <c r="AG9461" s="2">
        <f ca="1"/>
        <v>0.25576514866625577</v>
      </c>
      <c r="AH9461" s="2" t="str">
        <f ca="1"/>
        <v>OK</v>
      </c>
    </row>
    <row r="9462" spans="2:34" x14ac:dyDescent="0.2">
      <c r="B9462" s="2">
        <f ca="1"/>
        <v>0.22459661316497437</v>
      </c>
      <c r="O9462" s="2">
        <f ca="1"/>
        <v>0.7478826125747331</v>
      </c>
      <c r="X9462" s="2">
        <f ca="1"/>
        <v>37.711139539590988</v>
      </c>
      <c r="AG9462" s="2">
        <f ca="1"/>
        <v>0.91062329840687672</v>
      </c>
      <c r="AH9462" s="2" t="str">
        <f ca="1"/>
        <v>Bad</v>
      </c>
    </row>
    <row r="9463" spans="2:34" x14ac:dyDescent="0.2">
      <c r="B9463" s="2">
        <f ca="1"/>
        <v>5.5040239209491748E-2</v>
      </c>
      <c r="O9463" s="2">
        <f ca="1"/>
        <v>0.57266975598582104</v>
      </c>
      <c r="X9463" s="2">
        <f ca="1"/>
        <v>78.081904098591679</v>
      </c>
      <c r="AG9463" s="2">
        <f ca="1"/>
        <v>0.54364280287695199</v>
      </c>
      <c r="AH9463" s="2" t="str">
        <f ca="1"/>
        <v>Bad</v>
      </c>
    </row>
    <row r="9464" spans="2:34" x14ac:dyDescent="0.2">
      <c r="B9464" s="2">
        <f ca="1"/>
        <v>0.13902314060111864</v>
      </c>
      <c r="O9464" s="2">
        <f ca="1"/>
        <v>0.48313000725874966</v>
      </c>
      <c r="X9464" s="2">
        <f ca="1"/>
        <v>33.546032032713512</v>
      </c>
      <c r="AG9464" s="2">
        <f ca="1"/>
        <v>0.1730604301634322</v>
      </c>
      <c r="AH9464" s="2" t="str">
        <f ca="1"/>
        <v>OK</v>
      </c>
    </row>
    <row r="9465" spans="2:34" x14ac:dyDescent="0.2">
      <c r="B9465" s="2">
        <f ca="1"/>
        <v>0.66475357741506769</v>
      </c>
      <c r="O9465" s="2">
        <f ca="1"/>
        <v>0.51652184146060787</v>
      </c>
      <c r="X9465" s="2">
        <f ca="1"/>
        <v>33.510286365641207</v>
      </c>
      <c r="AG9465" s="2">
        <f ca="1"/>
        <v>0.80133518741005139</v>
      </c>
      <c r="AH9465" s="2" t="str">
        <f ca="1"/>
        <v>Bad</v>
      </c>
    </row>
    <row r="9466" spans="2:34" x14ac:dyDescent="0.2">
      <c r="B9466" s="2">
        <f ca="1"/>
        <v>0.29360323079574036</v>
      </c>
      <c r="O9466" s="2">
        <f ca="1"/>
        <v>4.6116406775852783E-2</v>
      </c>
      <c r="X9466" s="2">
        <f ca="1"/>
        <v>73.893079887473249</v>
      </c>
      <c r="AG9466" s="2">
        <f ca="1"/>
        <v>6.0542582528548827E-3</v>
      </c>
      <c r="AH9466" s="2" t="str">
        <f ca="1"/>
        <v>Good</v>
      </c>
    </row>
    <row r="9467" spans="2:34" x14ac:dyDescent="0.2">
      <c r="B9467" s="2">
        <f ca="1"/>
        <v>0.26306791631957127</v>
      </c>
      <c r="O9467" s="2">
        <f ca="1"/>
        <v>-1.1399028921774292</v>
      </c>
      <c r="X9467" s="2">
        <f ca="1"/>
        <v>28.088596777376157</v>
      </c>
      <c r="AG9467" s="2">
        <f ca="1"/>
        <v>0.82391111735322808</v>
      </c>
      <c r="AH9467" s="2" t="str">
        <f ca="1"/>
        <v>Bad</v>
      </c>
    </row>
    <row r="9468" spans="2:34" x14ac:dyDescent="0.2">
      <c r="B9468" s="2">
        <f ca="1"/>
        <v>0.93176549399232811</v>
      </c>
      <c r="O9468" s="2">
        <f ca="1"/>
        <v>-0.36191133962236316</v>
      </c>
      <c r="X9468" s="2">
        <f ca="1"/>
        <v>44.551126193603167</v>
      </c>
      <c r="AG9468" s="2">
        <f ca="1"/>
        <v>0.39150585207964816</v>
      </c>
      <c r="AH9468" s="2" t="str">
        <f ca="1"/>
        <v>OK</v>
      </c>
    </row>
    <row r="9469" spans="2:34" x14ac:dyDescent="0.2">
      <c r="B9469" s="2">
        <f ca="1"/>
        <v>0.18915177437795938</v>
      </c>
      <c r="O9469" s="2">
        <f ca="1"/>
        <v>2.3611258576574317</v>
      </c>
      <c r="X9469" s="2">
        <f ca="1"/>
        <v>58.355862739272759</v>
      </c>
      <c r="AG9469" s="2">
        <f ca="1"/>
        <v>0.87073996531321107</v>
      </c>
      <c r="AH9469" s="2" t="str">
        <f ca="1"/>
        <v>Bad</v>
      </c>
    </row>
    <row r="9470" spans="2:34" x14ac:dyDescent="0.2">
      <c r="B9470" s="2">
        <f ca="1"/>
        <v>0.33311986368011093</v>
      </c>
      <c r="O9470" s="2">
        <f ca="1"/>
        <v>-0.10935168918470332</v>
      </c>
      <c r="X9470" s="2">
        <f ca="1"/>
        <v>54.337617056309369</v>
      </c>
      <c r="AG9470" s="2">
        <f ca="1"/>
        <v>0.18012031800692507</v>
      </c>
      <c r="AH9470" s="2" t="str">
        <f ca="1"/>
        <v>OK</v>
      </c>
    </row>
    <row r="9471" spans="2:34" x14ac:dyDescent="0.2">
      <c r="B9471" s="2">
        <f ca="1"/>
        <v>0.34126152141042487</v>
      </c>
      <c r="O9471" s="2">
        <f ca="1"/>
        <v>1.3644004155398088</v>
      </c>
      <c r="X9471" s="2">
        <f ca="1"/>
        <v>34.523186830571738</v>
      </c>
      <c r="AG9471" s="2">
        <f ca="1"/>
        <v>0.93323651683387809</v>
      </c>
      <c r="AH9471" s="2" t="str">
        <f ca="1"/>
        <v>Bad</v>
      </c>
    </row>
    <row r="9472" spans="2:34" x14ac:dyDescent="0.2">
      <c r="B9472" s="2">
        <f ca="1"/>
        <v>0.43894340173259105</v>
      </c>
      <c r="O9472" s="2">
        <f ca="1"/>
        <v>1.2413608928570943</v>
      </c>
      <c r="X9472" s="2">
        <f ca="1"/>
        <v>39.427692919453108</v>
      </c>
      <c r="AG9472" s="2">
        <f ca="1"/>
        <v>0.96511017598259574</v>
      </c>
      <c r="AH9472" s="2" t="str">
        <f ca="1"/>
        <v>Bad</v>
      </c>
    </row>
    <row r="9473" spans="2:34" x14ac:dyDescent="0.2">
      <c r="B9473" s="2">
        <f ca="1"/>
        <v>0.75027794768069889</v>
      </c>
      <c r="O9473" s="2">
        <f ca="1"/>
        <v>0.1371772459820681</v>
      </c>
      <c r="X9473" s="2">
        <f ca="1"/>
        <v>44.864751070859242</v>
      </c>
      <c r="AG9473" s="2">
        <f ca="1"/>
        <v>0.38281175956391333</v>
      </c>
      <c r="AH9473" s="2" t="str">
        <f ca="1"/>
        <v>OK</v>
      </c>
    </row>
    <row r="9474" spans="2:34" x14ac:dyDescent="0.2">
      <c r="B9474" s="2">
        <f ca="1"/>
        <v>0.22922087372555544</v>
      </c>
      <c r="O9474" s="2">
        <f ca="1"/>
        <v>0.8548970960848149</v>
      </c>
      <c r="X9474" s="2">
        <f ca="1"/>
        <v>46.487066544534052</v>
      </c>
      <c r="AG9474" s="2">
        <f ca="1"/>
        <v>0.73434094392020888</v>
      </c>
      <c r="AH9474" s="2" t="str">
        <f ca="1"/>
        <v>Bad</v>
      </c>
    </row>
    <row r="9475" spans="2:34" x14ac:dyDescent="0.2">
      <c r="B9475" s="2">
        <f ca="1"/>
        <v>0.86363645192257765</v>
      </c>
      <c r="O9475" s="2">
        <f ca="1"/>
        <v>3.0665930892250279</v>
      </c>
      <c r="X9475" s="2">
        <f ca="1"/>
        <v>59.518015416894308</v>
      </c>
      <c r="AG9475" s="2">
        <f ca="1"/>
        <v>0.13002501123169674</v>
      </c>
      <c r="AH9475" s="2" t="str">
        <f ca="1"/>
        <v>OK</v>
      </c>
    </row>
    <row r="9476" spans="2:34" x14ac:dyDescent="0.2">
      <c r="B9476" s="2">
        <f ca="1"/>
        <v>4.3308169486079073E-2</v>
      </c>
      <c r="O9476" s="2">
        <f ca="1"/>
        <v>-0.84769338360950219</v>
      </c>
      <c r="X9476" s="2">
        <f ca="1"/>
        <v>36.277243919967532</v>
      </c>
      <c r="AG9476" s="2">
        <f ca="1"/>
        <v>0.82323319377277615</v>
      </c>
      <c r="AH9476" s="2" t="str">
        <f ca="1"/>
        <v>Bad</v>
      </c>
    </row>
    <row r="9477" spans="2:34" x14ac:dyDescent="0.2">
      <c r="B9477" s="2">
        <f ca="1"/>
        <v>0.56907462338270887</v>
      </c>
      <c r="O9477" s="2">
        <f ca="1"/>
        <v>-1.0776673646478336</v>
      </c>
      <c r="X9477" s="2">
        <f ca="1"/>
        <v>31.689746086362511</v>
      </c>
      <c r="AG9477" s="2">
        <f ca="1"/>
        <v>4.6188608145367738E-3</v>
      </c>
      <c r="AH9477" s="2" t="str">
        <f ca="1"/>
        <v>Good</v>
      </c>
    </row>
    <row r="9478" spans="2:34" x14ac:dyDescent="0.2">
      <c r="B9478" s="2">
        <f ca="1"/>
        <v>0.32611095187123107</v>
      </c>
      <c r="O9478" s="2">
        <f ca="1"/>
        <v>-1.0332331783894309</v>
      </c>
      <c r="X9478" s="2">
        <f ca="1"/>
        <v>44.635822618375499</v>
      </c>
      <c r="AG9478" s="2">
        <f ca="1"/>
        <v>0.61822357356674495</v>
      </c>
      <c r="AH9478" s="2" t="str">
        <f ca="1"/>
        <v>Bad</v>
      </c>
    </row>
    <row r="9479" spans="2:34" x14ac:dyDescent="0.2">
      <c r="B9479" s="2">
        <f ca="1"/>
        <v>0.30547099346474615</v>
      </c>
      <c r="O9479" s="2">
        <f ca="1"/>
        <v>1.2287184320900204</v>
      </c>
      <c r="X9479" s="2">
        <f ca="1"/>
        <v>46.926602912164732</v>
      </c>
      <c r="AG9479" s="2">
        <f ca="1"/>
        <v>0.56414808838185793</v>
      </c>
      <c r="AH9479" s="2" t="str">
        <f ca="1"/>
        <v>Bad</v>
      </c>
    </row>
    <row r="9480" spans="2:34" x14ac:dyDescent="0.2">
      <c r="B9480" s="2">
        <f ca="1"/>
        <v>0.60876250451270475</v>
      </c>
      <c r="O9480" s="2">
        <f ca="1"/>
        <v>-3.7142378120575671E-2</v>
      </c>
      <c r="X9480" s="2">
        <f ca="1"/>
        <v>43.919148073929236</v>
      </c>
      <c r="AG9480" s="2">
        <f ca="1"/>
        <v>9.2626435507015437E-2</v>
      </c>
      <c r="AH9480" s="2" t="str">
        <f ca="1"/>
        <v>OK</v>
      </c>
    </row>
    <row r="9481" spans="2:34" x14ac:dyDescent="0.2">
      <c r="B9481" s="2">
        <f ca="1"/>
        <v>0.48297928938084134</v>
      </c>
      <c r="O9481" s="2">
        <f ca="1"/>
        <v>0.63803298935112451</v>
      </c>
      <c r="X9481" s="2">
        <f ca="1"/>
        <v>47.729858854629057</v>
      </c>
      <c r="AG9481" s="2">
        <f ca="1"/>
        <v>0.30104767406344513</v>
      </c>
      <c r="AH9481" s="2" t="str">
        <f ca="1"/>
        <v>OK</v>
      </c>
    </row>
    <row r="9482" spans="2:34" x14ac:dyDescent="0.2">
      <c r="B9482" s="2">
        <f ca="1"/>
        <v>0.42156842614599044</v>
      </c>
      <c r="O9482" s="2">
        <f ca="1"/>
        <v>1.9253215252518783</v>
      </c>
      <c r="X9482" s="2">
        <f ca="1"/>
        <v>34.879995303044595</v>
      </c>
      <c r="AG9482" s="2">
        <f ca="1"/>
        <v>0.96477437657858078</v>
      </c>
      <c r="AH9482" s="2" t="str">
        <f ca="1"/>
        <v>Bad</v>
      </c>
    </row>
    <row r="9483" spans="2:34" x14ac:dyDescent="0.2">
      <c r="B9483" s="2">
        <f ca="1"/>
        <v>3.1550336347036634E-2</v>
      </c>
      <c r="O9483" s="2">
        <f ca="1"/>
        <v>-0.74174590253707295</v>
      </c>
      <c r="X9483" s="2">
        <f ca="1"/>
        <v>26.423036678589746</v>
      </c>
      <c r="AG9483" s="2">
        <f ca="1"/>
        <v>0.97299602560023546</v>
      </c>
      <c r="AH9483" s="2" t="str">
        <f ca="1"/>
        <v>Bad</v>
      </c>
    </row>
    <row r="9484" spans="2:34" x14ac:dyDescent="0.2">
      <c r="B9484" s="2">
        <f ca="1"/>
        <v>0.81771405509928785</v>
      </c>
      <c r="O9484" s="2">
        <f ca="1"/>
        <v>-1.9665520766502731</v>
      </c>
      <c r="X9484" s="2">
        <f ca="1"/>
        <v>62.573130954467793</v>
      </c>
      <c r="AG9484" s="2">
        <f ca="1"/>
        <v>0.21075466977992074</v>
      </c>
      <c r="AH9484" s="2" t="str">
        <f ca="1"/>
        <v>OK</v>
      </c>
    </row>
    <row r="9485" spans="2:34" x14ac:dyDescent="0.2">
      <c r="B9485" s="2">
        <f ca="1"/>
        <v>9.2049244960724419E-2</v>
      </c>
      <c r="O9485" s="2">
        <f ca="1"/>
        <v>0.84928913062663391</v>
      </c>
      <c r="X9485" s="2">
        <f ca="1"/>
        <v>37.676354510052199</v>
      </c>
      <c r="AG9485" s="2">
        <f ca="1"/>
        <v>0.22467159283152949</v>
      </c>
      <c r="AH9485" s="2" t="str">
        <f ca="1"/>
        <v>OK</v>
      </c>
    </row>
    <row r="9486" spans="2:34" x14ac:dyDescent="0.2">
      <c r="B9486" s="2">
        <f ca="1"/>
        <v>9.5300660282356509E-2</v>
      </c>
      <c r="O9486" s="2">
        <f ca="1"/>
        <v>-1.8539985448224769</v>
      </c>
      <c r="X9486" s="2">
        <f ca="1"/>
        <v>48.323798518711733</v>
      </c>
      <c r="AG9486" s="2">
        <f ca="1"/>
        <v>0.66645933922032596</v>
      </c>
      <c r="AH9486" s="2" t="str">
        <f ca="1"/>
        <v>Bad</v>
      </c>
    </row>
    <row r="9487" spans="2:34" x14ac:dyDescent="0.2">
      <c r="B9487" s="2">
        <f ca="1"/>
        <v>0.62397148961231474</v>
      </c>
      <c r="O9487" s="2">
        <f ca="1"/>
        <v>-0.48071283551146954</v>
      </c>
      <c r="X9487" s="2">
        <f ca="1"/>
        <v>45.654724980041848</v>
      </c>
      <c r="AG9487" s="2">
        <f ca="1"/>
        <v>0.39194016438246027</v>
      </c>
      <c r="AH9487" s="2" t="str">
        <f ca="1"/>
        <v>OK</v>
      </c>
    </row>
    <row r="9488" spans="2:34" x14ac:dyDescent="0.2">
      <c r="B9488" s="2">
        <f ca="1"/>
        <v>0.23759786885667999</v>
      </c>
      <c r="O9488" s="2">
        <f ca="1"/>
        <v>0.32338364286671872</v>
      </c>
      <c r="X9488" s="2">
        <f ca="1"/>
        <v>31.258572437593834</v>
      </c>
      <c r="AG9488" s="2">
        <f ca="1"/>
        <v>0.23834638342072112</v>
      </c>
      <c r="AH9488" s="2" t="str">
        <f ca="1"/>
        <v>OK</v>
      </c>
    </row>
    <row r="9489" spans="2:34" x14ac:dyDescent="0.2">
      <c r="B9489" s="2">
        <f ca="1"/>
        <v>0.89094808272158121</v>
      </c>
      <c r="O9489" s="2">
        <f ca="1"/>
        <v>-1.8730472654735372E-2</v>
      </c>
      <c r="X9489" s="2">
        <f ca="1"/>
        <v>45.629975941399053</v>
      </c>
      <c r="AG9489" s="2">
        <f ca="1"/>
        <v>0.69837139972768258</v>
      </c>
      <c r="AH9489" s="2" t="str">
        <f ca="1"/>
        <v>Bad</v>
      </c>
    </row>
    <row r="9490" spans="2:34" x14ac:dyDescent="0.2">
      <c r="B9490" s="2">
        <f ca="1"/>
        <v>0.10308847216326278</v>
      </c>
      <c r="O9490" s="2">
        <f ca="1"/>
        <v>-1.0555362752547015</v>
      </c>
      <c r="X9490" s="2">
        <f ca="1"/>
        <v>54.172478637633247</v>
      </c>
      <c r="AG9490" s="2">
        <f ca="1"/>
        <v>0.45220096161331647</v>
      </c>
      <c r="AH9490" s="2" t="str">
        <f ca="1"/>
        <v>Bad</v>
      </c>
    </row>
    <row r="9491" spans="2:34" x14ac:dyDescent="0.2">
      <c r="B9491" s="2">
        <f ca="1"/>
        <v>6.0460331852492333E-2</v>
      </c>
      <c r="O9491" s="2">
        <f ca="1"/>
        <v>-0.25866565342393322</v>
      </c>
      <c r="X9491" s="2">
        <f ca="1"/>
        <v>80.596615750230654</v>
      </c>
      <c r="AG9491" s="2">
        <f ca="1"/>
        <v>6.9267088478507377E-2</v>
      </c>
      <c r="AH9491" s="2" t="str">
        <f ca="1"/>
        <v>OK</v>
      </c>
    </row>
    <row r="9492" spans="2:34" x14ac:dyDescent="0.2">
      <c r="B9492" s="2">
        <f ca="1"/>
        <v>0.58047638132228974</v>
      </c>
      <c r="O9492" s="2">
        <f ca="1"/>
        <v>5.3340181307386936E-2</v>
      </c>
      <c r="X9492" s="2">
        <f ca="1"/>
        <v>48.502172019702755</v>
      </c>
      <c r="AG9492" s="2">
        <f ca="1"/>
        <v>0.28328532205508949</v>
      </c>
      <c r="AH9492" s="2" t="str">
        <f ca="1"/>
        <v>OK</v>
      </c>
    </row>
    <row r="9493" spans="2:34" x14ac:dyDescent="0.2">
      <c r="B9493" s="2">
        <f ca="1"/>
        <v>0.96118556524480314</v>
      </c>
      <c r="O9493" s="2">
        <f ca="1"/>
        <v>-0.7070143456600817</v>
      </c>
      <c r="X9493" s="2">
        <f ca="1"/>
        <v>49.40957499168718</v>
      </c>
      <c r="AG9493" s="2">
        <f ca="1"/>
        <v>0.54961850669834122</v>
      </c>
      <c r="AH9493" s="2" t="str">
        <f ca="1"/>
        <v>Bad</v>
      </c>
    </row>
    <row r="9494" spans="2:34" x14ac:dyDescent="0.2">
      <c r="B9494" s="2">
        <f ca="1"/>
        <v>0.77744104095170719</v>
      </c>
      <c r="O9494" s="2">
        <f ca="1"/>
        <v>0.55255600613495093</v>
      </c>
      <c r="X9494" s="2">
        <f ca="1"/>
        <v>65.959924630919303</v>
      </c>
      <c r="AG9494" s="2">
        <f ca="1"/>
        <v>0.65707284598024507</v>
      </c>
      <c r="AH9494" s="2" t="str">
        <f ca="1"/>
        <v>Bad</v>
      </c>
    </row>
    <row r="9495" spans="2:34" x14ac:dyDescent="0.2">
      <c r="B9495" s="2">
        <f ca="1"/>
        <v>0.49922715508130033</v>
      </c>
      <c r="O9495" s="2">
        <f ca="1"/>
        <v>-0.16374962143533447</v>
      </c>
      <c r="X9495" s="2">
        <f ca="1"/>
        <v>51.903074761571098</v>
      </c>
      <c r="AG9495" s="2">
        <f ca="1"/>
        <v>0.13018197540577958</v>
      </c>
      <c r="AH9495" s="2" t="str">
        <f ca="1"/>
        <v>OK</v>
      </c>
    </row>
    <row r="9496" spans="2:34" x14ac:dyDescent="0.2">
      <c r="B9496" s="2">
        <f ca="1"/>
        <v>0.20942184387199636</v>
      </c>
      <c r="O9496" s="2">
        <f ca="1"/>
        <v>-3.1819462369637223E-2</v>
      </c>
      <c r="X9496" s="2">
        <f ca="1"/>
        <v>48.74876665429003</v>
      </c>
      <c r="AG9496" s="2">
        <f ca="1"/>
        <v>0.82025880910300741</v>
      </c>
      <c r="AH9496" s="2" t="str">
        <f ca="1"/>
        <v>Bad</v>
      </c>
    </row>
    <row r="9497" spans="2:34" x14ac:dyDescent="0.2">
      <c r="B9497" s="2">
        <f ca="1"/>
        <v>0.70940731333624796</v>
      </c>
      <c r="O9497" s="2">
        <f ca="1"/>
        <v>-1.7544449920681928</v>
      </c>
      <c r="X9497" s="2">
        <f ca="1"/>
        <v>39.78006173471222</v>
      </c>
      <c r="AG9497" s="2">
        <f ca="1"/>
        <v>0.69763884299626722</v>
      </c>
      <c r="AH9497" s="2" t="str">
        <f ca="1"/>
        <v>Bad</v>
      </c>
    </row>
    <row r="9498" spans="2:34" x14ac:dyDescent="0.2">
      <c r="B9498" s="2">
        <f ca="1"/>
        <v>0.83594796663190496</v>
      </c>
      <c r="O9498" s="2">
        <f ca="1"/>
        <v>-1.0693676554748757</v>
      </c>
      <c r="X9498" s="2">
        <f ca="1"/>
        <v>42.169242063220025</v>
      </c>
      <c r="AG9498" s="2">
        <f ca="1"/>
        <v>0.10220784677766681</v>
      </c>
      <c r="AH9498" s="2" t="str">
        <f ca="1"/>
        <v>OK</v>
      </c>
    </row>
    <row r="9499" spans="2:34" x14ac:dyDescent="0.2">
      <c r="B9499" s="2">
        <f ca="1"/>
        <v>0.26152899811893437</v>
      </c>
      <c r="O9499" s="2">
        <f ca="1"/>
        <v>-0.86512823860206356</v>
      </c>
      <c r="X9499" s="2">
        <f ca="1"/>
        <v>46.264005265969843</v>
      </c>
      <c r="AG9499" s="2">
        <f ca="1"/>
        <v>0.12869421215376975</v>
      </c>
      <c r="AH9499" s="2" t="str">
        <f ca="1"/>
        <v>OK</v>
      </c>
    </row>
    <row r="9500" spans="2:34" x14ac:dyDescent="0.2">
      <c r="B9500" s="2">
        <f ca="1"/>
        <v>0.13891654336216819</v>
      </c>
      <c r="O9500" s="2">
        <f ca="1"/>
        <v>0.8109216998175679</v>
      </c>
      <c r="X9500" s="2">
        <f ca="1"/>
        <v>19.845050172900486</v>
      </c>
      <c r="AG9500" s="2">
        <f ca="1"/>
        <v>0.71714917913648102</v>
      </c>
      <c r="AH9500" s="2" t="str">
        <f ca="1"/>
        <v>Bad</v>
      </c>
    </row>
    <row r="9501" spans="2:34" x14ac:dyDescent="0.2">
      <c r="B9501" s="2">
        <f ca="1"/>
        <v>0.86982826769915134</v>
      </c>
      <c r="O9501" s="2">
        <f ca="1"/>
        <v>0.33999319518533322</v>
      </c>
      <c r="X9501" s="2">
        <f ca="1"/>
        <v>70.682451461541348</v>
      </c>
      <c r="AG9501" s="2">
        <f ca="1"/>
        <v>0.56628623259492605</v>
      </c>
      <c r="AH9501" s="2" t="str">
        <f ca="1"/>
        <v>Bad</v>
      </c>
    </row>
    <row r="9502" spans="2:34" x14ac:dyDescent="0.2">
      <c r="B9502" s="2">
        <f ca="1"/>
        <v>0.78905632398604997</v>
      </c>
      <c r="O9502" s="2">
        <f ca="1"/>
        <v>-0.81712929554506941</v>
      </c>
      <c r="X9502" s="2">
        <f ca="1"/>
        <v>39.146285684363761</v>
      </c>
      <c r="AG9502" s="2">
        <f ca="1"/>
        <v>0.13578763075389344</v>
      </c>
      <c r="AH9502" s="2" t="str">
        <f ca="1"/>
        <v>OK</v>
      </c>
    </row>
    <row r="9503" spans="2:34" x14ac:dyDescent="0.2">
      <c r="B9503" s="2">
        <f ca="1"/>
        <v>0.96507367089700424</v>
      </c>
      <c r="O9503" s="2">
        <f ca="1"/>
        <v>-0.45584113769716422</v>
      </c>
      <c r="X9503" s="2">
        <f ca="1"/>
        <v>37.169555874819807</v>
      </c>
      <c r="AG9503" s="2">
        <f ca="1"/>
        <v>0.77459448855851409</v>
      </c>
      <c r="AH9503" s="2" t="str">
        <f ca="1"/>
        <v>Bad</v>
      </c>
    </row>
    <row r="9504" spans="2:34" x14ac:dyDescent="0.2">
      <c r="B9504" s="2">
        <f ca="1"/>
        <v>0.94097441765562606</v>
      </c>
      <c r="O9504" s="2">
        <f ca="1"/>
        <v>1.0843957784246088</v>
      </c>
      <c r="X9504" s="2">
        <f ca="1"/>
        <v>37.105360618808476</v>
      </c>
      <c r="AG9504" s="2">
        <f ca="1"/>
        <v>0.16632757945327414</v>
      </c>
      <c r="AH9504" s="2" t="str">
        <f ca="1"/>
        <v>OK</v>
      </c>
    </row>
    <row r="9505" spans="2:34" x14ac:dyDescent="0.2">
      <c r="B9505" s="2">
        <f ca="1"/>
        <v>0.49473491632325328</v>
      </c>
      <c r="O9505" s="2">
        <f ca="1"/>
        <v>-1.4653368467980628</v>
      </c>
      <c r="X9505" s="2">
        <f ca="1"/>
        <v>70.639963827843047</v>
      </c>
      <c r="AG9505" s="2">
        <f ca="1"/>
        <v>0.86852210414709452</v>
      </c>
      <c r="AH9505" s="2" t="str">
        <f ca="1"/>
        <v>Bad</v>
      </c>
    </row>
    <row r="9506" spans="2:34" x14ac:dyDescent="0.2">
      <c r="B9506" s="2">
        <f ca="1"/>
        <v>0.41160507969662086</v>
      </c>
      <c r="O9506" s="2">
        <f ca="1"/>
        <v>0.78803900872707477</v>
      </c>
      <c r="X9506" s="2">
        <f ca="1"/>
        <v>49.559773882060341</v>
      </c>
      <c r="AG9506" s="2">
        <f ca="1"/>
        <v>0.4358355855375049</v>
      </c>
      <c r="AH9506" s="2" t="str">
        <f ca="1"/>
        <v>Bad</v>
      </c>
    </row>
    <row r="9507" spans="2:34" x14ac:dyDescent="0.2">
      <c r="B9507" s="2">
        <f ca="1"/>
        <v>0.48676126955390409</v>
      </c>
      <c r="O9507" s="2">
        <f ca="1"/>
        <v>1.7552914847514964</v>
      </c>
      <c r="X9507" s="2">
        <f ca="1"/>
        <v>20.391604701826559</v>
      </c>
      <c r="AG9507" s="2">
        <f ca="1"/>
        <v>0.52361105344540326</v>
      </c>
      <c r="AH9507" s="2" t="str">
        <f ca="1"/>
        <v>Bad</v>
      </c>
    </row>
    <row r="9508" spans="2:34" x14ac:dyDescent="0.2">
      <c r="B9508" s="2">
        <f ca="1"/>
        <v>0.2304445734783056</v>
      </c>
      <c r="O9508" s="2">
        <f ca="1"/>
        <v>0.74328973632723561</v>
      </c>
      <c r="X9508" s="2">
        <f ca="1"/>
        <v>69.26290940404607</v>
      </c>
      <c r="AG9508" s="2">
        <f ca="1"/>
        <v>1.9456536638435384E-2</v>
      </c>
      <c r="AH9508" s="2" t="str">
        <f ca="1"/>
        <v>Good</v>
      </c>
    </row>
    <row r="9509" spans="2:34" x14ac:dyDescent="0.2">
      <c r="B9509" s="2">
        <f ca="1"/>
        <v>0.54162824285521305</v>
      </c>
      <c r="O9509" s="2">
        <f ca="1"/>
        <v>-1.0388506126480934</v>
      </c>
      <c r="X9509" s="2">
        <f ca="1"/>
        <v>42.547405422883173</v>
      </c>
      <c r="AG9509" s="2">
        <f ca="1"/>
        <v>0.69267097555400281</v>
      </c>
      <c r="AH9509" s="2" t="str">
        <f ca="1"/>
        <v>Bad</v>
      </c>
    </row>
    <row r="9510" spans="2:34" x14ac:dyDescent="0.2">
      <c r="B9510" s="2">
        <f ca="1"/>
        <v>0.8237893078878824</v>
      </c>
      <c r="O9510" s="2">
        <f ca="1"/>
        <v>1.5656519650777341</v>
      </c>
      <c r="X9510" s="2">
        <f ca="1"/>
        <v>60.00531092892794</v>
      </c>
      <c r="AG9510" s="2">
        <f ca="1"/>
        <v>0.62145223960468687</v>
      </c>
      <c r="AH9510" s="2" t="str">
        <f ca="1"/>
        <v>Bad</v>
      </c>
    </row>
    <row r="9511" spans="2:34" x14ac:dyDescent="0.2">
      <c r="B9511" s="2">
        <f ca="1"/>
        <v>0.20057760897538746</v>
      </c>
      <c r="O9511" s="2">
        <f ca="1"/>
        <v>0.28231890577562557</v>
      </c>
      <c r="X9511" s="2">
        <f ca="1"/>
        <v>34.629702908149568</v>
      </c>
      <c r="AG9511" s="2">
        <f ca="1"/>
        <v>0.68995482881464687</v>
      </c>
      <c r="AH9511" s="2" t="str">
        <f ca="1"/>
        <v>Bad</v>
      </c>
    </row>
    <row r="9512" spans="2:34" x14ac:dyDescent="0.2">
      <c r="B9512" s="2">
        <f ca="1"/>
        <v>0.97856769477066186</v>
      </c>
      <c r="O9512" s="2">
        <f ca="1"/>
        <v>1.2813628288323038</v>
      </c>
      <c r="X9512" s="2">
        <f ca="1"/>
        <v>43.672350041964158</v>
      </c>
      <c r="AG9512" s="2">
        <f ca="1"/>
        <v>0.96194686200266877</v>
      </c>
      <c r="AH9512" s="2" t="str">
        <f ca="1"/>
        <v>Bad</v>
      </c>
    </row>
    <row r="9513" spans="2:34" x14ac:dyDescent="0.2">
      <c r="B9513" s="2">
        <f ca="1"/>
        <v>0.14097967684850587</v>
      </c>
      <c r="O9513" s="2">
        <f ca="1"/>
        <v>-1.5419779407269114</v>
      </c>
      <c r="X9513" s="2">
        <f ca="1"/>
        <v>25.439147751613493</v>
      </c>
      <c r="AG9513" s="2">
        <f ca="1"/>
        <v>0.73560841648942721</v>
      </c>
      <c r="AH9513" s="2" t="str">
        <f ca="1"/>
        <v>Bad</v>
      </c>
    </row>
    <row r="9514" spans="2:34" x14ac:dyDescent="0.2">
      <c r="B9514" s="2">
        <f ca="1"/>
        <v>0.44905853013765018</v>
      </c>
      <c r="O9514" s="2">
        <f ca="1"/>
        <v>-0.72768929629488277</v>
      </c>
      <c r="X9514" s="2">
        <f ca="1"/>
        <v>69.062864241509018</v>
      </c>
      <c r="AG9514" s="2">
        <f ca="1"/>
        <v>9.6075767885508645E-2</v>
      </c>
      <c r="AH9514" s="2" t="str">
        <f ca="1"/>
        <v>OK</v>
      </c>
    </row>
    <row r="9515" spans="2:34" x14ac:dyDescent="0.2">
      <c r="B9515" s="2">
        <f ca="1"/>
        <v>0.87521158926331122</v>
      </c>
      <c r="O9515" s="2">
        <f ca="1"/>
        <v>1.8728852890931063</v>
      </c>
      <c r="X9515" s="2">
        <f ca="1"/>
        <v>42.643442905676935</v>
      </c>
      <c r="AG9515" s="2">
        <f ca="1"/>
        <v>0.38237586081291242</v>
      </c>
      <c r="AH9515" s="2" t="str">
        <f ca="1"/>
        <v>OK</v>
      </c>
    </row>
    <row r="9516" spans="2:34" x14ac:dyDescent="0.2">
      <c r="B9516" s="2">
        <f ca="1"/>
        <v>0.30185797027633243</v>
      </c>
      <c r="O9516" s="2">
        <f ca="1"/>
        <v>-2.5704681338541002</v>
      </c>
      <c r="X9516" s="2">
        <f ca="1"/>
        <v>52.216840719630078</v>
      </c>
      <c r="AG9516" s="2">
        <f ca="1"/>
        <v>3.6961661792850098E-2</v>
      </c>
      <c r="AH9516" s="2" t="str">
        <f ca="1"/>
        <v>Good</v>
      </c>
    </row>
    <row r="9517" spans="2:34" x14ac:dyDescent="0.2">
      <c r="B9517" s="2">
        <f ca="1"/>
        <v>0.33412937597051195</v>
      </c>
      <c r="O9517" s="2">
        <f ca="1"/>
        <v>-0.93407587310287299</v>
      </c>
      <c r="X9517" s="2">
        <f ca="1"/>
        <v>43.837635278180684</v>
      </c>
      <c r="AG9517" s="2">
        <f ca="1"/>
        <v>0.40403708559395302</v>
      </c>
      <c r="AH9517" s="2" t="str">
        <f ca="1"/>
        <v>Bad</v>
      </c>
    </row>
    <row r="9518" spans="2:34" x14ac:dyDescent="0.2">
      <c r="B9518" s="2">
        <f ca="1"/>
        <v>0.34213782833986572</v>
      </c>
      <c r="O9518" s="2">
        <f ca="1"/>
        <v>1.0086239042581779</v>
      </c>
      <c r="X9518" s="2">
        <f ca="1"/>
        <v>53.228339963473168</v>
      </c>
      <c r="AG9518" s="2">
        <f ca="1"/>
        <v>0.90504921696880758</v>
      </c>
      <c r="AH9518" s="2" t="str">
        <f ca="1"/>
        <v>Bad</v>
      </c>
    </row>
    <row r="9519" spans="2:34" x14ac:dyDescent="0.2">
      <c r="B9519" s="2">
        <f ca="1"/>
        <v>0.67205612762967681</v>
      </c>
      <c r="O9519" s="2">
        <f ca="1"/>
        <v>1.2831124946971002</v>
      </c>
      <c r="X9519" s="2">
        <f ca="1"/>
        <v>70.198580459017307</v>
      </c>
      <c r="AG9519" s="2">
        <f ca="1"/>
        <v>0.12382862358324775</v>
      </c>
      <c r="AH9519" s="2" t="str">
        <f ca="1"/>
        <v>OK</v>
      </c>
    </row>
    <row r="9520" spans="2:34" x14ac:dyDescent="0.2">
      <c r="B9520" s="2">
        <f ca="1"/>
        <v>0.53627504692928718</v>
      </c>
      <c r="O9520" s="2">
        <f ca="1"/>
        <v>0.33386305929004834</v>
      </c>
      <c r="X9520" s="2">
        <f ca="1"/>
        <v>32.708462120679776</v>
      </c>
      <c r="AG9520" s="2">
        <f ca="1"/>
        <v>0.55622243497880586</v>
      </c>
      <c r="AH9520" s="2" t="str">
        <f ca="1"/>
        <v>Bad</v>
      </c>
    </row>
    <row r="9521" spans="2:34" x14ac:dyDescent="0.2">
      <c r="B9521" s="2">
        <f ca="1"/>
        <v>0.63696309037336252</v>
      </c>
      <c r="O9521" s="2">
        <f ca="1"/>
        <v>-1.0097044892643243</v>
      </c>
      <c r="X9521" s="2">
        <f ca="1"/>
        <v>71.730133203188643</v>
      </c>
      <c r="AG9521" s="2">
        <f ca="1"/>
        <v>0.32751868681911422</v>
      </c>
      <c r="AH9521" s="2" t="str">
        <f ca="1"/>
        <v>OK</v>
      </c>
    </row>
    <row r="9522" spans="2:34" x14ac:dyDescent="0.2">
      <c r="B9522" s="2">
        <f ca="1"/>
        <v>0.34861803291417148</v>
      </c>
      <c r="O9522" s="2">
        <f ca="1"/>
        <v>-1.3850565464996969</v>
      </c>
      <c r="X9522" s="2">
        <f ca="1"/>
        <v>45.453801934758992</v>
      </c>
      <c r="AG9522" s="2">
        <f ca="1"/>
        <v>0.85593371600322699</v>
      </c>
      <c r="AH9522" s="2" t="str">
        <f ca="1"/>
        <v>Bad</v>
      </c>
    </row>
    <row r="9523" spans="2:34" x14ac:dyDescent="0.2">
      <c r="B9523" s="2">
        <f ca="1"/>
        <v>0.65762619413512891</v>
      </c>
      <c r="O9523" s="2">
        <f ca="1"/>
        <v>0.23289830643734877</v>
      </c>
      <c r="X9523" s="2">
        <f ca="1"/>
        <v>90.371809126556514</v>
      </c>
      <c r="AG9523" s="2">
        <f ca="1"/>
        <v>0.21743180857937849</v>
      </c>
      <c r="AH9523" s="2" t="str">
        <f ca="1"/>
        <v>OK</v>
      </c>
    </row>
    <row r="9524" spans="2:34" x14ac:dyDescent="0.2">
      <c r="B9524" s="2">
        <f ca="1"/>
        <v>0.79566375924715294</v>
      </c>
      <c r="O9524" s="2">
        <f ca="1"/>
        <v>-1.1249469130145302</v>
      </c>
      <c r="X9524" s="2">
        <f ca="1"/>
        <v>50.41051033485877</v>
      </c>
      <c r="AG9524" s="2">
        <f ca="1"/>
        <v>0.60299297908659488</v>
      </c>
      <c r="AH9524" s="2" t="str">
        <f ca="1"/>
        <v>Bad</v>
      </c>
    </row>
    <row r="9525" spans="2:34" x14ac:dyDescent="0.2">
      <c r="B9525" s="2">
        <f ca="1"/>
        <v>0.1202212062430692</v>
      </c>
      <c r="O9525" s="2">
        <f ca="1"/>
        <v>1.242380731601628</v>
      </c>
      <c r="X9525" s="2">
        <f ca="1"/>
        <v>56.765422703267049</v>
      </c>
      <c r="AG9525" s="2">
        <f ca="1"/>
        <v>0.12195246431673357</v>
      </c>
      <c r="AH9525" s="2" t="str">
        <f ca="1"/>
        <v>OK</v>
      </c>
    </row>
    <row r="9526" spans="2:34" x14ac:dyDescent="0.2">
      <c r="B9526" s="2">
        <f ca="1"/>
        <v>0.28692209678468816</v>
      </c>
      <c r="O9526" s="2">
        <f ca="1"/>
        <v>1.1814441945452876</v>
      </c>
      <c r="X9526" s="2">
        <f ca="1"/>
        <v>28.419063084160964</v>
      </c>
      <c r="AG9526" s="2">
        <f ca="1"/>
        <v>0.56947130774108823</v>
      </c>
      <c r="AH9526" s="2" t="str">
        <f ca="1"/>
        <v>Bad</v>
      </c>
    </row>
    <row r="9527" spans="2:34" x14ac:dyDescent="0.2">
      <c r="B9527" s="2">
        <f ca="1"/>
        <v>0.34137271507207667</v>
      </c>
      <c r="O9527" s="2">
        <f ca="1"/>
        <v>0.79843270920941667</v>
      </c>
      <c r="X9527" s="2">
        <f ca="1"/>
        <v>25.004055767099697</v>
      </c>
      <c r="AG9527" s="2">
        <f ca="1"/>
        <v>0.31025818481375378</v>
      </c>
      <c r="AH9527" s="2" t="str">
        <f ca="1"/>
        <v>OK</v>
      </c>
    </row>
    <row r="9528" spans="2:34" x14ac:dyDescent="0.2">
      <c r="B9528" s="2">
        <f ca="1"/>
        <v>0.23188269696171337</v>
      </c>
      <c r="O9528" s="2">
        <f ca="1"/>
        <v>-0.58236257807749559</v>
      </c>
      <c r="X9528" s="2">
        <f ca="1"/>
        <v>65.932329726702818</v>
      </c>
      <c r="AG9528" s="2">
        <f ca="1"/>
        <v>6.1625012351918196E-2</v>
      </c>
      <c r="AH9528" s="2" t="str">
        <f ca="1"/>
        <v>OK</v>
      </c>
    </row>
    <row r="9529" spans="2:34" x14ac:dyDescent="0.2">
      <c r="B9529" s="2">
        <f ca="1"/>
        <v>0.68098356732704146</v>
      </c>
      <c r="O9529" s="2">
        <f ca="1"/>
        <v>-0.61946025160943385</v>
      </c>
      <c r="X9529" s="2">
        <f ca="1"/>
        <v>37.117790719188307</v>
      </c>
      <c r="AG9529" s="2">
        <f ca="1"/>
        <v>0.14397531757966919</v>
      </c>
      <c r="AH9529" s="2" t="str">
        <f ca="1"/>
        <v>OK</v>
      </c>
    </row>
    <row r="9530" spans="2:34" x14ac:dyDescent="0.2">
      <c r="B9530" s="2">
        <f ca="1"/>
        <v>0.9232526454725134</v>
      </c>
      <c r="O9530" s="2">
        <f ca="1"/>
        <v>-0.35886102368645989</v>
      </c>
      <c r="X9530" s="2">
        <f ca="1"/>
        <v>81.775655424799567</v>
      </c>
      <c r="AG9530" s="2">
        <f ca="1"/>
        <v>0.84095437177503851</v>
      </c>
      <c r="AH9530" s="2" t="str">
        <f ca="1"/>
        <v>Bad</v>
      </c>
    </row>
    <row r="9531" spans="2:34" x14ac:dyDescent="0.2">
      <c r="B9531" s="2">
        <f ca="1"/>
        <v>9.6562631513039676E-3</v>
      </c>
      <c r="O9531" s="2">
        <f ca="1"/>
        <v>0.74521772097803407</v>
      </c>
      <c r="X9531" s="2">
        <f ca="1"/>
        <v>41.34090286872582</v>
      </c>
      <c r="AG9531" s="2">
        <f ca="1"/>
        <v>0.94464779179436498</v>
      </c>
      <c r="AH9531" s="2" t="str">
        <f ca="1"/>
        <v>Bad</v>
      </c>
    </row>
    <row r="9532" spans="2:34" x14ac:dyDescent="0.2">
      <c r="B9532" s="2">
        <f ca="1"/>
        <v>0.13013281438968649</v>
      </c>
      <c r="O9532" s="2">
        <f ca="1"/>
        <v>0.36665871011777579</v>
      </c>
      <c r="X9532" s="2">
        <f ca="1"/>
        <v>58.399046586720907</v>
      </c>
      <c r="AG9532" s="2">
        <f ca="1"/>
        <v>0.32476828776447353</v>
      </c>
      <c r="AH9532" s="2" t="str">
        <f ca="1"/>
        <v>OK</v>
      </c>
    </row>
    <row r="9533" spans="2:34" x14ac:dyDescent="0.2">
      <c r="B9533" s="2">
        <f ca="1"/>
        <v>0.34318595057248036</v>
      </c>
      <c r="O9533" s="2">
        <f ca="1"/>
        <v>-0.41144331206855062</v>
      </c>
      <c r="X9533" s="2">
        <f ca="1"/>
        <v>36.450488520374982</v>
      </c>
      <c r="AG9533" s="2">
        <f ca="1"/>
        <v>0.64348885975454007</v>
      </c>
      <c r="AH9533" s="2" t="str">
        <f ca="1"/>
        <v>Bad</v>
      </c>
    </row>
    <row r="9534" spans="2:34" x14ac:dyDescent="0.2">
      <c r="B9534" s="2">
        <f ca="1"/>
        <v>1.7030704883733261E-2</v>
      </c>
      <c r="O9534" s="2">
        <f ca="1"/>
        <v>1.0545545252483608</v>
      </c>
      <c r="X9534" s="2">
        <f ca="1"/>
        <v>37.965139301422063</v>
      </c>
      <c r="AG9534" s="2">
        <f ca="1"/>
        <v>0.79652400152973901</v>
      </c>
      <c r="AH9534" s="2" t="str">
        <f ca="1"/>
        <v>Bad</v>
      </c>
    </row>
    <row r="9535" spans="2:34" x14ac:dyDescent="0.2">
      <c r="B9535" s="2">
        <f ca="1"/>
        <v>0.15630758452645033</v>
      </c>
      <c r="O9535" s="2">
        <f ca="1"/>
        <v>-1.8964107713232727</v>
      </c>
      <c r="X9535" s="2">
        <f ca="1"/>
        <v>42.644694160965315</v>
      </c>
      <c r="AG9535" s="2">
        <f ca="1"/>
        <v>0.30998337993307024</v>
      </c>
      <c r="AH9535" s="2" t="str">
        <f ca="1"/>
        <v>OK</v>
      </c>
    </row>
    <row r="9536" spans="2:34" x14ac:dyDescent="0.2">
      <c r="B9536" s="2">
        <f ca="1"/>
        <v>0.54198355718456637</v>
      </c>
      <c r="O9536" s="2">
        <f ca="1"/>
        <v>-1.3452634724394059E-3</v>
      </c>
      <c r="X9536" s="2">
        <f ca="1"/>
        <v>67.389077669902093</v>
      </c>
      <c r="AG9536" s="2">
        <f ca="1"/>
        <v>0.88784751184731903</v>
      </c>
      <c r="AH9536" s="2" t="str">
        <f ca="1"/>
        <v>Bad</v>
      </c>
    </row>
    <row r="9537" spans="2:34" x14ac:dyDescent="0.2">
      <c r="B9537" s="2">
        <f ca="1"/>
        <v>0.19626044412013699</v>
      </c>
      <c r="O9537" s="2">
        <f ca="1"/>
        <v>0.31164142380168502</v>
      </c>
      <c r="X9537" s="2">
        <f ca="1"/>
        <v>51.845979691713573</v>
      </c>
      <c r="AG9537" s="2">
        <f ca="1"/>
        <v>0.67769127647366245</v>
      </c>
      <c r="AH9537" s="2" t="str">
        <f ca="1"/>
        <v>Bad</v>
      </c>
    </row>
    <row r="9538" spans="2:34" x14ac:dyDescent="0.2">
      <c r="B9538" s="2">
        <f ca="1"/>
        <v>0.87745109680839706</v>
      </c>
      <c r="O9538" s="2">
        <f ca="1"/>
        <v>-0.62048888432913618</v>
      </c>
      <c r="X9538" s="2">
        <f ca="1"/>
        <v>47.736509002378739</v>
      </c>
      <c r="AG9538" s="2">
        <f ca="1"/>
        <v>0.29812792943368049</v>
      </c>
      <c r="AH9538" s="2" t="str">
        <f ca="1"/>
        <v>OK</v>
      </c>
    </row>
    <row r="9539" spans="2:34" x14ac:dyDescent="0.2">
      <c r="B9539" s="2">
        <f ca="1"/>
        <v>0.72535749519217219</v>
      </c>
      <c r="O9539" s="2">
        <f ca="1"/>
        <v>-0.87040540023878776</v>
      </c>
      <c r="X9539" s="2">
        <f ca="1"/>
        <v>45.285673548335048</v>
      </c>
      <c r="AG9539" s="2">
        <f ca="1"/>
        <v>8.2431359408600358E-2</v>
      </c>
      <c r="AH9539" s="2" t="str">
        <f ca="1"/>
        <v>OK</v>
      </c>
    </row>
    <row r="9540" spans="2:34" x14ac:dyDescent="0.2">
      <c r="B9540" s="2">
        <f ca="1"/>
        <v>0.6936685549449173</v>
      </c>
      <c r="O9540" s="2">
        <f ca="1"/>
        <v>-1.6679997590743034</v>
      </c>
      <c r="X9540" s="2">
        <f ca="1"/>
        <v>53.928472147039052</v>
      </c>
      <c r="AG9540" s="2">
        <f ca="1"/>
        <v>0.3691200000475936</v>
      </c>
      <c r="AH9540" s="2" t="str">
        <f ca="1"/>
        <v>OK</v>
      </c>
    </row>
    <row r="9541" spans="2:34" x14ac:dyDescent="0.2">
      <c r="B9541" s="2">
        <f ca="1"/>
        <v>0.14267793737713141</v>
      </c>
      <c r="O9541" s="2">
        <f ca="1"/>
        <v>3.0703988961356004</v>
      </c>
      <c r="X9541" s="2">
        <f ca="1"/>
        <v>47.916554472080513</v>
      </c>
      <c r="AG9541" s="2">
        <f ca="1"/>
        <v>0.97598375428566397</v>
      </c>
      <c r="AH9541" s="2" t="str">
        <f ca="1"/>
        <v>Bad</v>
      </c>
    </row>
    <row r="9542" spans="2:34" x14ac:dyDescent="0.2">
      <c r="B9542" s="2">
        <f ca="1"/>
        <v>0.20719018405779477</v>
      </c>
      <c r="O9542" s="2">
        <f ca="1"/>
        <v>-0.1145140087882649</v>
      </c>
      <c r="X9542" s="2">
        <f ca="1"/>
        <v>45.266291410622578</v>
      </c>
      <c r="AG9542" s="2">
        <f ca="1"/>
        <v>0.85769053460440636</v>
      </c>
      <c r="AH9542" s="2" t="str">
        <f ca="1"/>
        <v>Bad</v>
      </c>
    </row>
    <row r="9543" spans="2:34" x14ac:dyDescent="0.2">
      <c r="B9543" s="2">
        <f ca="1"/>
        <v>0.25286925013184702</v>
      </c>
      <c r="O9543" s="2">
        <f ca="1"/>
        <v>-1.2052847702918927</v>
      </c>
      <c r="X9543" s="2">
        <f ca="1"/>
        <v>38.447878731187402</v>
      </c>
      <c r="AG9543" s="2">
        <f ca="1"/>
        <v>5.351648009992549E-2</v>
      </c>
      <c r="AH9543" s="2" t="str">
        <f ca="1"/>
        <v>OK</v>
      </c>
    </row>
    <row r="9544" spans="2:34" x14ac:dyDescent="0.2">
      <c r="B9544" s="2">
        <f ca="1"/>
        <v>0.27615563341038318</v>
      </c>
      <c r="O9544" s="2">
        <f ca="1"/>
        <v>-1.0362146973050341</v>
      </c>
      <c r="X9544" s="2">
        <f ca="1"/>
        <v>24.567189980619816</v>
      </c>
      <c r="AG9544" s="2">
        <f ca="1"/>
        <v>0.64721279398980491</v>
      </c>
      <c r="AH9544" s="2" t="str">
        <f ca="1"/>
        <v>Bad</v>
      </c>
    </row>
    <row r="9545" spans="2:34" x14ac:dyDescent="0.2">
      <c r="B9545" s="2">
        <f ca="1"/>
        <v>0.76568921318411975</v>
      </c>
      <c r="O9545" s="2">
        <f ca="1"/>
        <v>0.10877297657564886</v>
      </c>
      <c r="X9545" s="2">
        <f ca="1"/>
        <v>44.08399217172019</v>
      </c>
      <c r="AG9545" s="2">
        <f ca="1"/>
        <v>0.91492082405691466</v>
      </c>
      <c r="AH9545" s="2" t="str">
        <f ca="1"/>
        <v>Bad</v>
      </c>
    </row>
    <row r="9546" spans="2:34" x14ac:dyDescent="0.2">
      <c r="B9546" s="2">
        <f ca="1"/>
        <v>0.27267945023825901</v>
      </c>
      <c r="O9546" s="2">
        <f ca="1"/>
        <v>3.0643550457358275</v>
      </c>
      <c r="X9546" s="2">
        <f ca="1"/>
        <v>44.426586244501109</v>
      </c>
      <c r="AG9546" s="2">
        <f ca="1"/>
        <v>0.43934167119837153</v>
      </c>
      <c r="AH9546" s="2" t="str">
        <f ca="1"/>
        <v>Bad</v>
      </c>
    </row>
    <row r="9547" spans="2:34" x14ac:dyDescent="0.2">
      <c r="B9547" s="2">
        <f ca="1"/>
        <v>0.51561175797670744</v>
      </c>
      <c r="O9547" s="2">
        <f ca="1"/>
        <v>0.35616366337772082</v>
      </c>
      <c r="X9547" s="2">
        <f ca="1"/>
        <v>42.673104696427266</v>
      </c>
      <c r="AG9547" s="2">
        <f ca="1"/>
        <v>0.32124774344782336</v>
      </c>
      <c r="AH9547" s="2" t="str">
        <f ca="1"/>
        <v>OK</v>
      </c>
    </row>
    <row r="9548" spans="2:34" x14ac:dyDescent="0.2">
      <c r="B9548" s="2">
        <f ca="1"/>
        <v>0.75169373927210881</v>
      </c>
      <c r="O9548" s="2">
        <f ca="1"/>
        <v>0.68013256540597533</v>
      </c>
      <c r="X9548" s="2">
        <f ca="1"/>
        <v>62.273442077048848</v>
      </c>
      <c r="AG9548" s="2">
        <f ca="1"/>
        <v>0.75308187060621989</v>
      </c>
      <c r="AH9548" s="2" t="str">
        <f ca="1"/>
        <v>Bad</v>
      </c>
    </row>
    <row r="9549" spans="2:34" x14ac:dyDescent="0.2">
      <c r="B9549" s="2">
        <f ca="1"/>
        <v>0.74523210026642817</v>
      </c>
      <c r="O9549" s="2">
        <f ca="1"/>
        <v>0.62122406386212392</v>
      </c>
      <c r="X9549" s="2">
        <f ca="1"/>
        <v>46.535389392851691</v>
      </c>
      <c r="AG9549" s="2">
        <f ca="1"/>
        <v>0.1644177050855824</v>
      </c>
      <c r="AH9549" s="2" t="str">
        <f ca="1"/>
        <v>OK</v>
      </c>
    </row>
    <row r="9550" spans="2:34" x14ac:dyDescent="0.2">
      <c r="B9550" s="2">
        <f ca="1"/>
        <v>0.41944158423902578</v>
      </c>
      <c r="O9550" s="2">
        <f ca="1"/>
        <v>-0.65408808207033664</v>
      </c>
      <c r="X9550" s="2">
        <f ca="1"/>
        <v>47.527882144027188</v>
      </c>
      <c r="AG9550" s="2">
        <f ca="1"/>
        <v>9.6558437846880896E-3</v>
      </c>
      <c r="AH9550" s="2" t="str">
        <f ca="1"/>
        <v>Good</v>
      </c>
    </row>
    <row r="9551" spans="2:34" x14ac:dyDescent="0.2">
      <c r="B9551" s="2">
        <f ca="1"/>
        <v>0.76496000642319384</v>
      </c>
      <c r="O9551" s="2">
        <f ca="1"/>
        <v>-1.1274694549975801</v>
      </c>
      <c r="X9551" s="2">
        <f ca="1"/>
        <v>45.871288539694589</v>
      </c>
      <c r="AG9551" s="2">
        <f ca="1"/>
        <v>0.86696111884257987</v>
      </c>
      <c r="AH9551" s="2" t="str">
        <f ca="1"/>
        <v>Bad</v>
      </c>
    </row>
    <row r="9552" spans="2:34" x14ac:dyDescent="0.2">
      <c r="B9552" s="2">
        <f ca="1"/>
        <v>0.85551738235919594</v>
      </c>
      <c r="O9552" s="2">
        <f ca="1"/>
        <v>0.76326853868635602</v>
      </c>
      <c r="X9552" s="2">
        <f ca="1"/>
        <v>60.719779452700706</v>
      </c>
      <c r="AG9552" s="2">
        <f ca="1"/>
        <v>0.39816370888625641</v>
      </c>
      <c r="AH9552" s="2" t="str">
        <f ca="1"/>
        <v>OK</v>
      </c>
    </row>
    <row r="9553" spans="2:34" x14ac:dyDescent="0.2">
      <c r="B9553" s="2">
        <f ca="1"/>
        <v>0.75594744185735196</v>
      </c>
      <c r="O9553" s="2">
        <f ca="1"/>
        <v>1.4327197641680509</v>
      </c>
      <c r="X9553" s="2">
        <f ca="1"/>
        <v>56.369942799658695</v>
      </c>
      <c r="AG9553" s="2">
        <f ca="1"/>
        <v>0.20112698129170692</v>
      </c>
      <c r="AH9553" s="2" t="str">
        <f ca="1"/>
        <v>OK</v>
      </c>
    </row>
    <row r="9554" spans="2:34" x14ac:dyDescent="0.2">
      <c r="B9554" s="2">
        <f ca="1"/>
        <v>0.54412221038381992</v>
      </c>
      <c r="O9554" s="2">
        <f ca="1"/>
        <v>0.22908021099221401</v>
      </c>
      <c r="X9554" s="2">
        <f ca="1"/>
        <v>72.753825392439467</v>
      </c>
      <c r="AG9554" s="2">
        <f ca="1"/>
        <v>0.97435609222029851</v>
      </c>
      <c r="AH9554" s="2" t="str">
        <f ca="1"/>
        <v>Bad</v>
      </c>
    </row>
    <row r="9555" spans="2:34" x14ac:dyDescent="0.2">
      <c r="B9555" s="2">
        <f ca="1"/>
        <v>0.69176831428911667</v>
      </c>
      <c r="O9555" s="2">
        <f ca="1"/>
        <v>-0.67509978259015502</v>
      </c>
      <c r="X9555" s="2">
        <f ca="1"/>
        <v>106.14998358845826</v>
      </c>
      <c r="AG9555" s="2">
        <f ca="1"/>
        <v>0.65538134093124789</v>
      </c>
      <c r="AH9555" s="2" t="str">
        <f ca="1"/>
        <v>Bad</v>
      </c>
    </row>
    <row r="9556" spans="2:34" x14ac:dyDescent="0.2">
      <c r="B9556" s="2">
        <f ca="1"/>
        <v>0.88630313525756677</v>
      </c>
      <c r="O9556" s="2">
        <f ca="1"/>
        <v>-0.37048205526758848</v>
      </c>
      <c r="X9556" s="2">
        <f ca="1"/>
        <v>100.63154072038463</v>
      </c>
      <c r="AG9556" s="2">
        <f ca="1"/>
        <v>0.44788564840678213</v>
      </c>
      <c r="AH9556" s="2" t="str">
        <f ca="1"/>
        <v>Bad</v>
      </c>
    </row>
    <row r="9557" spans="2:34" x14ac:dyDescent="0.2">
      <c r="B9557" s="2">
        <f ca="1"/>
        <v>0.10710510741565349</v>
      </c>
      <c r="O9557" s="2">
        <f ca="1"/>
        <v>1.560334025789482</v>
      </c>
      <c r="X9557" s="2">
        <f ca="1"/>
        <v>70.325640146727451</v>
      </c>
      <c r="AG9557" s="2">
        <f ca="1"/>
        <v>0.30030146501489319</v>
      </c>
      <c r="AH9557" s="2" t="str">
        <f ca="1"/>
        <v>OK</v>
      </c>
    </row>
    <row r="9558" spans="2:34" x14ac:dyDescent="0.2">
      <c r="B9558" s="2">
        <f ca="1"/>
        <v>0.52455453223475712</v>
      </c>
      <c r="O9558" s="2">
        <f ca="1"/>
        <v>-0.50047067207554219</v>
      </c>
      <c r="X9558" s="2">
        <f ca="1"/>
        <v>50.250171411357925</v>
      </c>
      <c r="AG9558" s="2">
        <f ca="1"/>
        <v>0.39669272537678091</v>
      </c>
      <c r="AH9558" s="2" t="str">
        <f ca="1"/>
        <v>OK</v>
      </c>
    </row>
    <row r="9559" spans="2:34" x14ac:dyDescent="0.2">
      <c r="B9559" s="2">
        <f ca="1"/>
        <v>0.2501351491622843</v>
      </c>
      <c r="O9559" s="2">
        <f ca="1"/>
        <v>0.48910531818663344</v>
      </c>
      <c r="X9559" s="2">
        <f ca="1"/>
        <v>71.904838494334456</v>
      </c>
      <c r="AG9559" s="2">
        <f ca="1"/>
        <v>2.0698754290202848E-2</v>
      </c>
      <c r="AH9559" s="2" t="str">
        <f ca="1"/>
        <v>Good</v>
      </c>
    </row>
    <row r="9560" spans="2:34" x14ac:dyDescent="0.2">
      <c r="B9560" s="2">
        <f ca="1"/>
        <v>0.22012074317747499</v>
      </c>
      <c r="O9560" s="2">
        <f ca="1"/>
        <v>0.91892964720176795</v>
      </c>
      <c r="X9560" s="2">
        <f ca="1"/>
        <v>65.325301190518545</v>
      </c>
      <c r="AG9560" s="2">
        <f ca="1"/>
        <v>0.99258032279851127</v>
      </c>
      <c r="AH9560" s="2" t="str">
        <f ca="1"/>
        <v>Bad</v>
      </c>
    </row>
    <row r="9561" spans="2:34" x14ac:dyDescent="0.2">
      <c r="B9561" s="2">
        <f ca="1"/>
        <v>0.53103258080412563</v>
      </c>
      <c r="O9561" s="2">
        <f ca="1"/>
        <v>-1.04884149586287</v>
      </c>
      <c r="X9561" s="2">
        <f ca="1"/>
        <v>39.752956367071398</v>
      </c>
      <c r="AG9561" s="2">
        <f ca="1"/>
        <v>0.91745793251775409</v>
      </c>
      <c r="AH9561" s="2" t="str">
        <f ca="1"/>
        <v>Bad</v>
      </c>
    </row>
    <row r="9562" spans="2:34" x14ac:dyDescent="0.2">
      <c r="B9562" s="2">
        <f ca="1"/>
        <v>0.31204593756261767</v>
      </c>
      <c r="O9562" s="2">
        <f ca="1"/>
        <v>-4.0558241668257021E-2</v>
      </c>
      <c r="X9562" s="2">
        <f ca="1"/>
        <v>64.451802775324893</v>
      </c>
      <c r="AG9562" s="2">
        <f ca="1"/>
        <v>0.45539162343349493</v>
      </c>
      <c r="AH9562" s="2" t="str">
        <f ca="1"/>
        <v>Bad</v>
      </c>
    </row>
    <row r="9563" spans="2:34" x14ac:dyDescent="0.2">
      <c r="B9563" s="2">
        <f ca="1"/>
        <v>0.45320190568250474</v>
      </c>
      <c r="O9563" s="2">
        <f ca="1"/>
        <v>0.41811790433124135</v>
      </c>
      <c r="X9563" s="2">
        <f ca="1"/>
        <v>31.255286505048577</v>
      </c>
      <c r="AG9563" s="2">
        <f ca="1"/>
        <v>0.42955364328640266</v>
      </c>
      <c r="AH9563" s="2" t="str">
        <f ca="1"/>
        <v>Bad</v>
      </c>
    </row>
    <row r="9564" spans="2:34" x14ac:dyDescent="0.2">
      <c r="B9564" s="2">
        <f ca="1"/>
        <v>0.46923325975949237</v>
      </c>
      <c r="O9564" s="2">
        <f ca="1"/>
        <v>-1.9955811401906192</v>
      </c>
      <c r="X9564" s="2">
        <f ca="1"/>
        <v>70.613193869024911</v>
      </c>
      <c r="AG9564" s="2">
        <f ca="1"/>
        <v>0.84883360292248322</v>
      </c>
      <c r="AH9564" s="2" t="str">
        <f ca="1"/>
        <v>Bad</v>
      </c>
    </row>
    <row r="9565" spans="2:34" x14ac:dyDescent="0.2">
      <c r="B9565" s="2">
        <f ca="1"/>
        <v>0.31962146791542323</v>
      </c>
      <c r="O9565" s="2">
        <f ca="1"/>
        <v>0.53662632610575067</v>
      </c>
      <c r="X9565" s="2">
        <f ca="1"/>
        <v>37.661859663874807</v>
      </c>
      <c r="AG9565" s="2">
        <f ca="1"/>
        <v>0.61403844464056934</v>
      </c>
      <c r="AH9565" s="2" t="str">
        <f ca="1"/>
        <v>Bad</v>
      </c>
    </row>
    <row r="9566" spans="2:34" x14ac:dyDescent="0.2">
      <c r="B9566" s="2">
        <f ca="1"/>
        <v>0.36724343102676116</v>
      </c>
      <c r="O9566" s="2">
        <f ca="1"/>
        <v>-0.53277924006347588</v>
      </c>
      <c r="X9566" s="2">
        <f ca="1"/>
        <v>31.154056527281089</v>
      </c>
      <c r="AG9566" s="2">
        <f ca="1"/>
        <v>0.52689445493931863</v>
      </c>
      <c r="AH9566" s="2" t="str">
        <f ca="1"/>
        <v>Bad</v>
      </c>
    </row>
    <row r="9567" spans="2:34" x14ac:dyDescent="0.2">
      <c r="B9567" s="2">
        <f ca="1"/>
        <v>0.31062473588292927</v>
      </c>
      <c r="O9567" s="2">
        <f ca="1"/>
        <v>0.25817874350258929</v>
      </c>
      <c r="X9567" s="2">
        <f ca="1"/>
        <v>31.307580694354922</v>
      </c>
      <c r="AG9567" s="2">
        <f ca="1"/>
        <v>0.96546741896786692</v>
      </c>
      <c r="AH9567" s="2" t="str">
        <f ca="1"/>
        <v>Bad</v>
      </c>
    </row>
    <row r="9568" spans="2:34" x14ac:dyDescent="0.2">
      <c r="B9568" s="2">
        <f ca="1"/>
        <v>0.23883112808044449</v>
      </c>
      <c r="O9568" s="2">
        <f ca="1"/>
        <v>-0.67311801683508288</v>
      </c>
      <c r="X9568" s="2">
        <f ca="1"/>
        <v>63.46043911886207</v>
      </c>
      <c r="AG9568" s="2">
        <f ca="1"/>
        <v>0.78396226396561941</v>
      </c>
      <c r="AH9568" s="2" t="str">
        <f ca="1"/>
        <v>Bad</v>
      </c>
    </row>
    <row r="9569" spans="2:34" x14ac:dyDescent="0.2">
      <c r="B9569" s="2">
        <f ca="1"/>
        <v>0.70793035188885844</v>
      </c>
      <c r="O9569" s="2">
        <f ca="1"/>
        <v>-0.21805023847915941</v>
      </c>
      <c r="X9569" s="2">
        <f ca="1"/>
        <v>45.868029420879218</v>
      </c>
      <c r="AG9569" s="2">
        <f ca="1"/>
        <v>0.80035719323909627</v>
      </c>
      <c r="AH9569" s="2" t="str">
        <f ca="1"/>
        <v>Bad</v>
      </c>
    </row>
    <row r="9570" spans="2:34" x14ac:dyDescent="0.2">
      <c r="B9570" s="2">
        <f ca="1"/>
        <v>0.66437353723632242</v>
      </c>
      <c r="O9570" s="2">
        <f ca="1"/>
        <v>-0.92886176820416055</v>
      </c>
      <c r="X9570" s="2">
        <f ca="1"/>
        <v>39.795708974248186</v>
      </c>
      <c r="AG9570" s="2">
        <f ca="1"/>
        <v>0.68276814056929047</v>
      </c>
      <c r="AH9570" s="2" t="str">
        <f ca="1"/>
        <v>Bad</v>
      </c>
    </row>
    <row r="9571" spans="2:34" x14ac:dyDescent="0.2">
      <c r="B9571" s="2">
        <f ca="1"/>
        <v>0.67408850889801775</v>
      </c>
      <c r="O9571" s="2">
        <f ca="1"/>
        <v>-0.23935486242367576</v>
      </c>
      <c r="X9571" s="2">
        <f ca="1"/>
        <v>58.503397487296809</v>
      </c>
      <c r="AG9571" s="2">
        <f ca="1"/>
        <v>0.8239644770816672</v>
      </c>
      <c r="AH9571" s="2" t="str">
        <f ca="1"/>
        <v>Bad</v>
      </c>
    </row>
    <row r="9572" spans="2:34" x14ac:dyDescent="0.2">
      <c r="B9572" s="2">
        <f ca="1"/>
        <v>6.7427074770696205E-2</v>
      </c>
      <c r="O9572" s="2">
        <f ca="1"/>
        <v>-1.8239708379888182</v>
      </c>
      <c r="X9572" s="2">
        <f ca="1"/>
        <v>33.81992593590774</v>
      </c>
      <c r="AG9572" s="2">
        <f ca="1"/>
        <v>2.9068970179331632E-2</v>
      </c>
      <c r="AH9572" s="2" t="str">
        <f ca="1"/>
        <v>Good</v>
      </c>
    </row>
    <row r="9573" spans="2:34" x14ac:dyDescent="0.2">
      <c r="B9573" s="2">
        <f ca="1"/>
        <v>0.82238227887354554</v>
      </c>
      <c r="O9573" s="2">
        <f ca="1"/>
        <v>-1.111748439110289</v>
      </c>
      <c r="X9573" s="2">
        <f ca="1"/>
        <v>72.770695350973767</v>
      </c>
      <c r="AG9573" s="2">
        <f ca="1"/>
        <v>0.57978099551951212</v>
      </c>
      <c r="AH9573" s="2" t="str">
        <f ca="1"/>
        <v>Bad</v>
      </c>
    </row>
    <row r="9574" spans="2:34" x14ac:dyDescent="0.2">
      <c r="B9574" s="2">
        <f ca="1"/>
        <v>0.64786836805061143</v>
      </c>
      <c r="O9574" s="2">
        <f ca="1"/>
        <v>-1.0803429490276486</v>
      </c>
      <c r="X9574" s="2">
        <f ca="1"/>
        <v>40.021099978590669</v>
      </c>
      <c r="AG9574" s="2">
        <f ca="1"/>
        <v>0.76289885729040652</v>
      </c>
      <c r="AH9574" s="2" t="str">
        <f ca="1"/>
        <v>Bad</v>
      </c>
    </row>
    <row r="9575" spans="2:34" x14ac:dyDescent="0.2">
      <c r="B9575" s="2">
        <f ca="1"/>
        <v>0.71148037063874692</v>
      </c>
      <c r="O9575" s="2">
        <f ca="1"/>
        <v>-0.60893462879712268</v>
      </c>
      <c r="X9575" s="2">
        <f ca="1"/>
        <v>47.016619066231733</v>
      </c>
      <c r="AG9575" s="2">
        <f ca="1"/>
        <v>0.72798222892184294</v>
      </c>
      <c r="AH9575" s="2" t="str">
        <f ca="1"/>
        <v>Bad</v>
      </c>
    </row>
    <row r="9576" spans="2:34" x14ac:dyDescent="0.2">
      <c r="B9576" s="2">
        <f ca="1"/>
        <v>0.85472183195213836</v>
      </c>
      <c r="O9576" s="2">
        <f ca="1"/>
        <v>0.93396493832291405</v>
      </c>
      <c r="X9576" s="2">
        <f ca="1"/>
        <v>29.895807267959285</v>
      </c>
      <c r="AG9576" s="2">
        <f ca="1"/>
        <v>0.49998120372427945</v>
      </c>
      <c r="AH9576" s="2" t="str">
        <f ca="1"/>
        <v>Bad</v>
      </c>
    </row>
    <row r="9577" spans="2:34" x14ac:dyDescent="0.2">
      <c r="B9577" s="2">
        <f ca="1"/>
        <v>7.5475459853562299E-2</v>
      </c>
      <c r="O9577" s="2">
        <f ca="1"/>
        <v>9.4627551957890438E-2</v>
      </c>
      <c r="X9577" s="2">
        <f ca="1"/>
        <v>45.3072706933376</v>
      </c>
      <c r="AG9577" s="2">
        <f ca="1"/>
        <v>0.2770430051243149</v>
      </c>
      <c r="AH9577" s="2" t="str">
        <f ca="1"/>
        <v>OK</v>
      </c>
    </row>
    <row r="9578" spans="2:34" x14ac:dyDescent="0.2">
      <c r="B9578" s="2">
        <f ca="1"/>
        <v>0.86253298572165393</v>
      </c>
      <c r="O9578" s="2">
        <f ca="1"/>
        <v>-1.3806356151445491</v>
      </c>
      <c r="X9578" s="2">
        <f ca="1"/>
        <v>75.821343864967602</v>
      </c>
      <c r="AG9578" s="2">
        <f ca="1"/>
        <v>0.20742782390723624</v>
      </c>
      <c r="AH9578" s="2" t="str">
        <f ca="1"/>
        <v>OK</v>
      </c>
    </row>
    <row r="9579" spans="2:34" x14ac:dyDescent="0.2">
      <c r="B9579" s="2">
        <f ca="1"/>
        <v>0.32155518892903467</v>
      </c>
      <c r="O9579" s="2">
        <f ca="1"/>
        <v>-0.65044906261661128</v>
      </c>
      <c r="X9579" s="2">
        <f ca="1"/>
        <v>49.75822399635706</v>
      </c>
      <c r="AG9579" s="2">
        <f ca="1"/>
        <v>0.65130916835139119</v>
      </c>
      <c r="AH9579" s="2" t="str">
        <f ca="1"/>
        <v>Bad</v>
      </c>
    </row>
    <row r="9580" spans="2:34" x14ac:dyDescent="0.2">
      <c r="B9580" s="2">
        <f ca="1"/>
        <v>0.79394123715148646</v>
      </c>
      <c r="O9580" s="2">
        <f ca="1"/>
        <v>-2.2537187560991092</v>
      </c>
      <c r="X9580" s="2">
        <f ca="1"/>
        <v>38.477496337112015</v>
      </c>
      <c r="AG9580" s="2">
        <f ca="1"/>
        <v>0.15316740178880828</v>
      </c>
      <c r="AH9580" s="2" t="str">
        <f ca="1"/>
        <v>OK</v>
      </c>
    </row>
    <row r="9581" spans="2:34" x14ac:dyDescent="0.2">
      <c r="B9581" s="2">
        <f ca="1"/>
        <v>0.28761175285299001</v>
      </c>
      <c r="O9581" s="2">
        <f ca="1"/>
        <v>1.5463293960957747</v>
      </c>
      <c r="X9581" s="2">
        <f ca="1"/>
        <v>63.038405349102078</v>
      </c>
      <c r="AG9581" s="2">
        <f ca="1"/>
        <v>0.15482821827108295</v>
      </c>
      <c r="AH9581" s="2" t="str">
        <f ca="1"/>
        <v>OK</v>
      </c>
    </row>
    <row r="9582" spans="2:34" x14ac:dyDescent="0.2">
      <c r="B9582" s="2">
        <f ca="1"/>
        <v>0.8892025942020314</v>
      </c>
      <c r="O9582" s="2">
        <f ca="1"/>
        <v>-0.90847946357211418</v>
      </c>
      <c r="X9582" s="2">
        <f ca="1"/>
        <v>39.788529608988618</v>
      </c>
      <c r="AG9582" s="2">
        <f ca="1"/>
        <v>0.48844057263036866</v>
      </c>
      <c r="AH9582" s="2" t="str">
        <f ca="1"/>
        <v>Bad</v>
      </c>
    </row>
    <row r="9583" spans="2:34" x14ac:dyDescent="0.2">
      <c r="B9583" s="2">
        <f ca="1"/>
        <v>0.88923739690503267</v>
      </c>
      <c r="O9583" s="2">
        <f ca="1"/>
        <v>0.76570130299000916</v>
      </c>
      <c r="X9583" s="2">
        <f ca="1"/>
        <v>45.956286110731561</v>
      </c>
      <c r="AG9583" s="2">
        <f ca="1"/>
        <v>0.45482885151300456</v>
      </c>
      <c r="AH9583" s="2" t="str">
        <f ca="1"/>
        <v>Bad</v>
      </c>
    </row>
    <row r="9584" spans="2:34" x14ac:dyDescent="0.2">
      <c r="B9584" s="2">
        <f ca="1"/>
        <v>0.57518447025743624</v>
      </c>
      <c r="O9584" s="2">
        <f ca="1"/>
        <v>-6.8761662343470642E-2</v>
      </c>
      <c r="X9584" s="2">
        <f ca="1"/>
        <v>41.208935053432356</v>
      </c>
      <c r="AG9584" s="2">
        <f ca="1"/>
        <v>0.68554734732733991</v>
      </c>
      <c r="AH9584" s="2" t="str">
        <f ca="1"/>
        <v>Bad</v>
      </c>
    </row>
    <row r="9585" spans="2:34" x14ac:dyDescent="0.2">
      <c r="B9585" s="2">
        <f ca="1"/>
        <v>0.96546697086888855</v>
      </c>
      <c r="O9585" s="2">
        <f ca="1"/>
        <v>-0.93893712874704061</v>
      </c>
      <c r="X9585" s="2">
        <f ca="1"/>
        <v>54.671194093957496</v>
      </c>
      <c r="AG9585" s="2">
        <f ca="1"/>
        <v>5.3097593526804987E-2</v>
      </c>
      <c r="AH9585" s="2" t="str">
        <f ca="1"/>
        <v>OK</v>
      </c>
    </row>
    <row r="9586" spans="2:34" x14ac:dyDescent="0.2">
      <c r="B9586" s="2">
        <f ca="1"/>
        <v>0.87794395950613535</v>
      </c>
      <c r="O9586" s="2">
        <f ca="1"/>
        <v>1.6991545957024106</v>
      </c>
      <c r="X9586" s="2">
        <f ca="1"/>
        <v>36.234316453962002</v>
      </c>
      <c r="AG9586" s="2">
        <f ca="1"/>
        <v>0.73117550449210156</v>
      </c>
      <c r="AH9586" s="2" t="str">
        <f ca="1"/>
        <v>Bad</v>
      </c>
    </row>
    <row r="9587" spans="2:34" x14ac:dyDescent="0.2">
      <c r="B9587" s="2">
        <f ca="1"/>
        <v>0.53808363672396742</v>
      </c>
      <c r="O9587" s="2">
        <f ca="1"/>
        <v>0.59527885507892864</v>
      </c>
      <c r="X9587" s="2">
        <f ca="1"/>
        <v>19.238591641429707</v>
      </c>
      <c r="AG9587" s="2">
        <f ca="1"/>
        <v>0.91132862158988903</v>
      </c>
      <c r="AH9587" s="2" t="str">
        <f ca="1"/>
        <v>Bad</v>
      </c>
    </row>
    <row r="9588" spans="2:34" x14ac:dyDescent="0.2">
      <c r="B9588" s="2">
        <f ca="1"/>
        <v>0.59462766594918626</v>
      </c>
      <c r="O9588" s="2">
        <f ca="1"/>
        <v>0.59851677325612218</v>
      </c>
      <c r="X9588" s="2">
        <f ca="1"/>
        <v>25.054949714555342</v>
      </c>
      <c r="AG9588" s="2">
        <f ca="1"/>
        <v>0.390948753982018</v>
      </c>
      <c r="AH9588" s="2" t="str">
        <f ca="1"/>
        <v>OK</v>
      </c>
    </row>
    <row r="9589" spans="2:34" x14ac:dyDescent="0.2">
      <c r="B9589" s="2">
        <f ca="1"/>
        <v>0.27582236979944219</v>
      </c>
      <c r="O9589" s="2">
        <f ca="1"/>
        <v>0.29913431142637081</v>
      </c>
      <c r="X9589" s="2">
        <f ca="1"/>
        <v>42.532561910995064</v>
      </c>
      <c r="AG9589" s="2">
        <f ca="1"/>
        <v>7.5864787737754513E-2</v>
      </c>
      <c r="AH9589" s="2" t="str">
        <f ca="1"/>
        <v>OK</v>
      </c>
    </row>
    <row r="9590" spans="2:34" x14ac:dyDescent="0.2">
      <c r="B9590" s="2">
        <f ca="1"/>
        <v>0.61636156420262234</v>
      </c>
      <c r="O9590" s="2">
        <f ca="1"/>
        <v>0.29059152901940077</v>
      </c>
      <c r="X9590" s="2">
        <f ca="1"/>
        <v>54.682525884687593</v>
      </c>
      <c r="AG9590" s="2">
        <f ca="1"/>
        <v>0.54913731191142245</v>
      </c>
      <c r="AH9590" s="2" t="str">
        <f ca="1"/>
        <v>Bad</v>
      </c>
    </row>
    <row r="9591" spans="2:34" x14ac:dyDescent="0.2">
      <c r="B9591" s="2">
        <f ca="1"/>
        <v>0.89174530524958051</v>
      </c>
      <c r="O9591" s="2">
        <f ca="1"/>
        <v>0.49347047986725517</v>
      </c>
      <c r="X9591" s="2">
        <f ca="1"/>
        <v>54.48792889448535</v>
      </c>
      <c r="AG9591" s="2">
        <f ca="1"/>
        <v>5.4526111666109101E-2</v>
      </c>
      <c r="AH9591" s="2" t="str">
        <f ca="1"/>
        <v>OK</v>
      </c>
    </row>
    <row r="9592" spans="2:34" x14ac:dyDescent="0.2">
      <c r="B9592" s="2">
        <f ca="1"/>
        <v>0.43163115205710101</v>
      </c>
      <c r="O9592" s="2">
        <f ca="1"/>
        <v>-1.842308374060726</v>
      </c>
      <c r="X9592" s="2">
        <f ca="1"/>
        <v>38.144154855663935</v>
      </c>
      <c r="AG9592" s="2">
        <f ca="1"/>
        <v>0.52303699554837357</v>
      </c>
      <c r="AH9592" s="2" t="str">
        <f ca="1"/>
        <v>Bad</v>
      </c>
    </row>
    <row r="9593" spans="2:34" x14ac:dyDescent="0.2">
      <c r="B9593" s="2">
        <f ca="1"/>
        <v>0.89740745343523032</v>
      </c>
      <c r="O9593" s="2">
        <f ca="1"/>
        <v>-0.22201476396034558</v>
      </c>
      <c r="X9593" s="2">
        <f ca="1"/>
        <v>95.890989616851115</v>
      </c>
      <c r="AG9593" s="2">
        <f ca="1"/>
        <v>0.34516755849702641</v>
      </c>
      <c r="AH9593" s="2" t="str">
        <f ca="1"/>
        <v>OK</v>
      </c>
    </row>
    <row r="9594" spans="2:34" x14ac:dyDescent="0.2">
      <c r="B9594" s="2">
        <f ca="1"/>
        <v>2.7794002545038277E-2</v>
      </c>
      <c r="O9594" s="2">
        <f ca="1"/>
        <v>0.51447279947238778</v>
      </c>
      <c r="X9594" s="2">
        <f ca="1"/>
        <v>64.869071081946942</v>
      </c>
      <c r="AG9594" s="2">
        <f ca="1"/>
        <v>0.93325263952690829</v>
      </c>
      <c r="AH9594" s="2" t="str">
        <f ca="1"/>
        <v>Bad</v>
      </c>
    </row>
    <row r="9595" spans="2:34" x14ac:dyDescent="0.2">
      <c r="B9595" s="2">
        <f ca="1"/>
        <v>0.17717399694799929</v>
      </c>
      <c r="O9595" s="2">
        <f ca="1"/>
        <v>-0.49371883799400135</v>
      </c>
      <c r="X9595" s="2">
        <f ca="1"/>
        <v>30.170048601119191</v>
      </c>
      <c r="AG9595" s="2">
        <f ca="1"/>
        <v>0.12934809181455509</v>
      </c>
      <c r="AH9595" s="2" t="str">
        <f ca="1"/>
        <v>OK</v>
      </c>
    </row>
    <row r="9596" spans="2:34" x14ac:dyDescent="0.2">
      <c r="B9596" s="2">
        <f ca="1"/>
        <v>0.55288572784541379</v>
      </c>
      <c r="O9596" s="2">
        <f ca="1"/>
        <v>-0.22743725423509928</v>
      </c>
      <c r="X9596" s="2">
        <f ca="1"/>
        <v>46.386192710676184</v>
      </c>
      <c r="AG9596" s="2">
        <f ca="1"/>
        <v>0.73577139541064684</v>
      </c>
      <c r="AH9596" s="2" t="str">
        <f ca="1"/>
        <v>Bad</v>
      </c>
    </row>
    <row r="9597" spans="2:34" x14ac:dyDescent="0.2">
      <c r="B9597" s="2">
        <f ca="1"/>
        <v>0.72098740696592345</v>
      </c>
      <c r="O9597" s="2">
        <f ca="1"/>
        <v>0.13545826983993936</v>
      </c>
      <c r="X9597" s="2">
        <f ca="1"/>
        <v>30.667999848300674</v>
      </c>
      <c r="AG9597" s="2">
        <f ca="1"/>
        <v>9.4186116725589297E-2</v>
      </c>
      <c r="AH9597" s="2" t="str">
        <f ca="1"/>
        <v>OK</v>
      </c>
    </row>
    <row r="9598" spans="2:34" x14ac:dyDescent="0.2">
      <c r="B9598" s="2">
        <f ca="1"/>
        <v>5.5559608555439954E-3</v>
      </c>
      <c r="O9598" s="2">
        <f ca="1"/>
        <v>0.35449290766616409</v>
      </c>
      <c r="X9598" s="2">
        <f ca="1"/>
        <v>42.194554473634838</v>
      </c>
      <c r="AG9598" s="2">
        <f ca="1"/>
        <v>0.7239872312893687</v>
      </c>
      <c r="AH9598" s="2" t="str">
        <f ca="1"/>
        <v>Bad</v>
      </c>
    </row>
    <row r="9599" spans="2:34" x14ac:dyDescent="0.2">
      <c r="B9599" s="2">
        <f ca="1"/>
        <v>0.34394098659911787</v>
      </c>
      <c r="O9599" s="2">
        <f ca="1"/>
        <v>-3.5415232495530191E-2</v>
      </c>
      <c r="X9599" s="2">
        <f ca="1"/>
        <v>54.031445103364604</v>
      </c>
      <c r="AG9599" s="2">
        <f ca="1"/>
        <v>0.92157276425318768</v>
      </c>
      <c r="AH9599" s="2" t="str">
        <f ca="1"/>
        <v>Bad</v>
      </c>
    </row>
    <row r="9600" spans="2:34" x14ac:dyDescent="0.2">
      <c r="B9600" s="2">
        <f ca="1"/>
        <v>0.41742652732249064</v>
      </c>
      <c r="O9600" s="2">
        <f ca="1"/>
        <v>-0.82618959932989999</v>
      </c>
      <c r="X9600" s="2">
        <f ca="1"/>
        <v>32.761952230220771</v>
      </c>
      <c r="AG9600" s="2">
        <f ca="1"/>
        <v>0.5795102166301056</v>
      </c>
      <c r="AH9600" s="2" t="str">
        <f ca="1"/>
        <v>Bad</v>
      </c>
    </row>
    <row r="9601" spans="2:34" x14ac:dyDescent="0.2">
      <c r="B9601" s="2">
        <f ca="1"/>
        <v>0.20542914446476601</v>
      </c>
      <c r="O9601" s="2">
        <f ca="1"/>
        <v>-0.58254516969346415</v>
      </c>
      <c r="X9601" s="2">
        <f ca="1"/>
        <v>41.698951469496862</v>
      </c>
      <c r="AG9601" s="2">
        <f ca="1"/>
        <v>0.42459718409555025</v>
      </c>
      <c r="AH9601" s="2" t="str">
        <f ca="1"/>
        <v>Bad</v>
      </c>
    </row>
    <row r="9602" spans="2:34" x14ac:dyDescent="0.2">
      <c r="B9602" s="2">
        <f ca="1"/>
        <v>0.41788947572126078</v>
      </c>
      <c r="O9602" s="2">
        <f ca="1"/>
        <v>1.5998386203725423</v>
      </c>
      <c r="X9602" s="2">
        <f ca="1"/>
        <v>30.789947853570489</v>
      </c>
      <c r="AG9602" s="2">
        <f ca="1"/>
        <v>0.92205940054640245</v>
      </c>
      <c r="AH9602" s="2" t="str">
        <f ca="1"/>
        <v>Bad</v>
      </c>
    </row>
    <row r="9603" spans="2:34" x14ac:dyDescent="0.2">
      <c r="B9603" s="2">
        <f ca="1"/>
        <v>0.89174330064681118</v>
      </c>
      <c r="O9603" s="2">
        <f ca="1"/>
        <v>-0.27702573063933367</v>
      </c>
      <c r="X9603" s="2">
        <f ca="1"/>
        <v>54.336126400638506</v>
      </c>
      <c r="AG9603" s="2">
        <f ca="1"/>
        <v>0.86021816596751299</v>
      </c>
      <c r="AH9603" s="2" t="str">
        <f ca="1"/>
        <v>Bad</v>
      </c>
    </row>
    <row r="9604" spans="2:34" x14ac:dyDescent="0.2">
      <c r="B9604" s="2">
        <f ca="1"/>
        <v>0.44365928123857135</v>
      </c>
      <c r="O9604" s="2">
        <f ca="1"/>
        <v>0.2146346233633146</v>
      </c>
      <c r="X9604" s="2">
        <f ca="1"/>
        <v>34.099257633106561</v>
      </c>
      <c r="AG9604" s="2">
        <f ca="1"/>
        <v>0.91888218601838267</v>
      </c>
      <c r="AH9604" s="2" t="str">
        <f ca="1"/>
        <v>Bad</v>
      </c>
    </row>
    <row r="9605" spans="2:34" x14ac:dyDescent="0.2">
      <c r="B9605" s="2">
        <f ca="1"/>
        <v>4.1831652785898399E-2</v>
      </c>
      <c r="O9605" s="2">
        <f ca="1"/>
        <v>-1.3619919560697886</v>
      </c>
      <c r="X9605" s="2">
        <f ca="1"/>
        <v>50.015699466351364</v>
      </c>
      <c r="AG9605" s="2">
        <f ca="1"/>
        <v>0.76987797440114814</v>
      </c>
      <c r="AH9605" s="2" t="str">
        <f ca="1"/>
        <v>Bad</v>
      </c>
    </row>
    <row r="9606" spans="2:34" x14ac:dyDescent="0.2">
      <c r="B9606" s="2">
        <f ca="1"/>
        <v>0.83673169069859221</v>
      </c>
      <c r="O9606" s="2">
        <f ca="1"/>
        <v>0.54294685476464311</v>
      </c>
      <c r="X9606" s="2">
        <f ca="1"/>
        <v>39.866141059860311</v>
      </c>
      <c r="AG9606" s="2">
        <f ca="1"/>
        <v>0.36004027661250504</v>
      </c>
      <c r="AH9606" s="2" t="str">
        <f ca="1"/>
        <v>OK</v>
      </c>
    </row>
    <row r="9607" spans="2:34" x14ac:dyDescent="0.2">
      <c r="B9607" s="2">
        <f ca="1"/>
        <v>0.85929082960909575</v>
      </c>
      <c r="O9607" s="2">
        <f ca="1"/>
        <v>8.2189397028969186E-2</v>
      </c>
      <c r="X9607" s="2">
        <f ca="1"/>
        <v>38.157298863735114</v>
      </c>
      <c r="AG9607" s="2">
        <f ca="1"/>
        <v>0.90504507270844425</v>
      </c>
      <c r="AH9607" s="2" t="str">
        <f ca="1"/>
        <v>Bad</v>
      </c>
    </row>
    <row r="9608" spans="2:34" x14ac:dyDescent="0.2">
      <c r="B9608" s="2">
        <f ca="1"/>
        <v>0.6655638036248317</v>
      </c>
      <c r="O9608" s="2">
        <f ca="1"/>
        <v>-1.2163858924362655E-2</v>
      </c>
      <c r="X9608" s="2">
        <f ca="1"/>
        <v>72.938843871415727</v>
      </c>
      <c r="AG9608" s="2">
        <f ca="1"/>
        <v>0.7159312158854394</v>
      </c>
      <c r="AH9608" s="2" t="str">
        <f ca="1"/>
        <v>Bad</v>
      </c>
    </row>
    <row r="9609" spans="2:34" x14ac:dyDescent="0.2">
      <c r="B9609" s="2">
        <f ca="1"/>
        <v>0.56623291497949224</v>
      </c>
      <c r="O9609" s="2">
        <f ca="1"/>
        <v>0.89614900451786017</v>
      </c>
      <c r="X9609" s="2">
        <f ca="1"/>
        <v>30.400818259995308</v>
      </c>
      <c r="AG9609" s="2">
        <f ca="1"/>
        <v>0.76977794220009255</v>
      </c>
      <c r="AH9609" s="2" t="str">
        <f ca="1"/>
        <v>Bad</v>
      </c>
    </row>
    <row r="9610" spans="2:34" x14ac:dyDescent="0.2">
      <c r="B9610" s="2">
        <f ca="1"/>
        <v>0.68218841057164825</v>
      </c>
      <c r="O9610" s="2">
        <f ca="1"/>
        <v>0.78416871500900098</v>
      </c>
      <c r="X9610" s="2">
        <f ca="1"/>
        <v>34.803364362644196</v>
      </c>
      <c r="AG9610" s="2">
        <f ca="1"/>
        <v>4.448528221437642E-2</v>
      </c>
      <c r="AH9610" s="2" t="str">
        <f ca="1"/>
        <v>Good</v>
      </c>
    </row>
    <row r="9611" spans="2:34" x14ac:dyDescent="0.2">
      <c r="B9611" s="2">
        <f ca="1"/>
        <v>6.2026430994396531E-2</v>
      </c>
      <c r="O9611" s="2">
        <f ca="1"/>
        <v>0.57199250994965589</v>
      </c>
      <c r="X9611" s="2">
        <f ca="1"/>
        <v>46.231815123236544</v>
      </c>
      <c r="AG9611" s="2">
        <f ca="1"/>
        <v>0.62392675816436394</v>
      </c>
      <c r="AH9611" s="2" t="str">
        <f ca="1"/>
        <v>Bad</v>
      </c>
    </row>
    <row r="9612" spans="2:34" x14ac:dyDescent="0.2">
      <c r="B9612" s="2">
        <f ca="1"/>
        <v>3.1659542888095027E-2</v>
      </c>
      <c r="O9612" s="2">
        <f ca="1"/>
        <v>0.66528596776893778</v>
      </c>
      <c r="X9612" s="2">
        <f ca="1"/>
        <v>38.160915194503332</v>
      </c>
      <c r="AG9612" s="2">
        <f ca="1"/>
        <v>0.80313935847115592</v>
      </c>
      <c r="AH9612" s="2" t="str">
        <f ca="1"/>
        <v>Bad</v>
      </c>
    </row>
    <row r="9613" spans="2:34" x14ac:dyDescent="0.2">
      <c r="B9613" s="2">
        <f ca="1"/>
        <v>0.65835461066917955</v>
      </c>
      <c r="O9613" s="2">
        <f ca="1"/>
        <v>0.28191491962395282</v>
      </c>
      <c r="X9613" s="2">
        <f ca="1"/>
        <v>45.151242095457825</v>
      </c>
      <c r="AG9613" s="2">
        <f ca="1"/>
        <v>0.49051515946326174</v>
      </c>
      <c r="AH9613" s="2" t="str">
        <f ca="1"/>
        <v>Bad</v>
      </c>
    </row>
    <row r="9614" spans="2:34" x14ac:dyDescent="0.2">
      <c r="B9614" s="2">
        <f ca="1"/>
        <v>0.72542875811398488</v>
      </c>
      <c r="O9614" s="2">
        <f ca="1"/>
        <v>-0.13072626618525082</v>
      </c>
      <c r="X9614" s="2">
        <f ca="1"/>
        <v>61.386671284969964</v>
      </c>
      <c r="AG9614" s="2">
        <f ca="1"/>
        <v>0.63589679677016475</v>
      </c>
      <c r="AH9614" s="2" t="str">
        <f ca="1"/>
        <v>Bad</v>
      </c>
    </row>
    <row r="9615" spans="2:34" x14ac:dyDescent="0.2">
      <c r="B9615" s="2">
        <f ca="1"/>
        <v>0.94820465639753682</v>
      </c>
      <c r="O9615" s="2">
        <f ca="1"/>
        <v>-0.37643372499098177</v>
      </c>
      <c r="X9615" s="2">
        <f ca="1"/>
        <v>33.08139587294604</v>
      </c>
      <c r="AG9615" s="2">
        <f ca="1"/>
        <v>0.30256709952105698</v>
      </c>
      <c r="AH9615" s="2" t="str">
        <f ca="1"/>
        <v>OK</v>
      </c>
    </row>
    <row r="9616" spans="2:34" x14ac:dyDescent="0.2">
      <c r="B9616" s="2">
        <f ca="1"/>
        <v>0.33631526695734726</v>
      </c>
      <c r="O9616" s="2">
        <f ca="1"/>
        <v>-0.72523228802339679</v>
      </c>
      <c r="X9616" s="2">
        <f ca="1"/>
        <v>22.099282034073955</v>
      </c>
      <c r="AG9616" s="2">
        <f ca="1"/>
        <v>8.5698033150453767E-2</v>
      </c>
      <c r="AH9616" s="2" t="str">
        <f ca="1"/>
        <v>OK</v>
      </c>
    </row>
    <row r="9617" spans="2:34" x14ac:dyDescent="0.2">
      <c r="B9617" s="2">
        <f ca="1"/>
        <v>0.15413586969029369</v>
      </c>
      <c r="O9617" s="2">
        <f ca="1"/>
        <v>-0.17662700419973196</v>
      </c>
      <c r="X9617" s="2">
        <f ca="1"/>
        <v>66.294852814331207</v>
      </c>
      <c r="AG9617" s="2">
        <f ca="1"/>
        <v>0.18442793273322877</v>
      </c>
      <c r="AH9617" s="2" t="str">
        <f ca="1"/>
        <v>OK</v>
      </c>
    </row>
    <row r="9618" spans="2:34" x14ac:dyDescent="0.2">
      <c r="B9618" s="2">
        <f ca="1"/>
        <v>0.63022767425519222</v>
      </c>
      <c r="O9618" s="2">
        <f ca="1"/>
        <v>0.14937636328830775</v>
      </c>
      <c r="X9618" s="2">
        <f ca="1"/>
        <v>52.407999478352387</v>
      </c>
      <c r="AG9618" s="2">
        <f ca="1"/>
        <v>0.9901064608912884</v>
      </c>
      <c r="AH9618" s="2" t="str">
        <f ca="1"/>
        <v>Bad</v>
      </c>
    </row>
    <row r="9619" spans="2:34" x14ac:dyDescent="0.2">
      <c r="B9619" s="2">
        <f ca="1"/>
        <v>0.68953203292368692</v>
      </c>
      <c r="O9619" s="2">
        <f ca="1"/>
        <v>0.32299296094008306</v>
      </c>
      <c r="X9619" s="2">
        <f ca="1"/>
        <v>62.305882700712459</v>
      </c>
      <c r="AG9619" s="2">
        <f ca="1"/>
        <v>0.57122342978014617</v>
      </c>
      <c r="AH9619" s="2" t="str">
        <f ca="1"/>
        <v>Bad</v>
      </c>
    </row>
    <row r="9620" spans="2:34" x14ac:dyDescent="0.2">
      <c r="B9620" s="2">
        <f ca="1"/>
        <v>0.87097807501679814</v>
      </c>
      <c r="O9620" s="2">
        <f ca="1"/>
        <v>2.354592955271555</v>
      </c>
      <c r="X9620" s="2">
        <f ca="1"/>
        <v>57.418132628221592</v>
      </c>
      <c r="AG9620" s="2">
        <f ca="1"/>
        <v>0.39896100220659148</v>
      </c>
      <c r="AH9620" s="2" t="str">
        <f ca="1"/>
        <v>OK</v>
      </c>
    </row>
    <row r="9621" spans="2:34" x14ac:dyDescent="0.2">
      <c r="B9621" s="2">
        <f ca="1"/>
        <v>0.43384668153328998</v>
      </c>
      <c r="O9621" s="2">
        <f ca="1"/>
        <v>0.57842447130105357</v>
      </c>
      <c r="X9621" s="2">
        <f ca="1"/>
        <v>122.12662742441465</v>
      </c>
      <c r="AG9621" s="2">
        <f ca="1"/>
        <v>0.77027301706556628</v>
      </c>
      <c r="AH9621" s="2" t="str">
        <f ca="1"/>
        <v>Bad</v>
      </c>
    </row>
    <row r="9622" spans="2:34" x14ac:dyDescent="0.2">
      <c r="B9622" s="2">
        <f ca="1"/>
        <v>0.8370493941317152</v>
      </c>
      <c r="O9622" s="2">
        <f ca="1"/>
        <v>-1.5330367483712879</v>
      </c>
      <c r="X9622" s="2">
        <f ca="1"/>
        <v>75.850812864692315</v>
      </c>
      <c r="AG9622" s="2">
        <f ca="1"/>
        <v>0.85378824585899959</v>
      </c>
      <c r="AH9622" s="2" t="str">
        <f ca="1"/>
        <v>Bad</v>
      </c>
    </row>
    <row r="9623" spans="2:34" x14ac:dyDescent="0.2">
      <c r="B9623" s="2">
        <f ca="1"/>
        <v>1.7458076030341552E-2</v>
      </c>
      <c r="O9623" s="2">
        <f ca="1"/>
        <v>0.59947705982075639</v>
      </c>
      <c r="X9623" s="2">
        <f ca="1"/>
        <v>32.878601462933979</v>
      </c>
      <c r="AG9623" s="2">
        <f ca="1"/>
        <v>0.25244467175102381</v>
      </c>
      <c r="AH9623" s="2" t="str">
        <f ca="1"/>
        <v>OK</v>
      </c>
    </row>
    <row r="9624" spans="2:34" x14ac:dyDescent="0.2">
      <c r="B9624" s="2">
        <f ca="1"/>
        <v>0.47162265513501134</v>
      </c>
      <c r="O9624" s="2">
        <f ca="1"/>
        <v>-0.19279768006569298</v>
      </c>
      <c r="X9624" s="2">
        <f ca="1"/>
        <v>71.275737250762617</v>
      </c>
      <c r="AG9624" s="2">
        <f ca="1"/>
        <v>0.2816359737517995</v>
      </c>
      <c r="AH9624" s="2" t="str">
        <f ca="1"/>
        <v>OK</v>
      </c>
    </row>
    <row r="9625" spans="2:34" x14ac:dyDescent="0.2">
      <c r="B9625" s="2">
        <f ca="1"/>
        <v>0.2136251490966472</v>
      </c>
      <c r="O9625" s="2">
        <f ca="1"/>
        <v>0.59185268226693355</v>
      </c>
      <c r="X9625" s="2">
        <f ca="1"/>
        <v>83.630352664624752</v>
      </c>
      <c r="AG9625" s="2">
        <f ca="1"/>
        <v>0.82481385735354174</v>
      </c>
      <c r="AH9625" s="2" t="str">
        <f ca="1"/>
        <v>Bad</v>
      </c>
    </row>
    <row r="9626" spans="2:34" x14ac:dyDescent="0.2">
      <c r="B9626" s="2">
        <f ca="1"/>
        <v>5.163984232916552E-2</v>
      </c>
      <c r="O9626" s="2">
        <f ca="1"/>
        <v>-1.9655863335194315</v>
      </c>
      <c r="X9626" s="2">
        <f ca="1"/>
        <v>57.387551818300878</v>
      </c>
      <c r="AG9626" s="2">
        <f ca="1"/>
        <v>0.46440731630315613</v>
      </c>
      <c r="AH9626" s="2" t="str">
        <f ca="1"/>
        <v>Bad</v>
      </c>
    </row>
    <row r="9627" spans="2:34" x14ac:dyDescent="0.2">
      <c r="B9627" s="2">
        <f ca="1"/>
        <v>0.1350696877129014</v>
      </c>
      <c r="O9627" s="2">
        <f ca="1"/>
        <v>0.35615135322121477</v>
      </c>
      <c r="X9627" s="2">
        <f ca="1"/>
        <v>43.773574188150462</v>
      </c>
      <c r="AG9627" s="2">
        <f ca="1"/>
        <v>5.8977158253905815E-2</v>
      </c>
      <c r="AH9627" s="2" t="str">
        <f ca="1"/>
        <v>OK</v>
      </c>
    </row>
    <row r="9628" spans="2:34" x14ac:dyDescent="0.2">
      <c r="B9628" s="2">
        <f ca="1"/>
        <v>0.88628224117357024</v>
      </c>
      <c r="O9628" s="2">
        <f ca="1"/>
        <v>-0.12138820973728379</v>
      </c>
      <c r="X9628" s="2">
        <f ca="1"/>
        <v>88.847016781141321</v>
      </c>
      <c r="AG9628" s="2">
        <f ca="1"/>
        <v>0.13496916657632307</v>
      </c>
      <c r="AH9628" s="2" t="str">
        <f ca="1"/>
        <v>OK</v>
      </c>
    </row>
    <row r="9629" spans="2:34" x14ac:dyDescent="0.2">
      <c r="B9629" s="2">
        <f ca="1"/>
        <v>0.76470475441376795</v>
      </c>
      <c r="O9629" s="2">
        <f ca="1"/>
        <v>-0.69964789307533037</v>
      </c>
      <c r="X9629" s="2">
        <f ca="1"/>
        <v>63.25285614715014</v>
      </c>
      <c r="AG9629" s="2">
        <f ca="1"/>
        <v>0.36971330735887764</v>
      </c>
      <c r="AH9629" s="2" t="str">
        <f ca="1"/>
        <v>OK</v>
      </c>
    </row>
    <row r="9630" spans="2:34" x14ac:dyDescent="0.2">
      <c r="B9630" s="2">
        <f ca="1"/>
        <v>0.55522060598049827</v>
      </c>
      <c r="O9630" s="2">
        <f ca="1"/>
        <v>-1.5416290200204246</v>
      </c>
      <c r="X9630" s="2">
        <f ca="1"/>
        <v>26.994276702396157</v>
      </c>
      <c r="AG9630" s="2">
        <f ca="1"/>
        <v>0.54190538997447857</v>
      </c>
      <c r="AH9630" s="2" t="str">
        <f ca="1"/>
        <v>Bad</v>
      </c>
    </row>
    <row r="9631" spans="2:34" x14ac:dyDescent="0.2">
      <c r="B9631" s="2">
        <f ca="1"/>
        <v>0.12898827741919483</v>
      </c>
      <c r="O9631" s="2">
        <f ca="1"/>
        <v>-0.29171585252998078</v>
      </c>
      <c r="X9631" s="2">
        <f ca="1"/>
        <v>40.957110975815418</v>
      </c>
      <c r="AG9631" s="2">
        <f ca="1"/>
        <v>0.19272781871048816</v>
      </c>
      <c r="AH9631" s="2" t="str">
        <f ca="1"/>
        <v>OK</v>
      </c>
    </row>
    <row r="9632" spans="2:34" x14ac:dyDescent="0.2">
      <c r="B9632" s="2">
        <f ca="1"/>
        <v>1.8066201592359832E-2</v>
      </c>
      <c r="O9632" s="2">
        <f ca="1"/>
        <v>1.7335561540752933</v>
      </c>
      <c r="X9632" s="2">
        <f ca="1"/>
        <v>39.298588401776996</v>
      </c>
      <c r="AG9632" s="2">
        <f ca="1"/>
        <v>0.44206188206894326</v>
      </c>
      <c r="AH9632" s="2" t="str">
        <f ca="1"/>
        <v>Bad</v>
      </c>
    </row>
    <row r="9633" spans="2:34" x14ac:dyDescent="0.2">
      <c r="B9633" s="2">
        <f ca="1"/>
        <v>0.24473433582680526</v>
      </c>
      <c r="O9633" s="2">
        <f ca="1"/>
        <v>0.7652116100228431</v>
      </c>
      <c r="X9633" s="2">
        <f ca="1"/>
        <v>64.020384332320788</v>
      </c>
      <c r="AG9633" s="2">
        <f ca="1"/>
        <v>0.58527552214278367</v>
      </c>
      <c r="AH9633" s="2" t="str">
        <f ca="1"/>
        <v>Bad</v>
      </c>
    </row>
    <row r="9634" spans="2:34" x14ac:dyDescent="0.2">
      <c r="B9634" s="2">
        <f ca="1"/>
        <v>0.54959969578064372</v>
      </c>
      <c r="O9634" s="2">
        <f ca="1"/>
        <v>2.6417086970770045</v>
      </c>
      <c r="X9634" s="2">
        <f ca="1"/>
        <v>76.61162171021256</v>
      </c>
      <c r="AG9634" s="2">
        <f ca="1"/>
        <v>8.5981817285023521E-2</v>
      </c>
      <c r="AH9634" s="2" t="str">
        <f ca="1"/>
        <v>OK</v>
      </c>
    </row>
    <row r="9635" spans="2:34" x14ac:dyDescent="0.2">
      <c r="B9635" s="2">
        <f ca="1"/>
        <v>0.93477633937587523</v>
      </c>
      <c r="O9635" s="2">
        <f ca="1"/>
        <v>-1.0091039582988333</v>
      </c>
      <c r="X9635" s="2">
        <f ca="1"/>
        <v>64.742120842181379</v>
      </c>
      <c r="AG9635" s="2">
        <f ca="1"/>
        <v>0.42798281202164912</v>
      </c>
      <c r="AH9635" s="2" t="str">
        <f ca="1"/>
        <v>Bad</v>
      </c>
    </row>
    <row r="9636" spans="2:34" x14ac:dyDescent="0.2">
      <c r="B9636" s="2">
        <f ca="1"/>
        <v>0.64374130550642916</v>
      </c>
      <c r="O9636" s="2">
        <f ca="1"/>
        <v>0.10877255806203154</v>
      </c>
      <c r="X9636" s="2">
        <f ca="1"/>
        <v>55.972144546703184</v>
      </c>
      <c r="AG9636" s="2">
        <f ca="1"/>
        <v>8.1792399715594044E-2</v>
      </c>
      <c r="AH9636" s="2" t="str">
        <f ca="1"/>
        <v>OK</v>
      </c>
    </row>
    <row r="9637" spans="2:34" x14ac:dyDescent="0.2">
      <c r="B9637" s="2">
        <f ca="1"/>
        <v>0.45736329879904569</v>
      </c>
      <c r="O9637" s="2">
        <f ca="1"/>
        <v>-0.95934080994538229</v>
      </c>
      <c r="X9637" s="2">
        <f ca="1"/>
        <v>45.112426924710547</v>
      </c>
      <c r="AG9637" s="2">
        <f ca="1"/>
        <v>5.6942828191257622E-3</v>
      </c>
      <c r="AH9637" s="2" t="str">
        <f ca="1"/>
        <v>Good</v>
      </c>
    </row>
    <row r="9638" spans="2:34" x14ac:dyDescent="0.2">
      <c r="B9638" s="2">
        <f ca="1"/>
        <v>0.7618909269601839</v>
      </c>
      <c r="O9638" s="2">
        <f ca="1"/>
        <v>2.091991547727567</v>
      </c>
      <c r="X9638" s="2">
        <f ca="1"/>
        <v>73.955377360761389</v>
      </c>
      <c r="AG9638" s="2">
        <f ca="1"/>
        <v>2.7442398907658205E-2</v>
      </c>
      <c r="AH9638" s="2" t="str">
        <f ca="1"/>
        <v>Good</v>
      </c>
    </row>
    <row r="9639" spans="2:34" x14ac:dyDescent="0.2">
      <c r="B9639" s="2">
        <f ca="1"/>
        <v>0.98777176375718478</v>
      </c>
      <c r="O9639" s="2">
        <f ca="1"/>
        <v>-0.533643789884227</v>
      </c>
      <c r="X9639" s="2">
        <f ca="1"/>
        <v>46.513689814756312</v>
      </c>
      <c r="AG9639" s="2">
        <f ca="1"/>
        <v>0.48959953096230846</v>
      </c>
      <c r="AH9639" s="2" t="str">
        <f ca="1"/>
        <v>Bad</v>
      </c>
    </row>
    <row r="9640" spans="2:34" x14ac:dyDescent="0.2">
      <c r="B9640" s="2">
        <f ca="1"/>
        <v>0.12928507130410516</v>
      </c>
      <c r="O9640" s="2">
        <f ca="1"/>
        <v>1.6387849720809688</v>
      </c>
      <c r="X9640" s="2">
        <f ca="1"/>
        <v>70.396181861037306</v>
      </c>
      <c r="AG9640" s="2">
        <f ca="1"/>
        <v>7.6188639933391311E-2</v>
      </c>
      <c r="AH9640" s="2" t="str">
        <f ca="1"/>
        <v>OK</v>
      </c>
    </row>
    <row r="9641" spans="2:34" x14ac:dyDescent="0.2">
      <c r="B9641" s="2">
        <f ca="1"/>
        <v>0.27551687392676416</v>
      </c>
      <c r="O9641" s="2">
        <f ca="1"/>
        <v>-2.377311151210908</v>
      </c>
      <c r="X9641" s="2">
        <f ca="1"/>
        <v>51.183309703294277</v>
      </c>
      <c r="AG9641" s="2">
        <f ca="1"/>
        <v>0.97849421202250042</v>
      </c>
      <c r="AH9641" s="2" t="str">
        <f ca="1"/>
        <v>Bad</v>
      </c>
    </row>
    <row r="9642" spans="2:34" x14ac:dyDescent="0.2">
      <c r="B9642" s="2">
        <f ca="1"/>
        <v>0.83275939351850958</v>
      </c>
      <c r="O9642" s="2">
        <f ca="1"/>
        <v>0.95881267804256542</v>
      </c>
      <c r="X9642" s="2">
        <f ca="1"/>
        <v>40.315797831304266</v>
      </c>
      <c r="AG9642" s="2">
        <f ca="1"/>
        <v>0.11549599787130416</v>
      </c>
      <c r="AH9642" s="2" t="str">
        <f ca="1"/>
        <v>OK</v>
      </c>
    </row>
    <row r="9643" spans="2:34" x14ac:dyDescent="0.2">
      <c r="B9643" s="2">
        <f ca="1"/>
        <v>0.64357284946927762</v>
      </c>
      <c r="O9643" s="2">
        <f ca="1"/>
        <v>0.63317472977521561</v>
      </c>
      <c r="X9643" s="2">
        <f ca="1"/>
        <v>67.592032599935308</v>
      </c>
      <c r="AG9643" s="2">
        <f ca="1"/>
        <v>0.65071699515905057</v>
      </c>
      <c r="AH9643" s="2" t="str">
        <f ca="1"/>
        <v>Bad</v>
      </c>
    </row>
    <row r="9644" spans="2:34" x14ac:dyDescent="0.2">
      <c r="B9644" s="2">
        <f ca="1"/>
        <v>2.1573800957105815E-2</v>
      </c>
      <c r="O9644" s="2">
        <f ca="1"/>
        <v>-1.8390806043108578</v>
      </c>
      <c r="X9644" s="2">
        <f ca="1"/>
        <v>65.395590954544588</v>
      </c>
      <c r="AG9644" s="2">
        <f ca="1"/>
        <v>3.9635698268805752E-2</v>
      </c>
      <c r="AH9644" s="2" t="str">
        <f ca="1"/>
        <v>Good</v>
      </c>
    </row>
    <row r="9645" spans="2:34" x14ac:dyDescent="0.2">
      <c r="B9645" s="2">
        <f ca="1"/>
        <v>0.6193053480510109</v>
      </c>
      <c r="O9645" s="2">
        <f ca="1"/>
        <v>1.9708613748453645</v>
      </c>
      <c r="X9645" s="2">
        <f ca="1"/>
        <v>55.424200892991038</v>
      </c>
      <c r="AG9645" s="2">
        <f ca="1"/>
        <v>0.52777046663746119</v>
      </c>
      <c r="AH9645" s="2" t="str">
        <f ca="1"/>
        <v>Bad</v>
      </c>
    </row>
    <row r="9646" spans="2:34" x14ac:dyDescent="0.2">
      <c r="B9646" s="2">
        <f ca="1"/>
        <v>5.2745137401063236E-2</v>
      </c>
      <c r="O9646" s="2">
        <f ca="1"/>
        <v>-0.27580752141405079</v>
      </c>
      <c r="X9646" s="2">
        <f ca="1"/>
        <v>76.531361161569208</v>
      </c>
      <c r="AG9646" s="2">
        <f ca="1"/>
        <v>0.32822927714243488</v>
      </c>
      <c r="AH9646" s="2" t="str">
        <f ca="1"/>
        <v>OK</v>
      </c>
    </row>
    <row r="9647" spans="2:34" x14ac:dyDescent="0.2">
      <c r="B9647" s="2">
        <f ca="1"/>
        <v>0.92538894950340866</v>
      </c>
      <c r="O9647" s="2">
        <f ca="1"/>
        <v>-0.62083160553528793</v>
      </c>
      <c r="X9647" s="2">
        <f ca="1"/>
        <v>28.027465508891154</v>
      </c>
      <c r="AG9647" s="2">
        <f ca="1"/>
        <v>0.8624104455506465</v>
      </c>
      <c r="AH9647" s="2" t="str">
        <f ca="1"/>
        <v>Bad</v>
      </c>
    </row>
    <row r="9648" spans="2:34" x14ac:dyDescent="0.2">
      <c r="B9648" s="2">
        <f ca="1"/>
        <v>0.96904028567155964</v>
      </c>
      <c r="O9648" s="2">
        <f ca="1"/>
        <v>-0.96774052532306543</v>
      </c>
      <c r="X9648" s="2">
        <f ca="1"/>
        <v>52.760697792408983</v>
      </c>
      <c r="AG9648" s="2">
        <f ca="1"/>
        <v>0.57307376084307027</v>
      </c>
      <c r="AH9648" s="2" t="str">
        <f ca="1"/>
        <v>Bad</v>
      </c>
    </row>
    <row r="9649" spans="2:34" x14ac:dyDescent="0.2">
      <c r="B9649" s="2">
        <f ca="1"/>
        <v>0.94317729199176625</v>
      </c>
      <c r="O9649" s="2">
        <f ca="1"/>
        <v>-0.19719146962232617</v>
      </c>
      <c r="X9649" s="2">
        <f ca="1"/>
        <v>79.811055312368396</v>
      </c>
      <c r="AG9649" s="2">
        <f ca="1"/>
        <v>0.62016802145523786</v>
      </c>
      <c r="AH9649" s="2" t="str">
        <f ca="1"/>
        <v>Bad</v>
      </c>
    </row>
    <row r="9650" spans="2:34" x14ac:dyDescent="0.2">
      <c r="B9650" s="2">
        <f ca="1"/>
        <v>0.57572469007195237</v>
      </c>
      <c r="O9650" s="2">
        <f ca="1"/>
        <v>0.2132932969078081</v>
      </c>
      <c r="X9650" s="2">
        <f ca="1"/>
        <v>57.831067370338722</v>
      </c>
      <c r="AG9650" s="2">
        <f ca="1"/>
        <v>0.16700279559635156</v>
      </c>
      <c r="AH9650" s="2" t="str">
        <f ca="1"/>
        <v>OK</v>
      </c>
    </row>
    <row r="9651" spans="2:34" x14ac:dyDescent="0.2">
      <c r="B9651" s="2">
        <f ca="1"/>
        <v>0.3189333398373968</v>
      </c>
      <c r="O9651" s="2">
        <f ca="1"/>
        <v>9.42893850085828E-4</v>
      </c>
      <c r="X9651" s="2">
        <f ca="1"/>
        <v>48.777497548900747</v>
      </c>
      <c r="AG9651" s="2">
        <f ca="1"/>
        <v>0.93205751163769901</v>
      </c>
      <c r="AH9651" s="2" t="str">
        <f ca="1"/>
        <v>Bad</v>
      </c>
    </row>
    <row r="9652" spans="2:34" x14ac:dyDescent="0.2">
      <c r="B9652" s="2">
        <f ca="1"/>
        <v>0.66044987638770558</v>
      </c>
      <c r="O9652" s="2">
        <f ca="1"/>
        <v>1.5189664284607254</v>
      </c>
      <c r="X9652" s="2">
        <f ca="1"/>
        <v>45.87181884790968</v>
      </c>
      <c r="AG9652" s="2">
        <f ca="1"/>
        <v>0.883145564424757</v>
      </c>
      <c r="AH9652" s="2" t="str">
        <f ca="1"/>
        <v>Bad</v>
      </c>
    </row>
    <row r="9653" spans="2:34" x14ac:dyDescent="0.2">
      <c r="B9653" s="2">
        <f ca="1"/>
        <v>0.47415676215893021</v>
      </c>
      <c r="O9653" s="2">
        <f ca="1"/>
        <v>0.72974890713598761</v>
      </c>
      <c r="X9653" s="2">
        <f ca="1"/>
        <v>37.346429771680178</v>
      </c>
      <c r="AG9653" s="2">
        <f ca="1"/>
        <v>0.50456124276892234</v>
      </c>
      <c r="AH9653" s="2" t="str">
        <f ca="1"/>
        <v>Bad</v>
      </c>
    </row>
    <row r="9654" spans="2:34" x14ac:dyDescent="0.2">
      <c r="B9654" s="2">
        <f ca="1"/>
        <v>0.50921257809487863</v>
      </c>
      <c r="O9654" s="2">
        <f ca="1"/>
        <v>-0.38802749755378191</v>
      </c>
      <c r="X9654" s="2">
        <f ca="1"/>
        <v>77.460947059459556</v>
      </c>
      <c r="AG9654" s="2">
        <f ca="1"/>
        <v>0.8122623006501406</v>
      </c>
      <c r="AH9654" s="2" t="str">
        <f ca="1"/>
        <v>Bad</v>
      </c>
    </row>
    <row r="9655" spans="2:34" x14ac:dyDescent="0.2">
      <c r="B9655" s="2">
        <f ca="1"/>
        <v>0.60900745194720596</v>
      </c>
      <c r="O9655" s="2">
        <f ca="1"/>
        <v>0.66319378568049503</v>
      </c>
      <c r="X9655" s="2">
        <f ca="1"/>
        <v>37.095849348821297</v>
      </c>
      <c r="AG9655" s="2">
        <f ca="1"/>
        <v>0.53475818667208563</v>
      </c>
      <c r="AH9655" s="2" t="str">
        <f ca="1"/>
        <v>Bad</v>
      </c>
    </row>
    <row r="9656" spans="2:34" x14ac:dyDescent="0.2">
      <c r="B9656" s="2">
        <f ca="1"/>
        <v>0.17717285749495981</v>
      </c>
      <c r="O9656" s="2">
        <f ca="1"/>
        <v>-0.80199192623319682</v>
      </c>
      <c r="X9656" s="2">
        <f ca="1"/>
        <v>27.311344494978314</v>
      </c>
      <c r="AG9656" s="2">
        <f ca="1"/>
        <v>0.92605009216856815</v>
      </c>
      <c r="AH9656" s="2" t="str">
        <f ca="1"/>
        <v>Bad</v>
      </c>
    </row>
    <row r="9657" spans="2:34" x14ac:dyDescent="0.2">
      <c r="B9657" s="2">
        <f ca="1"/>
        <v>0.74958017207345762</v>
      </c>
      <c r="O9657" s="2">
        <f ca="1"/>
        <v>0.18859219997363694</v>
      </c>
      <c r="X9657" s="2">
        <f ca="1"/>
        <v>64.444906210595136</v>
      </c>
      <c r="AG9657" s="2">
        <f ca="1"/>
        <v>0.39301662987795538</v>
      </c>
      <c r="AH9657" s="2" t="str">
        <f ca="1"/>
        <v>OK</v>
      </c>
    </row>
    <row r="9658" spans="2:34" x14ac:dyDescent="0.2">
      <c r="B9658" s="2">
        <f ca="1"/>
        <v>0.33298480937579766</v>
      </c>
      <c r="O9658" s="2">
        <f ca="1"/>
        <v>-0.16026111175077298</v>
      </c>
      <c r="X9658" s="2">
        <f ca="1"/>
        <v>36.179493865075685</v>
      </c>
      <c r="AG9658" s="2">
        <f ca="1"/>
        <v>0.76016450681447689</v>
      </c>
      <c r="AH9658" s="2" t="str">
        <f ca="1"/>
        <v>Bad</v>
      </c>
    </row>
    <row r="9659" spans="2:34" x14ac:dyDescent="0.2">
      <c r="B9659" s="2">
        <f ca="1"/>
        <v>0.52043751511606762</v>
      </c>
      <c r="O9659" s="2">
        <f ca="1"/>
        <v>-0.86275280745385974</v>
      </c>
      <c r="X9659" s="2">
        <f ca="1"/>
        <v>47.19664390658123</v>
      </c>
      <c r="AG9659" s="2">
        <f ca="1"/>
        <v>0.41017033236014755</v>
      </c>
      <c r="AH9659" s="2" t="str">
        <f ca="1"/>
        <v>Bad</v>
      </c>
    </row>
    <row r="9660" spans="2:34" x14ac:dyDescent="0.2">
      <c r="B9660" s="2">
        <f ca="1"/>
        <v>0.15071911005211303</v>
      </c>
      <c r="O9660" s="2">
        <f ca="1"/>
        <v>-0.54726363824269642</v>
      </c>
      <c r="X9660" s="2">
        <f ca="1"/>
        <v>50.707800705366225</v>
      </c>
      <c r="AG9660" s="2">
        <f ca="1"/>
        <v>0.68398400761023326</v>
      </c>
      <c r="AH9660" s="2" t="str">
        <f ca="1"/>
        <v>Bad</v>
      </c>
    </row>
    <row r="9661" spans="2:34" x14ac:dyDescent="0.2">
      <c r="B9661" s="2">
        <f ca="1"/>
        <v>0.71467857846091976</v>
      </c>
      <c r="O9661" s="2">
        <f ca="1"/>
        <v>-1.6013310541820398</v>
      </c>
      <c r="X9661" s="2">
        <f ca="1"/>
        <v>26.577205604158284</v>
      </c>
      <c r="AG9661" s="2">
        <f ca="1"/>
        <v>8.8602741465165114E-2</v>
      </c>
      <c r="AH9661" s="2" t="str">
        <f ca="1"/>
        <v>OK</v>
      </c>
    </row>
    <row r="9662" spans="2:34" x14ac:dyDescent="0.2">
      <c r="B9662" s="2">
        <f ca="1"/>
        <v>0.14040780627614158</v>
      </c>
      <c r="O9662" s="2">
        <f ca="1"/>
        <v>1.0246424942531214</v>
      </c>
      <c r="X9662" s="2">
        <f ca="1"/>
        <v>50.807759400739968</v>
      </c>
      <c r="AG9662" s="2">
        <f ca="1"/>
        <v>0.4547239330126438</v>
      </c>
      <c r="AH9662" s="2" t="str">
        <f ca="1"/>
        <v>Bad</v>
      </c>
    </row>
    <row r="9663" spans="2:34" x14ac:dyDescent="0.2">
      <c r="B9663" s="2">
        <f ca="1"/>
        <v>0.82260216051344526</v>
      </c>
      <c r="O9663" s="2">
        <f ca="1"/>
        <v>1.6994149855990308</v>
      </c>
      <c r="X9663" s="2">
        <f ca="1"/>
        <v>50.53896014087897</v>
      </c>
      <c r="AG9663" s="2">
        <f ca="1"/>
        <v>0.14802864607693311</v>
      </c>
      <c r="AH9663" s="2" t="str">
        <f ca="1"/>
        <v>OK</v>
      </c>
    </row>
    <row r="9664" spans="2:34" x14ac:dyDescent="0.2">
      <c r="B9664" s="2">
        <f ca="1"/>
        <v>0.95531211905096858</v>
      </c>
      <c r="O9664" s="2">
        <f ca="1"/>
        <v>-0.40744575402582489</v>
      </c>
      <c r="X9664" s="2">
        <f ca="1"/>
        <v>34.41471679386116</v>
      </c>
      <c r="AG9664" s="2">
        <f ca="1"/>
        <v>0.41107339992425884</v>
      </c>
      <c r="AH9664" s="2" t="str">
        <f ca="1"/>
        <v>Bad</v>
      </c>
    </row>
    <row r="9665" spans="2:34" x14ac:dyDescent="0.2">
      <c r="B9665" s="2">
        <f ca="1"/>
        <v>0.93236082363003669</v>
      </c>
      <c r="O9665" s="2">
        <f ca="1"/>
        <v>-6.1910688092285268E-2</v>
      </c>
      <c r="X9665" s="2">
        <f ca="1"/>
        <v>81.814214185332276</v>
      </c>
      <c r="AG9665" s="2">
        <f ca="1"/>
        <v>0.2749780903907717</v>
      </c>
      <c r="AH9665" s="2" t="str">
        <f ca="1"/>
        <v>OK</v>
      </c>
    </row>
    <row r="9666" spans="2:34" x14ac:dyDescent="0.2">
      <c r="B9666" s="2">
        <f ca="1"/>
        <v>4.2193465531394692E-2</v>
      </c>
      <c r="O9666" s="2">
        <f ca="1"/>
        <v>1.6835129606222796</v>
      </c>
      <c r="X9666" s="2">
        <f ca="1"/>
        <v>25.469569879951823</v>
      </c>
      <c r="AG9666" s="2">
        <f ca="1"/>
        <v>0.55670773266459417</v>
      </c>
      <c r="AH9666" s="2" t="str">
        <f ca="1"/>
        <v>Bad</v>
      </c>
    </row>
    <row r="9667" spans="2:34" x14ac:dyDescent="0.2">
      <c r="B9667" s="2">
        <f ca="1"/>
        <v>0.26572959917012251</v>
      </c>
      <c r="O9667" s="2">
        <f ca="1"/>
        <v>-1.2685951154004984</v>
      </c>
      <c r="X9667" s="2">
        <f ca="1"/>
        <v>88.048902276763187</v>
      </c>
      <c r="AG9667" s="2">
        <f ca="1"/>
        <v>0.13396587970985063</v>
      </c>
      <c r="AH9667" s="2" t="str">
        <f ca="1"/>
        <v>OK</v>
      </c>
    </row>
    <row r="9668" spans="2:34" x14ac:dyDescent="0.2">
      <c r="B9668" s="2">
        <f ca="1"/>
        <v>0.9988134577413752</v>
      </c>
      <c r="O9668" s="2">
        <f ca="1"/>
        <v>-1.9691618381512561</v>
      </c>
      <c r="X9668" s="2">
        <f ca="1"/>
        <v>50.972363691737016</v>
      </c>
      <c r="AG9668" s="2">
        <f ca="1"/>
        <v>0.31830626354636959</v>
      </c>
      <c r="AH9668" s="2" t="str">
        <f ca="1"/>
        <v>OK</v>
      </c>
    </row>
    <row r="9669" spans="2:34" x14ac:dyDescent="0.2">
      <c r="B9669" s="2">
        <f ca="1"/>
        <v>7.936852749974066E-2</v>
      </c>
      <c r="O9669" s="2">
        <f ca="1"/>
        <v>-0.46520356142853758</v>
      </c>
      <c r="X9669" s="2">
        <f ca="1"/>
        <v>54.05466184615171</v>
      </c>
      <c r="AG9669" s="2">
        <f ca="1"/>
        <v>0.72956331508181282</v>
      </c>
      <c r="AH9669" s="2" t="str">
        <f ca="1"/>
        <v>Bad</v>
      </c>
    </row>
    <row r="9670" spans="2:34" x14ac:dyDescent="0.2">
      <c r="B9670" s="2">
        <f ca="1"/>
        <v>0.45807375191399435</v>
      </c>
      <c r="O9670" s="2">
        <f ca="1"/>
        <v>-0.8548467153746836</v>
      </c>
      <c r="X9670" s="2">
        <f ca="1"/>
        <v>46.209749656182282</v>
      </c>
      <c r="AG9670" s="2">
        <f ca="1"/>
        <v>0.56420250851629605</v>
      </c>
      <c r="AH9670" s="2" t="str">
        <f ca="1"/>
        <v>Bad</v>
      </c>
    </row>
    <row r="9671" spans="2:34" x14ac:dyDescent="0.2">
      <c r="B9671" s="2">
        <f ca="1"/>
        <v>0.80561044704404927</v>
      </c>
      <c r="O9671" s="2">
        <f ca="1"/>
        <v>1.1672689254411364</v>
      </c>
      <c r="X9671" s="2">
        <f ca="1"/>
        <v>65.59294351488245</v>
      </c>
      <c r="AG9671" s="2">
        <f ca="1"/>
        <v>5.4100152422380088E-2</v>
      </c>
      <c r="AH9671" s="2" t="str">
        <f ca="1"/>
        <v>OK</v>
      </c>
    </row>
    <row r="9672" spans="2:34" x14ac:dyDescent="0.2">
      <c r="B9672" s="2">
        <f ca="1"/>
        <v>0.50218791640893512</v>
      </c>
      <c r="O9672" s="2">
        <f ca="1"/>
        <v>-0.95842460207914248</v>
      </c>
      <c r="X9672" s="2">
        <f ca="1"/>
        <v>28.380232633477291</v>
      </c>
      <c r="AG9672" s="2">
        <f ca="1"/>
        <v>0.97398367449415457</v>
      </c>
      <c r="AH9672" s="2" t="str">
        <f ca="1"/>
        <v>Bad</v>
      </c>
    </row>
    <row r="9673" spans="2:34" x14ac:dyDescent="0.2">
      <c r="B9673" s="2">
        <f ca="1"/>
        <v>0.57021865158089691</v>
      </c>
      <c r="O9673" s="2">
        <f ca="1"/>
        <v>-1.5322428922033569</v>
      </c>
      <c r="X9673" s="2">
        <f ca="1"/>
        <v>43.044823392806713</v>
      </c>
      <c r="AG9673" s="2">
        <f ca="1"/>
        <v>0.91103204919966996</v>
      </c>
      <c r="AH9673" s="2" t="str">
        <f ca="1"/>
        <v>Bad</v>
      </c>
    </row>
    <row r="9674" spans="2:34" x14ac:dyDescent="0.2">
      <c r="B9674" s="2">
        <f ca="1"/>
        <v>0.98393599415083544</v>
      </c>
      <c r="O9674" s="2">
        <f ca="1"/>
        <v>-0.91924913493714999</v>
      </c>
      <c r="X9674" s="2">
        <f ca="1"/>
        <v>39.875461877352457</v>
      </c>
      <c r="AG9674" s="2">
        <f ca="1"/>
        <v>0.325814734531781</v>
      </c>
      <c r="AH9674" s="2" t="str">
        <f ca="1"/>
        <v>OK</v>
      </c>
    </row>
    <row r="9675" spans="2:34" x14ac:dyDescent="0.2">
      <c r="B9675" s="2">
        <f ca="1"/>
        <v>0.98197303797321567</v>
      </c>
      <c r="O9675" s="2">
        <f ca="1"/>
        <v>1.8211664883733718</v>
      </c>
      <c r="X9675" s="2">
        <f ca="1"/>
        <v>49.387177724342479</v>
      </c>
      <c r="AG9675" s="2">
        <f ca="1"/>
        <v>0.24558312056456288</v>
      </c>
      <c r="AH9675" s="2" t="str">
        <f ca="1"/>
        <v>OK</v>
      </c>
    </row>
    <row r="9676" spans="2:34" x14ac:dyDescent="0.2">
      <c r="B9676" s="2">
        <f ca="1"/>
        <v>9.3901040654806867E-2</v>
      </c>
      <c r="O9676" s="2">
        <f ca="1"/>
        <v>-0.97738875256347002</v>
      </c>
      <c r="X9676" s="2">
        <f ca="1"/>
        <v>37.03777178080739</v>
      </c>
      <c r="AG9676" s="2">
        <f ca="1"/>
        <v>0.91733420456262715</v>
      </c>
      <c r="AH9676" s="2" t="str">
        <f ca="1"/>
        <v>Bad</v>
      </c>
    </row>
    <row r="9677" spans="2:34" x14ac:dyDescent="0.2">
      <c r="B9677" s="2">
        <f ca="1"/>
        <v>0.83842164226161686</v>
      </c>
      <c r="O9677" s="2">
        <f ca="1"/>
        <v>-0.7053802296358187</v>
      </c>
      <c r="X9677" s="2">
        <f ca="1"/>
        <v>37.992145452109646</v>
      </c>
      <c r="AG9677" s="2">
        <f ca="1"/>
        <v>0.88452050962865725</v>
      </c>
      <c r="AH9677" s="2" t="str">
        <f ca="1"/>
        <v>Bad</v>
      </c>
    </row>
    <row r="9678" spans="2:34" x14ac:dyDescent="0.2">
      <c r="B9678" s="2">
        <f ca="1"/>
        <v>0.72394317676214004</v>
      </c>
      <c r="O9678" s="2">
        <f ca="1"/>
        <v>-0.91101049671570411</v>
      </c>
      <c r="X9678" s="2">
        <f ca="1"/>
        <v>57.684365489425446</v>
      </c>
      <c r="AG9678" s="2">
        <f ca="1"/>
        <v>0.31224678245067583</v>
      </c>
      <c r="AH9678" s="2" t="str">
        <f ca="1"/>
        <v>OK</v>
      </c>
    </row>
    <row r="9679" spans="2:34" x14ac:dyDescent="0.2">
      <c r="B9679" s="2">
        <f ca="1"/>
        <v>0.78240625635393823</v>
      </c>
      <c r="O9679" s="2">
        <f ca="1"/>
        <v>-2.9489622842643545E-2</v>
      </c>
      <c r="X9679" s="2">
        <f ca="1"/>
        <v>30.938521513604428</v>
      </c>
      <c r="AG9679" s="2">
        <f ca="1"/>
        <v>0.10746705735597861</v>
      </c>
      <c r="AH9679" s="2" t="str">
        <f ca="1"/>
        <v>OK</v>
      </c>
    </row>
    <row r="9680" spans="2:34" x14ac:dyDescent="0.2">
      <c r="B9680" s="2">
        <f ca="1"/>
        <v>0.83863077850382073</v>
      </c>
      <c r="O9680" s="2">
        <f ca="1"/>
        <v>-0.42758889590597976</v>
      </c>
      <c r="X9680" s="2">
        <f ca="1"/>
        <v>66.181021284250377</v>
      </c>
      <c r="AG9680" s="2">
        <f ca="1"/>
        <v>0.84805319559684844</v>
      </c>
      <c r="AH9680" s="2" t="str">
        <f ca="1"/>
        <v>Bad</v>
      </c>
    </row>
    <row r="9681" spans="2:34" x14ac:dyDescent="0.2">
      <c r="B9681" s="2">
        <f ca="1"/>
        <v>0.19148204630424615</v>
      </c>
      <c r="O9681" s="2">
        <f ca="1"/>
        <v>-0.20175625711899295</v>
      </c>
      <c r="X9681" s="2">
        <f ca="1"/>
        <v>46.601675376153253</v>
      </c>
      <c r="AG9681" s="2">
        <f ca="1"/>
        <v>0.13798466749528471</v>
      </c>
      <c r="AH9681" s="2" t="str">
        <f ca="1"/>
        <v>OK</v>
      </c>
    </row>
    <row r="9682" spans="2:34" x14ac:dyDescent="0.2">
      <c r="B9682" s="2">
        <f ca="1"/>
        <v>0.28056868730915885</v>
      </c>
      <c r="O9682" s="2">
        <f ca="1"/>
        <v>1.2436005227456097</v>
      </c>
      <c r="X9682" s="2">
        <f ca="1"/>
        <v>76.70294401254408</v>
      </c>
      <c r="AG9682" s="2">
        <f ca="1"/>
        <v>0.36939351760151506</v>
      </c>
      <c r="AH9682" s="2" t="str">
        <f ca="1"/>
        <v>OK</v>
      </c>
    </row>
    <row r="9683" spans="2:34" x14ac:dyDescent="0.2">
      <c r="B9683" s="2">
        <f ca="1"/>
        <v>0.40132209040460398</v>
      </c>
      <c r="O9683" s="2">
        <f ca="1"/>
        <v>-0.27734584260742084</v>
      </c>
      <c r="X9683" s="2">
        <f ca="1"/>
        <v>51.223778430012182</v>
      </c>
      <c r="AG9683" s="2">
        <f ca="1"/>
        <v>0.51172859782978075</v>
      </c>
      <c r="AH9683" s="2" t="str">
        <f ca="1"/>
        <v>Bad</v>
      </c>
    </row>
    <row r="9684" spans="2:34" x14ac:dyDescent="0.2">
      <c r="B9684" s="2">
        <f ca="1"/>
        <v>0.73414439926500874</v>
      </c>
      <c r="O9684" s="2">
        <f ca="1"/>
        <v>2.2620953661948895E-3</v>
      </c>
      <c r="X9684" s="2">
        <f ca="1"/>
        <v>48.253948257299143</v>
      </c>
      <c r="AG9684" s="2">
        <f ca="1"/>
        <v>6.3961956453778557E-2</v>
      </c>
      <c r="AH9684" s="2" t="str">
        <f ca="1"/>
        <v>OK</v>
      </c>
    </row>
    <row r="9685" spans="2:34" x14ac:dyDescent="0.2">
      <c r="B9685" s="2">
        <f ca="1"/>
        <v>5.4812104123988625E-2</v>
      </c>
      <c r="O9685" s="2">
        <f ca="1"/>
        <v>-1.8327483589508111</v>
      </c>
      <c r="X9685" s="2">
        <f ca="1"/>
        <v>29.356851337347042</v>
      </c>
      <c r="AG9685" s="2">
        <f ca="1"/>
        <v>0.65796957519853949</v>
      </c>
      <c r="AH9685" s="2" t="str">
        <f ca="1"/>
        <v>Bad</v>
      </c>
    </row>
    <row r="9686" spans="2:34" x14ac:dyDescent="0.2">
      <c r="B9686" s="2">
        <f ca="1"/>
        <v>0.45980154026642617</v>
      </c>
      <c r="O9686" s="2">
        <f ca="1"/>
        <v>4.4443661077963305E-2</v>
      </c>
      <c r="X9686" s="2">
        <f ca="1"/>
        <v>35.463273638753073</v>
      </c>
      <c r="AG9686" s="2">
        <f ca="1"/>
        <v>5.42647352985548E-3</v>
      </c>
      <c r="AH9686" s="2" t="str">
        <f ca="1"/>
        <v>Good</v>
      </c>
    </row>
    <row r="9687" spans="2:34" x14ac:dyDescent="0.2">
      <c r="B9687" s="2">
        <f ca="1"/>
        <v>0.79492469416639833</v>
      </c>
      <c r="O9687" s="2">
        <f ca="1"/>
        <v>-1.0821638255749964</v>
      </c>
      <c r="X9687" s="2">
        <f ca="1"/>
        <v>61.53306835727129</v>
      </c>
      <c r="AG9687" s="2">
        <f ca="1"/>
        <v>0.69203597062255806</v>
      </c>
      <c r="AH9687" s="2" t="str">
        <f ca="1"/>
        <v>Bad</v>
      </c>
    </row>
    <row r="9688" spans="2:34" x14ac:dyDescent="0.2">
      <c r="B9688" s="2">
        <f ca="1"/>
        <v>0.96637192904438307</v>
      </c>
      <c r="O9688" s="2">
        <f ca="1"/>
        <v>0.51256913332575349</v>
      </c>
      <c r="X9688" s="2">
        <f ca="1"/>
        <v>64.186763087598479</v>
      </c>
      <c r="AG9688" s="2">
        <f ca="1"/>
        <v>0.32364801315378178</v>
      </c>
      <c r="AH9688" s="2" t="str">
        <f ca="1"/>
        <v>OK</v>
      </c>
    </row>
    <row r="9689" spans="2:34" x14ac:dyDescent="0.2">
      <c r="B9689" s="2">
        <f ca="1"/>
        <v>0.58166517808016671</v>
      </c>
      <c r="O9689" s="2">
        <f ca="1"/>
        <v>0.31909775533696216</v>
      </c>
      <c r="X9689" s="2">
        <f ca="1"/>
        <v>47.97279779348542</v>
      </c>
      <c r="AG9689" s="2">
        <f ca="1"/>
        <v>0.2879187889363084</v>
      </c>
      <c r="AH9689" s="2" t="str">
        <f ca="1"/>
        <v>OK</v>
      </c>
    </row>
    <row r="9690" spans="2:34" x14ac:dyDescent="0.2">
      <c r="B9690" s="2">
        <f ca="1"/>
        <v>5.1143117826867757E-2</v>
      </c>
      <c r="O9690" s="2">
        <f ca="1"/>
        <v>-0.32901928811061804</v>
      </c>
      <c r="X9690" s="2">
        <f ca="1"/>
        <v>40.09888858207816</v>
      </c>
      <c r="AG9690" s="2">
        <f ca="1"/>
        <v>0.38977431487993619</v>
      </c>
      <c r="AH9690" s="2" t="str">
        <f ca="1"/>
        <v>OK</v>
      </c>
    </row>
    <row r="9691" spans="2:34" x14ac:dyDescent="0.2">
      <c r="B9691" s="2">
        <f ca="1"/>
        <v>0.36204652970641704</v>
      </c>
      <c r="O9691" s="2">
        <f ca="1"/>
        <v>-0.85583347496278495</v>
      </c>
      <c r="X9691" s="2">
        <f ca="1"/>
        <v>34.205213003314398</v>
      </c>
      <c r="AG9691" s="2">
        <f ca="1"/>
        <v>0.20223396216426992</v>
      </c>
      <c r="AH9691" s="2" t="str">
        <f ca="1"/>
        <v>OK</v>
      </c>
    </row>
    <row r="9692" spans="2:34" x14ac:dyDescent="0.2">
      <c r="B9692" s="2">
        <f ca="1"/>
        <v>0.645529456452413</v>
      </c>
      <c r="O9692" s="2">
        <f ca="1"/>
        <v>-0.71719606292149385</v>
      </c>
      <c r="X9692" s="2">
        <f ca="1"/>
        <v>64.521236478604806</v>
      </c>
      <c r="AG9692" s="2">
        <f ca="1"/>
        <v>0.19339719293625235</v>
      </c>
      <c r="AH9692" s="2" t="str">
        <f ca="1"/>
        <v>OK</v>
      </c>
    </row>
    <row r="9693" spans="2:34" x14ac:dyDescent="0.2">
      <c r="B9693" s="2">
        <f ca="1"/>
        <v>0.4340085802290361</v>
      </c>
      <c r="O9693" s="2">
        <f ca="1"/>
        <v>0.8077709905981465</v>
      </c>
      <c r="X9693" s="2">
        <f ca="1"/>
        <v>41.943640669901406</v>
      </c>
      <c r="AG9693" s="2">
        <f ca="1"/>
        <v>4.360112414791395E-3</v>
      </c>
      <c r="AH9693" s="2" t="str">
        <f ca="1"/>
        <v>Good</v>
      </c>
    </row>
    <row r="9694" spans="2:34" x14ac:dyDescent="0.2">
      <c r="B9694" s="2">
        <f ca="1"/>
        <v>6.5243747239147831E-2</v>
      </c>
      <c r="O9694" s="2">
        <f ca="1"/>
        <v>0.32833470086790034</v>
      </c>
      <c r="X9694" s="2">
        <f ca="1"/>
        <v>33.737482022271976</v>
      </c>
      <c r="AG9694" s="2">
        <f ca="1"/>
        <v>0.10307611637590641</v>
      </c>
      <c r="AH9694" s="2" t="str">
        <f ca="1"/>
        <v>OK</v>
      </c>
    </row>
    <row r="9695" spans="2:34" x14ac:dyDescent="0.2">
      <c r="B9695" s="2">
        <f ca="1"/>
        <v>0.33554175246485607</v>
      </c>
      <c r="O9695" s="2">
        <f ca="1"/>
        <v>4.2246190473617724E-2</v>
      </c>
      <c r="X9695" s="2">
        <f ca="1"/>
        <v>24.807167766079434</v>
      </c>
      <c r="AG9695" s="2">
        <f ca="1"/>
        <v>0.30732873208530487</v>
      </c>
      <c r="AH9695" s="2" t="str">
        <f ca="1"/>
        <v>OK</v>
      </c>
    </row>
    <row r="9696" spans="2:34" x14ac:dyDescent="0.2">
      <c r="B9696" s="2">
        <f ca="1"/>
        <v>0.77760233660941824</v>
      </c>
      <c r="O9696" s="2">
        <f ca="1"/>
        <v>-0.413136522157314</v>
      </c>
      <c r="X9696" s="2">
        <f ca="1"/>
        <v>82.54515611320322</v>
      </c>
      <c r="AG9696" s="2">
        <f ca="1"/>
        <v>0.11194501893975839</v>
      </c>
      <c r="AH9696" s="2" t="str">
        <f ca="1"/>
        <v>OK</v>
      </c>
    </row>
    <row r="9697" spans="2:34" x14ac:dyDescent="0.2">
      <c r="B9697" s="2">
        <f ca="1"/>
        <v>0.28913306655133919</v>
      </c>
      <c r="O9697" s="2">
        <f ca="1"/>
        <v>0.20871179223788655</v>
      </c>
      <c r="X9697" s="2">
        <f ca="1"/>
        <v>35.921171585303377</v>
      </c>
      <c r="AG9697" s="2">
        <f ca="1"/>
        <v>0.3121768675963057</v>
      </c>
      <c r="AH9697" s="2" t="str">
        <f ca="1"/>
        <v>OK</v>
      </c>
    </row>
    <row r="9698" spans="2:34" x14ac:dyDescent="0.2">
      <c r="B9698" s="2">
        <f ca="1"/>
        <v>0.89077253508455367</v>
      </c>
      <c r="O9698" s="2">
        <f ca="1"/>
        <v>0.28096311692183501</v>
      </c>
      <c r="X9698" s="2">
        <f ca="1"/>
        <v>52.060190443818001</v>
      </c>
      <c r="AG9698" s="2">
        <f ca="1"/>
        <v>0.7991417984024114</v>
      </c>
      <c r="AH9698" s="2" t="str">
        <f ca="1"/>
        <v>Bad</v>
      </c>
    </row>
    <row r="9699" spans="2:34" x14ac:dyDescent="0.2">
      <c r="B9699" s="2">
        <f ca="1"/>
        <v>0.6827091569760344</v>
      </c>
      <c r="O9699" s="2">
        <f ca="1"/>
        <v>0.89969708883540522</v>
      </c>
      <c r="X9699" s="2">
        <f ca="1"/>
        <v>61.477740380986383</v>
      </c>
      <c r="AG9699" s="2">
        <f ca="1"/>
        <v>0.2198467982346175</v>
      </c>
      <c r="AH9699" s="2" t="str">
        <f ca="1"/>
        <v>OK</v>
      </c>
    </row>
    <row r="9700" spans="2:34" x14ac:dyDescent="0.2">
      <c r="B9700" s="2">
        <f ca="1"/>
        <v>9.2830723839201212E-2</v>
      </c>
      <c r="O9700" s="2">
        <f ca="1"/>
        <v>0.89236482731248323</v>
      </c>
      <c r="X9700" s="2">
        <f ca="1"/>
        <v>31.282056044759621</v>
      </c>
      <c r="AG9700" s="2">
        <f ca="1"/>
        <v>0.61203753998999022</v>
      </c>
      <c r="AH9700" s="2" t="str">
        <f ca="1"/>
        <v>Bad</v>
      </c>
    </row>
    <row r="9701" spans="2:34" x14ac:dyDescent="0.2">
      <c r="B9701" s="2">
        <f ca="1"/>
        <v>0.7982315502637809</v>
      </c>
      <c r="O9701" s="2">
        <f ca="1"/>
        <v>2.5656628192430864</v>
      </c>
      <c r="X9701" s="2">
        <f ca="1"/>
        <v>40.473860202428213</v>
      </c>
      <c r="AG9701" s="2">
        <f ca="1"/>
        <v>0.24975207831665669</v>
      </c>
      <c r="AH9701" s="2" t="str">
        <f ca="1"/>
        <v>OK</v>
      </c>
    </row>
    <row r="9702" spans="2:34" x14ac:dyDescent="0.2">
      <c r="B9702" s="2">
        <f ca="1"/>
        <v>0.72176666868709316</v>
      </c>
      <c r="O9702" s="2">
        <f ca="1"/>
        <v>0.67060783298177895</v>
      </c>
      <c r="X9702" s="2">
        <f ca="1"/>
        <v>49.091601324240941</v>
      </c>
      <c r="AG9702" s="2">
        <f ca="1"/>
        <v>0.60728339628158889</v>
      </c>
      <c r="AH9702" s="2" t="str">
        <f ca="1"/>
        <v>Bad</v>
      </c>
    </row>
    <row r="9703" spans="2:34" x14ac:dyDescent="0.2">
      <c r="B9703" s="2">
        <f ca="1"/>
        <v>0.11260153227583469</v>
      </c>
      <c r="O9703" s="2">
        <f ca="1"/>
        <v>-0.26727663446714961</v>
      </c>
      <c r="X9703" s="2">
        <f ca="1"/>
        <v>70.995951307002144</v>
      </c>
      <c r="AG9703" s="2">
        <f ca="1"/>
        <v>0.27703080595583551</v>
      </c>
      <c r="AH9703" s="2" t="str">
        <f ca="1"/>
        <v>OK</v>
      </c>
    </row>
    <row r="9704" spans="2:34" x14ac:dyDescent="0.2">
      <c r="B9704" s="2">
        <f ca="1"/>
        <v>0.31187248341863061</v>
      </c>
      <c r="O9704" s="2">
        <f ca="1"/>
        <v>-1.0564649454326775</v>
      </c>
      <c r="X9704" s="2">
        <f ca="1"/>
        <v>51.680338338869007</v>
      </c>
      <c r="AG9704" s="2">
        <f ca="1"/>
        <v>0.84252201906954372</v>
      </c>
      <c r="AH9704" s="2" t="str">
        <f ca="1"/>
        <v>Bad</v>
      </c>
    </row>
    <row r="9705" spans="2:34" x14ac:dyDescent="0.2">
      <c r="B9705" s="2">
        <f ca="1"/>
        <v>0.57305294627046055</v>
      </c>
      <c r="O9705" s="2">
        <f ca="1"/>
        <v>-0.61587196131223476</v>
      </c>
      <c r="X9705" s="2">
        <f ca="1"/>
        <v>30.336507603137068</v>
      </c>
      <c r="AG9705" s="2">
        <f ca="1"/>
        <v>0.38394765860944879</v>
      </c>
      <c r="AH9705" s="2" t="str">
        <f ca="1"/>
        <v>OK</v>
      </c>
    </row>
    <row r="9706" spans="2:34" x14ac:dyDescent="0.2">
      <c r="B9706" s="2">
        <f ca="1"/>
        <v>0.71131771965912516</v>
      </c>
      <c r="O9706" s="2">
        <f ca="1"/>
        <v>-0.55381743394144034</v>
      </c>
      <c r="X9706" s="2">
        <f ca="1"/>
        <v>65.481560549998548</v>
      </c>
      <c r="AG9706" s="2">
        <f ca="1"/>
        <v>0.39230144354287577</v>
      </c>
      <c r="AH9706" s="2" t="str">
        <f ca="1"/>
        <v>OK</v>
      </c>
    </row>
    <row r="9707" spans="2:34" x14ac:dyDescent="0.2">
      <c r="B9707" s="2">
        <f ca="1"/>
        <v>3.2875948738130045E-2</v>
      </c>
      <c r="O9707" s="2">
        <f ca="1"/>
        <v>0.37947426812893537</v>
      </c>
      <c r="X9707" s="2">
        <f ca="1"/>
        <v>59.216993037690351</v>
      </c>
      <c r="AG9707" s="2">
        <f ca="1"/>
        <v>0.21013302359140007</v>
      </c>
      <c r="AH9707" s="2" t="str">
        <f ca="1"/>
        <v>OK</v>
      </c>
    </row>
    <row r="9708" spans="2:34" x14ac:dyDescent="0.2">
      <c r="B9708" s="2">
        <f ca="1"/>
        <v>0.58278628334535387</v>
      </c>
      <c r="O9708" s="2">
        <f ca="1"/>
        <v>-0.15060450005412732</v>
      </c>
      <c r="X9708" s="2">
        <f ca="1"/>
        <v>41.43143355058838</v>
      </c>
      <c r="AG9708" s="2">
        <f ca="1"/>
        <v>0.15012415254001121</v>
      </c>
      <c r="AH9708" s="2" t="str">
        <f ca="1"/>
        <v>OK</v>
      </c>
    </row>
    <row r="9709" spans="2:34" x14ac:dyDescent="0.2">
      <c r="B9709" s="2">
        <f ca="1"/>
        <v>0.44840648055880439</v>
      </c>
      <c r="O9709" s="2">
        <f ca="1"/>
        <v>-1.7984626173938358</v>
      </c>
      <c r="X9709" s="2">
        <f ca="1"/>
        <v>65.993181833308512</v>
      </c>
      <c r="AG9709" s="2">
        <f ca="1"/>
        <v>0.18249800647717263</v>
      </c>
      <c r="AH9709" s="2" t="str">
        <f ca="1"/>
        <v>OK</v>
      </c>
    </row>
    <row r="9710" spans="2:34" x14ac:dyDescent="0.2">
      <c r="B9710" s="2">
        <f ca="1"/>
        <v>0.23525636652344284</v>
      </c>
      <c r="O9710" s="2">
        <f ca="1"/>
        <v>0.47802578310697569</v>
      </c>
      <c r="X9710" s="2">
        <f ca="1"/>
        <v>23.705947540832785</v>
      </c>
      <c r="AG9710" s="2">
        <f ca="1"/>
        <v>3.9786394265841851E-2</v>
      </c>
      <c r="AH9710" s="2" t="str">
        <f ca="1"/>
        <v>Good</v>
      </c>
    </row>
    <row r="9711" spans="2:34" x14ac:dyDescent="0.2">
      <c r="B9711" s="2">
        <f ca="1"/>
        <v>0.98007311757687776</v>
      </c>
      <c r="O9711" s="2">
        <f ca="1"/>
        <v>-0.76556354503063007</v>
      </c>
      <c r="X9711" s="2">
        <f ca="1"/>
        <v>68.897624693434224</v>
      </c>
      <c r="AG9711" s="2">
        <f ca="1"/>
        <v>0.96964894948607294</v>
      </c>
      <c r="AH9711" s="2" t="str">
        <f ca="1"/>
        <v>Bad</v>
      </c>
    </row>
    <row r="9712" spans="2:34" x14ac:dyDescent="0.2">
      <c r="B9712" s="2">
        <f ca="1"/>
        <v>0.75170488302538208</v>
      </c>
      <c r="O9712" s="2">
        <f ca="1"/>
        <v>0.84199421042448419</v>
      </c>
      <c r="X9712" s="2">
        <f ca="1"/>
        <v>56.052480503242464</v>
      </c>
      <c r="AG9712" s="2">
        <f ca="1"/>
        <v>0.47554022633674897</v>
      </c>
      <c r="AH9712" s="2" t="str">
        <f ca="1"/>
        <v>Bad</v>
      </c>
    </row>
    <row r="9713" spans="2:34" x14ac:dyDescent="0.2">
      <c r="B9713" s="2">
        <f ca="1"/>
        <v>0.43898012920888574</v>
      </c>
      <c r="O9713" s="2">
        <f ca="1"/>
        <v>-0.45538861750009341</v>
      </c>
      <c r="X9713" s="2">
        <f ca="1"/>
        <v>26.734969881730805</v>
      </c>
      <c r="AG9713" s="2">
        <f ca="1"/>
        <v>0.17039484675673489</v>
      </c>
      <c r="AH9713" s="2" t="str">
        <f ca="1"/>
        <v>OK</v>
      </c>
    </row>
    <row r="9714" spans="2:34" x14ac:dyDescent="0.2">
      <c r="B9714" s="2">
        <f ca="1"/>
        <v>0.50407029365420808</v>
      </c>
      <c r="O9714" s="2">
        <f ca="1"/>
        <v>0.18012535805726823</v>
      </c>
      <c r="X9714" s="2">
        <f ca="1"/>
        <v>46.621796952753826</v>
      </c>
      <c r="AG9714" s="2">
        <f ca="1"/>
        <v>0.78306487803532776</v>
      </c>
      <c r="AH9714" s="2" t="str">
        <f ca="1"/>
        <v>Bad</v>
      </c>
    </row>
    <row r="9715" spans="2:34" x14ac:dyDescent="0.2">
      <c r="B9715" s="2">
        <f ca="1"/>
        <v>0.66960914655450821</v>
      </c>
      <c r="O9715" s="2">
        <f ca="1"/>
        <v>-2.1456738789708956</v>
      </c>
      <c r="X9715" s="2">
        <f ca="1"/>
        <v>31.034882326034584</v>
      </c>
      <c r="AG9715" s="2">
        <f ca="1"/>
        <v>0.73575686089596637</v>
      </c>
      <c r="AH9715" s="2" t="str">
        <f ca="1"/>
        <v>Bad</v>
      </c>
    </row>
    <row r="9716" spans="2:34" x14ac:dyDescent="0.2">
      <c r="B9716" s="2">
        <f ca="1"/>
        <v>0.33014555915514165</v>
      </c>
      <c r="O9716" s="2">
        <f ca="1"/>
        <v>0.70563025452910733</v>
      </c>
      <c r="X9716" s="2">
        <f ca="1"/>
        <v>52.342647096079133</v>
      </c>
      <c r="AG9716" s="2">
        <f ca="1"/>
        <v>0.6793159481734794</v>
      </c>
      <c r="AH9716" s="2" t="str">
        <f ca="1"/>
        <v>Bad</v>
      </c>
    </row>
    <row r="9717" spans="2:34" x14ac:dyDescent="0.2">
      <c r="B9717" s="2">
        <f ca="1"/>
        <v>5.8781206428136112E-2</v>
      </c>
      <c r="O9717" s="2">
        <f ca="1"/>
        <v>-1.1194371624802295</v>
      </c>
      <c r="X9717" s="2">
        <f ca="1"/>
        <v>74.459569014534708</v>
      </c>
      <c r="AG9717" s="2">
        <f ca="1"/>
        <v>0.68646961452771293</v>
      </c>
      <c r="AH9717" s="2" t="str">
        <f ca="1"/>
        <v>Bad</v>
      </c>
    </row>
    <row r="9718" spans="2:34" x14ac:dyDescent="0.2">
      <c r="B9718" s="2">
        <f ca="1"/>
        <v>0.91641711500533329</v>
      </c>
      <c r="O9718" s="2">
        <f ca="1"/>
        <v>0.57501015828970004</v>
      </c>
      <c r="X9718" s="2">
        <f ca="1"/>
        <v>63.887941107969013</v>
      </c>
      <c r="AG9718" s="2">
        <f ca="1"/>
        <v>0.13266372787121639</v>
      </c>
      <c r="AH9718" s="2" t="str">
        <f ca="1"/>
        <v>OK</v>
      </c>
    </row>
    <row r="9719" spans="2:34" x14ac:dyDescent="0.2">
      <c r="B9719" s="2">
        <f ca="1"/>
        <v>0.50584652131190877</v>
      </c>
      <c r="O9719" s="2">
        <f ca="1"/>
        <v>-1.9502351801540749</v>
      </c>
      <c r="X9719" s="2">
        <f ca="1"/>
        <v>42.511225485341868</v>
      </c>
      <c r="AG9719" s="2">
        <f ca="1"/>
        <v>0.12662550577041354</v>
      </c>
      <c r="AH9719" s="2" t="str">
        <f ca="1"/>
        <v>OK</v>
      </c>
    </row>
    <row r="9720" spans="2:34" x14ac:dyDescent="0.2">
      <c r="B9720" s="2">
        <f ca="1"/>
        <v>0.55454593050681122</v>
      </c>
      <c r="O9720" s="2">
        <f ca="1"/>
        <v>0.54283443605639137</v>
      </c>
      <c r="X9720" s="2">
        <f ca="1"/>
        <v>32.30739912974326</v>
      </c>
      <c r="AG9720" s="2">
        <f ca="1"/>
        <v>0.87842690348875418</v>
      </c>
      <c r="AH9720" s="2" t="str">
        <f ca="1"/>
        <v>Bad</v>
      </c>
    </row>
    <row r="9721" spans="2:34" x14ac:dyDescent="0.2">
      <c r="B9721" s="2">
        <f ca="1"/>
        <v>0.69299453790361976</v>
      </c>
      <c r="O9721" s="2">
        <f ca="1"/>
        <v>1.5324320846904327</v>
      </c>
      <c r="X9721" s="2">
        <f ca="1"/>
        <v>54.888528886095351</v>
      </c>
      <c r="AG9721" s="2">
        <f ca="1"/>
        <v>0.91994168627675221</v>
      </c>
      <c r="AH9721" s="2" t="str">
        <f ca="1"/>
        <v>Bad</v>
      </c>
    </row>
    <row r="9722" spans="2:34" x14ac:dyDescent="0.2">
      <c r="B9722" s="2">
        <f ca="1"/>
        <v>0.56417857161141605</v>
      </c>
      <c r="O9722" s="2">
        <f ca="1"/>
        <v>1.116289915128321</v>
      </c>
      <c r="X9722" s="2">
        <f ca="1"/>
        <v>38.486133528091621</v>
      </c>
      <c r="AG9722" s="2">
        <f ca="1"/>
        <v>0.93246943276145267</v>
      </c>
      <c r="AH9722" s="2" t="str">
        <f ca="1"/>
        <v>Bad</v>
      </c>
    </row>
    <row r="9723" spans="2:34" x14ac:dyDescent="0.2">
      <c r="B9723" s="2">
        <f ca="1"/>
        <v>0.25378463861509748</v>
      </c>
      <c r="O9723" s="2">
        <f ca="1"/>
        <v>2.3257010334626598</v>
      </c>
      <c r="X9723" s="2">
        <f ca="1"/>
        <v>36.645436706389383</v>
      </c>
      <c r="AG9723" s="2">
        <f ca="1"/>
        <v>0.93913572986089044</v>
      </c>
      <c r="AH9723" s="2" t="str">
        <f ca="1"/>
        <v>Bad</v>
      </c>
    </row>
    <row r="9724" spans="2:34" x14ac:dyDescent="0.2">
      <c r="B9724" s="2">
        <f ca="1"/>
        <v>0.49427743905931631</v>
      </c>
      <c r="O9724" s="2">
        <f ca="1"/>
        <v>-1.6296448951049687</v>
      </c>
      <c r="X9724" s="2">
        <f ca="1"/>
        <v>53.108161538598537</v>
      </c>
      <c r="AG9724" s="2">
        <f ca="1"/>
        <v>0.65997165961558757</v>
      </c>
      <c r="AH9724" s="2" t="str">
        <f ca="1"/>
        <v>Bad</v>
      </c>
    </row>
    <row r="9725" spans="2:34" x14ac:dyDescent="0.2">
      <c r="B9725" s="2">
        <f ca="1"/>
        <v>6.956347635438842E-2</v>
      </c>
      <c r="O9725" s="2">
        <f ca="1"/>
        <v>-0.76391303455065596</v>
      </c>
      <c r="X9725" s="2">
        <f ca="1"/>
        <v>34.992868003220579</v>
      </c>
      <c r="AG9725" s="2">
        <f ca="1"/>
        <v>0.1570997934813978</v>
      </c>
      <c r="AH9725" s="2" t="str">
        <f ca="1"/>
        <v>OK</v>
      </c>
    </row>
    <row r="9726" spans="2:34" x14ac:dyDescent="0.2">
      <c r="B9726" s="2">
        <f ca="1"/>
        <v>0.38277046713347862</v>
      </c>
      <c r="O9726" s="2">
        <f ca="1"/>
        <v>-0.98285412165647357</v>
      </c>
      <c r="X9726" s="2">
        <f ca="1"/>
        <v>57.463235806012555</v>
      </c>
      <c r="AG9726" s="2">
        <f ca="1"/>
        <v>0.76617165871976733</v>
      </c>
      <c r="AH9726" s="2" t="str">
        <f ca="1"/>
        <v>Bad</v>
      </c>
    </row>
    <row r="9727" spans="2:34" x14ac:dyDescent="0.2">
      <c r="B9727" s="2">
        <f ca="1"/>
        <v>6.3070673235695152E-2</v>
      </c>
      <c r="O9727" s="2">
        <f ca="1"/>
        <v>0.55922764466803221</v>
      </c>
      <c r="X9727" s="2">
        <f ca="1"/>
        <v>61.225285573948241</v>
      </c>
      <c r="AG9727" s="2">
        <f ca="1"/>
        <v>0.82916566960996563</v>
      </c>
      <c r="AH9727" s="2" t="str">
        <f ca="1"/>
        <v>Bad</v>
      </c>
    </row>
    <row r="9728" spans="2:34" x14ac:dyDescent="0.2">
      <c r="B9728" s="2">
        <f ca="1"/>
        <v>0.83303900098660066</v>
      </c>
      <c r="O9728" s="2">
        <f ca="1"/>
        <v>2.3768189358901681</v>
      </c>
      <c r="X9728" s="2">
        <f ca="1"/>
        <v>27.95809972075476</v>
      </c>
      <c r="AG9728" s="2">
        <f ca="1"/>
        <v>0.95737569407678103</v>
      </c>
      <c r="AH9728" s="2" t="str">
        <f ca="1"/>
        <v>Bad</v>
      </c>
    </row>
    <row r="9729" spans="2:34" x14ac:dyDescent="0.2">
      <c r="B9729" s="2">
        <f ca="1"/>
        <v>0.14665919523609783</v>
      </c>
      <c r="O9729" s="2">
        <f ca="1"/>
        <v>-0.39145413299566301</v>
      </c>
      <c r="X9729" s="2">
        <f ca="1"/>
        <v>81.968124667559408</v>
      </c>
      <c r="AG9729" s="2">
        <f ca="1"/>
        <v>0.79782361379843225</v>
      </c>
      <c r="AH9729" s="2" t="str">
        <f ca="1"/>
        <v>Bad</v>
      </c>
    </row>
    <row r="9730" spans="2:34" x14ac:dyDescent="0.2">
      <c r="B9730" s="2">
        <f ca="1"/>
        <v>0.22729929886665556</v>
      </c>
      <c r="O9730" s="2">
        <f ca="1"/>
        <v>0.12769482951471914</v>
      </c>
      <c r="X9730" s="2">
        <f ca="1"/>
        <v>39.317215304860483</v>
      </c>
      <c r="AG9730" s="2">
        <f ca="1"/>
        <v>0.48725315180047235</v>
      </c>
      <c r="AH9730" s="2" t="str">
        <f ca="1"/>
        <v>Bad</v>
      </c>
    </row>
    <row r="9731" spans="2:34" x14ac:dyDescent="0.2">
      <c r="B9731" s="2">
        <f ca="1"/>
        <v>0.18387944200671069</v>
      </c>
      <c r="O9731" s="2">
        <f ca="1"/>
        <v>-1.0296056210666837</v>
      </c>
      <c r="X9731" s="2">
        <f ca="1"/>
        <v>34.967123380268973</v>
      </c>
      <c r="AG9731" s="2">
        <f ca="1"/>
        <v>0.79490370052783565</v>
      </c>
      <c r="AH9731" s="2" t="str">
        <f ca="1"/>
        <v>Bad</v>
      </c>
    </row>
    <row r="9732" spans="2:34" x14ac:dyDescent="0.2">
      <c r="B9732" s="2">
        <f ca="1"/>
        <v>0.6110205654902805</v>
      </c>
      <c r="O9732" s="2">
        <f ca="1"/>
        <v>-1.3196335052810015</v>
      </c>
      <c r="X9732" s="2">
        <f ca="1"/>
        <v>43.519092629812761</v>
      </c>
      <c r="AG9732" s="2">
        <f ca="1"/>
        <v>0.99196956868914743</v>
      </c>
      <c r="AH9732" s="2" t="str">
        <f ca="1"/>
        <v>Bad</v>
      </c>
    </row>
    <row r="9733" spans="2:34" x14ac:dyDescent="0.2">
      <c r="B9733" s="2">
        <f ca="1"/>
        <v>0.82585233451785145</v>
      </c>
      <c r="O9733" s="2">
        <f ca="1"/>
        <v>-0.43909958520701542</v>
      </c>
      <c r="X9733" s="2">
        <f ca="1"/>
        <v>52.814585643968606</v>
      </c>
      <c r="AG9733" s="2">
        <f ca="1"/>
        <v>0.19711022988071947</v>
      </c>
      <c r="AH9733" s="2" t="str">
        <f ca="1"/>
        <v>OK</v>
      </c>
    </row>
    <row r="9734" spans="2:34" x14ac:dyDescent="0.2">
      <c r="B9734" s="2">
        <f ca="1"/>
        <v>0.96234450144449002</v>
      </c>
      <c r="O9734" s="2">
        <f ca="1"/>
        <v>-0.43256971231496549</v>
      </c>
      <c r="X9734" s="2">
        <f ca="1"/>
        <v>21.359306241791657</v>
      </c>
      <c r="AG9734" s="2">
        <f ca="1"/>
        <v>0.48676324727829545</v>
      </c>
      <c r="AH9734" s="2" t="str">
        <f ca="1"/>
        <v>Bad</v>
      </c>
    </row>
    <row r="9735" spans="2:34" x14ac:dyDescent="0.2">
      <c r="B9735" s="2">
        <f ca="1"/>
        <v>2.681490949495724E-2</v>
      </c>
      <c r="O9735" s="2">
        <f ca="1"/>
        <v>0.58519934025785803</v>
      </c>
      <c r="X9735" s="2">
        <f ca="1"/>
        <v>37.583428313926518</v>
      </c>
      <c r="AG9735" s="2">
        <f ca="1"/>
        <v>0.18053665207763947</v>
      </c>
      <c r="AH9735" s="2" t="str">
        <f ca="1"/>
        <v>OK</v>
      </c>
    </row>
    <row r="9736" spans="2:34" x14ac:dyDescent="0.2">
      <c r="B9736" s="2">
        <f ca="1"/>
        <v>0.80731468998091693</v>
      </c>
      <c r="O9736" s="2">
        <f ca="1"/>
        <v>-1.4086401326843989</v>
      </c>
      <c r="X9736" s="2">
        <f ca="1"/>
        <v>49.113110808272246</v>
      </c>
      <c r="AG9736" s="2">
        <f ca="1"/>
        <v>0.76783746908556916</v>
      </c>
      <c r="AH9736" s="2" t="str">
        <f ca="1"/>
        <v>Bad</v>
      </c>
    </row>
    <row r="9737" spans="2:34" x14ac:dyDescent="0.2">
      <c r="B9737" s="2">
        <f ca="1"/>
        <v>0.66590605085026988</v>
      </c>
      <c r="O9737" s="2">
        <f ca="1"/>
        <v>1.2269686083189775</v>
      </c>
      <c r="X9737" s="2">
        <f ca="1"/>
        <v>48.622652651933855</v>
      </c>
      <c r="AG9737" s="2">
        <f ca="1"/>
        <v>0.20653064056857984</v>
      </c>
      <c r="AH9737" s="2" t="str">
        <f ca="1"/>
        <v>OK</v>
      </c>
    </row>
    <row r="9738" spans="2:34" x14ac:dyDescent="0.2">
      <c r="B9738" s="2">
        <f ca="1"/>
        <v>0.23821275729913682</v>
      </c>
      <c r="O9738" s="2">
        <f ca="1"/>
        <v>-0.79360779954030625</v>
      </c>
      <c r="X9738" s="2">
        <f ca="1"/>
        <v>55.527311233209261</v>
      </c>
      <c r="AG9738" s="2">
        <f ca="1"/>
        <v>0.71109073757597474</v>
      </c>
      <c r="AH9738" s="2" t="str">
        <f ca="1"/>
        <v>Bad</v>
      </c>
    </row>
    <row r="9739" spans="2:34" x14ac:dyDescent="0.2">
      <c r="B9739" s="2">
        <f ca="1"/>
        <v>0.49249193778068467</v>
      </c>
      <c r="O9739" s="2">
        <f ca="1"/>
        <v>1.0726429183444765E-2</v>
      </c>
      <c r="X9739" s="2">
        <f ca="1"/>
        <v>53.10704220324115</v>
      </c>
      <c r="AG9739" s="2">
        <f ca="1"/>
        <v>0.91737214668770006</v>
      </c>
      <c r="AH9739" s="2" t="str">
        <f ca="1"/>
        <v>Bad</v>
      </c>
    </row>
    <row r="9740" spans="2:34" x14ac:dyDescent="0.2">
      <c r="B9740" s="2">
        <f ca="1"/>
        <v>0.43425939726324558</v>
      </c>
      <c r="O9740" s="2">
        <f ca="1"/>
        <v>-0.6614306863946936</v>
      </c>
      <c r="X9740" s="2">
        <f ca="1"/>
        <v>40.168588400809995</v>
      </c>
      <c r="AG9740" s="2">
        <f ca="1"/>
        <v>0.70795922148515422</v>
      </c>
      <c r="AH9740" s="2" t="str">
        <f ca="1"/>
        <v>Bad</v>
      </c>
    </row>
    <row r="9741" spans="2:34" x14ac:dyDescent="0.2">
      <c r="B9741" s="2">
        <f ca="1"/>
        <v>0.80022278349276776</v>
      </c>
      <c r="O9741" s="2">
        <f ca="1"/>
        <v>0.15284670892302749</v>
      </c>
      <c r="X9741" s="2">
        <f ca="1"/>
        <v>76.846882802109974</v>
      </c>
      <c r="AG9741" s="2">
        <f ca="1"/>
        <v>0.21221194540943888</v>
      </c>
      <c r="AH9741" s="2" t="str">
        <f ca="1"/>
        <v>OK</v>
      </c>
    </row>
    <row r="9742" spans="2:34" x14ac:dyDescent="0.2">
      <c r="B9742" s="2">
        <f ca="1"/>
        <v>4.8533376600426115E-2</v>
      </c>
      <c r="O9742" s="2">
        <f ca="1"/>
        <v>-0.19644927225695602</v>
      </c>
      <c r="X9742" s="2">
        <f ca="1"/>
        <v>51.653564294476055</v>
      </c>
      <c r="AG9742" s="2">
        <f ca="1"/>
        <v>0.72389572991184137</v>
      </c>
      <c r="AH9742" s="2" t="str">
        <f ca="1"/>
        <v>Bad</v>
      </c>
    </row>
    <row r="9743" spans="2:34" x14ac:dyDescent="0.2">
      <c r="B9743" s="2">
        <f ca="1"/>
        <v>8.0426644679070014E-2</v>
      </c>
      <c r="O9743" s="2">
        <f ca="1"/>
        <v>-1.6711034319117164</v>
      </c>
      <c r="X9743" s="2">
        <f ca="1"/>
        <v>59.540592282619826</v>
      </c>
      <c r="AG9743" s="2">
        <f ca="1"/>
        <v>0.63092513300364805</v>
      </c>
      <c r="AH9743" s="2" t="str">
        <f ca="1"/>
        <v>Bad</v>
      </c>
    </row>
    <row r="9744" spans="2:34" x14ac:dyDescent="0.2">
      <c r="B9744" s="2">
        <f ca="1"/>
        <v>0.92224933816646804</v>
      </c>
      <c r="O9744" s="2">
        <f ca="1"/>
        <v>1.1006325197799955</v>
      </c>
      <c r="X9744" s="2">
        <f ca="1"/>
        <v>70.68323869992318</v>
      </c>
      <c r="AG9744" s="2">
        <f ca="1"/>
        <v>3.4851161998475488E-2</v>
      </c>
      <c r="AH9744" s="2" t="str">
        <f ca="1"/>
        <v>Good</v>
      </c>
    </row>
    <row r="9745" spans="2:34" x14ac:dyDescent="0.2">
      <c r="B9745" s="2">
        <f ca="1"/>
        <v>0.90656611229918549</v>
      </c>
      <c r="O9745" s="2">
        <f ca="1"/>
        <v>-0.39426409629628578</v>
      </c>
      <c r="X9745" s="2">
        <f ca="1"/>
        <v>41.48398541933183</v>
      </c>
      <c r="AG9745" s="2">
        <f ca="1"/>
        <v>0.9081528977405724</v>
      </c>
      <c r="AH9745" s="2" t="str">
        <f ca="1"/>
        <v>Bad</v>
      </c>
    </row>
    <row r="9746" spans="2:34" x14ac:dyDescent="0.2">
      <c r="B9746" s="2">
        <f ca="1"/>
        <v>0.58572373736626115</v>
      </c>
      <c r="O9746" s="2">
        <f ca="1"/>
        <v>1.7012678905108101</v>
      </c>
      <c r="X9746" s="2">
        <f ca="1"/>
        <v>75.455077799602719</v>
      </c>
      <c r="AG9746" s="2">
        <f ca="1"/>
        <v>0.92190922583980561</v>
      </c>
      <c r="AH9746" s="2" t="str">
        <f ca="1"/>
        <v>Bad</v>
      </c>
    </row>
    <row r="9747" spans="2:34" x14ac:dyDescent="0.2">
      <c r="B9747" s="2">
        <f ca="1"/>
        <v>0.80187570809853059</v>
      </c>
      <c r="O9747" s="2">
        <f ca="1"/>
        <v>-0.1903212077857333</v>
      </c>
      <c r="X9747" s="2">
        <f ca="1"/>
        <v>77.552648677007184</v>
      </c>
      <c r="AG9747" s="2">
        <f ca="1"/>
        <v>0.45590753772882531</v>
      </c>
      <c r="AH9747" s="2" t="str">
        <f ca="1"/>
        <v>Bad</v>
      </c>
    </row>
    <row r="9748" spans="2:34" x14ac:dyDescent="0.2">
      <c r="B9748" s="2">
        <f ca="1"/>
        <v>0.43250805323344665</v>
      </c>
      <c r="O9748" s="2">
        <f ca="1"/>
        <v>0.51116422958300389</v>
      </c>
      <c r="X9748" s="2">
        <f ca="1"/>
        <v>18.189869798801826</v>
      </c>
      <c r="AG9748" s="2">
        <f ca="1"/>
        <v>0.74552393124369964</v>
      </c>
      <c r="AH9748" s="2" t="str">
        <f ca="1"/>
        <v>Bad</v>
      </c>
    </row>
    <row r="9749" spans="2:34" x14ac:dyDescent="0.2">
      <c r="B9749" s="2">
        <f ca="1"/>
        <v>0.29142392921056226</v>
      </c>
      <c r="O9749" s="2">
        <f ca="1"/>
        <v>2.368000756864336</v>
      </c>
      <c r="X9749" s="2">
        <f ca="1"/>
        <v>31.605962045340419</v>
      </c>
      <c r="AG9749" s="2">
        <f ca="1"/>
        <v>1.9689278332184479E-2</v>
      </c>
      <c r="AH9749" s="2" t="str">
        <f ca="1"/>
        <v>Good</v>
      </c>
    </row>
    <row r="9750" spans="2:34" x14ac:dyDescent="0.2">
      <c r="B9750" s="2">
        <f ca="1"/>
        <v>0.76301239780917118</v>
      </c>
      <c r="O9750" s="2">
        <f ca="1"/>
        <v>-0.14090352483382881</v>
      </c>
      <c r="X9750" s="2">
        <f ca="1"/>
        <v>48.94951808233899</v>
      </c>
      <c r="AG9750" s="2">
        <f ca="1"/>
        <v>0.76347782362396677</v>
      </c>
      <c r="AH9750" s="2" t="str">
        <f ca="1"/>
        <v>Bad</v>
      </c>
    </row>
    <row r="9751" spans="2:34" x14ac:dyDescent="0.2">
      <c r="B9751" s="2">
        <f ca="1"/>
        <v>0.21212927137933124</v>
      </c>
      <c r="O9751" s="2">
        <f ca="1"/>
        <v>3.343508307101589</v>
      </c>
      <c r="X9751" s="2">
        <f ca="1"/>
        <v>35.130288801888156</v>
      </c>
      <c r="AG9751" s="2">
        <f ca="1"/>
        <v>6.9520672622616742E-2</v>
      </c>
      <c r="AH9751" s="2" t="str">
        <f ca="1"/>
        <v>OK</v>
      </c>
    </row>
    <row r="9752" spans="2:34" x14ac:dyDescent="0.2">
      <c r="B9752" s="2">
        <f ca="1"/>
        <v>0.11284105693163538</v>
      </c>
      <c r="O9752" s="2">
        <f ca="1"/>
        <v>-0.54453263124651918</v>
      </c>
      <c r="X9752" s="2">
        <f ca="1"/>
        <v>34.133300395490096</v>
      </c>
      <c r="AG9752" s="2">
        <f ca="1"/>
        <v>0.17728530381231034</v>
      </c>
      <c r="AH9752" s="2" t="str">
        <f ca="1"/>
        <v>OK</v>
      </c>
    </row>
    <row r="9753" spans="2:34" x14ac:dyDescent="0.2">
      <c r="B9753" s="2">
        <f ca="1"/>
        <v>8.9807305098678736E-2</v>
      </c>
      <c r="O9753" s="2">
        <f ca="1"/>
        <v>-6.3912286529395027E-2</v>
      </c>
      <c r="X9753" s="2">
        <f ca="1"/>
        <v>58.427114282439405</v>
      </c>
      <c r="AG9753" s="2">
        <f ca="1"/>
        <v>0.1786205798783127</v>
      </c>
      <c r="AH9753" s="2" t="str">
        <f ca="1"/>
        <v>OK</v>
      </c>
    </row>
    <row r="9754" spans="2:34" x14ac:dyDescent="0.2">
      <c r="B9754" s="2">
        <f ca="1"/>
        <v>3.2178825666001165E-2</v>
      </c>
      <c r="O9754" s="2">
        <f ca="1"/>
        <v>1.0400150139999638</v>
      </c>
      <c r="X9754" s="2">
        <f ca="1"/>
        <v>45.061596316044373</v>
      </c>
      <c r="AG9754" s="2">
        <f ca="1"/>
        <v>0.18681754270184547</v>
      </c>
      <c r="AH9754" s="2" t="str">
        <f ca="1"/>
        <v>OK</v>
      </c>
    </row>
    <row r="9755" spans="2:34" x14ac:dyDescent="0.2">
      <c r="B9755" s="2">
        <f ca="1"/>
        <v>0.22942337167478133</v>
      </c>
      <c r="O9755" s="2">
        <f ca="1"/>
        <v>-1.5989930390716249</v>
      </c>
      <c r="X9755" s="2">
        <f ca="1"/>
        <v>34.492469980318631</v>
      </c>
      <c r="AG9755" s="2">
        <f ca="1"/>
        <v>0.48754285125258345</v>
      </c>
      <c r="AH9755" s="2" t="str">
        <f ca="1"/>
        <v>Bad</v>
      </c>
    </row>
    <row r="9756" spans="2:34" x14ac:dyDescent="0.2">
      <c r="B9756" s="2">
        <f ca="1"/>
        <v>0.29562371827352685</v>
      </c>
      <c r="O9756" s="2">
        <f ca="1"/>
        <v>-1.410561228227615</v>
      </c>
      <c r="X9756" s="2">
        <f ca="1"/>
        <v>46.421126131321138</v>
      </c>
      <c r="AG9756" s="2">
        <f ca="1"/>
        <v>0.48033530059756036</v>
      </c>
      <c r="AH9756" s="2" t="str">
        <f ca="1"/>
        <v>Bad</v>
      </c>
    </row>
    <row r="9757" spans="2:34" x14ac:dyDescent="0.2">
      <c r="B9757" s="2">
        <f ca="1"/>
        <v>0.65913482492482522</v>
      </c>
      <c r="O9757" s="2">
        <f ca="1"/>
        <v>7.5699412628438489E-2</v>
      </c>
      <c r="X9757" s="2">
        <f ca="1"/>
        <v>51.056270279504986</v>
      </c>
      <c r="AG9757" s="2">
        <f ca="1"/>
        <v>0.42326498771853771</v>
      </c>
      <c r="AH9757" s="2" t="str">
        <f ca="1"/>
        <v>Bad</v>
      </c>
    </row>
    <row r="9758" spans="2:34" x14ac:dyDescent="0.2">
      <c r="B9758" s="2">
        <f ca="1"/>
        <v>3.0018730767987112E-2</v>
      </c>
      <c r="O9758" s="2">
        <f ca="1"/>
        <v>0.87019745059745146</v>
      </c>
      <c r="X9758" s="2">
        <f ca="1"/>
        <v>72.811192581499299</v>
      </c>
      <c r="AG9758" s="2">
        <f ca="1"/>
        <v>0.35575880465919574</v>
      </c>
      <c r="AH9758" s="2" t="str">
        <f ca="1"/>
        <v>OK</v>
      </c>
    </row>
    <row r="9759" spans="2:34" x14ac:dyDescent="0.2">
      <c r="B9759" s="2">
        <f ca="1"/>
        <v>0.9510227054242244</v>
      </c>
      <c r="O9759" s="2">
        <f ca="1"/>
        <v>-0.57942772956235888</v>
      </c>
      <c r="X9759" s="2">
        <f ca="1"/>
        <v>39.843608321493761</v>
      </c>
      <c r="AG9759" s="2">
        <f ca="1"/>
        <v>0.52239207615471916</v>
      </c>
      <c r="AH9759" s="2" t="str">
        <f ca="1"/>
        <v>Bad</v>
      </c>
    </row>
    <row r="9760" spans="2:34" x14ac:dyDescent="0.2">
      <c r="B9760" s="2">
        <f ca="1"/>
        <v>0.11110615676493074</v>
      </c>
      <c r="O9760" s="2">
        <f ca="1"/>
        <v>1.705166860006561</v>
      </c>
      <c r="X9760" s="2">
        <f ca="1"/>
        <v>36.619141410432597</v>
      </c>
      <c r="AG9760" s="2">
        <f ca="1"/>
        <v>0.44282854772948888</v>
      </c>
      <c r="AH9760" s="2" t="str">
        <f ca="1"/>
        <v>Bad</v>
      </c>
    </row>
    <row r="9761" spans="2:34" x14ac:dyDescent="0.2">
      <c r="B9761" s="2">
        <f ca="1"/>
        <v>0.89538023192678273</v>
      </c>
      <c r="O9761" s="2">
        <f ca="1"/>
        <v>1.4061863541782385</v>
      </c>
      <c r="X9761" s="2">
        <f ca="1"/>
        <v>46.835074208701997</v>
      </c>
      <c r="AG9761" s="2">
        <f ca="1"/>
        <v>2.7175665473185617E-2</v>
      </c>
      <c r="AH9761" s="2" t="str">
        <f ca="1"/>
        <v>Good</v>
      </c>
    </row>
    <row r="9762" spans="2:34" x14ac:dyDescent="0.2">
      <c r="B9762" s="2">
        <f ca="1"/>
        <v>0.5897548912558126</v>
      </c>
      <c r="O9762" s="2">
        <f ca="1"/>
        <v>1.5924117123668162</v>
      </c>
      <c r="X9762" s="2">
        <f ca="1"/>
        <v>56.964067359434466</v>
      </c>
      <c r="AG9762" s="2">
        <f ca="1"/>
        <v>0.37734920720491205</v>
      </c>
      <c r="AH9762" s="2" t="str">
        <f ca="1"/>
        <v>OK</v>
      </c>
    </row>
    <row r="9763" spans="2:34" x14ac:dyDescent="0.2">
      <c r="B9763" s="2">
        <f ca="1"/>
        <v>5.9432281965128064E-2</v>
      </c>
      <c r="O9763" s="2">
        <f ca="1"/>
        <v>4.2402764193403608E-2</v>
      </c>
      <c r="X9763" s="2">
        <f ca="1"/>
        <v>36.329723205114732</v>
      </c>
      <c r="AG9763" s="2">
        <f ca="1"/>
        <v>0.42478729365615786</v>
      </c>
      <c r="AH9763" s="2" t="str">
        <f ca="1"/>
        <v>Bad</v>
      </c>
    </row>
    <row r="9764" spans="2:34" x14ac:dyDescent="0.2">
      <c r="B9764" s="2">
        <f ca="1"/>
        <v>0.22765809477127719</v>
      </c>
      <c r="O9764" s="2">
        <f ca="1"/>
        <v>0.33688109642022557</v>
      </c>
      <c r="X9764" s="2">
        <f ca="1"/>
        <v>63.508498924972315</v>
      </c>
      <c r="AG9764" s="2">
        <f ca="1"/>
        <v>8.4651353643627747E-3</v>
      </c>
      <c r="AH9764" s="2" t="str">
        <f ca="1"/>
        <v>Good</v>
      </c>
    </row>
    <row r="9765" spans="2:34" x14ac:dyDescent="0.2">
      <c r="B9765" s="2">
        <f ca="1"/>
        <v>0.96845849047022026</v>
      </c>
      <c r="O9765" s="2">
        <f ca="1"/>
        <v>-1.831464903886534</v>
      </c>
      <c r="X9765" s="2">
        <f ca="1"/>
        <v>33.837671012280055</v>
      </c>
      <c r="AG9765" s="2">
        <f ca="1"/>
        <v>0.31633998664834095</v>
      </c>
      <c r="AH9765" s="2" t="str">
        <f ca="1"/>
        <v>OK</v>
      </c>
    </row>
    <row r="9766" spans="2:34" x14ac:dyDescent="0.2">
      <c r="B9766" s="2">
        <f ca="1"/>
        <v>0.54876288176227517</v>
      </c>
      <c r="O9766" s="2">
        <f ca="1"/>
        <v>-0.52289880295762625</v>
      </c>
      <c r="X9766" s="2">
        <f ca="1"/>
        <v>48.890374242001286</v>
      </c>
      <c r="AG9766" s="2">
        <f ca="1"/>
        <v>0.51395150793849753</v>
      </c>
      <c r="AH9766" s="2" t="str">
        <f ca="1"/>
        <v>Bad</v>
      </c>
    </row>
    <row r="9767" spans="2:34" x14ac:dyDescent="0.2">
      <c r="B9767" s="2">
        <f ca="1"/>
        <v>0.7962021797884391</v>
      </c>
      <c r="O9767" s="2">
        <f ca="1"/>
        <v>-1.8271839177453373E-2</v>
      </c>
      <c r="X9767" s="2">
        <f ca="1"/>
        <v>44.600431652976049</v>
      </c>
      <c r="AG9767" s="2">
        <f ca="1"/>
        <v>0.60371854572287442</v>
      </c>
      <c r="AH9767" s="2" t="str">
        <f ca="1"/>
        <v>Bad</v>
      </c>
    </row>
    <row r="9768" spans="2:34" x14ac:dyDescent="0.2">
      <c r="B9768" s="2">
        <f ca="1"/>
        <v>5.9830630844864618E-2</v>
      </c>
      <c r="O9768" s="2">
        <f ca="1"/>
        <v>-0.54254588435482742</v>
      </c>
      <c r="X9768" s="2">
        <f ca="1"/>
        <v>57.237093943773843</v>
      </c>
      <c r="AG9768" s="2">
        <f ca="1"/>
        <v>0.75346251890028082</v>
      </c>
      <c r="AH9768" s="2" t="str">
        <f ca="1"/>
        <v>Bad</v>
      </c>
    </row>
    <row r="9769" spans="2:34" x14ac:dyDescent="0.2">
      <c r="B9769" s="2">
        <f ca="1"/>
        <v>8.1747437555997227E-2</v>
      </c>
      <c r="O9769" s="2">
        <f ca="1"/>
        <v>6.2716176050014366E-2</v>
      </c>
      <c r="X9769" s="2">
        <f ca="1"/>
        <v>89.313303244213927</v>
      </c>
      <c r="AG9769" s="2">
        <f ca="1"/>
        <v>7.8273826623128429E-2</v>
      </c>
      <c r="AH9769" s="2" t="str">
        <f ca="1"/>
        <v>OK</v>
      </c>
    </row>
    <row r="9770" spans="2:34" x14ac:dyDescent="0.2">
      <c r="B9770" s="2">
        <f ca="1"/>
        <v>0.55258278894905621</v>
      </c>
      <c r="O9770" s="2">
        <f ca="1"/>
        <v>0.77887786294369898</v>
      </c>
      <c r="X9770" s="2">
        <f ca="1"/>
        <v>36.584886127567259</v>
      </c>
      <c r="AG9770" s="2">
        <f ca="1"/>
        <v>0.25760916953454216</v>
      </c>
      <c r="AH9770" s="2" t="str">
        <f ca="1"/>
        <v>OK</v>
      </c>
    </row>
    <row r="9771" spans="2:34" x14ac:dyDescent="0.2">
      <c r="B9771" s="2">
        <f ca="1"/>
        <v>0.3300521933831726</v>
      </c>
      <c r="O9771" s="2">
        <f ca="1"/>
        <v>-0.91024755959606385</v>
      </c>
      <c r="X9771" s="2">
        <f ca="1"/>
        <v>56.234163208506175</v>
      </c>
      <c r="AG9771" s="2">
        <f ca="1"/>
        <v>0.92415038044557085</v>
      </c>
      <c r="AH9771" s="2" t="str">
        <f ca="1"/>
        <v>Bad</v>
      </c>
    </row>
    <row r="9772" spans="2:34" x14ac:dyDescent="0.2">
      <c r="B9772" s="2">
        <f ca="1"/>
        <v>0.32558358059340664</v>
      </c>
      <c r="O9772" s="2">
        <f ca="1"/>
        <v>1.3308527092781892</v>
      </c>
      <c r="X9772" s="2">
        <f ca="1"/>
        <v>27.513516641985525</v>
      </c>
      <c r="AG9772" s="2">
        <f ca="1"/>
        <v>0.95960714903531841</v>
      </c>
      <c r="AH9772" s="2" t="str">
        <f ca="1"/>
        <v>Bad</v>
      </c>
    </row>
    <row r="9773" spans="2:34" x14ac:dyDescent="0.2">
      <c r="B9773" s="2">
        <f ca="1"/>
        <v>0.40827992470148322</v>
      </c>
      <c r="O9773" s="2">
        <f ca="1"/>
        <v>-0.36241387223116933</v>
      </c>
      <c r="X9773" s="2">
        <f ca="1"/>
        <v>61.901961001104212</v>
      </c>
      <c r="AG9773" s="2">
        <f ca="1"/>
        <v>0.38140486400463702</v>
      </c>
      <c r="AH9773" s="2" t="str">
        <f ca="1"/>
        <v>OK</v>
      </c>
    </row>
    <row r="9774" spans="2:34" x14ac:dyDescent="0.2">
      <c r="B9774" s="2">
        <f ca="1"/>
        <v>0.38585278887753338</v>
      </c>
      <c r="O9774" s="2">
        <f ca="1"/>
        <v>-0.27865597050083324</v>
      </c>
      <c r="X9774" s="2">
        <f ca="1"/>
        <v>70.225421433222337</v>
      </c>
      <c r="AG9774" s="2">
        <f ca="1"/>
        <v>0.44094605224547734</v>
      </c>
      <c r="AH9774" s="2" t="str">
        <f ca="1"/>
        <v>Bad</v>
      </c>
    </row>
    <row r="9775" spans="2:34" x14ac:dyDescent="0.2">
      <c r="B9775" s="2">
        <f ca="1"/>
        <v>0.44670601124001763</v>
      </c>
      <c r="O9775" s="2">
        <f ca="1"/>
        <v>-0.50842619272135769</v>
      </c>
      <c r="X9775" s="2">
        <f ca="1"/>
        <v>43.764545287411778</v>
      </c>
      <c r="AG9775" s="2">
        <f ca="1"/>
        <v>0.43636064479944303</v>
      </c>
      <c r="AH9775" s="2" t="str">
        <f ca="1"/>
        <v>Bad</v>
      </c>
    </row>
    <row r="9776" spans="2:34" x14ac:dyDescent="0.2">
      <c r="B9776" s="2">
        <f ca="1"/>
        <v>0.36210211933666381</v>
      </c>
      <c r="O9776" s="2">
        <f ca="1"/>
        <v>1.6840359764994359</v>
      </c>
      <c r="X9776" s="2">
        <f ca="1"/>
        <v>67.414328057095972</v>
      </c>
      <c r="AG9776" s="2">
        <f ca="1"/>
        <v>0.75560255609454918</v>
      </c>
      <c r="AH9776" s="2" t="str">
        <f ca="1"/>
        <v>Bad</v>
      </c>
    </row>
    <row r="9777" spans="2:34" x14ac:dyDescent="0.2">
      <c r="B9777" s="2">
        <f ca="1"/>
        <v>0.36471232847060686</v>
      </c>
      <c r="O9777" s="2">
        <f ca="1"/>
        <v>-0.49057619570143701</v>
      </c>
      <c r="X9777" s="2">
        <f ca="1"/>
        <v>50.0341705802117</v>
      </c>
      <c r="AG9777" s="2">
        <f ca="1"/>
        <v>0.24716799938579648</v>
      </c>
      <c r="AH9777" s="2" t="str">
        <f ca="1"/>
        <v>OK</v>
      </c>
    </row>
    <row r="9778" spans="2:34" x14ac:dyDescent="0.2">
      <c r="B9778" s="2">
        <f ca="1"/>
        <v>0.72170749015859004</v>
      </c>
      <c r="O9778" s="2">
        <f ca="1"/>
        <v>-1.3188093679071313</v>
      </c>
      <c r="X9778" s="2">
        <f ca="1"/>
        <v>71.12463570382549</v>
      </c>
      <c r="AG9778" s="2">
        <f ca="1"/>
        <v>0.46323650562098484</v>
      </c>
      <c r="AH9778" s="2" t="str">
        <f ca="1"/>
        <v>Bad</v>
      </c>
    </row>
    <row r="9779" spans="2:34" x14ac:dyDescent="0.2">
      <c r="B9779" s="2">
        <f ca="1"/>
        <v>0.65328599174088819</v>
      </c>
      <c r="O9779" s="2">
        <f ca="1"/>
        <v>0.31196901767484919</v>
      </c>
      <c r="X9779" s="2">
        <f ca="1"/>
        <v>48.50002395796318</v>
      </c>
      <c r="AG9779" s="2">
        <f ca="1"/>
        <v>0.58482664071270118</v>
      </c>
      <c r="AH9779" s="2" t="str">
        <f ca="1"/>
        <v>Bad</v>
      </c>
    </row>
    <row r="9780" spans="2:34" x14ac:dyDescent="0.2">
      <c r="B9780" s="2">
        <f ca="1"/>
        <v>9.6207592437201672E-2</v>
      </c>
      <c r="O9780" s="2">
        <f ca="1"/>
        <v>2.393278717805754</v>
      </c>
      <c r="X9780" s="2">
        <f ca="1"/>
        <v>55.998400869773199</v>
      </c>
      <c r="AG9780" s="2">
        <f ca="1"/>
        <v>0.81181316212935073</v>
      </c>
      <c r="AH9780" s="2" t="str">
        <f ca="1"/>
        <v>Bad</v>
      </c>
    </row>
    <row r="9781" spans="2:34" x14ac:dyDescent="0.2">
      <c r="B9781" s="2">
        <f ca="1"/>
        <v>0.49128450768358078</v>
      </c>
      <c r="O9781" s="2">
        <f ca="1"/>
        <v>-0.63575498514467987</v>
      </c>
      <c r="X9781" s="2">
        <f ca="1"/>
        <v>56.975363389521078</v>
      </c>
      <c r="AG9781" s="2">
        <f ca="1"/>
        <v>0.80835894341928882</v>
      </c>
      <c r="AH9781" s="2" t="str">
        <f ca="1"/>
        <v>Bad</v>
      </c>
    </row>
    <row r="9782" spans="2:34" x14ac:dyDescent="0.2">
      <c r="B9782" s="2">
        <f ca="1"/>
        <v>0.76335938910646561</v>
      </c>
      <c r="O9782" s="2">
        <f ca="1"/>
        <v>0.20378733209552138</v>
      </c>
      <c r="X9782" s="2">
        <f ca="1"/>
        <v>38.988218702042069</v>
      </c>
      <c r="AG9782" s="2">
        <f ca="1"/>
        <v>0.44306575960479955</v>
      </c>
      <c r="AH9782" s="2" t="str">
        <f ca="1"/>
        <v>Bad</v>
      </c>
    </row>
    <row r="9783" spans="2:34" x14ac:dyDescent="0.2">
      <c r="B9783" s="2">
        <f ca="1"/>
        <v>0.70494478741530764</v>
      </c>
      <c r="O9783" s="2">
        <f ca="1"/>
        <v>9.9814000087126389E-2</v>
      </c>
      <c r="X9783" s="2">
        <f ca="1"/>
        <v>32.587366449578724</v>
      </c>
      <c r="AG9783" s="2">
        <f ca="1"/>
        <v>0.13577657027497669</v>
      </c>
      <c r="AH9783" s="2" t="str">
        <f ca="1"/>
        <v>OK</v>
      </c>
    </row>
    <row r="9784" spans="2:34" x14ac:dyDescent="0.2">
      <c r="B9784" s="2">
        <f ca="1"/>
        <v>0.99699490937624713</v>
      </c>
      <c r="O9784" s="2">
        <f ca="1"/>
        <v>-0.84783156599296639</v>
      </c>
      <c r="X9784" s="2">
        <f ca="1"/>
        <v>63.093672550816748</v>
      </c>
      <c r="AG9784" s="2">
        <f ca="1"/>
        <v>0.93764652089983791</v>
      </c>
      <c r="AH9784" s="2" t="str">
        <f ca="1"/>
        <v>Bad</v>
      </c>
    </row>
    <row r="9785" spans="2:34" x14ac:dyDescent="0.2">
      <c r="B9785" s="2">
        <f ca="1"/>
        <v>0.86597697285978215</v>
      </c>
      <c r="O9785" s="2">
        <f ca="1"/>
        <v>2.1363842654306207</v>
      </c>
      <c r="X9785" s="2">
        <f ca="1"/>
        <v>63.587340687532318</v>
      </c>
      <c r="AG9785" s="2">
        <f ca="1"/>
        <v>0.77295996644298759</v>
      </c>
      <c r="AH9785" s="2" t="str">
        <f ca="1"/>
        <v>Bad</v>
      </c>
    </row>
    <row r="9786" spans="2:34" x14ac:dyDescent="0.2">
      <c r="B9786" s="2">
        <f ca="1"/>
        <v>0.90756783070807323</v>
      </c>
      <c r="O9786" s="2">
        <f ca="1"/>
        <v>0.22124326201931738</v>
      </c>
      <c r="X9786" s="2">
        <f ca="1"/>
        <v>34.72987913796139</v>
      </c>
      <c r="AG9786" s="2">
        <f ca="1"/>
        <v>0.7647712616697977</v>
      </c>
      <c r="AH9786" s="2" t="str">
        <f ca="1"/>
        <v>Bad</v>
      </c>
    </row>
    <row r="9787" spans="2:34" x14ac:dyDescent="0.2">
      <c r="B9787" s="2">
        <f ca="1"/>
        <v>0.71646735735049538</v>
      </c>
      <c r="O9787" s="2">
        <f ca="1"/>
        <v>-0.77025736240041687</v>
      </c>
      <c r="X9787" s="2">
        <f ca="1"/>
        <v>47.381716032951985</v>
      </c>
      <c r="AG9787" s="2">
        <f ca="1"/>
        <v>0.72020062414979469</v>
      </c>
      <c r="AH9787" s="2" t="str">
        <f ca="1"/>
        <v>Bad</v>
      </c>
    </row>
    <row r="9788" spans="2:34" x14ac:dyDescent="0.2">
      <c r="B9788" s="2">
        <f ca="1"/>
        <v>0.27797098312006319</v>
      </c>
      <c r="O9788" s="2">
        <f ca="1"/>
        <v>-0.51853308361803629</v>
      </c>
      <c r="X9788" s="2">
        <f ca="1"/>
        <v>54.081168069730523</v>
      </c>
      <c r="AG9788" s="2">
        <f ca="1"/>
        <v>0.5860926671495621</v>
      </c>
      <c r="AH9788" s="2" t="str">
        <f ca="1"/>
        <v>Bad</v>
      </c>
    </row>
    <row r="9789" spans="2:34" x14ac:dyDescent="0.2">
      <c r="B9789" s="2">
        <f ca="1"/>
        <v>0.53680172285085592</v>
      </c>
      <c r="O9789" s="2">
        <f ca="1"/>
        <v>1.3387002507067003</v>
      </c>
      <c r="X9789" s="2">
        <f ca="1"/>
        <v>43.348350292464737</v>
      </c>
      <c r="AG9789" s="2">
        <f ca="1"/>
        <v>0.31553178329821407</v>
      </c>
      <c r="AH9789" s="2" t="str">
        <f ca="1"/>
        <v>OK</v>
      </c>
    </row>
    <row r="9790" spans="2:34" x14ac:dyDescent="0.2">
      <c r="B9790" s="2">
        <f ca="1"/>
        <v>0.16467042790379938</v>
      </c>
      <c r="O9790" s="2">
        <f ca="1"/>
        <v>-0.12213800061908255</v>
      </c>
      <c r="X9790" s="2">
        <f ca="1"/>
        <v>57.682704059888088</v>
      </c>
      <c r="AG9790" s="2">
        <f ca="1"/>
        <v>0.66107524966283404</v>
      </c>
      <c r="AH9790" s="2" t="str">
        <f ca="1"/>
        <v>Bad</v>
      </c>
    </row>
    <row r="9791" spans="2:34" x14ac:dyDescent="0.2">
      <c r="B9791" s="2">
        <f ca="1"/>
        <v>0.8605681543150312</v>
      </c>
      <c r="O9791" s="2">
        <f ca="1"/>
        <v>-2.9988447856725199E-2</v>
      </c>
      <c r="X9791" s="2">
        <f ca="1"/>
        <v>115.5905116984995</v>
      </c>
      <c r="AG9791" s="2">
        <f ca="1"/>
        <v>0.78633676244577422</v>
      </c>
      <c r="AH9791" s="2" t="str">
        <f ca="1"/>
        <v>Bad</v>
      </c>
    </row>
    <row r="9792" spans="2:34" x14ac:dyDescent="0.2">
      <c r="B9792" s="2">
        <f ca="1"/>
        <v>0.63383858007633087</v>
      </c>
      <c r="O9792" s="2">
        <f ca="1"/>
        <v>-2.0676134490321636</v>
      </c>
      <c r="X9792" s="2">
        <f ca="1"/>
        <v>50.600616742866549</v>
      </c>
      <c r="AG9792" s="2">
        <f ca="1"/>
        <v>9.8519612524180955E-2</v>
      </c>
      <c r="AH9792" s="2" t="str">
        <f ca="1"/>
        <v>OK</v>
      </c>
    </row>
    <row r="9793" spans="2:34" x14ac:dyDescent="0.2">
      <c r="B9793" s="2">
        <f ca="1"/>
        <v>0.54061570112710067</v>
      </c>
      <c r="O9793" s="2">
        <f ca="1"/>
        <v>1.1053920086619939</v>
      </c>
      <c r="X9793" s="2">
        <f ca="1"/>
        <v>43.278911849543753</v>
      </c>
      <c r="AG9793" s="2">
        <f ca="1"/>
        <v>0.77934756203825106</v>
      </c>
      <c r="AH9793" s="2" t="str">
        <f ca="1"/>
        <v>Bad</v>
      </c>
    </row>
    <row r="9794" spans="2:34" x14ac:dyDescent="0.2">
      <c r="B9794" s="2">
        <f ca="1"/>
        <v>0.22296653479210904</v>
      </c>
      <c r="O9794" s="2">
        <f ca="1"/>
        <v>1.2418490412211654</v>
      </c>
      <c r="X9794" s="2">
        <f ca="1"/>
        <v>48.042765187711815</v>
      </c>
      <c r="AG9794" s="2">
        <f ca="1"/>
        <v>0.37226598949380851</v>
      </c>
      <c r="AH9794" s="2" t="str">
        <f ca="1"/>
        <v>OK</v>
      </c>
    </row>
    <row r="9795" spans="2:34" x14ac:dyDescent="0.2">
      <c r="B9795" s="2">
        <f ca="1"/>
        <v>0.80801372352309042</v>
      </c>
      <c r="O9795" s="2">
        <f ca="1"/>
        <v>0.37948080614673785</v>
      </c>
      <c r="X9795" s="2">
        <f ca="1"/>
        <v>55.135496837525906</v>
      </c>
      <c r="AG9795" s="2">
        <f ca="1"/>
        <v>0.11210424042761291</v>
      </c>
      <c r="AH9795" s="2" t="str">
        <f ca="1"/>
        <v>OK</v>
      </c>
    </row>
    <row r="9796" spans="2:34" x14ac:dyDescent="0.2">
      <c r="B9796" s="2">
        <f ca="1"/>
        <v>0.65373966301788489</v>
      </c>
      <c r="O9796" s="2">
        <f ca="1"/>
        <v>-1.3377407274079371</v>
      </c>
      <c r="X9796" s="2">
        <f ca="1"/>
        <v>41.13730479133207</v>
      </c>
      <c r="AG9796" s="2">
        <f ca="1"/>
        <v>0.25924167084671335</v>
      </c>
      <c r="AH9796" s="2" t="str">
        <f ca="1"/>
        <v>OK</v>
      </c>
    </row>
    <row r="9797" spans="2:34" x14ac:dyDescent="0.2">
      <c r="B9797" s="2">
        <f ca="1"/>
        <v>0.63205902922751256</v>
      </c>
      <c r="O9797" s="2">
        <f ca="1"/>
        <v>1.1179593087791828</v>
      </c>
      <c r="X9797" s="2">
        <f ca="1"/>
        <v>46.885738778422649</v>
      </c>
      <c r="AG9797" s="2">
        <f ca="1"/>
        <v>0.40838886781324546</v>
      </c>
      <c r="AH9797" s="2" t="str">
        <f ca="1"/>
        <v>Bad</v>
      </c>
    </row>
    <row r="9798" spans="2:34" x14ac:dyDescent="0.2">
      <c r="B9798" s="2">
        <f ca="1"/>
        <v>0.9424550551309665</v>
      </c>
      <c r="O9798" s="2">
        <f ca="1"/>
        <v>-2.9469252479996499E-2</v>
      </c>
      <c r="X9798" s="2">
        <f ca="1"/>
        <v>50.248024247356895</v>
      </c>
      <c r="AG9798" s="2">
        <f ca="1"/>
        <v>0.883229547395602</v>
      </c>
      <c r="AH9798" s="2" t="str">
        <f ca="1"/>
        <v>Bad</v>
      </c>
    </row>
    <row r="9799" spans="2:34" x14ac:dyDescent="0.2">
      <c r="B9799" s="2">
        <f ca="1"/>
        <v>0.68969660113010867</v>
      </c>
      <c r="O9799" s="2">
        <f ca="1"/>
        <v>0.79431244758822095</v>
      </c>
      <c r="X9799" s="2">
        <f ca="1"/>
        <v>40.421443334776079</v>
      </c>
      <c r="AG9799" s="2">
        <f ca="1"/>
        <v>0.69260943802578367</v>
      </c>
      <c r="AH9799" s="2" t="str">
        <f ca="1"/>
        <v>Bad</v>
      </c>
    </row>
    <row r="9800" spans="2:34" x14ac:dyDescent="0.2">
      <c r="B9800" s="2">
        <f ca="1"/>
        <v>0.71156094661478653</v>
      </c>
      <c r="O9800" s="2">
        <f ca="1"/>
        <v>-0.98036415564606538</v>
      </c>
      <c r="X9800" s="2">
        <f ca="1"/>
        <v>73.329275616978947</v>
      </c>
      <c r="AG9800" s="2">
        <f ca="1"/>
        <v>0.40465596254262559</v>
      </c>
      <c r="AH9800" s="2" t="str">
        <f ca="1"/>
        <v>Bad</v>
      </c>
    </row>
    <row r="9801" spans="2:34" x14ac:dyDescent="0.2">
      <c r="B9801" s="2">
        <f ca="1"/>
        <v>0.99623130009086402</v>
      </c>
      <c r="O9801" s="2">
        <f ca="1"/>
        <v>-0.74338883684641943</v>
      </c>
      <c r="X9801" s="2">
        <f ca="1"/>
        <v>45.423658803091172</v>
      </c>
      <c r="AG9801" s="2">
        <f ca="1"/>
        <v>0.43747349185692652</v>
      </c>
      <c r="AH9801" s="2" t="str">
        <f ca="1"/>
        <v>Bad</v>
      </c>
    </row>
    <row r="9802" spans="2:34" x14ac:dyDescent="0.2">
      <c r="B9802" s="2">
        <f ca="1"/>
        <v>0.25835791695171872</v>
      </c>
      <c r="O9802" s="2">
        <f ca="1"/>
        <v>-0.66752920045308839</v>
      </c>
      <c r="X9802" s="2">
        <f ca="1"/>
        <v>81.038584142050709</v>
      </c>
      <c r="AG9802" s="2">
        <f ca="1"/>
        <v>0.98754508354775816</v>
      </c>
      <c r="AH9802" s="2" t="str">
        <f ca="1"/>
        <v>Bad</v>
      </c>
    </row>
    <row r="9803" spans="2:34" x14ac:dyDescent="0.2">
      <c r="B9803" s="2">
        <f ca="1"/>
        <v>0.29849241007949456</v>
      </c>
      <c r="O9803" s="2">
        <f ca="1"/>
        <v>0.28014418522259138</v>
      </c>
      <c r="X9803" s="2">
        <f ca="1"/>
        <v>58.51210220344592</v>
      </c>
      <c r="AG9803" s="2">
        <f ca="1"/>
        <v>0.23000811171430469</v>
      </c>
      <c r="AH9803" s="2" t="str">
        <f ca="1"/>
        <v>OK</v>
      </c>
    </row>
    <row r="9804" spans="2:34" x14ac:dyDescent="0.2">
      <c r="B9804" s="2">
        <f ca="1"/>
        <v>0.4563477544445067</v>
      </c>
      <c r="O9804" s="2">
        <f ca="1"/>
        <v>0.23361707802162687</v>
      </c>
      <c r="X9804" s="2">
        <f ca="1"/>
        <v>50.921907445582733</v>
      </c>
      <c r="AG9804" s="2">
        <f ca="1"/>
        <v>0.67016110621713443</v>
      </c>
      <c r="AH9804" s="2" t="str">
        <f ca="1"/>
        <v>Bad</v>
      </c>
    </row>
    <row r="9805" spans="2:34" x14ac:dyDescent="0.2">
      <c r="B9805" s="2">
        <f ca="1"/>
        <v>0.44285550659047157</v>
      </c>
      <c r="O9805" s="2">
        <f ca="1"/>
        <v>-0.43253961541867741</v>
      </c>
      <c r="X9805" s="2">
        <f ca="1"/>
        <v>42.585579440478426</v>
      </c>
      <c r="AG9805" s="2">
        <f ca="1"/>
        <v>0.65932546166343431</v>
      </c>
      <c r="AH9805" s="2" t="str">
        <f ca="1"/>
        <v>Bad</v>
      </c>
    </row>
    <row r="9806" spans="2:34" x14ac:dyDescent="0.2">
      <c r="B9806" s="2">
        <f ca="1"/>
        <v>0.56867189842636789</v>
      </c>
      <c r="O9806" s="2">
        <f ca="1"/>
        <v>1.0407109189140014</v>
      </c>
      <c r="X9806" s="2">
        <f ca="1"/>
        <v>50.71195315812087</v>
      </c>
      <c r="AG9806" s="2">
        <f ca="1"/>
        <v>0.29002000581624543</v>
      </c>
      <c r="AH9806" s="2" t="str">
        <f ca="1"/>
        <v>OK</v>
      </c>
    </row>
    <row r="9807" spans="2:34" x14ac:dyDescent="0.2">
      <c r="B9807" s="2">
        <f ca="1"/>
        <v>0.47402313773689131</v>
      </c>
      <c r="O9807" s="2">
        <f ca="1"/>
        <v>-6.8168383730349447E-2</v>
      </c>
      <c r="X9807" s="2">
        <f ca="1"/>
        <v>43.927937449587816</v>
      </c>
      <c r="AG9807" s="2">
        <f ca="1"/>
        <v>0.63670672082101798</v>
      </c>
      <c r="AH9807" s="2" t="str">
        <f ca="1"/>
        <v>Bad</v>
      </c>
    </row>
    <row r="9808" spans="2:34" x14ac:dyDescent="0.2">
      <c r="B9808" s="2">
        <f ca="1"/>
        <v>0.24181746391350201</v>
      </c>
      <c r="O9808" s="2">
        <f ca="1"/>
        <v>0.34786508478122535</v>
      </c>
      <c r="X9808" s="2">
        <f ca="1"/>
        <v>35.761108813806011</v>
      </c>
      <c r="AG9808" s="2">
        <f ca="1"/>
        <v>0.73846133173584816</v>
      </c>
      <c r="AH9808" s="2" t="str">
        <f ca="1"/>
        <v>Bad</v>
      </c>
    </row>
    <row r="9809" spans="2:34" x14ac:dyDescent="0.2">
      <c r="B9809" s="2">
        <f ca="1"/>
        <v>9.592947955812936E-2</v>
      </c>
      <c r="O9809" s="2">
        <f ca="1"/>
        <v>1.2619712370363514</v>
      </c>
      <c r="X9809" s="2">
        <f ca="1"/>
        <v>57.919638644078859</v>
      </c>
      <c r="AG9809" s="2">
        <f ca="1"/>
        <v>0.22096641111250448</v>
      </c>
      <c r="AH9809" s="2" t="str">
        <f ca="1"/>
        <v>OK</v>
      </c>
    </row>
    <row r="9810" spans="2:34" x14ac:dyDescent="0.2">
      <c r="B9810" s="2">
        <f ca="1"/>
        <v>0.80993269254497058</v>
      </c>
      <c r="O9810" s="2">
        <f ca="1"/>
        <v>-4.6783247872610803E-2</v>
      </c>
      <c r="X9810" s="2">
        <f ca="1"/>
        <v>61.064725235480566</v>
      </c>
      <c r="AG9810" s="2">
        <f ca="1"/>
        <v>0.16520429247887236</v>
      </c>
      <c r="AH9810" s="2" t="str">
        <f ca="1"/>
        <v>OK</v>
      </c>
    </row>
    <row r="9811" spans="2:34" x14ac:dyDescent="0.2">
      <c r="B9811" s="2">
        <f ca="1"/>
        <v>0.84289015287175828</v>
      </c>
      <c r="O9811" s="2">
        <f ca="1"/>
        <v>-0.86963140288773988</v>
      </c>
      <c r="X9811" s="2">
        <f ca="1"/>
        <v>76.079409444141092</v>
      </c>
      <c r="AG9811" s="2">
        <f ca="1"/>
        <v>0.1459124195048298</v>
      </c>
      <c r="AH9811" s="2" t="str">
        <f ca="1"/>
        <v>OK</v>
      </c>
    </row>
    <row r="9812" spans="2:34" x14ac:dyDescent="0.2">
      <c r="B9812" s="2">
        <f ca="1"/>
        <v>0.49640640418147686</v>
      </c>
      <c r="O9812" s="2">
        <f ca="1"/>
        <v>0.82393214049720309</v>
      </c>
      <c r="X9812" s="2">
        <f ca="1"/>
        <v>33.89548230741557</v>
      </c>
      <c r="AG9812" s="2">
        <f ca="1"/>
        <v>0.8502277781366232</v>
      </c>
      <c r="AH9812" s="2" t="str">
        <f ca="1"/>
        <v>Bad</v>
      </c>
    </row>
    <row r="9813" spans="2:34" x14ac:dyDescent="0.2">
      <c r="B9813" s="2">
        <f ca="1"/>
        <v>0.90515895249000367</v>
      </c>
      <c r="O9813" s="2">
        <f ca="1"/>
        <v>-2.9497356586653323E-4</v>
      </c>
      <c r="X9813" s="2">
        <f ca="1"/>
        <v>44.168032446934397</v>
      </c>
      <c r="AG9813" s="2">
        <f ca="1"/>
        <v>0.57092684112452452</v>
      </c>
      <c r="AH9813" s="2" t="str">
        <f ca="1"/>
        <v>Bad</v>
      </c>
    </row>
    <row r="9814" spans="2:34" x14ac:dyDescent="0.2">
      <c r="B9814" s="2">
        <f ca="1"/>
        <v>0.52809866760903379</v>
      </c>
      <c r="O9814" s="2">
        <f ca="1"/>
        <v>0.21182472728291843</v>
      </c>
      <c r="X9814" s="2">
        <f ca="1"/>
        <v>33.658876274465293</v>
      </c>
      <c r="AG9814" s="2">
        <f ca="1"/>
        <v>0.96261176588898101</v>
      </c>
      <c r="AH9814" s="2" t="str">
        <f ca="1"/>
        <v>Bad</v>
      </c>
    </row>
    <row r="9815" spans="2:34" x14ac:dyDescent="0.2">
      <c r="B9815" s="2">
        <f ca="1"/>
        <v>0.21769324014412206</v>
      </c>
      <c r="O9815" s="2">
        <f ca="1"/>
        <v>-0.28207618540694396</v>
      </c>
      <c r="X9815" s="2">
        <f ca="1"/>
        <v>69.813168437342796</v>
      </c>
      <c r="AG9815" s="2">
        <f ca="1"/>
        <v>0.86389742670296066</v>
      </c>
      <c r="AH9815" s="2" t="str">
        <f ca="1"/>
        <v>Bad</v>
      </c>
    </row>
    <row r="9816" spans="2:34" x14ac:dyDescent="0.2">
      <c r="B9816" s="2">
        <f ca="1"/>
        <v>4.2344718224869071E-2</v>
      </c>
      <c r="O9816" s="2">
        <f ca="1"/>
        <v>0.88498846972930045</v>
      </c>
      <c r="X9816" s="2">
        <f ca="1"/>
        <v>46.453082834144894</v>
      </c>
      <c r="AG9816" s="2">
        <f ca="1"/>
        <v>0.40132063396623585</v>
      </c>
      <c r="AH9816" s="2" t="str">
        <f ca="1"/>
        <v>Bad</v>
      </c>
    </row>
    <row r="9817" spans="2:34" x14ac:dyDescent="0.2">
      <c r="B9817" s="2">
        <f ca="1"/>
        <v>0.73398734381247932</v>
      </c>
      <c r="O9817" s="2">
        <f ca="1"/>
        <v>-0.62942785018576231</v>
      </c>
      <c r="X9817" s="2">
        <f ca="1"/>
        <v>61.889616687129667</v>
      </c>
      <c r="AG9817" s="2">
        <f ca="1"/>
        <v>0.55902788674255532</v>
      </c>
      <c r="AH9817" s="2" t="str">
        <f ca="1"/>
        <v>Bad</v>
      </c>
    </row>
    <row r="9818" spans="2:34" x14ac:dyDescent="0.2">
      <c r="B9818" s="2">
        <f ca="1"/>
        <v>8.6762387729666823E-2</v>
      </c>
      <c r="O9818" s="2">
        <f ca="1"/>
        <v>-0.92134542159566712</v>
      </c>
      <c r="X9818" s="2">
        <f ca="1"/>
        <v>30.611679213061453</v>
      </c>
      <c r="AG9818" s="2">
        <f ca="1"/>
        <v>0.2238034496940291</v>
      </c>
      <c r="AH9818" s="2" t="str">
        <f ca="1"/>
        <v>OK</v>
      </c>
    </row>
    <row r="9819" spans="2:34" x14ac:dyDescent="0.2">
      <c r="B9819" s="2">
        <f ca="1"/>
        <v>0.70654824275698336</v>
      </c>
      <c r="O9819" s="2">
        <f ca="1"/>
        <v>-8.1531212766202898E-2</v>
      </c>
      <c r="X9819" s="2">
        <f ca="1"/>
        <v>32.092990552677307</v>
      </c>
      <c r="AG9819" s="2">
        <f ca="1"/>
        <v>0.32033767480966446</v>
      </c>
      <c r="AH9819" s="2" t="str">
        <f ca="1"/>
        <v>OK</v>
      </c>
    </row>
    <row r="9820" spans="2:34" x14ac:dyDescent="0.2">
      <c r="B9820" s="2">
        <f ca="1"/>
        <v>0.50719847438191068</v>
      </c>
      <c r="O9820" s="2">
        <f ca="1"/>
        <v>-0.10790691832158431</v>
      </c>
      <c r="X9820" s="2">
        <f ca="1"/>
        <v>29.451718688140517</v>
      </c>
      <c r="AG9820" s="2">
        <f ca="1"/>
        <v>0.27092672583434441</v>
      </c>
      <c r="AH9820" s="2" t="str">
        <f ca="1"/>
        <v>OK</v>
      </c>
    </row>
    <row r="9821" spans="2:34" x14ac:dyDescent="0.2">
      <c r="B9821" s="2">
        <f ca="1"/>
        <v>0.95115308234537821</v>
      </c>
      <c r="O9821" s="2">
        <f ca="1"/>
        <v>-8.9533673078173975E-4</v>
      </c>
      <c r="X9821" s="2">
        <f ca="1"/>
        <v>48.635860719345814</v>
      </c>
      <c r="AG9821" s="2">
        <f ca="1"/>
        <v>0.83989501674997125</v>
      </c>
      <c r="AH9821" s="2" t="str">
        <f ca="1"/>
        <v>Bad</v>
      </c>
    </row>
    <row r="9822" spans="2:34" x14ac:dyDescent="0.2">
      <c r="B9822" s="2">
        <f ca="1"/>
        <v>0.19889146602238594</v>
      </c>
      <c r="O9822" s="2">
        <f ca="1"/>
        <v>0.13315755378448096</v>
      </c>
      <c r="X9822" s="2">
        <f ca="1"/>
        <v>33.523265483715143</v>
      </c>
      <c r="AG9822" s="2">
        <f ca="1"/>
        <v>0.27070806597735753</v>
      </c>
      <c r="AH9822" s="2" t="str">
        <f ca="1"/>
        <v>OK</v>
      </c>
    </row>
    <row r="9823" spans="2:34" x14ac:dyDescent="0.2">
      <c r="B9823" s="2">
        <f ca="1"/>
        <v>0.63405676447225634</v>
      </c>
      <c r="O9823" s="2">
        <f ca="1"/>
        <v>-0.90934647999474638</v>
      </c>
      <c r="X9823" s="2">
        <f ca="1"/>
        <v>50.549190258438792</v>
      </c>
      <c r="AG9823" s="2">
        <f ca="1"/>
        <v>0.51641093604806221</v>
      </c>
      <c r="AH9823" s="2" t="str">
        <f ca="1"/>
        <v>Bad</v>
      </c>
    </row>
    <row r="9824" spans="2:34" x14ac:dyDescent="0.2">
      <c r="B9824" s="2">
        <f ca="1"/>
        <v>0.37292420065348075</v>
      </c>
      <c r="O9824" s="2">
        <f ca="1"/>
        <v>-1.1446784416846201</v>
      </c>
      <c r="X9824" s="2">
        <f ca="1"/>
        <v>54.287635891301832</v>
      </c>
      <c r="AG9824" s="2">
        <f ca="1"/>
        <v>0.54993600402630127</v>
      </c>
      <c r="AH9824" s="2" t="str">
        <f ca="1"/>
        <v>Bad</v>
      </c>
    </row>
    <row r="9825" spans="2:34" x14ac:dyDescent="0.2">
      <c r="B9825" s="2">
        <f ca="1"/>
        <v>0.74033777928359434</v>
      </c>
      <c r="O9825" s="2">
        <f ca="1"/>
        <v>-0.52288332078192667</v>
      </c>
      <c r="X9825" s="2">
        <f ca="1"/>
        <v>56.788987046193576</v>
      </c>
      <c r="AG9825" s="2">
        <f ca="1"/>
        <v>0.18879409287260174</v>
      </c>
      <c r="AH9825" s="2" t="str">
        <f ca="1"/>
        <v>OK</v>
      </c>
    </row>
    <row r="9826" spans="2:34" x14ac:dyDescent="0.2">
      <c r="B9826" s="2">
        <f ca="1"/>
        <v>0.89015610914264731</v>
      </c>
      <c r="O9826" s="2">
        <f ca="1"/>
        <v>1.8747334995310361</v>
      </c>
      <c r="X9826" s="2">
        <f ca="1"/>
        <v>58.980031809736616</v>
      </c>
      <c r="AG9826" s="2">
        <f ca="1"/>
        <v>0.49788837653024287</v>
      </c>
      <c r="AH9826" s="2" t="str">
        <f ca="1"/>
        <v>Bad</v>
      </c>
    </row>
    <row r="9827" spans="2:34" x14ac:dyDescent="0.2">
      <c r="B9827" s="2">
        <f ca="1"/>
        <v>0.93462302767821392</v>
      </c>
      <c r="O9827" s="2">
        <f ca="1"/>
        <v>-1.7367177233630851</v>
      </c>
      <c r="X9827" s="2">
        <f ca="1"/>
        <v>41.904809103051861</v>
      </c>
      <c r="AG9827" s="2">
        <f ca="1"/>
        <v>0.72181499947951289</v>
      </c>
      <c r="AH9827" s="2" t="str">
        <f ca="1"/>
        <v>Bad</v>
      </c>
    </row>
    <row r="9828" spans="2:34" x14ac:dyDescent="0.2">
      <c r="B9828" s="2">
        <f ca="1"/>
        <v>0.18293958082469208</v>
      </c>
      <c r="O9828" s="2">
        <f ca="1"/>
        <v>-7.790026784806163E-2</v>
      </c>
      <c r="X9828" s="2">
        <f ca="1"/>
        <v>55.24558133930941</v>
      </c>
      <c r="AG9828" s="2">
        <f ca="1"/>
        <v>0.30217973443332014</v>
      </c>
      <c r="AH9828" s="2" t="str">
        <f ca="1"/>
        <v>OK</v>
      </c>
    </row>
    <row r="9829" spans="2:34" x14ac:dyDescent="0.2">
      <c r="B9829" s="2">
        <f ca="1"/>
        <v>0.69727374168682599</v>
      </c>
      <c r="O9829" s="2">
        <f ca="1"/>
        <v>0.31182568571004909</v>
      </c>
      <c r="X9829" s="2">
        <f ca="1"/>
        <v>46.823767635948599</v>
      </c>
      <c r="AG9829" s="2">
        <f ca="1"/>
        <v>0.6277643175993799</v>
      </c>
      <c r="AH9829" s="2" t="str">
        <f ca="1"/>
        <v>Bad</v>
      </c>
    </row>
    <row r="9830" spans="2:34" x14ac:dyDescent="0.2">
      <c r="B9830" s="2">
        <f ca="1"/>
        <v>0.84708948772851445</v>
      </c>
      <c r="O9830" s="2">
        <f ca="1"/>
        <v>0.28934643423322781</v>
      </c>
      <c r="X9830" s="2">
        <f ca="1"/>
        <v>51.722443737139024</v>
      </c>
      <c r="AG9830" s="2">
        <f ca="1"/>
        <v>0.85061442960754641</v>
      </c>
      <c r="AH9830" s="2" t="str">
        <f ca="1"/>
        <v>Bad</v>
      </c>
    </row>
    <row r="9831" spans="2:34" x14ac:dyDescent="0.2">
      <c r="B9831" s="2">
        <f ca="1"/>
        <v>7.6835639828196856E-2</v>
      </c>
      <c r="O9831" s="2">
        <f ca="1"/>
        <v>4.9674368314389525E-2</v>
      </c>
      <c r="X9831" s="2">
        <f ca="1"/>
        <v>90.558145201452191</v>
      </c>
      <c r="AG9831" s="2">
        <f ca="1"/>
        <v>4.5426758994517202E-2</v>
      </c>
      <c r="AH9831" s="2" t="str">
        <f ca="1"/>
        <v>Good</v>
      </c>
    </row>
    <row r="9832" spans="2:34" x14ac:dyDescent="0.2">
      <c r="B9832" s="2">
        <f ca="1"/>
        <v>0.96868173189038864</v>
      </c>
      <c r="O9832" s="2">
        <f ca="1"/>
        <v>-0.90709162702869472</v>
      </c>
      <c r="X9832" s="2">
        <f ca="1"/>
        <v>67.325271709476112</v>
      </c>
      <c r="AG9832" s="2">
        <f ca="1"/>
        <v>0.82593903267117774</v>
      </c>
      <c r="AH9832" s="2" t="str">
        <f ca="1"/>
        <v>Bad</v>
      </c>
    </row>
    <row r="9833" spans="2:34" x14ac:dyDescent="0.2">
      <c r="B9833" s="2">
        <f ca="1"/>
        <v>0.12596364816293071</v>
      </c>
      <c r="O9833" s="2">
        <f ca="1"/>
        <v>-1.670424550418524</v>
      </c>
      <c r="X9833" s="2">
        <f ca="1"/>
        <v>50.169637429861851</v>
      </c>
      <c r="AG9833" s="2">
        <f ca="1"/>
        <v>0.40297959248178072</v>
      </c>
      <c r="AH9833" s="2" t="str">
        <f ca="1"/>
        <v>Bad</v>
      </c>
    </row>
    <row r="9834" spans="2:34" x14ac:dyDescent="0.2">
      <c r="B9834" s="2">
        <f ca="1"/>
        <v>0.54716529695546634</v>
      </c>
      <c r="O9834" s="2">
        <f ca="1"/>
        <v>1.6061062027747244</v>
      </c>
      <c r="X9834" s="2">
        <f ca="1"/>
        <v>53.348298299138392</v>
      </c>
      <c r="AG9834" s="2">
        <f ca="1"/>
        <v>0.65042894080693903</v>
      </c>
      <c r="AH9834" s="2" t="str">
        <f ca="1"/>
        <v>Bad</v>
      </c>
    </row>
    <row r="9835" spans="2:34" x14ac:dyDescent="0.2">
      <c r="B9835" s="2">
        <f ca="1"/>
        <v>0.91562722188908108</v>
      </c>
      <c r="O9835" s="2">
        <f ca="1"/>
        <v>0.8519022926841433</v>
      </c>
      <c r="X9835" s="2">
        <f ca="1"/>
        <v>48.023150850806935</v>
      </c>
      <c r="AG9835" s="2">
        <f ca="1"/>
        <v>0.24191897338695045</v>
      </c>
      <c r="AH9835" s="2" t="str">
        <f ca="1"/>
        <v>OK</v>
      </c>
    </row>
    <row r="9836" spans="2:34" x14ac:dyDescent="0.2">
      <c r="B9836" s="2">
        <f ca="1"/>
        <v>0.51764256610012871</v>
      </c>
      <c r="O9836" s="2">
        <f ca="1"/>
        <v>-0.47665229759849037</v>
      </c>
      <c r="X9836" s="2">
        <f ca="1"/>
        <v>103.36550491898832</v>
      </c>
      <c r="AG9836" s="2">
        <f ca="1"/>
        <v>0.48956956863286183</v>
      </c>
      <c r="AH9836" s="2" t="str">
        <f ca="1"/>
        <v>Bad</v>
      </c>
    </row>
    <row r="9837" spans="2:34" x14ac:dyDescent="0.2">
      <c r="B9837" s="2">
        <f ca="1"/>
        <v>8.8335364694138052E-2</v>
      </c>
      <c r="O9837" s="2">
        <f ca="1"/>
        <v>2.4946354474603631E-2</v>
      </c>
      <c r="X9837" s="2">
        <f ca="1"/>
        <v>61.436360079908319</v>
      </c>
      <c r="AG9837" s="2">
        <f ca="1"/>
        <v>0.66534637616600301</v>
      </c>
      <c r="AH9837" s="2" t="str">
        <f ca="1"/>
        <v>Bad</v>
      </c>
    </row>
    <row r="9838" spans="2:34" x14ac:dyDescent="0.2">
      <c r="B9838" s="2">
        <f ca="1"/>
        <v>0.92270282560385852</v>
      </c>
      <c r="O9838" s="2">
        <f ca="1"/>
        <v>0.92225512765007023</v>
      </c>
      <c r="X9838" s="2">
        <f ca="1"/>
        <v>33.65560329836751</v>
      </c>
      <c r="AG9838" s="2">
        <f ca="1"/>
        <v>0.75453541969509796</v>
      </c>
      <c r="AH9838" s="2" t="str">
        <f ca="1"/>
        <v>Bad</v>
      </c>
    </row>
    <row r="9839" spans="2:34" x14ac:dyDescent="0.2">
      <c r="B9839" s="2">
        <f ca="1"/>
        <v>0.83186667125544633</v>
      </c>
      <c r="O9839" s="2">
        <f ca="1"/>
        <v>1.5478444940613663</v>
      </c>
      <c r="X9839" s="2">
        <f ca="1"/>
        <v>25.905319624705804</v>
      </c>
      <c r="AG9839" s="2">
        <f ca="1"/>
        <v>0.39598285188813476</v>
      </c>
      <c r="AH9839" s="2" t="str">
        <f ca="1"/>
        <v>OK</v>
      </c>
    </row>
    <row r="9840" spans="2:34" x14ac:dyDescent="0.2">
      <c r="B9840" s="2">
        <f ca="1"/>
        <v>0.33810415929726712</v>
      </c>
      <c r="O9840" s="2">
        <f ca="1"/>
        <v>0.6068185731183976</v>
      </c>
      <c r="X9840" s="2">
        <f ca="1"/>
        <v>49.080791181627994</v>
      </c>
      <c r="AG9840" s="2">
        <f ca="1"/>
        <v>0.11692640430222512</v>
      </c>
      <c r="AH9840" s="2" t="str">
        <f ca="1"/>
        <v>OK</v>
      </c>
    </row>
    <row r="9841" spans="2:34" x14ac:dyDescent="0.2">
      <c r="B9841" s="2">
        <f ca="1"/>
        <v>0.31327612892799328</v>
      </c>
      <c r="O9841" s="2">
        <f ca="1"/>
        <v>-0.14521886542359161</v>
      </c>
      <c r="X9841" s="2">
        <f ca="1"/>
        <v>50.720959204969141</v>
      </c>
      <c r="AG9841" s="2">
        <f ca="1"/>
        <v>0.15019567974550485</v>
      </c>
      <c r="AH9841" s="2" t="str">
        <f ca="1"/>
        <v>OK</v>
      </c>
    </row>
    <row r="9842" spans="2:34" x14ac:dyDescent="0.2">
      <c r="B9842" s="2">
        <f ca="1"/>
        <v>0.30341908281536134</v>
      </c>
      <c r="O9842" s="2">
        <f ca="1"/>
        <v>-1.2761153205220512</v>
      </c>
      <c r="X9842" s="2">
        <f ca="1"/>
        <v>63.802604361573749</v>
      </c>
      <c r="AG9842" s="2">
        <f ca="1"/>
        <v>0.71636157004816803</v>
      </c>
      <c r="AH9842" s="2" t="str">
        <f ca="1"/>
        <v>Bad</v>
      </c>
    </row>
    <row r="9843" spans="2:34" x14ac:dyDescent="0.2">
      <c r="B9843" s="2">
        <f ca="1"/>
        <v>0.10270167477216097</v>
      </c>
      <c r="O9843" s="2">
        <f ca="1"/>
        <v>0.39586764410864489</v>
      </c>
      <c r="X9843" s="2">
        <f ca="1"/>
        <v>49.10937914057434</v>
      </c>
      <c r="AG9843" s="2">
        <f ca="1"/>
        <v>0.68649294384115933</v>
      </c>
      <c r="AH9843" s="2" t="str">
        <f ca="1"/>
        <v>Bad</v>
      </c>
    </row>
    <row r="9844" spans="2:34" x14ac:dyDescent="0.2">
      <c r="B9844" s="2">
        <f ca="1"/>
        <v>0.20879029758748135</v>
      </c>
      <c r="O9844" s="2">
        <f ca="1"/>
        <v>0.23101522935229338</v>
      </c>
      <c r="X9844" s="2">
        <f ca="1"/>
        <v>80.566904514847153</v>
      </c>
      <c r="AG9844" s="2">
        <f ca="1"/>
        <v>0.37607343580342056</v>
      </c>
      <c r="AH9844" s="2" t="str">
        <f ca="1"/>
        <v>OK</v>
      </c>
    </row>
    <row r="9845" spans="2:34" x14ac:dyDescent="0.2">
      <c r="B9845" s="2">
        <f ca="1"/>
        <v>0.62783665375556952</v>
      </c>
      <c r="O9845" s="2">
        <f ca="1"/>
        <v>-2.2866235798523111</v>
      </c>
      <c r="X9845" s="2">
        <f ca="1"/>
        <v>57.077622624828336</v>
      </c>
      <c r="AG9845" s="2">
        <f ca="1"/>
        <v>0.10329962151521133</v>
      </c>
      <c r="AH9845" s="2" t="str">
        <f ca="1"/>
        <v>OK</v>
      </c>
    </row>
    <row r="9846" spans="2:34" x14ac:dyDescent="0.2">
      <c r="B9846" s="2">
        <f ca="1"/>
        <v>0.69456077976757702</v>
      </c>
      <c r="O9846" s="2">
        <f ca="1"/>
        <v>-1.6719014503045675</v>
      </c>
      <c r="X9846" s="2">
        <f ca="1"/>
        <v>54.440877999631674</v>
      </c>
      <c r="AG9846" s="2">
        <f ca="1"/>
        <v>0.49443076684408149</v>
      </c>
      <c r="AH9846" s="2" t="str">
        <f ca="1"/>
        <v>Bad</v>
      </c>
    </row>
    <row r="9847" spans="2:34" x14ac:dyDescent="0.2">
      <c r="B9847" s="2">
        <f ca="1"/>
        <v>0.50017991121802186</v>
      </c>
      <c r="O9847" s="2">
        <f ca="1"/>
        <v>-0.73969540484325291</v>
      </c>
      <c r="X9847" s="2">
        <f ca="1"/>
        <v>30.878714787132431</v>
      </c>
      <c r="AG9847" s="2">
        <f ca="1"/>
        <v>0.47003183336168308</v>
      </c>
      <c r="AH9847" s="2" t="str">
        <f ca="1"/>
        <v>Bad</v>
      </c>
    </row>
    <row r="9848" spans="2:34" x14ac:dyDescent="0.2">
      <c r="B9848" s="2">
        <f ca="1"/>
        <v>0.57768261158656009</v>
      </c>
      <c r="O9848" s="2">
        <f ca="1"/>
        <v>0.20520017367095209</v>
      </c>
      <c r="X9848" s="2">
        <f ca="1"/>
        <v>61.894197749141007</v>
      </c>
      <c r="AG9848" s="2">
        <f ca="1"/>
        <v>0.74256970287086843</v>
      </c>
      <c r="AH9848" s="2" t="str">
        <f ca="1"/>
        <v>Bad</v>
      </c>
    </row>
    <row r="9849" spans="2:34" x14ac:dyDescent="0.2">
      <c r="B9849" s="2">
        <f ca="1"/>
        <v>0.6286684224593726</v>
      </c>
      <c r="O9849" s="2">
        <f ca="1"/>
        <v>-1.5492475333630975</v>
      </c>
      <c r="X9849" s="2">
        <f ca="1"/>
        <v>66.298602608977163</v>
      </c>
      <c r="AG9849" s="2">
        <f ca="1"/>
        <v>0.95068734149943523</v>
      </c>
      <c r="AH9849" s="2" t="str">
        <f ca="1"/>
        <v>Bad</v>
      </c>
    </row>
    <row r="9850" spans="2:34" x14ac:dyDescent="0.2">
      <c r="B9850" s="2">
        <f ca="1"/>
        <v>0.59501094103509944</v>
      </c>
      <c r="O9850" s="2">
        <f ca="1"/>
        <v>0.25221272137886752</v>
      </c>
      <c r="X9850" s="2">
        <f ca="1"/>
        <v>46.308571497430037</v>
      </c>
      <c r="AG9850" s="2">
        <f ca="1"/>
        <v>0.96328350562100384</v>
      </c>
      <c r="AH9850" s="2" t="str">
        <f ca="1"/>
        <v>Bad</v>
      </c>
    </row>
    <row r="9851" spans="2:34" x14ac:dyDescent="0.2">
      <c r="B9851" s="2">
        <f ca="1"/>
        <v>0.10188812249192503</v>
      </c>
      <c r="O9851" s="2">
        <f ca="1"/>
        <v>-7.2568967268255097E-2</v>
      </c>
      <c r="X9851" s="2">
        <f ca="1"/>
        <v>44.722279069238922</v>
      </c>
      <c r="AG9851" s="2">
        <f ca="1"/>
        <v>0.54497411357774816</v>
      </c>
      <c r="AH9851" s="2" t="str">
        <f ca="1"/>
        <v>Bad</v>
      </c>
    </row>
    <row r="9852" spans="2:34" x14ac:dyDescent="0.2">
      <c r="B9852" s="2">
        <f ca="1"/>
        <v>0.11797060894910194</v>
      </c>
      <c r="O9852" s="2">
        <f ca="1"/>
        <v>0.15540096549204233</v>
      </c>
      <c r="X9852" s="2">
        <f ca="1"/>
        <v>62.658984350703761</v>
      </c>
      <c r="AG9852" s="2">
        <f ca="1"/>
        <v>0.91376397249771513</v>
      </c>
      <c r="AH9852" s="2" t="str">
        <f ca="1"/>
        <v>Bad</v>
      </c>
    </row>
    <row r="9853" spans="2:34" x14ac:dyDescent="0.2">
      <c r="B9853" s="2">
        <f ca="1"/>
        <v>0.12427479022892429</v>
      </c>
      <c r="O9853" s="2">
        <f ca="1"/>
        <v>-4.9576837449561824E-2</v>
      </c>
      <c r="X9853" s="2">
        <f ca="1"/>
        <v>32.734499131482018</v>
      </c>
      <c r="AG9853" s="2">
        <f ca="1"/>
        <v>0.35737275694739301</v>
      </c>
      <c r="AH9853" s="2" t="str">
        <f ca="1"/>
        <v>OK</v>
      </c>
    </row>
    <row r="9854" spans="2:34" x14ac:dyDescent="0.2">
      <c r="B9854" s="2">
        <f ca="1"/>
        <v>0.53700342330964856</v>
      </c>
      <c r="O9854" s="2">
        <f ca="1"/>
        <v>1.0573289385721187</v>
      </c>
      <c r="X9854" s="2">
        <f ca="1"/>
        <v>53.565048462755968</v>
      </c>
      <c r="AG9854" s="2">
        <f ca="1"/>
        <v>0.43314132881498835</v>
      </c>
      <c r="AH9854" s="2" t="str">
        <f ca="1"/>
        <v>Bad</v>
      </c>
    </row>
    <row r="9855" spans="2:34" x14ac:dyDescent="0.2">
      <c r="B9855" s="2">
        <f ca="1"/>
        <v>0.46229001065377373</v>
      </c>
      <c r="O9855" s="2">
        <f ca="1"/>
        <v>1.0245366866206396</v>
      </c>
      <c r="X9855" s="2">
        <f ca="1"/>
        <v>48.313918373051365</v>
      </c>
      <c r="AG9855" s="2">
        <f ca="1"/>
        <v>0.28273038330838607</v>
      </c>
      <c r="AH9855" s="2" t="str">
        <f ca="1"/>
        <v>OK</v>
      </c>
    </row>
    <row r="9856" spans="2:34" x14ac:dyDescent="0.2">
      <c r="B9856" s="2">
        <f ca="1"/>
        <v>0.93740149772842529</v>
      </c>
      <c r="O9856" s="2">
        <f ca="1"/>
        <v>-1.0033494988648224</v>
      </c>
      <c r="X9856" s="2">
        <f ca="1"/>
        <v>41.770800240679648</v>
      </c>
      <c r="AG9856" s="2">
        <f ca="1"/>
        <v>0.27012842045136032</v>
      </c>
      <c r="AH9856" s="2" t="str">
        <f ca="1"/>
        <v>OK</v>
      </c>
    </row>
    <row r="9857" spans="2:34" x14ac:dyDescent="0.2">
      <c r="B9857" s="2">
        <f ca="1"/>
        <v>0.15333663923943575</v>
      </c>
      <c r="O9857" s="2">
        <f ca="1"/>
        <v>-0.77709735134852265</v>
      </c>
      <c r="X9857" s="2">
        <f ca="1"/>
        <v>43.02021521869424</v>
      </c>
      <c r="AG9857" s="2">
        <f ca="1"/>
        <v>0.83948579030943637</v>
      </c>
      <c r="AH9857" s="2" t="str">
        <f ca="1"/>
        <v>Bad</v>
      </c>
    </row>
    <row r="9858" spans="2:34" x14ac:dyDescent="0.2">
      <c r="B9858" s="2">
        <f ca="1"/>
        <v>0.68668093972591393</v>
      </c>
      <c r="O9858" s="2">
        <f ca="1"/>
        <v>-2.3787898941875483</v>
      </c>
      <c r="X9858" s="2">
        <f ca="1"/>
        <v>87.241920669482354</v>
      </c>
      <c r="AG9858" s="2">
        <f ca="1"/>
        <v>0.47202251074695067</v>
      </c>
      <c r="AH9858" s="2" t="str">
        <f ca="1"/>
        <v>Bad</v>
      </c>
    </row>
    <row r="9859" spans="2:34" x14ac:dyDescent="0.2">
      <c r="B9859" s="2">
        <f ca="1"/>
        <v>0.96332555744357862</v>
      </c>
      <c r="O9859" s="2">
        <f ca="1"/>
        <v>1.1938868005228536</v>
      </c>
      <c r="X9859" s="2">
        <f ca="1"/>
        <v>56.72807304318119</v>
      </c>
      <c r="AG9859" s="2">
        <f ca="1"/>
        <v>0.31621475556397738</v>
      </c>
      <c r="AH9859" s="2" t="str">
        <f ca="1"/>
        <v>OK</v>
      </c>
    </row>
    <row r="9860" spans="2:34" x14ac:dyDescent="0.2">
      <c r="B9860" s="2">
        <f ca="1"/>
        <v>0.46132715348276743</v>
      </c>
      <c r="O9860" s="2">
        <f ca="1"/>
        <v>-0.55014474735092422</v>
      </c>
      <c r="X9860" s="2">
        <f ca="1"/>
        <v>45.400210987256543</v>
      </c>
      <c r="AG9860" s="2">
        <f ca="1"/>
        <v>0.72867380309962737</v>
      </c>
      <c r="AH9860" s="2" t="str">
        <f ca="1"/>
        <v>Bad</v>
      </c>
    </row>
    <row r="9861" spans="2:34" x14ac:dyDescent="0.2">
      <c r="B9861" s="2">
        <f ca="1"/>
        <v>0.26283814687387297</v>
      </c>
      <c r="O9861" s="2">
        <f ca="1"/>
        <v>-1.2946479861042224</v>
      </c>
      <c r="X9861" s="2">
        <f ca="1"/>
        <v>34.274666048866479</v>
      </c>
      <c r="AG9861" s="2">
        <f ca="1"/>
        <v>0.17582711889028091</v>
      </c>
      <c r="AH9861" s="2" t="str">
        <f ca="1"/>
        <v>OK</v>
      </c>
    </row>
    <row r="9862" spans="2:34" x14ac:dyDescent="0.2">
      <c r="B9862" s="2">
        <f ca="1"/>
        <v>0.72845393714667672</v>
      </c>
      <c r="O9862" s="2">
        <f ca="1"/>
        <v>9.0714071846507177E-2</v>
      </c>
      <c r="X9862" s="2">
        <f ca="1"/>
        <v>70.84940375944187</v>
      </c>
      <c r="AG9862" s="2">
        <f ca="1"/>
        <v>0.76366377071452551</v>
      </c>
      <c r="AH9862" s="2" t="str">
        <f ca="1"/>
        <v>Bad</v>
      </c>
    </row>
    <row r="9863" spans="2:34" x14ac:dyDescent="0.2">
      <c r="B9863" s="2">
        <f ca="1"/>
        <v>0.87745500426464185</v>
      </c>
      <c r="O9863" s="2">
        <f ca="1"/>
        <v>-0.62744062665004385</v>
      </c>
      <c r="X9863" s="2">
        <f ca="1"/>
        <v>65.21917226643717</v>
      </c>
      <c r="AG9863" s="2">
        <f ca="1"/>
        <v>0.79193616044063586</v>
      </c>
      <c r="AH9863" s="2" t="str">
        <f ca="1"/>
        <v>Bad</v>
      </c>
    </row>
    <row r="9864" spans="2:34" x14ac:dyDescent="0.2">
      <c r="B9864" s="2">
        <f ca="1"/>
        <v>0.84868374483529685</v>
      </c>
      <c r="O9864" s="2">
        <f ca="1"/>
        <v>-2.3100120187280791E-4</v>
      </c>
      <c r="X9864" s="2">
        <f ca="1"/>
        <v>25.08038122722326</v>
      </c>
      <c r="AG9864" s="2">
        <f ca="1"/>
        <v>0.13953206676665775</v>
      </c>
      <c r="AH9864" s="2" t="str">
        <f ca="1"/>
        <v>OK</v>
      </c>
    </row>
    <row r="9865" spans="2:34" x14ac:dyDescent="0.2">
      <c r="B9865" s="2">
        <f ca="1"/>
        <v>0.71803647242234603</v>
      </c>
      <c r="O9865" s="2">
        <f ca="1"/>
        <v>-0.6315143738918142</v>
      </c>
      <c r="X9865" s="2">
        <f ca="1"/>
        <v>51.988359953547338</v>
      </c>
      <c r="AG9865" s="2">
        <f ca="1"/>
        <v>0.60179243231396584</v>
      </c>
      <c r="AH9865" s="2" t="str">
        <f ca="1"/>
        <v>Bad</v>
      </c>
    </row>
    <row r="9866" spans="2:34" x14ac:dyDescent="0.2">
      <c r="B9866" s="2">
        <f ca="1"/>
        <v>0.86693088289118192</v>
      </c>
      <c r="O9866" s="2">
        <f ca="1"/>
        <v>1.4977339162241614</v>
      </c>
      <c r="X9866" s="2">
        <f ca="1"/>
        <v>50.371737295431615</v>
      </c>
      <c r="AG9866" s="2">
        <f ca="1"/>
        <v>0.68085502435367995</v>
      </c>
      <c r="AH9866" s="2" t="str">
        <f ca="1"/>
        <v>Bad</v>
      </c>
    </row>
    <row r="9867" spans="2:34" x14ac:dyDescent="0.2">
      <c r="B9867" s="2">
        <f ca="1"/>
        <v>0.84630919606920241</v>
      </c>
      <c r="O9867" s="2">
        <f ca="1"/>
        <v>-1.034030877944675</v>
      </c>
      <c r="X9867" s="2">
        <f ca="1"/>
        <v>56.325233916446493</v>
      </c>
      <c r="AG9867" s="2">
        <f ca="1"/>
        <v>0.99230577920465768</v>
      </c>
      <c r="AH9867" s="2" t="str">
        <f ca="1"/>
        <v>Bad</v>
      </c>
    </row>
    <row r="9868" spans="2:34" x14ac:dyDescent="0.2">
      <c r="B9868" s="2">
        <f ca="1"/>
        <v>0.16664987321825397</v>
      </c>
      <c r="O9868" s="2">
        <f ca="1"/>
        <v>0.50577821643178766</v>
      </c>
      <c r="X9868" s="2">
        <f ca="1"/>
        <v>51.192508192688194</v>
      </c>
      <c r="AG9868" s="2">
        <f ca="1"/>
        <v>0.30052520805165384</v>
      </c>
      <c r="AH9868" s="2" t="str">
        <f ca="1"/>
        <v>OK</v>
      </c>
    </row>
    <row r="9869" spans="2:34" x14ac:dyDescent="0.2">
      <c r="B9869" s="2">
        <f ca="1"/>
        <v>0.40793389421876447</v>
      </c>
      <c r="O9869" s="2">
        <f ca="1"/>
        <v>0.86246717462209355</v>
      </c>
      <c r="X9869" s="2">
        <f ca="1"/>
        <v>37.815346627793886</v>
      </c>
      <c r="AG9869" s="2">
        <f ca="1"/>
        <v>0.16018762006348641</v>
      </c>
      <c r="AH9869" s="2" t="str">
        <f ca="1"/>
        <v>OK</v>
      </c>
    </row>
    <row r="9870" spans="2:34" x14ac:dyDescent="0.2">
      <c r="B9870" s="2">
        <f ca="1"/>
        <v>0.68923210790618428</v>
      </c>
      <c r="O9870" s="2">
        <f ca="1"/>
        <v>0.11363889295178763</v>
      </c>
      <c r="X9870" s="2">
        <f ca="1"/>
        <v>43.465990552672579</v>
      </c>
      <c r="AG9870" s="2">
        <f ca="1"/>
        <v>0.48792768220078586</v>
      </c>
      <c r="AH9870" s="2" t="str">
        <f ca="1"/>
        <v>Bad</v>
      </c>
    </row>
    <row r="9871" spans="2:34" x14ac:dyDescent="0.2">
      <c r="B9871" s="2">
        <f ca="1"/>
        <v>0.54545251598063338</v>
      </c>
      <c r="O9871" s="2">
        <f ca="1"/>
        <v>-1.2304186107659536</v>
      </c>
      <c r="X9871" s="2">
        <f ca="1"/>
        <v>52.951009466886987</v>
      </c>
      <c r="AG9871" s="2">
        <f ca="1"/>
        <v>0.79772609383564874</v>
      </c>
      <c r="AH9871" s="2" t="str">
        <f ca="1"/>
        <v>Bad</v>
      </c>
    </row>
    <row r="9872" spans="2:34" x14ac:dyDescent="0.2">
      <c r="B9872" s="2">
        <f ca="1"/>
        <v>0.87575084668304459</v>
      </c>
      <c r="O9872" s="2">
        <f ca="1"/>
        <v>0.29857399520380729</v>
      </c>
      <c r="X9872" s="2">
        <f ca="1"/>
        <v>27.750259928667553</v>
      </c>
      <c r="AG9872" s="2">
        <f ca="1"/>
        <v>0.83175719220972821</v>
      </c>
      <c r="AH9872" s="2" t="str">
        <f ca="1"/>
        <v>Bad</v>
      </c>
    </row>
    <row r="9873" spans="2:34" x14ac:dyDescent="0.2">
      <c r="B9873" s="2">
        <f ca="1"/>
        <v>0.25267139764931423</v>
      </c>
      <c r="O9873" s="2">
        <f ca="1"/>
        <v>-0.60330008091595921</v>
      </c>
      <c r="X9873" s="2">
        <f ca="1"/>
        <v>55.538652849530152</v>
      </c>
      <c r="AG9873" s="2">
        <f ca="1"/>
        <v>0.52552992872361814</v>
      </c>
      <c r="AH9873" s="2" t="str">
        <f ca="1"/>
        <v>Bad</v>
      </c>
    </row>
    <row r="9874" spans="2:34" x14ac:dyDescent="0.2">
      <c r="B9874" s="2">
        <f ca="1"/>
        <v>0.71830365326275714</v>
      </c>
      <c r="O9874" s="2">
        <f ca="1"/>
        <v>0.34688790630627009</v>
      </c>
      <c r="X9874" s="2">
        <f ca="1"/>
        <v>31.977436026646934</v>
      </c>
      <c r="AG9874" s="2">
        <f ca="1"/>
        <v>0.23735712600922021</v>
      </c>
      <c r="AH9874" s="2" t="str">
        <f ca="1"/>
        <v>OK</v>
      </c>
    </row>
    <row r="9875" spans="2:34" x14ac:dyDescent="0.2">
      <c r="B9875" s="2">
        <f ca="1"/>
        <v>0.11261902281608349</v>
      </c>
      <c r="O9875" s="2">
        <f ca="1"/>
        <v>-0.22490338398417242</v>
      </c>
      <c r="X9875" s="2">
        <f ca="1"/>
        <v>31.043315593237729</v>
      </c>
      <c r="AG9875" s="2">
        <f ca="1"/>
        <v>0.47186489063954662</v>
      </c>
      <c r="AH9875" s="2" t="str">
        <f ca="1"/>
        <v>Bad</v>
      </c>
    </row>
    <row r="9876" spans="2:34" x14ac:dyDescent="0.2">
      <c r="B9876" s="2">
        <f ca="1"/>
        <v>0.72852220178494331</v>
      </c>
      <c r="O9876" s="2">
        <f ca="1"/>
        <v>0.54801325665984346</v>
      </c>
      <c r="X9876" s="2">
        <f ca="1"/>
        <v>81.901718878468216</v>
      </c>
      <c r="AG9876" s="2">
        <f ca="1"/>
        <v>0.8916834545079253</v>
      </c>
      <c r="AH9876" s="2" t="str">
        <f ca="1"/>
        <v>Bad</v>
      </c>
    </row>
    <row r="9877" spans="2:34" x14ac:dyDescent="0.2">
      <c r="B9877" s="2">
        <f ca="1"/>
        <v>4.0089985448526155E-2</v>
      </c>
      <c r="O9877" s="2">
        <f ca="1"/>
        <v>0.49149046911896233</v>
      </c>
      <c r="X9877" s="2">
        <f ca="1"/>
        <v>64.343680050295873</v>
      </c>
      <c r="AG9877" s="2">
        <f ca="1"/>
        <v>0.8541231142137693</v>
      </c>
      <c r="AH9877" s="2" t="str">
        <f ca="1"/>
        <v>Bad</v>
      </c>
    </row>
    <row r="9878" spans="2:34" x14ac:dyDescent="0.2">
      <c r="B9878" s="2">
        <f ca="1"/>
        <v>0.41214301831137479</v>
      </c>
      <c r="O9878" s="2">
        <f ca="1"/>
        <v>0.1961350462122643</v>
      </c>
      <c r="X9878" s="2">
        <f ca="1"/>
        <v>52.247984916879631</v>
      </c>
      <c r="AG9878" s="2">
        <f ca="1"/>
        <v>0.69363857375253057</v>
      </c>
      <c r="AH9878" s="2" t="str">
        <f ca="1"/>
        <v>Bad</v>
      </c>
    </row>
    <row r="9879" spans="2:34" x14ac:dyDescent="0.2">
      <c r="B9879" s="2">
        <f ca="1"/>
        <v>0.91244090588406945</v>
      </c>
      <c r="O9879" s="2">
        <f ca="1"/>
        <v>0.25005397761830589</v>
      </c>
      <c r="X9879" s="2">
        <f ca="1"/>
        <v>45.316086644644578</v>
      </c>
      <c r="AG9879" s="2">
        <f ca="1"/>
        <v>0.94371958411304235</v>
      </c>
      <c r="AH9879" s="2" t="str">
        <f ca="1"/>
        <v>Bad</v>
      </c>
    </row>
    <row r="9880" spans="2:34" x14ac:dyDescent="0.2">
      <c r="B9880" s="2">
        <f ca="1"/>
        <v>0.9184891607325032</v>
      </c>
      <c r="O9880" s="2">
        <f ca="1"/>
        <v>0.54777734855147264</v>
      </c>
      <c r="X9880" s="2">
        <f ca="1"/>
        <v>20.245479119373599</v>
      </c>
      <c r="AG9880" s="2">
        <f ca="1"/>
        <v>0.95390135820387001</v>
      </c>
      <c r="AH9880" s="2" t="str">
        <f ca="1"/>
        <v>Bad</v>
      </c>
    </row>
    <row r="9881" spans="2:34" x14ac:dyDescent="0.2">
      <c r="B9881" s="2">
        <f ca="1"/>
        <v>0.2446987285324369</v>
      </c>
      <c r="O9881" s="2">
        <f ca="1"/>
        <v>1.9081533569509643</v>
      </c>
      <c r="X9881" s="2">
        <f ca="1"/>
        <v>41.710687824976056</v>
      </c>
      <c r="AG9881" s="2">
        <f ca="1"/>
        <v>0.49824068834472102</v>
      </c>
      <c r="AH9881" s="2" t="str">
        <f ca="1"/>
        <v>Bad</v>
      </c>
    </row>
    <row r="9882" spans="2:34" x14ac:dyDescent="0.2">
      <c r="B9882" s="2">
        <f ca="1"/>
        <v>6.1350758937228633E-2</v>
      </c>
      <c r="O9882" s="2">
        <f ca="1"/>
        <v>9.6504491054719435E-2</v>
      </c>
      <c r="X9882" s="2">
        <f ca="1"/>
        <v>32.883507816285828</v>
      </c>
      <c r="AG9882" s="2">
        <f ca="1"/>
        <v>0.58244614848100462</v>
      </c>
      <c r="AH9882" s="2" t="str">
        <f ca="1"/>
        <v>Bad</v>
      </c>
    </row>
    <row r="9883" spans="2:34" x14ac:dyDescent="0.2">
      <c r="B9883" s="2">
        <f ca="1"/>
        <v>0.74724894881915715</v>
      </c>
      <c r="O9883" s="2">
        <f ca="1"/>
        <v>-0.84742857029512564</v>
      </c>
      <c r="X9883" s="2">
        <f ca="1"/>
        <v>47.125419401236215</v>
      </c>
      <c r="AG9883" s="2">
        <f ca="1"/>
        <v>0.79138717637457567</v>
      </c>
      <c r="AH9883" s="2" t="str">
        <f ca="1"/>
        <v>Bad</v>
      </c>
    </row>
    <row r="9884" spans="2:34" x14ac:dyDescent="0.2">
      <c r="B9884" s="2">
        <f ca="1"/>
        <v>0.58301280857220106</v>
      </c>
      <c r="O9884" s="2">
        <f ca="1"/>
        <v>1.0422433768018711</v>
      </c>
      <c r="X9884" s="2">
        <f ca="1"/>
        <v>49.228108632638993</v>
      </c>
      <c r="AG9884" s="2">
        <f ca="1"/>
        <v>0.96227471109826346</v>
      </c>
      <c r="AH9884" s="2" t="str">
        <f ca="1"/>
        <v>Bad</v>
      </c>
    </row>
    <row r="9885" spans="2:34" x14ac:dyDescent="0.2">
      <c r="B9885" s="2">
        <f ca="1"/>
        <v>0.94718536968944678</v>
      </c>
      <c r="O9885" s="2">
        <f ca="1"/>
        <v>-1.3100434035185078</v>
      </c>
      <c r="X9885" s="2">
        <f ca="1"/>
        <v>79.478749495261539</v>
      </c>
      <c r="AG9885" s="2">
        <f ca="1"/>
        <v>0.66977834610009812</v>
      </c>
      <c r="AH9885" s="2" t="str">
        <f ca="1"/>
        <v>Bad</v>
      </c>
    </row>
    <row r="9886" spans="2:34" x14ac:dyDescent="0.2">
      <c r="B9886" s="2">
        <f ca="1"/>
        <v>0.95312445864898931</v>
      </c>
      <c r="O9886" s="2">
        <f ca="1"/>
        <v>-0.6664795381872316</v>
      </c>
      <c r="X9886" s="2">
        <f ca="1"/>
        <v>31.443955984338317</v>
      </c>
      <c r="AG9886" s="2">
        <f ca="1"/>
        <v>0.37771690630125687</v>
      </c>
      <c r="AH9886" s="2" t="str">
        <f ca="1"/>
        <v>OK</v>
      </c>
    </row>
    <row r="9887" spans="2:34" x14ac:dyDescent="0.2">
      <c r="B9887" s="2">
        <f ca="1"/>
        <v>0.25691083430503103</v>
      </c>
      <c r="O9887" s="2">
        <f ca="1"/>
        <v>0.7391654173110952</v>
      </c>
      <c r="X9887" s="2">
        <f ca="1"/>
        <v>49.423160483931682</v>
      </c>
      <c r="AG9887" s="2">
        <f ca="1"/>
        <v>0.93723094441853227</v>
      </c>
      <c r="AH9887" s="2" t="str">
        <f ca="1"/>
        <v>Bad</v>
      </c>
    </row>
    <row r="9888" spans="2:34" x14ac:dyDescent="0.2">
      <c r="B9888" s="2">
        <f ca="1"/>
        <v>0.65311089963468039</v>
      </c>
      <c r="O9888" s="2">
        <f ca="1"/>
        <v>-0.19957635064162008</v>
      </c>
      <c r="X9888" s="2">
        <f ca="1"/>
        <v>23.213613198003994</v>
      </c>
      <c r="AG9888" s="2">
        <f ca="1"/>
        <v>0.98615010891781463</v>
      </c>
      <c r="AH9888" s="2" t="str">
        <f ca="1"/>
        <v>Bad</v>
      </c>
    </row>
    <row r="9889" spans="2:34" x14ac:dyDescent="0.2">
      <c r="B9889" s="2">
        <f ca="1"/>
        <v>0.6384425701152765</v>
      </c>
      <c r="O9889" s="2">
        <f ca="1"/>
        <v>-0.9423146915741899</v>
      </c>
      <c r="X9889" s="2">
        <f ca="1"/>
        <v>44.290652528508623</v>
      </c>
      <c r="AG9889" s="2">
        <f ca="1"/>
        <v>0.20256042086547166</v>
      </c>
      <c r="AH9889" s="2" t="str">
        <f ca="1"/>
        <v>OK</v>
      </c>
    </row>
    <row r="9890" spans="2:34" x14ac:dyDescent="0.2">
      <c r="B9890" s="2">
        <f ca="1"/>
        <v>0.64901460094351315</v>
      </c>
      <c r="O9890" s="2">
        <f ca="1"/>
        <v>0.83653596504816652</v>
      </c>
      <c r="X9890" s="2">
        <f ca="1"/>
        <v>40.197644294454733</v>
      </c>
      <c r="AG9890" s="2">
        <f ca="1"/>
        <v>0.88192613036425627</v>
      </c>
      <c r="AH9890" s="2" t="str">
        <f ca="1"/>
        <v>Bad</v>
      </c>
    </row>
    <row r="9891" spans="2:34" x14ac:dyDescent="0.2">
      <c r="B9891" s="2">
        <f ca="1"/>
        <v>0.24039521741816339</v>
      </c>
      <c r="O9891" s="2">
        <f ca="1"/>
        <v>7.1904187670381065E-2</v>
      </c>
      <c r="X9891" s="2">
        <f ca="1"/>
        <v>46.802913487980291</v>
      </c>
      <c r="AG9891" s="2">
        <f ca="1"/>
        <v>0.22727179283440324</v>
      </c>
      <c r="AH9891" s="2" t="str">
        <f ca="1"/>
        <v>OK</v>
      </c>
    </row>
    <row r="9892" spans="2:34" x14ac:dyDescent="0.2">
      <c r="B9892" s="2">
        <f ca="1"/>
        <v>8.6623762085071832E-3</v>
      </c>
      <c r="O9892" s="2">
        <f ca="1"/>
        <v>0.6196559909638909</v>
      </c>
      <c r="X9892" s="2">
        <f ca="1"/>
        <v>43.237600973609517</v>
      </c>
      <c r="AG9892" s="2">
        <f ca="1"/>
        <v>0.28598347347739272</v>
      </c>
      <c r="AH9892" s="2" t="str">
        <f ca="1"/>
        <v>OK</v>
      </c>
    </row>
    <row r="9893" spans="2:34" x14ac:dyDescent="0.2">
      <c r="B9893" s="2">
        <f ca="1"/>
        <v>0.52790752654611728</v>
      </c>
      <c r="O9893" s="2">
        <f ca="1"/>
        <v>0.38963281242255104</v>
      </c>
      <c r="X9893" s="2">
        <f ca="1"/>
        <v>38.164904155503393</v>
      </c>
      <c r="AG9893" s="2">
        <f ca="1"/>
        <v>0.4777085565821384</v>
      </c>
      <c r="AH9893" s="2" t="str">
        <f ca="1"/>
        <v>Bad</v>
      </c>
    </row>
    <row r="9894" spans="2:34" x14ac:dyDescent="0.2">
      <c r="B9894" s="2">
        <f ca="1"/>
        <v>0.18809666678275883</v>
      </c>
      <c r="O9894" s="2">
        <f ca="1"/>
        <v>0.78710075634107302</v>
      </c>
      <c r="X9894" s="2">
        <f ca="1"/>
        <v>39.484973104968965</v>
      </c>
      <c r="AG9894" s="2">
        <f ca="1"/>
        <v>0.12651044761735664</v>
      </c>
      <c r="AH9894" s="2" t="str">
        <f ca="1"/>
        <v>OK</v>
      </c>
    </row>
    <row r="9895" spans="2:34" x14ac:dyDescent="0.2">
      <c r="B9895" s="2">
        <f ca="1"/>
        <v>0.9517036824390217</v>
      </c>
      <c r="O9895" s="2">
        <f ca="1"/>
        <v>-0.95706717692102106</v>
      </c>
      <c r="X9895" s="2">
        <f ca="1"/>
        <v>24.915876358878574</v>
      </c>
      <c r="AG9895" s="2">
        <f ca="1"/>
        <v>0.95032875625791857</v>
      </c>
      <c r="AH9895" s="2" t="str">
        <f ca="1"/>
        <v>Bad</v>
      </c>
    </row>
    <row r="9896" spans="2:34" x14ac:dyDescent="0.2">
      <c r="B9896" s="2">
        <f ca="1"/>
        <v>3.0982897011852195E-2</v>
      </c>
      <c r="O9896" s="2">
        <f ca="1"/>
        <v>-0.18329403553946405</v>
      </c>
      <c r="X9896" s="2">
        <f ca="1"/>
        <v>92.805138816213855</v>
      </c>
      <c r="AG9896" s="2">
        <f ca="1"/>
        <v>0.85308880813996457</v>
      </c>
      <c r="AH9896" s="2" t="str">
        <f ca="1"/>
        <v>Bad</v>
      </c>
    </row>
    <row r="9897" spans="2:34" x14ac:dyDescent="0.2">
      <c r="B9897" s="2">
        <f ca="1"/>
        <v>1.9033813448929404E-2</v>
      </c>
      <c r="O9897" s="2">
        <f ca="1"/>
        <v>-0.2979039537790884</v>
      </c>
      <c r="X9897" s="2">
        <f ca="1"/>
        <v>43.667515982779356</v>
      </c>
      <c r="AG9897" s="2">
        <f ca="1"/>
        <v>3.1868443497726551E-2</v>
      </c>
      <c r="AH9897" s="2" t="str">
        <f ca="1"/>
        <v>Good</v>
      </c>
    </row>
    <row r="9898" spans="2:34" x14ac:dyDescent="0.2">
      <c r="B9898" s="2">
        <f ca="1"/>
        <v>0.33307025871317797</v>
      </c>
      <c r="O9898" s="2">
        <f ca="1"/>
        <v>-1.7123674883555786</v>
      </c>
      <c r="X9898" s="2">
        <f ca="1"/>
        <v>29.063909916560888</v>
      </c>
      <c r="AG9898" s="2">
        <f ca="1"/>
        <v>0.18674092158749089</v>
      </c>
      <c r="AH9898" s="2" t="str">
        <f ca="1"/>
        <v>OK</v>
      </c>
    </row>
    <row r="9899" spans="2:34" x14ac:dyDescent="0.2">
      <c r="B9899" s="2">
        <f ca="1"/>
        <v>9.9190946867460772E-2</v>
      </c>
      <c r="O9899" s="2">
        <f ca="1"/>
        <v>-1.4550250039729731</v>
      </c>
      <c r="X9899" s="2">
        <f ca="1"/>
        <v>61.524164344284898</v>
      </c>
      <c r="AG9899" s="2">
        <f ca="1"/>
        <v>0.65738826901480718</v>
      </c>
      <c r="AH9899" s="2" t="str">
        <f ca="1"/>
        <v>Bad</v>
      </c>
    </row>
    <row r="9900" spans="2:34" x14ac:dyDescent="0.2">
      <c r="B9900" s="2">
        <f ca="1"/>
        <v>0.49329306430486897</v>
      </c>
      <c r="O9900" s="2">
        <f ca="1"/>
        <v>0.35254901648690556</v>
      </c>
      <c r="X9900" s="2">
        <f ca="1"/>
        <v>31.500681210336939</v>
      </c>
      <c r="AG9900" s="2">
        <f ca="1"/>
        <v>0.86698755490954604</v>
      </c>
      <c r="AH9900" s="2" t="str">
        <f ca="1"/>
        <v>Bad</v>
      </c>
    </row>
    <row r="9901" spans="2:34" x14ac:dyDescent="0.2">
      <c r="B9901" s="2">
        <f ca="1"/>
        <v>0.34727571723957751</v>
      </c>
      <c r="O9901" s="2">
        <f ca="1"/>
        <v>0.60058616606110482</v>
      </c>
      <c r="X9901" s="2">
        <f ca="1"/>
        <v>25.548659807514689</v>
      </c>
      <c r="AG9901" s="2">
        <f ca="1"/>
        <v>0.60608734657464103</v>
      </c>
      <c r="AH9901" s="2" t="str">
        <f ca="1"/>
        <v>Bad</v>
      </c>
    </row>
    <row r="9902" spans="2:34" x14ac:dyDescent="0.2">
      <c r="B9902" s="2">
        <f ca="1"/>
        <v>0.84695219992793525</v>
      </c>
      <c r="O9902" s="2">
        <f ca="1"/>
        <v>2.4383037592947909</v>
      </c>
      <c r="X9902" s="2">
        <f ca="1"/>
        <v>62.800890371682065</v>
      </c>
      <c r="AG9902" s="2">
        <f ca="1"/>
        <v>0.33056292569403189</v>
      </c>
      <c r="AH9902" s="2" t="str">
        <f ca="1"/>
        <v>OK</v>
      </c>
    </row>
    <row r="9903" spans="2:34" x14ac:dyDescent="0.2">
      <c r="B9903" s="2">
        <f ca="1"/>
        <v>0.96654943462373555</v>
      </c>
      <c r="O9903" s="2">
        <f ca="1"/>
        <v>8.8528744286975741E-3</v>
      </c>
      <c r="X9903" s="2">
        <f ca="1"/>
        <v>88.908787819737668</v>
      </c>
      <c r="AG9903" s="2">
        <f ca="1"/>
        <v>0.8342405114356235</v>
      </c>
      <c r="AH9903" s="2" t="str">
        <f ca="1"/>
        <v>Bad</v>
      </c>
    </row>
    <row r="9904" spans="2:34" x14ac:dyDescent="0.2">
      <c r="B9904" s="2">
        <f ca="1"/>
        <v>0.70977161866619221</v>
      </c>
      <c r="O9904" s="2">
        <f ca="1"/>
        <v>0.81356440706428479</v>
      </c>
      <c r="X9904" s="2">
        <f ca="1"/>
        <v>42.851092288802199</v>
      </c>
      <c r="AG9904" s="2">
        <f ca="1"/>
        <v>0.7231885704665022</v>
      </c>
      <c r="AH9904" s="2" t="str">
        <f ca="1"/>
        <v>Bad</v>
      </c>
    </row>
    <row r="9905" spans="2:34" x14ac:dyDescent="0.2">
      <c r="B9905" s="2">
        <f ca="1"/>
        <v>0.59041298164808009</v>
      </c>
      <c r="O9905" s="2">
        <f ca="1"/>
        <v>-0.95781196963194837</v>
      </c>
      <c r="X9905" s="2">
        <f ca="1"/>
        <v>32.401254814889391</v>
      </c>
      <c r="AG9905" s="2">
        <f ca="1"/>
        <v>0.86659060139802402</v>
      </c>
      <c r="AH9905" s="2" t="str">
        <f ca="1"/>
        <v>Bad</v>
      </c>
    </row>
    <row r="9906" spans="2:34" x14ac:dyDescent="0.2">
      <c r="B9906" s="2">
        <f ca="1"/>
        <v>0.43653200241672474</v>
      </c>
      <c r="O9906" s="2">
        <f ca="1"/>
        <v>-0.63952828961134967</v>
      </c>
      <c r="X9906" s="2">
        <f ca="1"/>
        <v>45.129622635105591</v>
      </c>
      <c r="AG9906" s="2">
        <f ca="1"/>
        <v>0.35788751411858089</v>
      </c>
      <c r="AH9906" s="2" t="str">
        <f ca="1"/>
        <v>OK</v>
      </c>
    </row>
    <row r="9907" spans="2:34" x14ac:dyDescent="0.2">
      <c r="B9907" s="2">
        <f ca="1"/>
        <v>0.93650300379811724</v>
      </c>
      <c r="O9907" s="2">
        <f ca="1"/>
        <v>-1.762382617069562</v>
      </c>
      <c r="X9907" s="2">
        <f ca="1"/>
        <v>57.164594171077894</v>
      </c>
      <c r="AG9907" s="2">
        <f ca="1"/>
        <v>0.48938033528676983</v>
      </c>
      <c r="AH9907" s="2" t="str">
        <f ca="1"/>
        <v>Bad</v>
      </c>
    </row>
    <row r="9908" spans="2:34" x14ac:dyDescent="0.2">
      <c r="B9908" s="2">
        <f ca="1"/>
        <v>5.3454856999544997E-2</v>
      </c>
      <c r="O9908" s="2">
        <f ca="1"/>
        <v>-2.1761153262292123</v>
      </c>
      <c r="X9908" s="2">
        <f ca="1"/>
        <v>20.625406097706875</v>
      </c>
      <c r="AG9908" s="2">
        <f ca="1"/>
        <v>0.2875516592141194</v>
      </c>
      <c r="AH9908" s="2" t="str">
        <f ca="1"/>
        <v>OK</v>
      </c>
    </row>
    <row r="9909" spans="2:34" x14ac:dyDescent="0.2">
      <c r="B9909" s="2">
        <f ca="1"/>
        <v>0.34265419718839074</v>
      </c>
      <c r="O9909" s="2">
        <f ca="1"/>
        <v>0.22955861849906931</v>
      </c>
      <c r="X9909" s="2">
        <f ca="1"/>
        <v>44.462484906036089</v>
      </c>
      <c r="AG9909" s="2">
        <f ca="1"/>
        <v>0.38450156980227712</v>
      </c>
      <c r="AH9909" s="2" t="str">
        <f ca="1"/>
        <v>OK</v>
      </c>
    </row>
    <row r="9910" spans="2:34" x14ac:dyDescent="0.2">
      <c r="B9910" s="2">
        <f ca="1"/>
        <v>0.19858699524846579</v>
      </c>
      <c r="O9910" s="2">
        <f ca="1"/>
        <v>0.20627179874622445</v>
      </c>
      <c r="X9910" s="2">
        <f ca="1"/>
        <v>53.146501774912565</v>
      </c>
      <c r="AG9910" s="2">
        <f ca="1"/>
        <v>0.39110075556716883</v>
      </c>
      <c r="AH9910" s="2" t="str">
        <f ca="1"/>
        <v>OK</v>
      </c>
    </row>
    <row r="9911" spans="2:34" x14ac:dyDescent="0.2">
      <c r="B9911" s="2">
        <f ca="1"/>
        <v>0.6288827611597374</v>
      </c>
      <c r="O9911" s="2">
        <f ca="1"/>
        <v>-1.1385921312654661</v>
      </c>
      <c r="X9911" s="2">
        <f ca="1"/>
        <v>51.650531752657827</v>
      </c>
      <c r="AG9911" s="2">
        <f ca="1"/>
        <v>2.0786575728530821E-3</v>
      </c>
      <c r="AH9911" s="2" t="str">
        <f ca="1"/>
        <v>Good</v>
      </c>
    </row>
    <row r="9912" spans="2:34" x14ac:dyDescent="0.2">
      <c r="B9912" s="2">
        <f ca="1"/>
        <v>0.37899947452307359</v>
      </c>
      <c r="O9912" s="2">
        <f ca="1"/>
        <v>-0.45322365517786151</v>
      </c>
      <c r="X9912" s="2">
        <f ca="1"/>
        <v>48.438686133706469</v>
      </c>
      <c r="AG9912" s="2">
        <f ca="1"/>
        <v>0.61503258769032088</v>
      </c>
      <c r="AH9912" s="2" t="str">
        <f ca="1"/>
        <v>Bad</v>
      </c>
    </row>
    <row r="9913" spans="2:34" x14ac:dyDescent="0.2">
      <c r="B9913" s="2">
        <f ca="1"/>
        <v>0.90683436446332499</v>
      </c>
      <c r="O9913" s="2">
        <f ca="1"/>
        <v>1.0091558509572551</v>
      </c>
      <c r="X9913" s="2">
        <f ca="1"/>
        <v>62.906173807051424</v>
      </c>
      <c r="AG9913" s="2">
        <f ca="1"/>
        <v>0.29903272395152092</v>
      </c>
      <c r="AH9913" s="2" t="str">
        <f ca="1"/>
        <v>OK</v>
      </c>
    </row>
    <row r="9914" spans="2:34" x14ac:dyDescent="0.2">
      <c r="B9914" s="2">
        <f ca="1"/>
        <v>0.6546171195810746</v>
      </c>
      <c r="O9914" s="2">
        <f ca="1"/>
        <v>-1.157873894417371</v>
      </c>
      <c r="X9914" s="2">
        <f ca="1"/>
        <v>45.200313230438816</v>
      </c>
      <c r="AG9914" s="2">
        <f ca="1"/>
        <v>0.81980281407153766</v>
      </c>
      <c r="AH9914" s="2" t="str">
        <f ca="1"/>
        <v>Bad</v>
      </c>
    </row>
    <row r="9915" spans="2:34" x14ac:dyDescent="0.2">
      <c r="B9915" s="2">
        <f ca="1"/>
        <v>0.22559440682838727</v>
      </c>
      <c r="O9915" s="2">
        <f ca="1"/>
        <v>1.0214307362700981</v>
      </c>
      <c r="X9915" s="2">
        <f ca="1"/>
        <v>30.918712489142528</v>
      </c>
      <c r="AG9915" s="2">
        <f ca="1"/>
        <v>0.7345949126781075</v>
      </c>
      <c r="AH9915" s="2" t="str">
        <f ca="1"/>
        <v>Bad</v>
      </c>
    </row>
    <row r="9916" spans="2:34" x14ac:dyDescent="0.2">
      <c r="B9916" s="2">
        <f ca="1"/>
        <v>0.59328778147359595</v>
      </c>
      <c r="O9916" s="2">
        <f ca="1"/>
        <v>0.370863747563488</v>
      </c>
      <c r="X9916" s="2">
        <f ca="1"/>
        <v>65.886127787605801</v>
      </c>
      <c r="AG9916" s="2">
        <f ca="1"/>
        <v>7.1174619504317027E-2</v>
      </c>
      <c r="AH9916" s="2" t="str">
        <f ca="1"/>
        <v>OK</v>
      </c>
    </row>
    <row r="9917" spans="2:34" x14ac:dyDescent="0.2">
      <c r="B9917" s="2">
        <f ca="1"/>
        <v>0.94461145468667462</v>
      </c>
      <c r="O9917" s="2">
        <f ca="1"/>
        <v>2.6256077540772389</v>
      </c>
      <c r="X9917" s="2">
        <f ca="1"/>
        <v>36.482141197637553</v>
      </c>
      <c r="AG9917" s="2">
        <f ca="1"/>
        <v>4.834039223861053E-2</v>
      </c>
      <c r="AH9917" s="2" t="str">
        <f ca="1"/>
        <v>Good</v>
      </c>
    </row>
    <row r="9918" spans="2:34" x14ac:dyDescent="0.2">
      <c r="B9918" s="2">
        <f ca="1"/>
        <v>1.1553439644788277E-2</v>
      </c>
      <c r="O9918" s="2">
        <f ca="1"/>
        <v>0.10423549753521004</v>
      </c>
      <c r="X9918" s="2">
        <f ca="1"/>
        <v>38.846772681833116</v>
      </c>
      <c r="AG9918" s="2">
        <f ca="1"/>
        <v>0.5382299424548842</v>
      </c>
      <c r="AH9918" s="2" t="str">
        <f ca="1"/>
        <v>Bad</v>
      </c>
    </row>
    <row r="9919" spans="2:34" x14ac:dyDescent="0.2">
      <c r="B9919" s="2">
        <f ca="1"/>
        <v>6.4807697028874234E-2</v>
      </c>
      <c r="O9919" s="2">
        <f ca="1"/>
        <v>0.14785300715125801</v>
      </c>
      <c r="X9919" s="2">
        <f ca="1"/>
        <v>58.387498768234394</v>
      </c>
      <c r="AG9919" s="2">
        <f ca="1"/>
        <v>0.22081509138404321</v>
      </c>
      <c r="AH9919" s="2" t="str">
        <f ca="1"/>
        <v>OK</v>
      </c>
    </row>
    <row r="9920" spans="2:34" x14ac:dyDescent="0.2">
      <c r="B9920" s="2">
        <f ca="1"/>
        <v>0.12974281694439238</v>
      </c>
      <c r="O9920" s="2">
        <f ca="1"/>
        <v>0.36918585033122325</v>
      </c>
      <c r="X9920" s="2">
        <f ca="1"/>
        <v>69.026277304818763</v>
      </c>
      <c r="AG9920" s="2">
        <f ca="1"/>
        <v>0.83466631091550458</v>
      </c>
      <c r="AH9920" s="2" t="str">
        <f ca="1"/>
        <v>Bad</v>
      </c>
    </row>
    <row r="9921" spans="2:34" x14ac:dyDescent="0.2">
      <c r="B9921" s="2">
        <f ca="1"/>
        <v>0.97012681852688298</v>
      </c>
      <c r="O9921" s="2">
        <f ca="1"/>
        <v>0.35455543707436254</v>
      </c>
      <c r="X9921" s="2">
        <f ca="1"/>
        <v>54.13278537968165</v>
      </c>
      <c r="AG9921" s="2">
        <f ca="1"/>
        <v>5.5887865763337929E-2</v>
      </c>
      <c r="AH9921" s="2" t="str">
        <f ca="1"/>
        <v>OK</v>
      </c>
    </row>
    <row r="9922" spans="2:34" x14ac:dyDescent="0.2">
      <c r="B9922" s="2">
        <f ca="1"/>
        <v>0.46304283434255389</v>
      </c>
      <c r="O9922" s="2">
        <f ca="1"/>
        <v>0.72509841718185131</v>
      </c>
      <c r="X9922" s="2">
        <f ca="1"/>
        <v>65.391210617496967</v>
      </c>
      <c r="AG9922" s="2">
        <f ca="1"/>
        <v>0.44504832459449939</v>
      </c>
      <c r="AH9922" s="2" t="str">
        <f ca="1"/>
        <v>Bad</v>
      </c>
    </row>
    <row r="9923" spans="2:34" x14ac:dyDescent="0.2">
      <c r="B9923" s="2">
        <f ca="1"/>
        <v>0.98884369007226192</v>
      </c>
      <c r="O9923" s="2">
        <f ca="1"/>
        <v>-1.0663174616650908</v>
      </c>
      <c r="X9923" s="2">
        <f ca="1"/>
        <v>68.891256188232148</v>
      </c>
      <c r="AG9923" s="2">
        <f ca="1"/>
        <v>0.15944122918899106</v>
      </c>
      <c r="AH9923" s="2" t="str">
        <f ca="1"/>
        <v>OK</v>
      </c>
    </row>
    <row r="9924" spans="2:34" x14ac:dyDescent="0.2">
      <c r="B9924" s="2">
        <f ca="1"/>
        <v>0.564154737376932</v>
      </c>
      <c r="O9924" s="2">
        <f ca="1"/>
        <v>-0.22094508372107127</v>
      </c>
      <c r="X9924" s="2">
        <f ca="1"/>
        <v>47.259767540460089</v>
      </c>
      <c r="AG9924" s="2">
        <f ca="1"/>
        <v>0.64999012228975106</v>
      </c>
      <c r="AH9924" s="2" t="str">
        <f ca="1"/>
        <v>Bad</v>
      </c>
    </row>
    <row r="9925" spans="2:34" x14ac:dyDescent="0.2">
      <c r="B9925" s="2">
        <f ca="1"/>
        <v>0.37080806980133163</v>
      </c>
      <c r="O9925" s="2">
        <f ca="1"/>
        <v>-1.1915900111154822</v>
      </c>
      <c r="X9925" s="2">
        <f ca="1"/>
        <v>51.16232262862448</v>
      </c>
      <c r="AG9925" s="2">
        <f ca="1"/>
        <v>0.64567820195589576</v>
      </c>
      <c r="AH9925" s="2" t="str">
        <f ca="1"/>
        <v>Bad</v>
      </c>
    </row>
    <row r="9926" spans="2:34" x14ac:dyDescent="0.2">
      <c r="B9926" s="2">
        <f ca="1"/>
        <v>0.82122495977361809</v>
      </c>
      <c r="O9926" s="2">
        <f ca="1"/>
        <v>-0.30640371705946623</v>
      </c>
      <c r="X9926" s="2">
        <f ca="1"/>
        <v>37.412845138088414</v>
      </c>
      <c r="AG9926" s="2">
        <f ca="1"/>
        <v>0.78442052769586268</v>
      </c>
      <c r="AH9926" s="2" t="str">
        <f ca="1"/>
        <v>Bad</v>
      </c>
    </row>
    <row r="9927" spans="2:34" x14ac:dyDescent="0.2">
      <c r="B9927" s="2">
        <f ca="1"/>
        <v>0.50246076948384633</v>
      </c>
      <c r="O9927" s="2">
        <f ca="1"/>
        <v>-1.9101322960909233</v>
      </c>
      <c r="X9927" s="2">
        <f ca="1"/>
        <v>46.780690256976179</v>
      </c>
      <c r="AG9927" s="2">
        <f ca="1"/>
        <v>7.8755529874550145E-2</v>
      </c>
      <c r="AH9927" s="2" t="str">
        <f ca="1"/>
        <v>OK</v>
      </c>
    </row>
    <row r="9928" spans="2:34" x14ac:dyDescent="0.2">
      <c r="B9928" s="2">
        <f ca="1"/>
        <v>0.92576810952953248</v>
      </c>
      <c r="O9928" s="2">
        <f ca="1"/>
        <v>-0.56051565534919934</v>
      </c>
      <c r="X9928" s="2">
        <f ca="1"/>
        <v>70.885628406842727</v>
      </c>
      <c r="AG9928" s="2">
        <f ca="1"/>
        <v>9.3967790011354912E-2</v>
      </c>
      <c r="AH9928" s="2" t="str">
        <f ca="1"/>
        <v>OK</v>
      </c>
    </row>
    <row r="9929" spans="2:34" x14ac:dyDescent="0.2">
      <c r="B9929" s="2">
        <f ca="1"/>
        <v>0.11761280665220775</v>
      </c>
      <c r="O9929" s="2">
        <f ca="1"/>
        <v>-1.1135658138866145</v>
      </c>
      <c r="X9929" s="2">
        <f ca="1"/>
        <v>56.131961143400744</v>
      </c>
      <c r="AG9929" s="2">
        <f ca="1"/>
        <v>6.3787921152953952E-2</v>
      </c>
      <c r="AH9929" s="2" t="str">
        <f ca="1"/>
        <v>OK</v>
      </c>
    </row>
    <row r="9930" spans="2:34" x14ac:dyDescent="0.2">
      <c r="B9930" s="2">
        <f ca="1"/>
        <v>0.36755243229951851</v>
      </c>
      <c r="O9930" s="2">
        <f ca="1"/>
        <v>0.25821248619313908</v>
      </c>
      <c r="X9930" s="2">
        <f ca="1"/>
        <v>36.672891857840362</v>
      </c>
      <c r="AG9930" s="2">
        <f ca="1"/>
        <v>0.38949169248214921</v>
      </c>
      <c r="AH9930" s="2" t="str">
        <f ca="1"/>
        <v>OK</v>
      </c>
    </row>
    <row r="9931" spans="2:34" x14ac:dyDescent="0.2">
      <c r="B9931" s="2">
        <f ca="1"/>
        <v>0.20531944129737933</v>
      </c>
      <c r="O9931" s="2">
        <f ca="1"/>
        <v>-0.71784430201639893</v>
      </c>
      <c r="X9931" s="2">
        <f ca="1"/>
        <v>30.635780480360037</v>
      </c>
      <c r="AG9931" s="2">
        <f ca="1"/>
        <v>0.46713591352236894</v>
      </c>
      <c r="AH9931" s="2" t="str">
        <f ca="1"/>
        <v>Bad</v>
      </c>
    </row>
    <row r="9932" spans="2:34" x14ac:dyDescent="0.2">
      <c r="B9932" s="2">
        <f ca="1"/>
        <v>0.86988980358946666</v>
      </c>
      <c r="O9932" s="2">
        <f ca="1"/>
        <v>-0.31127144482109476</v>
      </c>
      <c r="X9932" s="2">
        <f ca="1"/>
        <v>33.623455352637087</v>
      </c>
      <c r="AG9932" s="2">
        <f ca="1"/>
        <v>0.68274651778548923</v>
      </c>
      <c r="AH9932" s="2" t="str">
        <f ca="1"/>
        <v>Bad</v>
      </c>
    </row>
    <row r="9933" spans="2:34" x14ac:dyDescent="0.2">
      <c r="B9933" s="2">
        <f ca="1"/>
        <v>0.43160558699139084</v>
      </c>
      <c r="O9933" s="2">
        <f ca="1"/>
        <v>-0.21034211063784164</v>
      </c>
      <c r="X9933" s="2">
        <f ca="1"/>
        <v>31.179043726192823</v>
      </c>
      <c r="AG9933" s="2">
        <f ca="1"/>
        <v>0.5236107623124735</v>
      </c>
      <c r="AH9933" s="2" t="str">
        <f ca="1"/>
        <v>Bad</v>
      </c>
    </row>
    <row r="9934" spans="2:34" x14ac:dyDescent="0.2">
      <c r="B9934" s="2">
        <f ca="1"/>
        <v>2.3160702302365666E-2</v>
      </c>
      <c r="O9934" s="2">
        <f ca="1"/>
        <v>-0.9997810606578158</v>
      </c>
      <c r="X9934" s="2">
        <f ca="1"/>
        <v>40.714085079667612</v>
      </c>
      <c r="AG9934" s="2">
        <f ca="1"/>
        <v>0.68092614312645217</v>
      </c>
      <c r="AH9934" s="2" t="str">
        <f ca="1"/>
        <v>Bad</v>
      </c>
    </row>
    <row r="9935" spans="2:34" x14ac:dyDescent="0.2">
      <c r="B9935" s="2">
        <f ca="1"/>
        <v>1.9847704953496192E-2</v>
      </c>
      <c r="O9935" s="2">
        <f ca="1"/>
        <v>0.89971700161647239</v>
      </c>
      <c r="X9935" s="2">
        <f ca="1"/>
        <v>60.802760189631485</v>
      </c>
      <c r="AG9935" s="2">
        <f ca="1"/>
        <v>0.66912874845818626</v>
      </c>
      <c r="AH9935" s="2" t="str">
        <f ca="1"/>
        <v>Bad</v>
      </c>
    </row>
    <row r="9936" spans="2:34" x14ac:dyDescent="0.2">
      <c r="B9936" s="2">
        <f ca="1"/>
        <v>0.43051672894146353</v>
      </c>
      <c r="O9936" s="2">
        <f ca="1"/>
        <v>6.1777099498404583E-2</v>
      </c>
      <c r="X9936" s="2">
        <f ca="1"/>
        <v>74.945648152405667</v>
      </c>
      <c r="AG9936" s="2">
        <f ca="1"/>
        <v>0.70719880857536821</v>
      </c>
      <c r="AH9936" s="2" t="str">
        <f ca="1"/>
        <v>Bad</v>
      </c>
    </row>
    <row r="9937" spans="2:34" x14ac:dyDescent="0.2">
      <c r="B9937" s="2">
        <f ca="1"/>
        <v>0.45753412804151172</v>
      </c>
      <c r="O9937" s="2">
        <f ca="1"/>
        <v>0.53131897818123375</v>
      </c>
      <c r="X9937" s="2">
        <f ca="1"/>
        <v>53.953456429878202</v>
      </c>
      <c r="AG9937" s="2">
        <f ca="1"/>
        <v>0.39148797343074748</v>
      </c>
      <c r="AH9937" s="2" t="str">
        <f ca="1"/>
        <v>OK</v>
      </c>
    </row>
    <row r="9938" spans="2:34" x14ac:dyDescent="0.2">
      <c r="B9938" s="2">
        <f ca="1"/>
        <v>0.64384170052426226</v>
      </c>
      <c r="O9938" s="2">
        <f ca="1"/>
        <v>0.62376842286385292</v>
      </c>
      <c r="X9938" s="2">
        <f ca="1"/>
        <v>58.720670812255911</v>
      </c>
      <c r="AG9938" s="2">
        <f ca="1"/>
        <v>0.13353319454074875</v>
      </c>
      <c r="AH9938" s="2" t="str">
        <f ca="1"/>
        <v>OK</v>
      </c>
    </row>
    <row r="9939" spans="2:34" x14ac:dyDescent="0.2">
      <c r="B9939" s="2">
        <f ca="1"/>
        <v>0.18590598059553809</v>
      </c>
      <c r="O9939" s="2">
        <f ca="1"/>
        <v>0.15899756778473526</v>
      </c>
      <c r="X9939" s="2">
        <f ca="1"/>
        <v>49.216434610453391</v>
      </c>
      <c r="AG9939" s="2">
        <f ca="1"/>
        <v>5.8939369576582301E-2</v>
      </c>
      <c r="AH9939" s="2" t="str">
        <f ca="1"/>
        <v>OK</v>
      </c>
    </row>
    <row r="9940" spans="2:34" x14ac:dyDescent="0.2">
      <c r="B9940" s="2">
        <f ca="1"/>
        <v>3.5491236260514203E-2</v>
      </c>
      <c r="O9940" s="2">
        <f ca="1"/>
        <v>0.24392127140477013</v>
      </c>
      <c r="X9940" s="2">
        <f ca="1"/>
        <v>58.004852129701554</v>
      </c>
      <c r="AG9940" s="2">
        <f ca="1"/>
        <v>0.63943901579881257</v>
      </c>
      <c r="AH9940" s="2" t="str">
        <f ca="1"/>
        <v>Bad</v>
      </c>
    </row>
    <row r="9941" spans="2:34" x14ac:dyDescent="0.2">
      <c r="B9941" s="2">
        <f ca="1"/>
        <v>0.92164558764714943</v>
      </c>
      <c r="O9941" s="2">
        <f ca="1"/>
        <v>0.73127990832305145</v>
      </c>
      <c r="X9941" s="2">
        <f ca="1"/>
        <v>27.16490319013699</v>
      </c>
      <c r="AG9941" s="2">
        <f ca="1"/>
        <v>2.4626368281298383E-2</v>
      </c>
      <c r="AH9941" s="2" t="str">
        <f ca="1"/>
        <v>Good</v>
      </c>
    </row>
    <row r="9942" spans="2:34" x14ac:dyDescent="0.2">
      <c r="B9942" s="2">
        <f ca="1"/>
        <v>0.76856836927249672</v>
      </c>
      <c r="O9942" s="2">
        <f ca="1"/>
        <v>-0.23222898676208215</v>
      </c>
      <c r="X9942" s="2">
        <f ca="1"/>
        <v>46.667455861521667</v>
      </c>
      <c r="AG9942" s="2">
        <f ca="1"/>
        <v>0.35844364795233896</v>
      </c>
      <c r="AH9942" s="2" t="str">
        <f ca="1"/>
        <v>OK</v>
      </c>
    </row>
    <row r="9943" spans="2:34" x14ac:dyDescent="0.2">
      <c r="B9943" s="2">
        <f ca="1"/>
        <v>0.39667057865928901</v>
      </c>
      <c r="O9943" s="2">
        <f ca="1"/>
        <v>-1.6804555430937904</v>
      </c>
      <c r="X9943" s="2">
        <f ca="1"/>
        <v>59.663702181177555</v>
      </c>
      <c r="AG9943" s="2">
        <f ca="1"/>
        <v>0.41041411565843355</v>
      </c>
      <c r="AH9943" s="2" t="str">
        <f ca="1"/>
        <v>Bad</v>
      </c>
    </row>
    <row r="9944" spans="2:34" x14ac:dyDescent="0.2">
      <c r="B9944" s="2">
        <f ca="1"/>
        <v>6.5222299879681422E-3</v>
      </c>
      <c r="O9944" s="2">
        <f ca="1"/>
        <v>-0.59993894148108184</v>
      </c>
      <c r="X9944" s="2">
        <f ca="1"/>
        <v>28.957420861728686</v>
      </c>
      <c r="AG9944" s="2">
        <f ca="1"/>
        <v>0.73021156122984832</v>
      </c>
      <c r="AH9944" s="2" t="str">
        <f ca="1"/>
        <v>Bad</v>
      </c>
    </row>
    <row r="9945" spans="2:34" x14ac:dyDescent="0.2">
      <c r="B9945" s="2">
        <f ca="1"/>
        <v>6.2185850262757025E-2</v>
      </c>
      <c r="O9945" s="2">
        <f ca="1"/>
        <v>0.64265853785179583</v>
      </c>
      <c r="X9945" s="2">
        <f ca="1"/>
        <v>41.965873678328933</v>
      </c>
      <c r="AG9945" s="2">
        <f ca="1"/>
        <v>0.18070216984957654</v>
      </c>
      <c r="AH9945" s="2" t="str">
        <f ca="1"/>
        <v>OK</v>
      </c>
    </row>
    <row r="9946" spans="2:34" x14ac:dyDescent="0.2">
      <c r="B9946" s="2">
        <f ca="1"/>
        <v>0.55321348900076583</v>
      </c>
      <c r="O9946" s="2">
        <f ca="1"/>
        <v>0.45822423413756219</v>
      </c>
      <c r="X9946" s="2">
        <f ca="1"/>
        <v>54.238636990315932</v>
      </c>
      <c r="AG9946" s="2">
        <f ca="1"/>
        <v>0.55091604616414824</v>
      </c>
      <c r="AH9946" s="2" t="str">
        <f ca="1"/>
        <v>Bad</v>
      </c>
    </row>
    <row r="9947" spans="2:34" x14ac:dyDescent="0.2">
      <c r="B9947" s="2">
        <f ca="1"/>
        <v>0.2746396848413275</v>
      </c>
      <c r="O9947" s="2">
        <f ca="1"/>
        <v>0.65672835198031587</v>
      </c>
      <c r="X9947" s="2">
        <f ca="1"/>
        <v>66.573742233437628</v>
      </c>
      <c r="AG9947" s="2">
        <f ca="1"/>
        <v>0.77516243856749822</v>
      </c>
      <c r="AH9947" s="2" t="str">
        <f ca="1"/>
        <v>Bad</v>
      </c>
    </row>
    <row r="9948" spans="2:34" x14ac:dyDescent="0.2">
      <c r="B9948" s="2">
        <f ca="1"/>
        <v>5.2014551820786403E-2</v>
      </c>
      <c r="O9948" s="2">
        <f ca="1"/>
        <v>0.69934118560890035</v>
      </c>
      <c r="X9948" s="2">
        <f ca="1"/>
        <v>45.909760515301969</v>
      </c>
      <c r="AG9948" s="2">
        <f ca="1"/>
        <v>0.94872438820036908</v>
      </c>
      <c r="AH9948" s="2" t="str">
        <f ca="1"/>
        <v>Bad</v>
      </c>
    </row>
    <row r="9949" spans="2:34" x14ac:dyDescent="0.2">
      <c r="B9949" s="2">
        <f ca="1"/>
        <v>0.93435861814163856</v>
      </c>
      <c r="O9949" s="2">
        <f ca="1"/>
        <v>0.39403138860902309</v>
      </c>
      <c r="X9949" s="2">
        <f ca="1"/>
        <v>58.064017263373259</v>
      </c>
      <c r="AG9949" s="2">
        <f ca="1"/>
        <v>0.24720056777237831</v>
      </c>
      <c r="AH9949" s="2" t="str">
        <f ca="1"/>
        <v>OK</v>
      </c>
    </row>
    <row r="9950" spans="2:34" x14ac:dyDescent="0.2">
      <c r="B9950" s="2">
        <f ca="1"/>
        <v>0.85791026721325903</v>
      </c>
      <c r="O9950" s="2">
        <f ca="1"/>
        <v>0.10020523991179775</v>
      </c>
      <c r="X9950" s="2">
        <f ca="1"/>
        <v>61.250311414051055</v>
      </c>
      <c r="AG9950" s="2">
        <f ca="1"/>
        <v>0.68991355337268501</v>
      </c>
      <c r="AH9950" s="2" t="str">
        <f ca="1"/>
        <v>Bad</v>
      </c>
    </row>
    <row r="9951" spans="2:34" x14ac:dyDescent="0.2">
      <c r="B9951" s="2">
        <f ca="1"/>
        <v>0.99293874946287053</v>
      </c>
      <c r="O9951" s="2">
        <f ca="1"/>
        <v>-3.7670882235800798E-2</v>
      </c>
      <c r="X9951" s="2">
        <f ca="1"/>
        <v>52.448755181100893</v>
      </c>
      <c r="AG9951" s="2">
        <f ca="1"/>
        <v>0.22874763192220615</v>
      </c>
      <c r="AH9951" s="2" t="str">
        <f ca="1"/>
        <v>OK</v>
      </c>
    </row>
    <row r="9952" spans="2:34" x14ac:dyDescent="0.2">
      <c r="B9952" s="2">
        <f ca="1"/>
        <v>0.72504093059056052</v>
      </c>
      <c r="O9952" s="2">
        <f ca="1"/>
        <v>-4.7949813068796095E-2</v>
      </c>
      <c r="X9952" s="2">
        <f ca="1"/>
        <v>36.213971522369505</v>
      </c>
      <c r="AG9952" s="2">
        <f ca="1"/>
        <v>0.71713710691770105</v>
      </c>
      <c r="AH9952" s="2" t="str">
        <f ca="1"/>
        <v>Bad</v>
      </c>
    </row>
    <row r="9953" spans="2:34" x14ac:dyDescent="0.2">
      <c r="B9953" s="2">
        <f ca="1"/>
        <v>0.11887928377778589</v>
      </c>
      <c r="O9953" s="2">
        <f ca="1"/>
        <v>-1.1981180845442443</v>
      </c>
      <c r="X9953" s="2">
        <f ca="1"/>
        <v>70.429723958968765</v>
      </c>
      <c r="AG9953" s="2">
        <f ca="1"/>
        <v>0.31631039761030832</v>
      </c>
      <c r="AH9953" s="2" t="str">
        <f ca="1"/>
        <v>OK</v>
      </c>
    </row>
    <row r="9954" spans="2:34" x14ac:dyDescent="0.2">
      <c r="B9954" s="2">
        <f ca="1"/>
        <v>0.67168593199831994</v>
      </c>
      <c r="O9954" s="2">
        <f ca="1"/>
        <v>0.76508103152994544</v>
      </c>
      <c r="X9954" s="2">
        <f ca="1"/>
        <v>74.187652380518458</v>
      </c>
      <c r="AG9954" s="2">
        <f ca="1"/>
        <v>0.56785785449447523</v>
      </c>
      <c r="AH9954" s="2" t="str">
        <f ca="1"/>
        <v>Bad</v>
      </c>
    </row>
    <row r="9955" spans="2:34" x14ac:dyDescent="0.2">
      <c r="B9955" s="2">
        <f ca="1"/>
        <v>0.88281434689488414</v>
      </c>
      <c r="O9955" s="2">
        <f ca="1"/>
        <v>-0.28097581258194937</v>
      </c>
      <c r="X9955" s="2">
        <f ca="1"/>
        <v>80.665771756222796</v>
      </c>
      <c r="AG9955" s="2">
        <f ca="1"/>
        <v>0.15961698805000779</v>
      </c>
      <c r="AH9955" s="2" t="str">
        <f ca="1"/>
        <v>OK</v>
      </c>
    </row>
    <row r="9956" spans="2:34" x14ac:dyDescent="0.2">
      <c r="B9956" s="2">
        <f ca="1"/>
        <v>0.68148983717535616</v>
      </c>
      <c r="O9956" s="2">
        <f ca="1"/>
        <v>0.13411164370787623</v>
      </c>
      <c r="X9956" s="2">
        <f ca="1"/>
        <v>40.58040748152365</v>
      </c>
      <c r="AG9956" s="2">
        <f ca="1"/>
        <v>0.65837060423569005</v>
      </c>
      <c r="AH9956" s="2" t="str">
        <f ca="1"/>
        <v>Bad</v>
      </c>
    </row>
    <row r="9957" spans="2:34" x14ac:dyDescent="0.2">
      <c r="B9957" s="2">
        <f ca="1"/>
        <v>0.19825298606685071</v>
      </c>
      <c r="O9957" s="2">
        <f ca="1"/>
        <v>-1.0306242439337008</v>
      </c>
      <c r="X9957" s="2">
        <f ca="1"/>
        <v>22.556587324957277</v>
      </c>
      <c r="AG9957" s="2">
        <f ca="1"/>
        <v>6.7725396480113664E-2</v>
      </c>
      <c r="AH9957" s="2" t="str">
        <f ca="1"/>
        <v>OK</v>
      </c>
    </row>
    <row r="9958" spans="2:34" x14ac:dyDescent="0.2">
      <c r="B9958" s="2">
        <f ca="1"/>
        <v>0.190793093494251</v>
      </c>
      <c r="O9958" s="2">
        <f ca="1"/>
        <v>0.46435375218455799</v>
      </c>
      <c r="X9958" s="2">
        <f ca="1"/>
        <v>45.21033641305074</v>
      </c>
      <c r="AG9958" s="2">
        <f ca="1"/>
        <v>0.50698700655023043</v>
      </c>
      <c r="AH9958" s="2" t="str">
        <f ca="1"/>
        <v>Bad</v>
      </c>
    </row>
    <row r="9959" spans="2:34" x14ac:dyDescent="0.2">
      <c r="B9959" s="2">
        <f ca="1"/>
        <v>0.84912516733046051</v>
      </c>
      <c r="O9959" s="2">
        <f ca="1"/>
        <v>-0.18864551796972778</v>
      </c>
      <c r="X9959" s="2">
        <f ca="1"/>
        <v>30.672071653854562</v>
      </c>
      <c r="AG9959" s="2">
        <f ca="1"/>
        <v>0.1184433126414608</v>
      </c>
      <c r="AH9959" s="2" t="str">
        <f ca="1"/>
        <v>OK</v>
      </c>
    </row>
    <row r="9960" spans="2:34" x14ac:dyDescent="0.2">
      <c r="B9960" s="2">
        <f ca="1"/>
        <v>0.17891171482965995</v>
      </c>
      <c r="O9960" s="2">
        <f ca="1"/>
        <v>0.78490273836239821</v>
      </c>
      <c r="X9960" s="2">
        <f ca="1"/>
        <v>42.355039003563213</v>
      </c>
      <c r="AG9960" s="2">
        <f ca="1"/>
        <v>9.2901592858158688E-2</v>
      </c>
      <c r="AH9960" s="2" t="str">
        <f ca="1"/>
        <v>OK</v>
      </c>
    </row>
    <row r="9961" spans="2:34" x14ac:dyDescent="0.2">
      <c r="B9961" s="2">
        <f ca="1"/>
        <v>0.79544923263091527</v>
      </c>
      <c r="O9961" s="2">
        <f ca="1"/>
        <v>0.61390353460234381</v>
      </c>
      <c r="X9961" s="2">
        <f ca="1"/>
        <v>60.97325753897664</v>
      </c>
      <c r="AG9961" s="2">
        <f ca="1"/>
        <v>0.78327629395674658</v>
      </c>
      <c r="AH9961" s="2" t="str">
        <f ca="1"/>
        <v>Bad</v>
      </c>
    </row>
    <row r="9962" spans="2:34" x14ac:dyDescent="0.2">
      <c r="B9962" s="2">
        <f ca="1"/>
        <v>0.46984653522913833</v>
      </c>
      <c r="O9962" s="2">
        <f ca="1"/>
        <v>-1.9538084562156059</v>
      </c>
      <c r="X9962" s="2">
        <f ca="1"/>
        <v>47.655748581006577</v>
      </c>
      <c r="AG9962" s="2">
        <f ca="1"/>
        <v>0.60975813108945864</v>
      </c>
      <c r="AH9962" s="2" t="str">
        <f ca="1"/>
        <v>Bad</v>
      </c>
    </row>
    <row r="9963" spans="2:34" x14ac:dyDescent="0.2">
      <c r="B9963" s="2">
        <f ca="1"/>
        <v>5.2424715713266457E-2</v>
      </c>
      <c r="O9963" s="2">
        <f ca="1"/>
        <v>0.11327462791025233</v>
      </c>
      <c r="X9963" s="2">
        <f ca="1"/>
        <v>49.776949839196817</v>
      </c>
      <c r="AG9963" s="2">
        <f ca="1"/>
        <v>0.43819387945362287</v>
      </c>
      <c r="AH9963" s="2" t="str">
        <f ca="1"/>
        <v>Bad</v>
      </c>
    </row>
    <row r="9964" spans="2:34" x14ac:dyDescent="0.2">
      <c r="B9964" s="2">
        <f ca="1"/>
        <v>8.1165483977222674E-2</v>
      </c>
      <c r="O9964" s="2">
        <f ca="1"/>
        <v>-0.49375868368521836</v>
      </c>
      <c r="X9964" s="2">
        <f ca="1"/>
        <v>39.744125016212884</v>
      </c>
      <c r="AG9964" s="2">
        <f ca="1"/>
        <v>0.13522189749993396</v>
      </c>
      <c r="AH9964" s="2" t="str">
        <f ca="1"/>
        <v>OK</v>
      </c>
    </row>
    <row r="9965" spans="2:34" x14ac:dyDescent="0.2">
      <c r="B9965" s="2">
        <f ca="1"/>
        <v>0.68196775436879165</v>
      </c>
      <c r="O9965" s="2">
        <f ca="1"/>
        <v>9.579207633177364E-2</v>
      </c>
      <c r="X9965" s="2">
        <f ca="1"/>
        <v>44.513065047209523</v>
      </c>
      <c r="AG9965" s="2">
        <f ca="1"/>
        <v>0.88679056366386533</v>
      </c>
      <c r="AH9965" s="2" t="str">
        <f ca="1"/>
        <v>Bad</v>
      </c>
    </row>
    <row r="9966" spans="2:34" x14ac:dyDescent="0.2">
      <c r="B9966" s="2">
        <f ca="1"/>
        <v>0.42602264059251138</v>
      </c>
      <c r="O9966" s="2">
        <f ca="1"/>
        <v>-3.9516895761390752E-3</v>
      </c>
      <c r="X9966" s="2">
        <f ca="1"/>
        <v>39.499775824525905</v>
      </c>
      <c r="AG9966" s="2">
        <f ca="1"/>
        <v>0.82967204260175076</v>
      </c>
      <c r="AH9966" s="2" t="str">
        <f ca="1"/>
        <v>Bad</v>
      </c>
    </row>
    <row r="9967" spans="2:34" x14ac:dyDescent="0.2">
      <c r="B9967" s="2">
        <f ca="1"/>
        <v>0.22736389787940592</v>
      </c>
      <c r="O9967" s="2">
        <f ca="1"/>
        <v>-0.27176322075192361</v>
      </c>
      <c r="X9967" s="2">
        <f ca="1"/>
        <v>37.133071781363796</v>
      </c>
      <c r="AG9967" s="2">
        <f ca="1"/>
        <v>0.99486040642806195</v>
      </c>
      <c r="AH9967" s="2" t="str">
        <f ca="1"/>
        <v>Bad</v>
      </c>
    </row>
    <row r="9968" spans="2:34" x14ac:dyDescent="0.2">
      <c r="B9968" s="2">
        <f ca="1"/>
        <v>0.1389039523823421</v>
      </c>
      <c r="O9968" s="2">
        <f ca="1"/>
        <v>-1.12488558621312</v>
      </c>
      <c r="X9968" s="2">
        <f ca="1"/>
        <v>77.732588761686046</v>
      </c>
      <c r="AG9968" s="2">
        <f ca="1"/>
        <v>0.18032664864769843</v>
      </c>
      <c r="AH9968" s="2" t="str">
        <f ca="1"/>
        <v>OK</v>
      </c>
    </row>
    <row r="9969" spans="2:34" x14ac:dyDescent="0.2">
      <c r="B9969" s="2">
        <f ca="1"/>
        <v>0.4173093473021372</v>
      </c>
      <c r="O9969" s="2">
        <f ca="1"/>
        <v>-0.72079886834392026</v>
      </c>
      <c r="X9969" s="2">
        <f ca="1"/>
        <v>68.750884171926259</v>
      </c>
      <c r="AG9969" s="2">
        <f ca="1"/>
        <v>0.36491832057446794</v>
      </c>
      <c r="AH9969" s="2" t="str">
        <f ca="1"/>
        <v>OK</v>
      </c>
    </row>
    <row r="9970" spans="2:34" x14ac:dyDescent="0.2">
      <c r="B9970" s="2">
        <f ca="1"/>
        <v>0.43032602768851258</v>
      </c>
      <c r="O9970" s="2">
        <f ca="1"/>
        <v>-1.1983656692650544</v>
      </c>
      <c r="X9970" s="2">
        <f ca="1"/>
        <v>48.257357341688873</v>
      </c>
      <c r="AG9970" s="2">
        <f ca="1"/>
        <v>0.2741472628858701</v>
      </c>
      <c r="AH9970" s="2" t="str">
        <f ca="1"/>
        <v>OK</v>
      </c>
    </row>
    <row r="9971" spans="2:34" x14ac:dyDescent="0.2">
      <c r="B9971" s="2">
        <f ca="1"/>
        <v>0.15075861300035664</v>
      </c>
      <c r="O9971" s="2">
        <f ca="1"/>
        <v>-0.61112419247067429</v>
      </c>
      <c r="X9971" s="2">
        <f ca="1"/>
        <v>48.310777149148969</v>
      </c>
      <c r="AG9971" s="2">
        <f ca="1"/>
        <v>0.75994788338976771</v>
      </c>
      <c r="AH9971" s="2" t="str">
        <f ca="1"/>
        <v>Bad</v>
      </c>
    </row>
    <row r="9972" spans="2:34" x14ac:dyDescent="0.2">
      <c r="B9972" s="2">
        <f ca="1"/>
        <v>0.13948600217569695</v>
      </c>
      <c r="O9972" s="2">
        <f ca="1"/>
        <v>-0.18913432561244398</v>
      </c>
      <c r="X9972" s="2">
        <f ca="1"/>
        <v>39.912589075281502</v>
      </c>
      <c r="AG9972" s="2">
        <f ca="1"/>
        <v>0.35225149445569715</v>
      </c>
      <c r="AH9972" s="2" t="str">
        <f ca="1"/>
        <v>OK</v>
      </c>
    </row>
    <row r="9973" spans="2:34" x14ac:dyDescent="0.2">
      <c r="B9973" s="2">
        <f ca="1"/>
        <v>0.63870644611478333</v>
      </c>
      <c r="O9973" s="2">
        <f ca="1"/>
        <v>0.69899012643448144</v>
      </c>
      <c r="X9973" s="2">
        <f ca="1"/>
        <v>53.325118342838692</v>
      </c>
      <c r="AG9973" s="2">
        <f ca="1"/>
        <v>0.31405683497702785</v>
      </c>
      <c r="AH9973" s="2" t="str">
        <f ca="1"/>
        <v>OK</v>
      </c>
    </row>
    <row r="9974" spans="2:34" x14ac:dyDescent="0.2">
      <c r="B9974" s="2">
        <f ca="1"/>
        <v>0.92794798270332102</v>
      </c>
      <c r="O9974" s="2">
        <f ca="1"/>
        <v>-0.21801056804884372</v>
      </c>
      <c r="X9974" s="2">
        <f ca="1"/>
        <v>41.151576804518591</v>
      </c>
      <c r="AG9974" s="2">
        <f ca="1"/>
        <v>0.299048171750111</v>
      </c>
      <c r="AH9974" s="2" t="str">
        <f ca="1"/>
        <v>OK</v>
      </c>
    </row>
    <row r="9975" spans="2:34" x14ac:dyDescent="0.2">
      <c r="B9975" s="2">
        <f ca="1"/>
        <v>0.76731026392493029</v>
      </c>
      <c r="O9975" s="2">
        <f ca="1"/>
        <v>-0.13690464186730739</v>
      </c>
      <c r="X9975" s="2">
        <f ca="1"/>
        <v>43.712681686593122</v>
      </c>
      <c r="AG9975" s="2">
        <f ca="1"/>
        <v>0.12423172708032215</v>
      </c>
      <c r="AH9975" s="2" t="str">
        <f ca="1"/>
        <v>OK</v>
      </c>
    </row>
    <row r="9976" spans="2:34" x14ac:dyDescent="0.2">
      <c r="B9976" s="2">
        <f ca="1"/>
        <v>0.73136744175533774</v>
      </c>
      <c r="O9976" s="2">
        <f ca="1"/>
        <v>-8.3746415346153166E-2</v>
      </c>
      <c r="X9976" s="2">
        <f ca="1"/>
        <v>46.63730545577171</v>
      </c>
      <c r="AG9976" s="2">
        <f ca="1"/>
        <v>0.73236429919260049</v>
      </c>
      <c r="AH9976" s="2" t="str">
        <f ca="1"/>
        <v>Bad</v>
      </c>
    </row>
    <row r="9977" spans="2:34" x14ac:dyDescent="0.2">
      <c r="B9977" s="2">
        <f ca="1"/>
        <v>8.5947178879846708E-2</v>
      </c>
      <c r="O9977" s="2">
        <f ca="1"/>
        <v>-0.73789263597829335</v>
      </c>
      <c r="X9977" s="2">
        <f ca="1"/>
        <v>43.882454120155387</v>
      </c>
      <c r="AG9977" s="2">
        <f ca="1"/>
        <v>0.27109685519354554</v>
      </c>
      <c r="AH9977" s="2" t="str">
        <f ca="1"/>
        <v>OK</v>
      </c>
    </row>
    <row r="9978" spans="2:34" x14ac:dyDescent="0.2">
      <c r="B9978" s="2">
        <f ca="1"/>
        <v>0.60842604484818774</v>
      </c>
      <c r="O9978" s="2">
        <f ca="1"/>
        <v>1.18051065653292</v>
      </c>
      <c r="X9978" s="2">
        <f ca="1"/>
        <v>57.753301233726077</v>
      </c>
      <c r="AG9978" s="2">
        <f ca="1"/>
        <v>0.88367036032647883</v>
      </c>
      <c r="AH9978" s="2" t="str">
        <f ca="1"/>
        <v>Bad</v>
      </c>
    </row>
    <row r="9979" spans="2:34" x14ac:dyDescent="0.2">
      <c r="B9979" s="2">
        <f ca="1"/>
        <v>0.18472476799306325</v>
      </c>
      <c r="O9979" s="2">
        <f ca="1"/>
        <v>0.27486171843328083</v>
      </c>
      <c r="X9979" s="2">
        <f ca="1"/>
        <v>37.976041845657718</v>
      </c>
      <c r="AG9979" s="2">
        <f ca="1"/>
        <v>0.53006097321909484</v>
      </c>
      <c r="AH9979" s="2" t="str">
        <f ca="1"/>
        <v>Bad</v>
      </c>
    </row>
    <row r="9980" spans="2:34" x14ac:dyDescent="0.2">
      <c r="B9980" s="2">
        <f ca="1"/>
        <v>0.9041989625265956</v>
      </c>
      <c r="O9980" s="2">
        <f ca="1"/>
        <v>-1.2095368439090342</v>
      </c>
      <c r="X9980" s="2">
        <f ca="1"/>
        <v>69.314884616088136</v>
      </c>
      <c r="AG9980" s="2">
        <f ca="1"/>
        <v>0.5793209569088611</v>
      </c>
      <c r="AH9980" s="2" t="str">
        <f ca="1"/>
        <v>Bad</v>
      </c>
    </row>
    <row r="9981" spans="2:34" x14ac:dyDescent="0.2">
      <c r="B9981" s="2">
        <f ca="1"/>
        <v>7.4415177286546452E-2</v>
      </c>
      <c r="O9981" s="2">
        <f ca="1"/>
        <v>0.26521532908237749</v>
      </c>
      <c r="X9981" s="2">
        <f ca="1"/>
        <v>57.341265882369584</v>
      </c>
      <c r="AG9981" s="2">
        <f ca="1"/>
        <v>0.86563716894380294</v>
      </c>
      <c r="AH9981" s="2" t="str">
        <f ca="1"/>
        <v>Bad</v>
      </c>
    </row>
    <row r="9982" spans="2:34" x14ac:dyDescent="0.2">
      <c r="B9982" s="2">
        <f ca="1"/>
        <v>6.2996408039804885E-2</v>
      </c>
      <c r="O9982" s="2">
        <f ca="1"/>
        <v>-1.5202501935263106</v>
      </c>
      <c r="X9982" s="2">
        <f ca="1"/>
        <v>44.150674730307038</v>
      </c>
      <c r="AG9982" s="2">
        <f ca="1"/>
        <v>0.41654711573561531</v>
      </c>
      <c r="AH9982" s="2" t="str">
        <f ca="1"/>
        <v>Bad</v>
      </c>
    </row>
    <row r="9983" spans="2:34" x14ac:dyDescent="0.2">
      <c r="B9983" s="2">
        <f ca="1"/>
        <v>0.63378968922698053</v>
      </c>
      <c r="O9983" s="2">
        <f ca="1"/>
        <v>-0.62141900580239984</v>
      </c>
      <c r="X9983" s="2">
        <f ca="1"/>
        <v>50.067505768987203</v>
      </c>
      <c r="AG9983" s="2">
        <f ca="1"/>
        <v>0.96743349396817568</v>
      </c>
      <c r="AH9983" s="2" t="str">
        <f ca="1"/>
        <v>Bad</v>
      </c>
    </row>
    <row r="9984" spans="2:34" x14ac:dyDescent="0.2">
      <c r="B9984" s="2">
        <f ca="1"/>
        <v>0.72801658444573292</v>
      </c>
      <c r="O9984" s="2">
        <f ca="1"/>
        <v>-0.14847320821637977</v>
      </c>
      <c r="X9984" s="2">
        <f ca="1"/>
        <v>54.284533247649726</v>
      </c>
      <c r="AG9984" s="2">
        <f ca="1"/>
        <v>0.45138079388389207</v>
      </c>
      <c r="AH9984" s="2" t="str">
        <f ca="1"/>
        <v>Bad</v>
      </c>
    </row>
    <row r="9985" spans="2:34" x14ac:dyDescent="0.2">
      <c r="B9985" s="2">
        <f ca="1"/>
        <v>0.94507376800895138</v>
      </c>
      <c r="O9985" s="2">
        <f ca="1"/>
        <v>2.8133675846185816E-2</v>
      </c>
      <c r="X9985" s="2">
        <f ca="1"/>
        <v>64.059063328338013</v>
      </c>
      <c r="AG9985" s="2">
        <f ca="1"/>
        <v>0.52408783978016249</v>
      </c>
      <c r="AH9985" s="2" t="str">
        <f ca="1"/>
        <v>Bad</v>
      </c>
    </row>
    <row r="9986" spans="2:34" x14ac:dyDescent="0.2">
      <c r="B9986" s="2">
        <f ca="1"/>
        <v>3.2768115339998349E-2</v>
      </c>
      <c r="O9986" s="2">
        <f ca="1"/>
        <v>0.66317860774963255</v>
      </c>
      <c r="X9986" s="2">
        <f ca="1"/>
        <v>49.163261202924161</v>
      </c>
      <c r="AG9986" s="2">
        <f ca="1"/>
        <v>0.38140843811185632</v>
      </c>
      <c r="AH9986" s="2" t="str">
        <f ca="1"/>
        <v>OK</v>
      </c>
    </row>
    <row r="9987" spans="2:34" x14ac:dyDescent="0.2">
      <c r="B9987" s="2">
        <f ca="1"/>
        <v>0.68723333761489847</v>
      </c>
      <c r="O9987" s="2">
        <f ca="1"/>
        <v>0.76020923520461325</v>
      </c>
      <c r="X9987" s="2">
        <f ca="1"/>
        <v>27.591056763440079</v>
      </c>
      <c r="AG9987" s="2">
        <f ca="1"/>
        <v>0.74777299962934851</v>
      </c>
      <c r="AH9987" s="2" t="str">
        <f ca="1"/>
        <v>Bad</v>
      </c>
    </row>
    <row r="9988" spans="2:34" x14ac:dyDescent="0.2">
      <c r="B9988" s="2">
        <f ca="1"/>
        <v>0.5328339410902001</v>
      </c>
      <c r="O9988" s="2">
        <f ca="1"/>
        <v>0.48142697370794191</v>
      </c>
      <c r="X9988" s="2">
        <f ca="1"/>
        <v>53.33573057659865</v>
      </c>
      <c r="AG9988" s="2">
        <f ca="1"/>
        <v>5.0357463906396172E-2</v>
      </c>
      <c r="AH9988" s="2" t="str">
        <f ca="1"/>
        <v>OK</v>
      </c>
    </row>
    <row r="9989" spans="2:34" x14ac:dyDescent="0.2">
      <c r="B9989" s="2">
        <f ca="1"/>
        <v>0.59560743039285624</v>
      </c>
      <c r="O9989" s="2">
        <f ca="1"/>
        <v>1.1443550903442212</v>
      </c>
      <c r="X9989" s="2">
        <f ca="1"/>
        <v>61.678417516075008</v>
      </c>
      <c r="AG9989" s="2">
        <f ca="1"/>
        <v>0.27414282676859458</v>
      </c>
      <c r="AH9989" s="2" t="str">
        <f ca="1"/>
        <v>OK</v>
      </c>
    </row>
    <row r="9990" spans="2:34" x14ac:dyDescent="0.2">
      <c r="B9990" s="2">
        <f ca="1"/>
        <v>0.9791316187462209</v>
      </c>
      <c r="O9990" s="2">
        <f ca="1"/>
        <v>-0.68538707669007359</v>
      </c>
      <c r="X9990" s="2">
        <f ca="1"/>
        <v>76.303441643116585</v>
      </c>
      <c r="AG9990" s="2">
        <f ca="1"/>
        <v>0.99607459657571473</v>
      </c>
      <c r="AH9990" s="2" t="str">
        <f ca="1"/>
        <v>Bad</v>
      </c>
    </row>
    <row r="9991" spans="2:34" x14ac:dyDescent="0.2">
      <c r="B9991" s="2">
        <f ca="1"/>
        <v>2.0031368284860296E-2</v>
      </c>
      <c r="O9991" s="2">
        <f ca="1"/>
        <v>0.34692837138515314</v>
      </c>
      <c r="X9991" s="2">
        <f ca="1"/>
        <v>44.056098200588934</v>
      </c>
      <c r="AG9991" s="2">
        <f ca="1"/>
        <v>0.65274840437031978</v>
      </c>
      <c r="AH9991" s="2" t="str">
        <f ca="1"/>
        <v>Bad</v>
      </c>
    </row>
    <row r="9992" spans="2:34" x14ac:dyDescent="0.2">
      <c r="B9992" s="2">
        <f ca="1"/>
        <v>0.78534429623244351</v>
      </c>
      <c r="O9992" s="2">
        <f ca="1"/>
        <v>0.32780652580322822</v>
      </c>
      <c r="X9992" s="2">
        <f ca="1"/>
        <v>46.203486810649814</v>
      </c>
      <c r="AG9992" s="2">
        <f ca="1"/>
        <v>0.15811395798069094</v>
      </c>
      <c r="AH9992" s="2" t="str">
        <f ca="1"/>
        <v>OK</v>
      </c>
    </row>
    <row r="9993" spans="2:34" x14ac:dyDescent="0.2">
      <c r="B9993" s="2">
        <f ca="1"/>
        <v>0.34422989572421248</v>
      </c>
      <c r="O9993" s="2">
        <f ca="1"/>
        <v>-0.75160742223601884</v>
      </c>
      <c r="X9993" s="2">
        <f ca="1"/>
        <v>39.818490471367646</v>
      </c>
      <c r="AG9993" s="2">
        <f ca="1"/>
        <v>0.6401347133075237</v>
      </c>
      <c r="AH9993" s="2" t="str">
        <f ca="1"/>
        <v>Bad</v>
      </c>
    </row>
    <row r="9994" spans="2:34" x14ac:dyDescent="0.2">
      <c r="B9994" s="2">
        <f ca="1"/>
        <v>0.38342483454011145</v>
      </c>
      <c r="O9994" s="2">
        <f ca="1"/>
        <v>1.0212875292341002</v>
      </c>
      <c r="X9994" s="2">
        <f ca="1"/>
        <v>87.733641334309596</v>
      </c>
      <c r="AG9994" s="2">
        <f ca="1"/>
        <v>0.54976692831327734</v>
      </c>
      <c r="AH9994" s="2" t="str">
        <f ca="1"/>
        <v>Bad</v>
      </c>
    </row>
    <row r="9995" spans="2:34" x14ac:dyDescent="0.2">
      <c r="B9995" s="2">
        <f ca="1"/>
        <v>4.2638625416496989E-2</v>
      </c>
      <c r="O9995" s="2">
        <f ca="1"/>
        <v>-0.26013766181385378</v>
      </c>
      <c r="X9995" s="2">
        <f ca="1"/>
        <v>38.419193244518141</v>
      </c>
      <c r="AG9995" s="2">
        <f ca="1"/>
        <v>0.84603425695642964</v>
      </c>
      <c r="AH9995" s="2" t="str">
        <f ca="1"/>
        <v>Bad</v>
      </c>
    </row>
    <row r="9996" spans="2:34" x14ac:dyDescent="0.2">
      <c r="B9996" s="2">
        <f ca="1"/>
        <v>0.98827181984781109</v>
      </c>
      <c r="O9996" s="2">
        <f ca="1"/>
        <v>3.3024633717396541</v>
      </c>
      <c r="X9996" s="2">
        <f ca="1"/>
        <v>75.088058187545982</v>
      </c>
      <c r="AG9996" s="2">
        <f ca="1"/>
        <v>0.32441674472904292</v>
      </c>
      <c r="AH9996" s="2" t="str">
        <f ca="1"/>
        <v>OK</v>
      </c>
    </row>
    <row r="9997" spans="2:34" x14ac:dyDescent="0.2">
      <c r="B9997" s="2">
        <f ca="1"/>
        <v>0.51288529527124038</v>
      </c>
      <c r="O9997" s="2">
        <f ca="1"/>
        <v>-1.2578400160064709</v>
      </c>
      <c r="X9997" s="2">
        <f ca="1"/>
        <v>54.842980304049043</v>
      </c>
      <c r="AG9997" s="2">
        <f ca="1"/>
        <v>0.89456528575428251</v>
      </c>
      <c r="AH9997" s="2" t="str">
        <f ca="1"/>
        <v>Bad</v>
      </c>
    </row>
    <row r="9998" spans="2:34" x14ac:dyDescent="0.2">
      <c r="B9998" s="2">
        <f ca="1"/>
        <v>0.99315228570267933</v>
      </c>
      <c r="O9998" s="2">
        <f ca="1"/>
        <v>0.58049462784854655</v>
      </c>
      <c r="X9998" s="2">
        <f ca="1"/>
        <v>38.425377270756385</v>
      </c>
      <c r="AG9998" s="2">
        <f ca="1"/>
        <v>0.28907076242817187</v>
      </c>
      <c r="AH9998" s="2" t="str">
        <f ca="1"/>
        <v>OK</v>
      </c>
    </row>
    <row r="9999" spans="2:34" x14ac:dyDescent="0.2">
      <c r="B9999" s="2">
        <f ca="1"/>
        <v>0.57782683785549094</v>
      </c>
      <c r="O9999" s="2">
        <f ca="1"/>
        <v>1.4921589742571413E-2</v>
      </c>
      <c r="X9999" s="2">
        <f ca="1"/>
        <v>34.601653693318447</v>
      </c>
      <c r="AG9999" s="2">
        <f ca="1"/>
        <v>7.2338825935869266E-4</v>
      </c>
      <c r="AH9999" s="2" t="str">
        <f ca="1"/>
        <v>Good</v>
      </c>
    </row>
    <row r="10000" spans="2:34" x14ac:dyDescent="0.2">
      <c r="B10000" s="2">
        <f ca="1"/>
        <v>3.3362198440712643E-2</v>
      </c>
      <c r="O10000" s="2">
        <f ca="1"/>
        <v>0.84535656163528405</v>
      </c>
      <c r="X10000" s="2">
        <f ca="1"/>
        <v>67.622067201298279</v>
      </c>
      <c r="AG10000" s="2">
        <f ca="1"/>
        <v>0.63862166063024839</v>
      </c>
      <c r="AH10000" s="2" t="str">
        <f ca="1"/>
        <v>Bad</v>
      </c>
    </row>
    <row r="10001" spans="2:34" x14ac:dyDescent="0.2">
      <c r="B10001" s="2">
        <f ca="1"/>
        <v>0.13665451126793959</v>
      </c>
      <c r="O10001" s="2">
        <f ca="1"/>
        <v>-7.6746353119123589E-2</v>
      </c>
      <c r="X10001" s="2">
        <f ca="1"/>
        <v>34.293257977218929</v>
      </c>
      <c r="AG10001" s="2">
        <f ca="1"/>
        <v>0.35671934366360913</v>
      </c>
      <c r="AH10001" s="2" t="str">
        <f ca="1"/>
        <v>OK</v>
      </c>
    </row>
    <row r="10002" spans="2:34" x14ac:dyDescent="0.2">
      <c r="B10002" s="2">
        <f ca="1"/>
        <v>0.36207383312152364</v>
      </c>
      <c r="O10002" s="2">
        <f ca="1"/>
        <v>-0.15329010906764814</v>
      </c>
      <c r="X10002" s="2">
        <f ca="1"/>
        <v>41.571308088877686</v>
      </c>
      <c r="AG10002" s="2">
        <f ca="1"/>
        <v>0.33502116843808771</v>
      </c>
      <c r="AH10002" s="2" t="str">
        <f ca="1"/>
        <v>OK</v>
      </c>
    </row>
    <row r="10003" spans="2:34" x14ac:dyDescent="0.2">
      <c r="B10003" s="2">
        <f ca="1"/>
        <v>0.68415006838383507</v>
      </c>
      <c r="O10003" s="2">
        <f ca="1"/>
        <v>-0.57586247459588058</v>
      </c>
      <c r="X10003" s="2">
        <f ca="1"/>
        <v>58.148136241594173</v>
      </c>
      <c r="AG10003" s="2">
        <f ca="1"/>
        <v>0.83502982809737025</v>
      </c>
      <c r="AH10003" s="2" t="str">
        <f ca="1"/>
        <v>Bad</v>
      </c>
    </row>
    <row r="10004" spans="2:34" x14ac:dyDescent="0.2">
      <c r="B10004" s="2">
        <f ca="1"/>
        <v>0.48502209146032627</v>
      </c>
      <c r="AG10004" s="2">
        <f ca="1"/>
        <v>0.31409801396523429</v>
      </c>
      <c r="AH10004" s="2" t="str">
        <f ca="1"/>
        <v>OK</v>
      </c>
    </row>
    <row r="10005" spans="2:34" x14ac:dyDescent="0.2">
      <c r="B10005" s="2">
        <f ca="1"/>
        <v>0.42386214457887839</v>
      </c>
      <c r="AG10005" s="2">
        <f ca="1"/>
        <v>1.7514668631580799E-2</v>
      </c>
      <c r="AH10005" s="2" t="str">
        <f ca="1"/>
        <v>Good</v>
      </c>
    </row>
    <row r="10006" spans="2:34" x14ac:dyDescent="0.2">
      <c r="B10006" s="2">
        <f ca="1"/>
        <v>0.62832399759650359</v>
      </c>
      <c r="AG10006" s="2">
        <f ca="1"/>
        <v>0.91003994998259108</v>
      </c>
      <c r="AH10006" s="2" t="str">
        <f ca="1"/>
        <v>Bad</v>
      </c>
    </row>
    <row r="10007" spans="2:34" x14ac:dyDescent="0.2">
      <c r="B10007" s="2">
        <f ca="1"/>
        <v>0.2513413855443194</v>
      </c>
      <c r="AG10007" s="2">
        <f ca="1"/>
        <v>9.5282874716316801E-2</v>
      </c>
      <c r="AH10007" s="2" t="str">
        <f ca="1"/>
        <v>OK</v>
      </c>
    </row>
    <row r="10008" spans="2:34" x14ac:dyDescent="0.2">
      <c r="B10008" s="2">
        <f ca="1"/>
        <v>0.54870970512084916</v>
      </c>
    </row>
    <row r="10009" spans="2:34" x14ac:dyDescent="0.2">
      <c r="B10009" s="2">
        <f ca="1"/>
        <v>0.62569832403811509</v>
      </c>
    </row>
    <row r="10010" spans="2:34" x14ac:dyDescent="0.2">
      <c r="B10010" s="2">
        <f ca="1"/>
        <v>0.12815673750807233</v>
      </c>
    </row>
    <row r="10011" spans="2:34" x14ac:dyDescent="0.2">
      <c r="B10011" s="2">
        <f ca="1"/>
        <v>0.95193958575780391</v>
      </c>
    </row>
    <row r="10012" spans="2:34" x14ac:dyDescent="0.2">
      <c r="B10012" s="2">
        <f ca="1"/>
        <v>0.80943067133879998</v>
      </c>
    </row>
    <row r="10013" spans="2:34" x14ac:dyDescent="0.2">
      <c r="B10013" s="2">
        <f ca="1"/>
        <v>0.14081962983382268</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DB44A3-47FF-42CC-871D-4995B392C4AA}">
  <sheetPr codeName="Sheet10"/>
  <dimension ref="A1:BA38"/>
  <sheetViews>
    <sheetView workbookViewId="0">
      <selection activeCell="M4" sqref="M4:P4"/>
    </sheetView>
  </sheetViews>
  <sheetFormatPr baseColWidth="10" defaultColWidth="8.83203125" defaultRowHeight="16" x14ac:dyDescent="0.2"/>
  <cols>
    <col min="2" max="2" width="9.5" customWidth="1"/>
    <col min="13" max="13" width="13.6640625" bestFit="1" customWidth="1"/>
  </cols>
  <sheetData>
    <row r="1" spans="1:53" x14ac:dyDescent="0.2">
      <c r="A1" s="103"/>
      <c r="B1" s="1"/>
      <c r="C1" s="1"/>
      <c r="D1" s="1"/>
      <c r="E1" s="1"/>
      <c r="F1" s="104"/>
      <c r="G1" s="103"/>
      <c r="H1" s="1"/>
      <c r="I1" s="1"/>
      <c r="J1" s="1"/>
      <c r="K1" s="1"/>
      <c r="L1" s="103"/>
      <c r="M1" s="1"/>
      <c r="N1" s="1"/>
      <c r="O1" s="1"/>
      <c r="P1" s="1"/>
      <c r="Q1" s="1"/>
      <c r="R1" s="1"/>
      <c r="S1" s="1"/>
      <c r="T1" s="1"/>
      <c r="U1" s="103"/>
      <c r="V1" s="1"/>
      <c r="W1" s="1"/>
      <c r="X1" s="1"/>
      <c r="Y1" s="1"/>
      <c r="Z1" s="1"/>
      <c r="AA1" s="104"/>
    </row>
    <row r="2" spans="1:53" x14ac:dyDescent="0.2">
      <c r="A2" s="105"/>
      <c r="B2" s="12" t="s">
        <v>288</v>
      </c>
      <c r="F2" s="106"/>
      <c r="G2" s="105"/>
      <c r="H2" s="12" t="s">
        <v>297</v>
      </c>
      <c r="L2" s="105"/>
      <c r="M2" s="12" t="s">
        <v>300</v>
      </c>
      <c r="U2" s="105"/>
      <c r="V2" s="12" t="s">
        <v>305</v>
      </c>
      <c r="AA2" s="106"/>
      <c r="AC2" s="12" t="s">
        <v>308</v>
      </c>
    </row>
    <row r="3" spans="1:53" x14ac:dyDescent="0.2">
      <c r="A3" s="105"/>
      <c r="F3" s="106"/>
      <c r="G3" s="105"/>
      <c r="L3" s="105"/>
      <c r="U3" s="105"/>
      <c r="AA3" s="106"/>
      <c r="AF3" s="118" t="s">
        <v>310</v>
      </c>
    </row>
    <row r="4" spans="1:53" x14ac:dyDescent="0.2">
      <c r="A4" s="105"/>
      <c r="B4" t="str" cm="1">
        <f t="array" ref="B4:E8">lossratios</f>
        <v>Loss ratios</v>
      </c>
      <c r="C4" t="str">
        <v>NSW</v>
      </c>
      <c r="D4" t="str">
        <v>VIC</v>
      </c>
      <c r="E4" t="str">
        <v>ACT</v>
      </c>
      <c r="F4" s="106"/>
      <c r="G4" s="105"/>
      <c r="L4" s="105"/>
      <c r="M4" t="str" cm="1">
        <f t="array" ref="M4:P8">lossratios</f>
        <v>Loss ratios</v>
      </c>
      <c r="N4" t="str">
        <v>NSW</v>
      </c>
      <c r="O4" t="str">
        <v>VIC</v>
      </c>
      <c r="P4" t="str">
        <v>ACT</v>
      </c>
      <c r="U4" s="105"/>
      <c r="V4" t="str" cm="1">
        <f t="array" ref="V4:W16">monthly_profit</f>
        <v>Month</v>
      </c>
      <c r="W4" t="str">
        <v>Profit</v>
      </c>
      <c r="AA4" s="106"/>
      <c r="AC4" s="2" t="s">
        <v>309</v>
      </c>
      <c r="AD4" s="2"/>
      <c r="AE4" s="2"/>
      <c r="AF4" s="2"/>
      <c r="AG4" s="2"/>
      <c r="AH4" s="2"/>
      <c r="AI4" s="2"/>
      <c r="AJ4" s="2"/>
      <c r="AL4" t="s">
        <v>311</v>
      </c>
    </row>
    <row r="5" spans="1:53" s="114" customFormat="1" ht="24" x14ac:dyDescent="0.3">
      <c r="A5" s="105"/>
      <c r="B5" t="str">
        <v>Motor</v>
      </c>
      <c r="C5">
        <v>0.92900000000000005</v>
      </c>
      <c r="D5">
        <v>0.76500000000000001</v>
      </c>
      <c r="E5">
        <v>0.94099999999999995</v>
      </c>
      <c r="F5" s="106"/>
      <c r="G5" s="105"/>
      <c r="H5" s="2" t="s">
        <v>298</v>
      </c>
      <c r="I5" s="2"/>
      <c r="J5" s="2"/>
      <c r="K5"/>
      <c r="L5" s="105"/>
      <c r="M5" t="str">
        <v>Motor</v>
      </c>
      <c r="N5">
        <v>0.92900000000000005</v>
      </c>
      <c r="O5">
        <v>0.76500000000000001</v>
      </c>
      <c r="P5">
        <v>0.94099999999999995</v>
      </c>
      <c r="U5" s="116"/>
      <c r="V5" t="str">
        <v>Jan</v>
      </c>
      <c r="W5">
        <v>624</v>
      </c>
      <c r="AA5" s="115"/>
      <c r="AB5"/>
      <c r="AC5" s="2"/>
      <c r="AD5" s="2"/>
      <c r="AE5" s="2"/>
      <c r="AF5" s="2"/>
      <c r="AG5" s="2"/>
      <c r="AH5" s="2"/>
      <c r="AI5" s="2"/>
      <c r="AJ5" s="2"/>
      <c r="AK5"/>
      <c r="AL5" s="2"/>
      <c r="AM5" s="2"/>
      <c r="AN5" s="2"/>
      <c r="AO5" s="2"/>
      <c r="AP5" s="2"/>
      <c r="AQ5" s="2"/>
      <c r="AR5" s="2"/>
      <c r="AS5"/>
      <c r="AT5"/>
      <c r="AU5"/>
      <c r="AV5"/>
      <c r="AW5"/>
      <c r="AX5"/>
      <c r="AY5"/>
      <c r="AZ5"/>
      <c r="BA5"/>
    </row>
    <row r="6" spans="1:53" ht="24" x14ac:dyDescent="0.3">
      <c r="A6" s="105"/>
      <c r="B6" t="str">
        <v>Liability</v>
      </c>
      <c r="C6">
        <v>0.61199999999999999</v>
      </c>
      <c r="D6">
        <v>0.76100000000000001</v>
      </c>
      <c r="E6">
        <v>1.093</v>
      </c>
      <c r="F6" s="115"/>
      <c r="G6" s="116"/>
      <c r="H6" s="114"/>
      <c r="I6" s="114"/>
      <c r="J6" s="114"/>
      <c r="K6" s="114"/>
      <c r="L6" s="116"/>
      <c r="M6" t="str">
        <v>Liability</v>
      </c>
      <c r="N6">
        <v>0.61199999999999999</v>
      </c>
      <c r="O6">
        <v>0.76100000000000001</v>
      </c>
      <c r="P6">
        <v>1.093</v>
      </c>
      <c r="U6" s="105"/>
      <c r="V6" t="str">
        <v>Feb</v>
      </c>
      <c r="W6">
        <v>390</v>
      </c>
      <c r="AA6" s="106"/>
      <c r="AE6" s="2"/>
      <c r="AF6" s="2"/>
      <c r="AG6" s="2"/>
      <c r="AH6" s="2"/>
      <c r="AI6" s="2"/>
      <c r="AJ6" s="2"/>
      <c r="AN6" s="2"/>
      <c r="AO6" s="2"/>
      <c r="AP6" s="2"/>
      <c r="AQ6" s="2"/>
      <c r="AR6" s="2"/>
    </row>
    <row r="7" spans="1:53" x14ac:dyDescent="0.2">
      <c r="A7" s="105"/>
      <c r="B7" t="str">
        <v>Life</v>
      </c>
      <c r="C7">
        <v>0.871</v>
      </c>
      <c r="D7">
        <v>0.92800000000000005</v>
      </c>
      <c r="E7">
        <v>0.65900000000000003</v>
      </c>
      <c r="F7" s="106"/>
      <c r="G7" s="105"/>
      <c r="L7" s="105"/>
      <c r="M7" t="str">
        <v>Life</v>
      </c>
      <c r="N7">
        <v>0.871</v>
      </c>
      <c r="O7">
        <v>0.92800000000000005</v>
      </c>
      <c r="P7">
        <v>0.65900000000000003</v>
      </c>
      <c r="U7" s="105"/>
      <c r="V7" t="str">
        <v>Mar</v>
      </c>
      <c r="W7">
        <v>1000</v>
      </c>
      <c r="AA7" s="106"/>
      <c r="AE7" s="2"/>
      <c r="AF7" s="2"/>
      <c r="AG7" s="2"/>
      <c r="AH7" s="2"/>
      <c r="AI7" s="2"/>
      <c r="AJ7" s="2"/>
      <c r="AN7" s="2"/>
      <c r="AO7" s="2"/>
      <c r="AP7" s="2"/>
      <c r="AQ7" s="2"/>
      <c r="AR7" s="2"/>
    </row>
    <row r="8" spans="1:53" ht="24" x14ac:dyDescent="0.3">
      <c r="A8" s="105"/>
      <c r="B8" t="str">
        <v>Property</v>
      </c>
      <c r="C8">
        <v>1.0489999999999999</v>
      </c>
      <c r="D8">
        <v>0.67500000000000004</v>
      </c>
      <c r="E8">
        <v>0.96699999999999997</v>
      </c>
      <c r="F8" s="115"/>
      <c r="G8" s="116"/>
      <c r="H8" s="114"/>
      <c r="I8" s="114"/>
      <c r="J8" s="114"/>
      <c r="K8" s="114"/>
      <c r="L8" s="116"/>
      <c r="M8" t="str">
        <v>Property</v>
      </c>
      <c r="N8">
        <v>1.0489999999999999</v>
      </c>
      <c r="O8">
        <v>0.67500000000000004</v>
      </c>
      <c r="P8">
        <v>0.96699999999999997</v>
      </c>
      <c r="U8" s="105"/>
      <c r="V8" t="str">
        <v>Apr</v>
      </c>
      <c r="W8">
        <v>250</v>
      </c>
      <c r="AA8" s="106"/>
      <c r="AE8" s="2"/>
      <c r="AF8" s="2"/>
      <c r="AG8" s="2"/>
      <c r="AH8" s="2"/>
      <c r="AI8" s="2"/>
      <c r="AJ8" s="2"/>
      <c r="AN8" s="2"/>
      <c r="AO8" s="2"/>
      <c r="AP8" s="2"/>
      <c r="AQ8" s="2"/>
      <c r="AR8" s="2"/>
    </row>
    <row r="9" spans="1:53" x14ac:dyDescent="0.2">
      <c r="A9" s="105"/>
      <c r="F9" s="106"/>
      <c r="G9" s="105"/>
      <c r="H9" s="2" t="s">
        <v>299</v>
      </c>
      <c r="I9" s="2"/>
      <c r="J9" s="2"/>
      <c r="L9" s="105"/>
      <c r="U9" s="105"/>
      <c r="V9" t="str">
        <v>May</v>
      </c>
      <c r="W9">
        <v>439</v>
      </c>
      <c r="AA9" s="106"/>
      <c r="AE9" s="2"/>
      <c r="AF9" s="2"/>
      <c r="AG9" s="2"/>
      <c r="AH9" s="2"/>
      <c r="AI9" s="2"/>
      <c r="AJ9" s="2"/>
      <c r="AN9" s="2"/>
      <c r="AO9" s="2"/>
      <c r="AP9" s="2"/>
      <c r="AQ9" s="2"/>
      <c r="AR9" s="2"/>
    </row>
    <row r="10" spans="1:53" x14ac:dyDescent="0.2">
      <c r="A10" s="105"/>
      <c r="B10" s="2" t="s">
        <v>289</v>
      </c>
      <c r="C10" s="2"/>
      <c r="D10" s="2"/>
      <c r="E10" s="2"/>
      <c r="F10" s="106"/>
      <c r="G10" s="105"/>
      <c r="L10" s="105"/>
      <c r="M10" s="2" t="s">
        <v>301</v>
      </c>
      <c r="N10" s="2"/>
      <c r="O10" s="2"/>
      <c r="P10" s="2"/>
      <c r="Q10" s="2"/>
      <c r="R10" s="2"/>
      <c r="S10" s="2"/>
      <c r="U10" s="105"/>
      <c r="V10" t="str">
        <v>Jun</v>
      </c>
      <c r="W10">
        <v>109</v>
      </c>
      <c r="AA10" s="106"/>
      <c r="AE10" s="2"/>
      <c r="AF10" s="2"/>
      <c r="AG10" s="2"/>
      <c r="AH10" s="2"/>
      <c r="AI10" s="2"/>
      <c r="AJ10" s="2"/>
      <c r="AN10" s="2"/>
      <c r="AO10" s="2"/>
      <c r="AP10" s="2"/>
      <c r="AQ10" s="2"/>
      <c r="AR10" s="2"/>
    </row>
    <row r="11" spans="1:53" x14ac:dyDescent="0.2">
      <c r="A11" s="107"/>
      <c r="B11" s="66"/>
      <c r="C11" s="66"/>
      <c r="D11" s="66"/>
      <c r="E11" s="66"/>
      <c r="F11" s="108"/>
      <c r="G11" s="107"/>
      <c r="H11" s="66"/>
      <c r="I11" s="66"/>
      <c r="J11" s="66"/>
      <c r="K11" s="66"/>
      <c r="L11" s="105"/>
      <c r="M11" s="2" t="s">
        <v>302</v>
      </c>
      <c r="N11" s="2"/>
      <c r="O11" s="2"/>
      <c r="P11" s="2"/>
      <c r="Q11" s="2"/>
      <c r="R11" s="2"/>
      <c r="S11" s="2"/>
      <c r="U11" s="105"/>
      <c r="V11" t="str">
        <v>Jul</v>
      </c>
      <c r="W11">
        <v>530</v>
      </c>
      <c r="AA11" s="106"/>
      <c r="AE11" s="2"/>
      <c r="AF11" s="2"/>
      <c r="AG11" s="2"/>
      <c r="AH11" s="2"/>
      <c r="AI11" s="2"/>
      <c r="AJ11" s="2"/>
      <c r="AN11" s="2"/>
      <c r="AO11" s="2"/>
      <c r="AP11" s="2"/>
      <c r="AQ11" s="2"/>
      <c r="AR11" s="2"/>
    </row>
    <row r="12" spans="1:53" x14ac:dyDescent="0.2">
      <c r="L12" s="105"/>
      <c r="M12" s="2"/>
      <c r="N12" s="2"/>
      <c r="O12" s="2"/>
      <c r="P12" s="2"/>
      <c r="Q12" s="2"/>
      <c r="R12" s="2"/>
      <c r="S12" s="2"/>
      <c r="U12" s="105"/>
      <c r="V12" t="str">
        <v>Aug</v>
      </c>
      <c r="W12">
        <v>123</v>
      </c>
      <c r="AA12" s="106"/>
      <c r="AE12" s="2"/>
      <c r="AF12" s="2"/>
      <c r="AG12" s="2"/>
      <c r="AH12" s="2"/>
      <c r="AI12" s="2"/>
      <c r="AJ12" s="2"/>
      <c r="AN12" s="2"/>
      <c r="AO12" s="2"/>
      <c r="AP12" s="2"/>
      <c r="AQ12" s="2"/>
      <c r="AR12" s="2"/>
    </row>
    <row r="13" spans="1:53" x14ac:dyDescent="0.2">
      <c r="A13" s="103"/>
      <c r="B13" s="113" t="s">
        <v>290</v>
      </c>
      <c r="C13" s="1"/>
      <c r="D13" s="1"/>
      <c r="E13" s="1"/>
      <c r="F13" s="1"/>
      <c r="G13" s="1"/>
      <c r="H13" s="1"/>
      <c r="I13" s="1"/>
      <c r="J13" s="1"/>
      <c r="K13" s="1"/>
      <c r="L13" s="105"/>
      <c r="M13" s="2"/>
      <c r="N13" s="2"/>
      <c r="O13" s="2"/>
      <c r="P13" s="2"/>
      <c r="Q13" s="2"/>
      <c r="R13" s="2"/>
      <c r="S13" s="2"/>
      <c r="U13" s="105"/>
      <c r="V13" t="str">
        <v>Sep</v>
      </c>
      <c r="W13">
        <v>5345</v>
      </c>
      <c r="AA13" s="106"/>
      <c r="AE13" s="2"/>
      <c r="AF13" s="2"/>
      <c r="AG13" s="2"/>
      <c r="AH13" s="2"/>
      <c r="AI13" s="2"/>
      <c r="AJ13" s="2"/>
      <c r="AN13" s="2"/>
      <c r="AO13" s="2"/>
      <c r="AP13" s="2"/>
      <c r="AQ13" s="2"/>
      <c r="AR13" s="2"/>
    </row>
    <row r="14" spans="1:53" x14ac:dyDescent="0.2">
      <c r="A14" s="105"/>
      <c r="L14" s="105"/>
      <c r="U14" s="105"/>
      <c r="V14" t="str">
        <v>Oct</v>
      </c>
      <c r="W14">
        <v>312</v>
      </c>
      <c r="AA14" s="106"/>
      <c r="AE14" s="2"/>
      <c r="AF14" s="2"/>
      <c r="AG14" s="2"/>
      <c r="AH14" s="2"/>
      <c r="AI14" s="2"/>
      <c r="AJ14" s="2"/>
      <c r="AN14" s="2"/>
      <c r="AO14" s="2"/>
      <c r="AP14" s="2"/>
      <c r="AQ14" s="2"/>
      <c r="AR14" s="2"/>
    </row>
    <row r="15" spans="1:53" ht="24" x14ac:dyDescent="0.3">
      <c r="A15" s="105"/>
      <c r="B15" t="str" cm="1">
        <f t="array" ref="B15:C27">monthly_profit</f>
        <v>Month</v>
      </c>
      <c r="C15" t="str">
        <v>Profit</v>
      </c>
      <c r="E15" t="s">
        <v>304</v>
      </c>
      <c r="K15" s="115"/>
      <c r="L15" s="116"/>
      <c r="M15" s="117" t="s">
        <v>303</v>
      </c>
      <c r="N15" s="2"/>
      <c r="O15" s="2"/>
      <c r="P15" s="2"/>
      <c r="Q15" s="2"/>
      <c r="R15" s="2"/>
      <c r="S15" s="2"/>
      <c r="U15" s="105"/>
      <c r="V15" t="str">
        <v>Nov</v>
      </c>
      <c r="W15">
        <v>98</v>
      </c>
      <c r="AA15" s="106"/>
      <c r="AE15" s="2"/>
      <c r="AF15" s="2"/>
      <c r="AG15" s="2"/>
      <c r="AH15" s="2"/>
      <c r="AI15" s="2"/>
      <c r="AJ15" s="2"/>
      <c r="AN15" s="2"/>
      <c r="AO15" s="2"/>
      <c r="AP15" s="2"/>
      <c r="AQ15" s="2"/>
      <c r="AR15" s="2"/>
    </row>
    <row r="16" spans="1:53" x14ac:dyDescent="0.2">
      <c r="A16" s="105"/>
      <c r="B16" t="str">
        <v>Jan</v>
      </c>
      <c r="C16">
        <v>624</v>
      </c>
      <c r="K16" s="106"/>
      <c r="L16" s="105"/>
      <c r="M16" s="2"/>
      <c r="N16" s="2"/>
      <c r="O16" s="2"/>
      <c r="P16" s="2"/>
      <c r="Q16" s="2"/>
      <c r="R16" s="2"/>
      <c r="S16" s="2"/>
      <c r="U16" s="105"/>
      <c r="V16" t="str">
        <v>Dec</v>
      </c>
      <c r="W16">
        <v>672</v>
      </c>
      <c r="AA16" s="106"/>
      <c r="AN16" s="2"/>
      <c r="AO16" s="2"/>
      <c r="AP16" s="2"/>
      <c r="AQ16" s="2"/>
      <c r="AR16" s="2"/>
    </row>
    <row r="17" spans="1:44" ht="24" x14ac:dyDescent="0.3">
      <c r="A17" s="116"/>
      <c r="B17" t="str">
        <v>Feb</v>
      </c>
      <c r="C17">
        <v>390</v>
      </c>
      <c r="K17" s="106"/>
      <c r="L17" s="105"/>
      <c r="M17" s="2"/>
      <c r="N17" s="2"/>
      <c r="O17" s="2"/>
      <c r="P17" s="2"/>
      <c r="Q17" s="2"/>
      <c r="R17" s="2"/>
      <c r="S17" s="2"/>
      <c r="U17" s="105"/>
      <c r="AA17" s="106"/>
      <c r="AN17" s="2"/>
      <c r="AO17" s="2"/>
      <c r="AP17" s="2"/>
      <c r="AQ17" s="2"/>
      <c r="AR17" s="2"/>
    </row>
    <row r="18" spans="1:44" s="114" customFormat="1" ht="24" x14ac:dyDescent="0.3">
      <c r="A18" s="105"/>
      <c r="B18" t="str">
        <v>Mar</v>
      </c>
      <c r="C18">
        <v>1000</v>
      </c>
      <c r="D18"/>
      <c r="E18"/>
      <c r="F18"/>
      <c r="G18"/>
      <c r="H18"/>
      <c r="I18"/>
      <c r="J18"/>
      <c r="K18" s="115"/>
      <c r="L18" s="116"/>
      <c r="M18" s="117"/>
      <c r="N18" s="117"/>
      <c r="O18" s="117"/>
      <c r="P18" s="117"/>
      <c r="Q18" s="117"/>
      <c r="R18" s="117"/>
      <c r="S18" s="117"/>
      <c r="U18" s="116"/>
      <c r="V18" s="2" t="s">
        <v>306</v>
      </c>
      <c r="W18" s="2"/>
      <c r="X18" s="2"/>
      <c r="Y18" s="2"/>
      <c r="Z18" s="2"/>
      <c r="AA18" s="115"/>
      <c r="AB18"/>
      <c r="AC18"/>
      <c r="AL18"/>
      <c r="AN18" s="117"/>
      <c r="AO18" s="117"/>
      <c r="AP18" s="117"/>
      <c r="AQ18" s="117"/>
      <c r="AR18" s="117"/>
    </row>
    <row r="19" spans="1:44" x14ac:dyDescent="0.2">
      <c r="A19" s="105"/>
      <c r="B19" t="str">
        <v>Apr</v>
      </c>
      <c r="C19">
        <v>250</v>
      </c>
      <c r="K19" s="106"/>
      <c r="L19" s="105"/>
      <c r="M19" s="2"/>
      <c r="N19" s="2"/>
      <c r="O19" s="2"/>
      <c r="P19" s="2"/>
      <c r="Q19" s="2"/>
      <c r="R19" s="2"/>
      <c r="S19" s="2"/>
      <c r="U19" s="105"/>
      <c r="V19" s="2" t="s">
        <v>307</v>
      </c>
      <c r="W19" s="2"/>
      <c r="X19" s="2"/>
      <c r="Y19" s="2"/>
      <c r="Z19" s="2"/>
      <c r="AA19" s="106"/>
    </row>
    <row r="20" spans="1:44" x14ac:dyDescent="0.2">
      <c r="A20" s="105"/>
      <c r="B20" t="str">
        <v>May</v>
      </c>
      <c r="C20">
        <v>439</v>
      </c>
      <c r="K20" s="106"/>
      <c r="L20" s="105"/>
      <c r="M20" s="2"/>
      <c r="N20" s="2"/>
      <c r="O20" s="2"/>
      <c r="P20" s="2"/>
      <c r="Q20" s="2"/>
      <c r="R20" s="2"/>
      <c r="S20" s="2"/>
      <c r="U20" s="105"/>
      <c r="V20" s="2"/>
      <c r="W20" s="2"/>
      <c r="X20" s="2"/>
      <c r="Y20" s="2"/>
      <c r="Z20" s="2"/>
      <c r="AA20" s="106"/>
    </row>
    <row r="21" spans="1:44" x14ac:dyDescent="0.2">
      <c r="A21" s="105"/>
      <c r="B21" t="str">
        <v>Jun</v>
      </c>
      <c r="C21">
        <v>109</v>
      </c>
      <c r="K21" s="106"/>
      <c r="L21" s="105"/>
      <c r="M21" s="2"/>
      <c r="N21" s="2"/>
      <c r="O21" s="2"/>
      <c r="P21" s="2"/>
      <c r="Q21" s="2"/>
      <c r="R21" s="2"/>
      <c r="S21" s="2"/>
      <c r="U21" s="105"/>
      <c r="V21" s="2"/>
      <c r="W21" s="2"/>
      <c r="X21" s="2"/>
      <c r="Y21" s="2"/>
      <c r="Z21" s="2"/>
      <c r="AA21" s="106"/>
    </row>
    <row r="22" spans="1:44" x14ac:dyDescent="0.2">
      <c r="A22" s="105"/>
      <c r="B22" t="str">
        <v>Jul</v>
      </c>
      <c r="C22">
        <v>530</v>
      </c>
      <c r="K22" s="106"/>
      <c r="L22" s="105"/>
      <c r="M22" s="2"/>
      <c r="N22" s="2"/>
      <c r="O22" s="2"/>
      <c r="P22" s="2"/>
      <c r="Q22" s="2"/>
      <c r="R22" s="2"/>
      <c r="S22" s="2"/>
      <c r="U22" s="105"/>
      <c r="V22" s="2"/>
      <c r="W22" s="2"/>
      <c r="X22" s="2"/>
      <c r="Y22" s="2"/>
      <c r="Z22" s="2"/>
      <c r="AA22" s="106"/>
    </row>
    <row r="23" spans="1:44" x14ac:dyDescent="0.2">
      <c r="A23" s="105"/>
      <c r="B23" t="str">
        <v>Aug</v>
      </c>
      <c r="C23">
        <v>123</v>
      </c>
      <c r="K23" s="106"/>
      <c r="L23" s="105"/>
      <c r="M23" s="2"/>
      <c r="N23" s="2"/>
      <c r="O23" s="2"/>
      <c r="P23" s="2"/>
      <c r="Q23" s="2"/>
      <c r="R23" s="2"/>
      <c r="S23" s="2"/>
      <c r="U23" s="105"/>
      <c r="V23" s="2"/>
      <c r="W23" s="2"/>
      <c r="X23" s="2"/>
      <c r="Y23" s="2"/>
      <c r="Z23" s="2"/>
      <c r="AA23" s="106"/>
    </row>
    <row r="24" spans="1:44" x14ac:dyDescent="0.2">
      <c r="A24" s="105"/>
      <c r="B24" t="str">
        <v>Sep</v>
      </c>
      <c r="C24">
        <v>5345</v>
      </c>
      <c r="K24" s="106"/>
      <c r="L24" s="105"/>
      <c r="M24" s="2"/>
      <c r="N24" s="2"/>
      <c r="O24" s="2"/>
      <c r="P24" s="2"/>
      <c r="Q24" s="2"/>
      <c r="R24" s="2"/>
      <c r="S24" s="2"/>
      <c r="U24" s="105"/>
      <c r="V24" s="2"/>
      <c r="W24" s="2"/>
      <c r="X24" s="2"/>
      <c r="Y24" s="2"/>
      <c r="Z24" s="2"/>
      <c r="AA24" s="106"/>
    </row>
    <row r="25" spans="1:44" x14ac:dyDescent="0.2">
      <c r="A25" s="105"/>
      <c r="B25" t="str">
        <v>Oct</v>
      </c>
      <c r="C25">
        <v>312</v>
      </c>
      <c r="K25" s="106"/>
      <c r="L25" s="105"/>
      <c r="M25" s="2"/>
      <c r="N25" s="2"/>
      <c r="O25" s="2"/>
      <c r="P25" s="2"/>
      <c r="Q25" s="2"/>
      <c r="R25" s="2"/>
      <c r="S25" s="2"/>
      <c r="U25" s="105"/>
      <c r="V25" s="2"/>
      <c r="W25" s="2"/>
      <c r="X25" s="2"/>
      <c r="Y25" s="2"/>
      <c r="Z25" s="2"/>
      <c r="AA25" s="106"/>
    </row>
    <row r="26" spans="1:44" x14ac:dyDescent="0.2">
      <c r="A26" s="105"/>
      <c r="B26" t="str">
        <v>Nov</v>
      </c>
      <c r="C26">
        <v>98</v>
      </c>
      <c r="K26" s="106"/>
      <c r="L26" s="107"/>
      <c r="M26" s="66"/>
      <c r="N26" s="66"/>
      <c r="O26" s="66"/>
      <c r="P26" s="66"/>
      <c r="Q26" s="66"/>
      <c r="R26" s="66"/>
      <c r="S26" s="66"/>
      <c r="T26" s="66"/>
      <c r="U26" s="105"/>
      <c r="V26" s="2"/>
      <c r="W26" s="2"/>
      <c r="X26" s="2"/>
      <c r="Y26" s="2"/>
      <c r="Z26" s="2"/>
      <c r="AA26" s="106"/>
    </row>
    <row r="27" spans="1:44" x14ac:dyDescent="0.2">
      <c r="A27" s="105"/>
      <c r="B27" t="str">
        <v>Dec</v>
      </c>
      <c r="C27">
        <v>672</v>
      </c>
      <c r="K27" s="106"/>
      <c r="U27" s="105"/>
      <c r="V27" s="2"/>
      <c r="W27" s="2"/>
      <c r="X27" s="2"/>
      <c r="Y27" s="2"/>
      <c r="Z27" s="2"/>
      <c r="AA27" s="106"/>
    </row>
    <row r="28" spans="1:44" x14ac:dyDescent="0.2">
      <c r="A28" s="105"/>
      <c r="C28" s="109"/>
      <c r="D28" s="110"/>
      <c r="K28" s="106"/>
      <c r="U28" s="105"/>
      <c r="V28" s="2"/>
      <c r="W28" s="2"/>
      <c r="X28" s="2"/>
      <c r="Y28" s="2"/>
      <c r="Z28" s="2"/>
      <c r="AA28" s="106"/>
    </row>
    <row r="29" spans="1:44" x14ac:dyDescent="0.2">
      <c r="A29" s="105"/>
      <c r="B29" s="2" t="s">
        <v>291</v>
      </c>
      <c r="C29" s="111"/>
      <c r="D29" s="112"/>
      <c r="E29" s="2"/>
      <c r="F29" s="2"/>
      <c r="G29" s="2"/>
      <c r="H29" s="2"/>
      <c r="I29" s="2"/>
      <c r="J29" s="2"/>
      <c r="K29" s="106"/>
      <c r="U29" s="105"/>
      <c r="V29" s="2"/>
      <c r="W29" s="2"/>
      <c r="X29" s="2"/>
      <c r="Y29" s="2"/>
      <c r="Z29" s="2"/>
      <c r="AA29" s="106"/>
    </row>
    <row r="30" spans="1:44" x14ac:dyDescent="0.2">
      <c r="A30" s="105"/>
      <c r="B30" s="2"/>
      <c r="C30" s="2"/>
      <c r="D30" s="2"/>
      <c r="E30" s="2"/>
      <c r="F30" s="2"/>
      <c r="G30" s="2"/>
      <c r="H30" s="2"/>
      <c r="I30" s="2"/>
      <c r="J30" s="2"/>
      <c r="K30" s="106"/>
      <c r="U30" s="105"/>
      <c r="V30" s="2"/>
      <c r="W30" s="2"/>
      <c r="X30" s="2"/>
      <c r="Y30" s="2"/>
      <c r="Z30" s="2"/>
      <c r="AA30" s="106"/>
    </row>
    <row r="31" spans="1:44" x14ac:dyDescent="0.2">
      <c r="A31" s="105"/>
      <c r="B31" s="2" t="s">
        <v>292</v>
      </c>
      <c r="C31" s="2"/>
      <c r="D31" s="2"/>
      <c r="E31" s="2"/>
      <c r="F31" s="2"/>
      <c r="G31" s="2"/>
      <c r="H31" s="2"/>
      <c r="I31" s="2"/>
      <c r="J31" s="2"/>
      <c r="K31" s="106"/>
      <c r="U31" s="105"/>
      <c r="V31" s="2"/>
      <c r="W31" s="2"/>
      <c r="X31" s="2"/>
      <c r="Y31" s="2"/>
      <c r="Z31" s="2"/>
      <c r="AA31" s="106"/>
    </row>
    <row r="32" spans="1:44" x14ac:dyDescent="0.2">
      <c r="A32" s="105"/>
      <c r="B32" s="2" t="s">
        <v>293</v>
      </c>
      <c r="C32" s="2"/>
      <c r="D32" s="2"/>
      <c r="E32" s="2"/>
      <c r="F32" s="2"/>
      <c r="G32" s="2"/>
      <c r="H32" s="2"/>
      <c r="I32" s="2"/>
      <c r="J32" s="2"/>
      <c r="K32" s="106"/>
      <c r="U32" s="105"/>
      <c r="AA32" s="106"/>
    </row>
    <row r="33" spans="1:27" x14ac:dyDescent="0.2">
      <c r="A33" s="105"/>
      <c r="B33" s="2"/>
      <c r="C33" s="2"/>
      <c r="D33" s="2"/>
      <c r="E33" s="2"/>
      <c r="F33" s="2"/>
      <c r="G33" s="2"/>
      <c r="H33" s="2"/>
      <c r="I33" s="2"/>
      <c r="J33" s="2"/>
      <c r="K33" s="106"/>
      <c r="U33" s="107"/>
      <c r="V33" s="66"/>
      <c r="W33" s="66"/>
      <c r="X33" s="66"/>
      <c r="Y33" s="66"/>
      <c r="Z33" s="66"/>
      <c r="AA33" s="108"/>
    </row>
    <row r="34" spans="1:27" x14ac:dyDescent="0.2">
      <c r="A34" s="105"/>
      <c r="B34" s="2" t="s">
        <v>294</v>
      </c>
      <c r="C34" s="2"/>
      <c r="D34" s="2"/>
      <c r="E34" s="2"/>
      <c r="F34" s="2"/>
      <c r="G34" s="2"/>
      <c r="H34" s="2"/>
      <c r="I34" s="2"/>
      <c r="J34" s="2"/>
      <c r="K34" s="106"/>
    </row>
    <row r="35" spans="1:27" x14ac:dyDescent="0.2">
      <c r="A35" s="105"/>
      <c r="B35" s="2" t="s">
        <v>295</v>
      </c>
      <c r="C35" s="2"/>
      <c r="D35" s="2"/>
      <c r="E35" s="2"/>
      <c r="F35" s="2"/>
      <c r="G35" s="2"/>
      <c r="H35" s="2"/>
      <c r="I35" s="2"/>
      <c r="J35" s="2"/>
      <c r="K35" s="106"/>
    </row>
    <row r="36" spans="1:27" x14ac:dyDescent="0.2">
      <c r="A36" s="105"/>
      <c r="B36" s="2"/>
      <c r="C36" s="2"/>
      <c r="D36" s="2"/>
      <c r="E36" s="2"/>
      <c r="F36" s="2"/>
      <c r="G36" s="2"/>
      <c r="H36" s="2"/>
      <c r="I36" s="2"/>
      <c r="J36" s="2"/>
      <c r="K36" s="106"/>
    </row>
    <row r="37" spans="1:27" x14ac:dyDescent="0.2">
      <c r="A37" s="105"/>
      <c r="B37" s="2" t="s">
        <v>296</v>
      </c>
      <c r="C37" s="2"/>
      <c r="D37" s="2"/>
      <c r="E37" s="2"/>
      <c r="F37" s="2"/>
      <c r="G37" s="2"/>
      <c r="H37" s="2"/>
      <c r="I37" s="2"/>
      <c r="J37" s="2"/>
      <c r="K37" s="106"/>
    </row>
    <row r="38" spans="1:27" x14ac:dyDescent="0.2">
      <c r="A38" s="107"/>
      <c r="B38" s="66"/>
      <c r="C38" s="66"/>
      <c r="D38" s="66"/>
      <c r="E38" s="66"/>
      <c r="F38" s="66"/>
      <c r="G38" s="66"/>
      <c r="H38" s="66"/>
      <c r="I38" s="66"/>
      <c r="J38" s="66"/>
      <c r="K38" s="10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recorded_example1">
                <anchor moveWithCells="1">
                  <from>
                    <xdr:col>7</xdr:col>
                    <xdr:colOff>304800</xdr:colOff>
                    <xdr:row>2</xdr:row>
                    <xdr:rowOff>63500</xdr:rowOff>
                  </from>
                  <to>
                    <xdr:col>9</xdr:col>
                    <xdr:colOff>279400</xdr:colOff>
                    <xdr:row>3</xdr:row>
                    <xdr:rowOff>101600</xdr:rowOff>
                  </to>
                </anchor>
              </controlPr>
            </control>
          </mc:Choice>
        </mc:AlternateContent>
        <mc:AlternateContent xmlns:mc="http://schemas.openxmlformats.org/markup-compatibility/2006">
          <mc:Choice Requires="x14">
            <control shapeId="11266" r:id="rId4" name="Button 2">
              <controlPr defaultSize="0" print="0" autoFill="0" autoPict="0" macro="[0]!recorded_example1_edit">
                <anchor moveWithCells="1">
                  <from>
                    <xdr:col>14</xdr:col>
                    <xdr:colOff>0</xdr:colOff>
                    <xdr:row>11</xdr:row>
                    <xdr:rowOff>50800</xdr:rowOff>
                  </from>
                  <to>
                    <xdr:col>16</xdr:col>
                    <xdr:colOff>406400</xdr:colOff>
                    <xdr:row>12</xdr:row>
                    <xdr:rowOff>101600</xdr:rowOff>
                  </to>
                </anchor>
              </controlPr>
            </control>
          </mc:Choice>
        </mc:AlternateContent>
        <mc:AlternateContent xmlns:mc="http://schemas.openxmlformats.org/markup-compatibility/2006">
          <mc:Choice Requires="x14">
            <control shapeId="11267" r:id="rId5" name="Button 3">
              <controlPr defaultSize="0" print="0" autoFill="0" autoPict="0" macro="[0]!clear_formats">
                <anchor moveWithCells="1">
                  <from>
                    <xdr:col>8</xdr:col>
                    <xdr:colOff>317500</xdr:colOff>
                    <xdr:row>12</xdr:row>
                    <xdr:rowOff>139700</xdr:rowOff>
                  </from>
                  <to>
                    <xdr:col>10</xdr:col>
                    <xdr:colOff>520700</xdr:colOff>
                    <xdr:row>17</xdr:row>
                    <xdr:rowOff>228600</xdr:rowOff>
                  </to>
                </anchor>
              </controlPr>
            </control>
          </mc:Choice>
        </mc:AlternateContent>
        <mc:AlternateContent xmlns:mc="http://schemas.openxmlformats.org/markup-compatibility/2006">
          <mc:Choice Requires="x14">
            <control shapeId="11268" r:id="rId6" name="Button 4">
              <controlPr defaultSize="0" print="0" autoFill="0" autoPict="0" macro="[0]!high_profit">
                <anchor moveWithCells="1">
                  <from>
                    <xdr:col>23</xdr:col>
                    <xdr:colOff>228600</xdr:colOff>
                    <xdr:row>14</xdr:row>
                    <xdr:rowOff>177800</xdr:rowOff>
                  </from>
                  <to>
                    <xdr:col>24</xdr:col>
                    <xdr:colOff>596900</xdr:colOff>
                    <xdr:row>15</xdr:row>
                    <xdr:rowOff>127000</xdr:rowOff>
                  </to>
                </anchor>
              </controlPr>
            </control>
          </mc:Choice>
        </mc:AlternateContent>
        <mc:AlternateContent xmlns:mc="http://schemas.openxmlformats.org/markup-compatibility/2006">
          <mc:Choice Requires="x14">
            <control shapeId="11269" r:id="rId7" name="Button 5">
              <controlPr defaultSize="0" print="0" autoFill="0" autoPict="0" macro="[0]!recorded_relative">
                <anchor moveWithCells="1">
                  <from>
                    <xdr:col>7</xdr:col>
                    <xdr:colOff>25400</xdr:colOff>
                    <xdr:row>16</xdr:row>
                    <xdr:rowOff>25400</xdr:rowOff>
                  </from>
                  <to>
                    <xdr:col>7</xdr:col>
                    <xdr:colOff>596900</xdr:colOff>
                    <xdr:row>16</xdr:row>
                    <xdr:rowOff>266700</xdr:rowOff>
                  </to>
                </anchor>
              </controlPr>
            </control>
          </mc:Choice>
        </mc:AlternateContent>
        <mc:AlternateContent xmlns:mc="http://schemas.openxmlformats.org/markup-compatibility/2006">
          <mc:Choice Requires="x14">
            <control shapeId="11270" r:id="rId8" name="Button 6">
              <controlPr defaultSize="0" print="0" autoFill="0" autoPict="0" macro="[0]!recorded_absolute_example">
                <anchor moveWithCells="1">
                  <from>
                    <xdr:col>6</xdr:col>
                    <xdr:colOff>660400</xdr:colOff>
                    <xdr:row>14</xdr:row>
                    <xdr:rowOff>76200</xdr:rowOff>
                  </from>
                  <to>
                    <xdr:col>7</xdr:col>
                    <xdr:colOff>673100</xdr:colOff>
                    <xdr:row>15</xdr:row>
                    <xdr:rowOff>25400</xdr:rowOff>
                  </to>
                </anchor>
              </controlPr>
            </control>
          </mc:Choice>
        </mc:AlternateContent>
        <mc:AlternateContent xmlns:mc="http://schemas.openxmlformats.org/markup-compatibility/2006">
          <mc:Choice Requires="x14">
            <control shapeId="11271" r:id="rId9" name="Button 7">
              <controlPr defaultSize="0" print="0" autoFill="0" autoPict="0" macro="[0]!print_numbers">
                <anchor moveWithCells="1">
                  <from>
                    <xdr:col>28</xdr:col>
                    <xdr:colOff>50800</xdr:colOff>
                    <xdr:row>4</xdr:row>
                    <xdr:rowOff>25400</xdr:rowOff>
                  </from>
                  <to>
                    <xdr:col>29</xdr:col>
                    <xdr:colOff>520700</xdr:colOff>
                    <xdr:row>4</xdr:row>
                    <xdr:rowOff>266700</xdr:rowOff>
                  </to>
                </anchor>
              </controlPr>
            </control>
          </mc:Choice>
        </mc:AlternateContent>
        <mc:AlternateContent xmlns:mc="http://schemas.openxmlformats.org/markup-compatibility/2006">
          <mc:Choice Requires="x14">
            <control shapeId="11272" r:id="rId10" name="Button 8">
              <controlPr defaultSize="0" print="0" autoFill="0" autoPict="0" macro="[0]!print_numbers_while">
                <anchor moveWithCells="1">
                  <from>
                    <xdr:col>37</xdr:col>
                    <xdr:colOff>190500</xdr:colOff>
                    <xdr:row>4</xdr:row>
                    <xdr:rowOff>25400</xdr:rowOff>
                  </from>
                  <to>
                    <xdr:col>39</xdr:col>
                    <xdr:colOff>292100</xdr:colOff>
                    <xdr:row>4</xdr:row>
                    <xdr:rowOff>266700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Named Ranges</vt:lpstr>
      </vt:variant>
      <vt:variant>
        <vt:i4>50</vt:i4>
      </vt:variant>
    </vt:vector>
  </HeadingPairs>
  <TitlesOfParts>
    <vt:vector size="60" baseType="lpstr">
      <vt:lpstr>Pokemon data</vt:lpstr>
      <vt:lpstr>FIFA WWC</vt:lpstr>
      <vt:lpstr>M6.1 - Assumed Knowledge</vt:lpstr>
      <vt:lpstr>M6.2 - Pivot table</vt:lpstr>
      <vt:lpstr>M6.2 - Pivot chart</vt:lpstr>
      <vt:lpstr>M6.3 - Dynamic arrays</vt:lpstr>
      <vt:lpstr>M6.4 - Dynamic references</vt:lpstr>
      <vt:lpstr>M6.5 - Dependents</vt:lpstr>
      <vt:lpstr>M6.6 Simulations</vt:lpstr>
      <vt:lpstr>M6.6 Macros and VBA</vt:lpstr>
      <vt:lpstr>age</vt:lpstr>
      <vt:lpstr>assists</vt:lpstr>
      <vt:lpstr>assists_per_90</vt:lpstr>
      <vt:lpstr>Attacking</vt:lpstr>
      <vt:lpstr>Bug</vt:lpstr>
      <vt:lpstr>Dark</vt:lpstr>
      <vt:lpstr>Dragon</vt:lpstr>
      <vt:lpstr>Electric</vt:lpstr>
      <vt:lpstr>Fairy</vt:lpstr>
      <vt:lpstr>FiFA</vt:lpstr>
      <vt:lpstr>Fighting</vt:lpstr>
      <vt:lpstr>Fire</vt:lpstr>
      <vt:lpstr>Flying</vt:lpstr>
      <vt:lpstr>Ghost</vt:lpstr>
      <vt:lpstr>goals</vt:lpstr>
      <vt:lpstr>goals_minus_penalty_kicks_per_90</vt:lpstr>
      <vt:lpstr>goals_per_90</vt:lpstr>
      <vt:lpstr>goals_plus_assists_minus_penalty_kicks_per_90</vt:lpstr>
      <vt:lpstr>goals_plus_assists_per_90</vt:lpstr>
      <vt:lpstr>Grass</vt:lpstr>
      <vt:lpstr>Ground</vt:lpstr>
      <vt:lpstr>Ice</vt:lpstr>
      <vt:lpstr>id</vt:lpstr>
      <vt:lpstr>loss_ratios</vt:lpstr>
      <vt:lpstr>lossratios</vt:lpstr>
      <vt:lpstr>matches_played</vt:lpstr>
      <vt:lpstr>min_playing_time</vt:lpstr>
      <vt:lpstr>minutes_played_90s</vt:lpstr>
      <vt:lpstr>monthly_profit</vt:lpstr>
      <vt:lpstr>months</vt:lpstr>
      <vt:lpstr>non_penalty_goals</vt:lpstr>
      <vt:lpstr>Normal</vt:lpstr>
      <vt:lpstr>penalty_kicks_attempted</vt:lpstr>
      <vt:lpstr>penalty_kicks_made</vt:lpstr>
      <vt:lpstr>players</vt:lpstr>
      <vt:lpstr>Poison</vt:lpstr>
      <vt:lpstr>pokemon</vt:lpstr>
      <vt:lpstr>possesion</vt:lpstr>
      <vt:lpstr>products</vt:lpstr>
      <vt:lpstr>Psychic</vt:lpstr>
      <vt:lpstr>red_cards</vt:lpstr>
      <vt:lpstr>Rock</vt:lpstr>
      <vt:lpstr>squad</vt:lpstr>
      <vt:lpstr>starts</vt:lpstr>
      <vt:lpstr>Steel</vt:lpstr>
      <vt:lpstr>tblProduct</vt:lpstr>
      <vt:lpstr>Water</vt:lpstr>
      <vt:lpstr>weekly_profit</vt:lpstr>
      <vt:lpstr>year</vt:lpstr>
      <vt:lpstr>yellow_cards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Benjamin Avanzi</cp:lastModifiedBy>
  <cp:revision/>
  <dcterms:created xsi:type="dcterms:W3CDTF">2023-08-17T06:53:41Z</dcterms:created>
  <dcterms:modified xsi:type="dcterms:W3CDTF">2024-07-18T07:43:04Z</dcterms:modified>
  <cp:category/>
  <cp:contentStatus/>
</cp:coreProperties>
</file>